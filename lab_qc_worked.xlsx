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24226"/>
  <mc:AlternateContent xmlns:mc="http://schemas.openxmlformats.org/markup-compatibility/2006">
    <mc:Choice Requires="x15">
      <x15ac:absPath xmlns:x15ac="http://schemas.microsoft.com/office/spreadsheetml/2010/11/ac" url="C:\Users\RositaRos\Desktop\projects\Job Experience\job_projects\givaudan-quality data &amp; systems_Junior analyst\"/>
    </mc:Choice>
  </mc:AlternateContent>
  <xr:revisionPtr revIDLastSave="0" documentId="13_ncr:1_{87B70720-FD14-4214-B989-10B93F868636}" xr6:coauthVersionLast="47" xr6:coauthVersionMax="47" xr10:uidLastSave="{00000000-0000-0000-0000-000000000000}"/>
  <bookViews>
    <workbookView xWindow="-110" yWindow="-110" windowWidth="19420" windowHeight="11020" firstSheet="4" activeTab="5" xr2:uid="{00000000-000D-0000-FFFF-FFFF00000000}"/>
  </bookViews>
  <sheets>
    <sheet name="Exploratory Analysis" sheetId="3" r:id="rId1"/>
    <sheet name="mapping Site table" sheetId="2" r:id="rId2"/>
    <sheet name="Raw_LIMS_Export" sheetId="1" r:id="rId3"/>
    <sheet name="Batch outcome by site" sheetId="8" r:id="rId4"/>
    <sheet name="Test_outcome" sheetId="9" r:id="rId5"/>
    <sheet name="LIMS_Export_worked" sheetId="4" r:id="rId6"/>
    <sheet name="Batch_level_table" sheetId="10" r:id="rId7"/>
  </sheets>
  <definedNames>
    <definedName name="_xlnm._FilterDatabase" localSheetId="5" hidden="1">LIMS_Export_worked!$A$1:$N$2016</definedName>
    <definedName name="_xlnm._FilterDatabase" localSheetId="2" hidden="1">Raw_LIMS_Export!$G$1:$G$2016</definedName>
    <definedName name="_xlcn.WorksheetConnection_LIMS_Export_workedB2O20171" hidden="1">LIMS_Export_worked!$A$1:$N$2016</definedName>
    <definedName name="ExternalData_1" localSheetId="6" hidden="1">Batch_level_table!$A$1:$E$447</definedName>
    <definedName name="Slicer_Product_Line">#N/A</definedName>
    <definedName name="Slicer_Test_Type">#N/A</definedName>
  </definedNames>
  <calcPr calcId="191029"/>
  <pivotCaches>
    <pivotCache cacheId="0" r:id="rId8"/>
    <pivotCache cacheId="2" r:id="rId9"/>
    <pivotCache cacheId="9" r:id="rId10"/>
  </pivotCaches>
  <extLst>
    <ext xmlns:x14="http://schemas.microsoft.com/office/spreadsheetml/2009/9/main" uri="{876F7934-8845-4945-9796-88D515C7AA90}">
      <x14:pivotCaches>
        <pivotCache cacheId="3"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LIMS_Export_worked!$B$2:$O$201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F12" i="9"/>
  <c r="F6" i="9"/>
  <c r="F7" i="9"/>
  <c r="F8" i="9"/>
  <c r="F9" i="9"/>
  <c r="F10" i="9"/>
  <c r="F11" i="9"/>
  <c r="F5" i="9"/>
  <c r="K354" i="1"/>
  <c r="M354" i="4" s="1"/>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H1659" i="4" s="1"/>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H1867" i="4" s="1"/>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 i="4"/>
  <c r="K3" i="1"/>
  <c r="M3" i="4" s="1"/>
  <c r="K4" i="1"/>
  <c r="M4" i="4" s="1"/>
  <c r="K5" i="1"/>
  <c r="M5" i="4" s="1"/>
  <c r="K6" i="1"/>
  <c r="M6" i="4" s="1"/>
  <c r="K7" i="1"/>
  <c r="M7" i="4" s="1"/>
  <c r="K8" i="1"/>
  <c r="M8" i="4" s="1"/>
  <c r="K9" i="1"/>
  <c r="M9" i="4" s="1"/>
  <c r="K10" i="1"/>
  <c r="M10" i="4" s="1"/>
  <c r="K11" i="1"/>
  <c r="M11" i="4" s="1"/>
  <c r="K12" i="1"/>
  <c r="M12" i="4" s="1"/>
  <c r="K13" i="1"/>
  <c r="M13" i="4" s="1"/>
  <c r="K14" i="1"/>
  <c r="M14" i="4" s="1"/>
  <c r="K15" i="1"/>
  <c r="M15" i="4" s="1"/>
  <c r="K16" i="1"/>
  <c r="M16" i="4" s="1"/>
  <c r="K17" i="1"/>
  <c r="M17" i="4" s="1"/>
  <c r="K18" i="1"/>
  <c r="M18" i="4" s="1"/>
  <c r="K19" i="1"/>
  <c r="M19" i="4" s="1"/>
  <c r="K20" i="1"/>
  <c r="M20" i="4" s="1"/>
  <c r="K21" i="1"/>
  <c r="M21" i="4" s="1"/>
  <c r="K22" i="1"/>
  <c r="M22" i="4" s="1"/>
  <c r="K23" i="1"/>
  <c r="M23" i="4" s="1"/>
  <c r="K24" i="1"/>
  <c r="M24" i="4" s="1"/>
  <c r="K25" i="1"/>
  <c r="M25" i="4" s="1"/>
  <c r="K26" i="1"/>
  <c r="M26" i="4" s="1"/>
  <c r="K27" i="1"/>
  <c r="M27" i="4" s="1"/>
  <c r="K28" i="1"/>
  <c r="M28" i="4" s="1"/>
  <c r="K29" i="1"/>
  <c r="M29" i="4" s="1"/>
  <c r="K30" i="1"/>
  <c r="M30" i="4" s="1"/>
  <c r="K31" i="1"/>
  <c r="M31" i="4" s="1"/>
  <c r="K32" i="1"/>
  <c r="M32" i="4" s="1"/>
  <c r="K33" i="1"/>
  <c r="M33" i="4" s="1"/>
  <c r="K34" i="1"/>
  <c r="M34" i="4" s="1"/>
  <c r="K35" i="1"/>
  <c r="M35" i="4" s="1"/>
  <c r="K36" i="1"/>
  <c r="M36" i="4" s="1"/>
  <c r="K37" i="1"/>
  <c r="M37" i="4" s="1"/>
  <c r="K38" i="1"/>
  <c r="M38" i="4" s="1"/>
  <c r="K39" i="1"/>
  <c r="M39" i="4" s="1"/>
  <c r="K40" i="1"/>
  <c r="M40" i="4" s="1"/>
  <c r="K41" i="1"/>
  <c r="M41" i="4" s="1"/>
  <c r="K42" i="1"/>
  <c r="M42" i="4" s="1"/>
  <c r="K43" i="1"/>
  <c r="M43" i="4" s="1"/>
  <c r="K44" i="1"/>
  <c r="M44" i="4" s="1"/>
  <c r="K45" i="1"/>
  <c r="M45" i="4" s="1"/>
  <c r="K46" i="1"/>
  <c r="M46" i="4" s="1"/>
  <c r="K47" i="1"/>
  <c r="M47" i="4" s="1"/>
  <c r="K48" i="1"/>
  <c r="M48" i="4" s="1"/>
  <c r="K49" i="1"/>
  <c r="M49" i="4" s="1"/>
  <c r="K50" i="1"/>
  <c r="M50" i="4" s="1"/>
  <c r="K51" i="1"/>
  <c r="M51" i="4" s="1"/>
  <c r="K52" i="1"/>
  <c r="M52" i="4" s="1"/>
  <c r="K53" i="1"/>
  <c r="M53" i="4" s="1"/>
  <c r="K54" i="1"/>
  <c r="M54" i="4" s="1"/>
  <c r="K55" i="1"/>
  <c r="M55" i="4" s="1"/>
  <c r="K56" i="1"/>
  <c r="M56" i="4" s="1"/>
  <c r="K57" i="1"/>
  <c r="M57" i="4" s="1"/>
  <c r="K58" i="1"/>
  <c r="M58" i="4" s="1"/>
  <c r="K59" i="1"/>
  <c r="M59" i="4" s="1"/>
  <c r="K60" i="1"/>
  <c r="M60" i="4" s="1"/>
  <c r="K61" i="1"/>
  <c r="M61" i="4" s="1"/>
  <c r="K62" i="1"/>
  <c r="M62" i="4" s="1"/>
  <c r="K63" i="1"/>
  <c r="M63" i="4" s="1"/>
  <c r="K64" i="1"/>
  <c r="M64" i="4" s="1"/>
  <c r="K65" i="1"/>
  <c r="M65" i="4" s="1"/>
  <c r="K66" i="1"/>
  <c r="M66" i="4" s="1"/>
  <c r="K67" i="1"/>
  <c r="M67" i="4" s="1"/>
  <c r="K68" i="1"/>
  <c r="M68" i="4" s="1"/>
  <c r="K69" i="1"/>
  <c r="M69" i="4" s="1"/>
  <c r="K70" i="1"/>
  <c r="M70" i="4" s="1"/>
  <c r="K71" i="1"/>
  <c r="M71" i="4" s="1"/>
  <c r="K72" i="1"/>
  <c r="M72" i="4" s="1"/>
  <c r="K73" i="1"/>
  <c r="M73" i="4" s="1"/>
  <c r="K74" i="1"/>
  <c r="M74" i="4" s="1"/>
  <c r="K75" i="1"/>
  <c r="M75" i="4" s="1"/>
  <c r="K76" i="1"/>
  <c r="M76" i="4" s="1"/>
  <c r="K77" i="1"/>
  <c r="M77" i="4" s="1"/>
  <c r="K78" i="1"/>
  <c r="M78" i="4" s="1"/>
  <c r="K79" i="1"/>
  <c r="M79" i="4" s="1"/>
  <c r="K80" i="1"/>
  <c r="M80" i="4" s="1"/>
  <c r="K81" i="1"/>
  <c r="M81" i="4" s="1"/>
  <c r="K82" i="1"/>
  <c r="M82" i="4" s="1"/>
  <c r="K83" i="1"/>
  <c r="M83" i="4" s="1"/>
  <c r="K84" i="1"/>
  <c r="M84" i="4" s="1"/>
  <c r="K85" i="1"/>
  <c r="M85" i="4" s="1"/>
  <c r="K86" i="1"/>
  <c r="M86" i="4" s="1"/>
  <c r="K87" i="1"/>
  <c r="M87" i="4" s="1"/>
  <c r="K88" i="1"/>
  <c r="M88" i="4" s="1"/>
  <c r="K89" i="1"/>
  <c r="M89" i="4" s="1"/>
  <c r="K90" i="1"/>
  <c r="M90" i="4" s="1"/>
  <c r="K91" i="1"/>
  <c r="M91" i="4" s="1"/>
  <c r="K92" i="1"/>
  <c r="M92" i="4" s="1"/>
  <c r="K93" i="1"/>
  <c r="M93" i="4" s="1"/>
  <c r="K94" i="1"/>
  <c r="M94" i="4" s="1"/>
  <c r="K95" i="1"/>
  <c r="M95" i="4" s="1"/>
  <c r="K96" i="1"/>
  <c r="M96" i="4" s="1"/>
  <c r="K97" i="1"/>
  <c r="M97" i="4" s="1"/>
  <c r="K98" i="1"/>
  <c r="M98" i="4" s="1"/>
  <c r="K99" i="1"/>
  <c r="M99" i="4" s="1"/>
  <c r="K100" i="1"/>
  <c r="M100" i="4" s="1"/>
  <c r="K101" i="1"/>
  <c r="M101" i="4" s="1"/>
  <c r="K102" i="1"/>
  <c r="M102" i="4" s="1"/>
  <c r="K103" i="1"/>
  <c r="M103" i="4" s="1"/>
  <c r="K104" i="1"/>
  <c r="M104" i="4" s="1"/>
  <c r="K105" i="1"/>
  <c r="M105" i="4" s="1"/>
  <c r="K106" i="1"/>
  <c r="M106" i="4" s="1"/>
  <c r="K107" i="1"/>
  <c r="M107" i="4" s="1"/>
  <c r="K108" i="1"/>
  <c r="M108" i="4" s="1"/>
  <c r="K109" i="1"/>
  <c r="M109" i="4" s="1"/>
  <c r="K110" i="1"/>
  <c r="M110" i="4" s="1"/>
  <c r="K111" i="1"/>
  <c r="M111" i="4" s="1"/>
  <c r="K112" i="1"/>
  <c r="M112" i="4" s="1"/>
  <c r="K113" i="1"/>
  <c r="M113" i="4" s="1"/>
  <c r="K114" i="1"/>
  <c r="M114" i="4" s="1"/>
  <c r="K115" i="1"/>
  <c r="M115" i="4" s="1"/>
  <c r="K116" i="1"/>
  <c r="M116" i="4" s="1"/>
  <c r="K117" i="1"/>
  <c r="M117" i="4" s="1"/>
  <c r="K118" i="1"/>
  <c r="M118" i="4" s="1"/>
  <c r="K119" i="1"/>
  <c r="M119" i="4" s="1"/>
  <c r="K120" i="1"/>
  <c r="M120" i="4" s="1"/>
  <c r="K121" i="1"/>
  <c r="M121" i="4" s="1"/>
  <c r="K122" i="1"/>
  <c r="M122" i="4" s="1"/>
  <c r="K123" i="1"/>
  <c r="M123" i="4" s="1"/>
  <c r="K124" i="1"/>
  <c r="M124" i="4" s="1"/>
  <c r="K125" i="1"/>
  <c r="M125" i="4" s="1"/>
  <c r="K126" i="1"/>
  <c r="M126" i="4" s="1"/>
  <c r="K127" i="1"/>
  <c r="M127" i="4" s="1"/>
  <c r="K128" i="1"/>
  <c r="M128" i="4" s="1"/>
  <c r="K129" i="1"/>
  <c r="M129" i="4" s="1"/>
  <c r="K130" i="1"/>
  <c r="M130" i="4" s="1"/>
  <c r="K131" i="1"/>
  <c r="M131" i="4" s="1"/>
  <c r="K132" i="1"/>
  <c r="M132" i="4" s="1"/>
  <c r="K133" i="1"/>
  <c r="M133" i="4" s="1"/>
  <c r="K134" i="1"/>
  <c r="M134" i="4" s="1"/>
  <c r="K135" i="1"/>
  <c r="M135" i="4" s="1"/>
  <c r="K136" i="1"/>
  <c r="M136" i="4" s="1"/>
  <c r="K137" i="1"/>
  <c r="M137" i="4" s="1"/>
  <c r="K138" i="1"/>
  <c r="M138" i="4" s="1"/>
  <c r="K139" i="1"/>
  <c r="M139" i="4" s="1"/>
  <c r="K140" i="1"/>
  <c r="M140" i="4" s="1"/>
  <c r="K141" i="1"/>
  <c r="M141" i="4" s="1"/>
  <c r="K142" i="1"/>
  <c r="M142" i="4" s="1"/>
  <c r="K143" i="1"/>
  <c r="M143" i="4" s="1"/>
  <c r="K144" i="1"/>
  <c r="M144" i="4" s="1"/>
  <c r="K145" i="1"/>
  <c r="M145" i="4" s="1"/>
  <c r="K146" i="1"/>
  <c r="M146" i="4" s="1"/>
  <c r="K147" i="1"/>
  <c r="M147" i="4" s="1"/>
  <c r="K148" i="1"/>
  <c r="M148" i="4" s="1"/>
  <c r="K149" i="1"/>
  <c r="M149" i="4" s="1"/>
  <c r="K150" i="1"/>
  <c r="M150" i="4" s="1"/>
  <c r="K151" i="1"/>
  <c r="M151" i="4" s="1"/>
  <c r="K152" i="1"/>
  <c r="M152" i="4" s="1"/>
  <c r="K153" i="1"/>
  <c r="M153" i="4" s="1"/>
  <c r="K154" i="1"/>
  <c r="M154" i="4" s="1"/>
  <c r="K155" i="1"/>
  <c r="M155" i="4" s="1"/>
  <c r="K156" i="1"/>
  <c r="M156" i="4" s="1"/>
  <c r="K157" i="1"/>
  <c r="M157" i="4" s="1"/>
  <c r="K158" i="1"/>
  <c r="M158" i="4" s="1"/>
  <c r="K159" i="1"/>
  <c r="M159" i="4" s="1"/>
  <c r="K160" i="1"/>
  <c r="M160" i="4" s="1"/>
  <c r="K161" i="1"/>
  <c r="M161" i="4" s="1"/>
  <c r="K162" i="1"/>
  <c r="M162" i="4" s="1"/>
  <c r="K163" i="1"/>
  <c r="M163" i="4" s="1"/>
  <c r="K164" i="1"/>
  <c r="M164" i="4" s="1"/>
  <c r="K165" i="1"/>
  <c r="M165" i="4" s="1"/>
  <c r="K166" i="1"/>
  <c r="M166" i="4" s="1"/>
  <c r="K167" i="1"/>
  <c r="M167" i="4" s="1"/>
  <c r="K168" i="1"/>
  <c r="M168" i="4" s="1"/>
  <c r="K169" i="1"/>
  <c r="M169" i="4" s="1"/>
  <c r="K170" i="1"/>
  <c r="M170" i="4" s="1"/>
  <c r="K171" i="1"/>
  <c r="M171" i="4" s="1"/>
  <c r="K172" i="1"/>
  <c r="M172" i="4" s="1"/>
  <c r="K173" i="1"/>
  <c r="M173" i="4" s="1"/>
  <c r="K174" i="1"/>
  <c r="M174" i="4" s="1"/>
  <c r="K175" i="1"/>
  <c r="M175" i="4" s="1"/>
  <c r="K176" i="1"/>
  <c r="M176" i="4" s="1"/>
  <c r="K177" i="1"/>
  <c r="M177" i="4" s="1"/>
  <c r="K178" i="1"/>
  <c r="M178" i="4" s="1"/>
  <c r="K179" i="1"/>
  <c r="M179" i="4" s="1"/>
  <c r="K180" i="1"/>
  <c r="M180" i="4" s="1"/>
  <c r="K181" i="1"/>
  <c r="M181" i="4" s="1"/>
  <c r="K182" i="1"/>
  <c r="M182" i="4" s="1"/>
  <c r="K183" i="1"/>
  <c r="M183" i="4" s="1"/>
  <c r="K184" i="1"/>
  <c r="M184" i="4" s="1"/>
  <c r="K185" i="1"/>
  <c r="M185" i="4" s="1"/>
  <c r="K186" i="1"/>
  <c r="M186" i="4" s="1"/>
  <c r="K187" i="1"/>
  <c r="M187" i="4" s="1"/>
  <c r="K188" i="1"/>
  <c r="M188" i="4" s="1"/>
  <c r="K189" i="1"/>
  <c r="M189" i="4" s="1"/>
  <c r="K190" i="1"/>
  <c r="M190" i="4" s="1"/>
  <c r="K191" i="1"/>
  <c r="M191" i="4" s="1"/>
  <c r="K192" i="1"/>
  <c r="M192" i="4" s="1"/>
  <c r="K193" i="1"/>
  <c r="M193" i="4" s="1"/>
  <c r="K194" i="1"/>
  <c r="M194" i="4" s="1"/>
  <c r="K195" i="1"/>
  <c r="M195" i="4" s="1"/>
  <c r="K196" i="1"/>
  <c r="M196" i="4" s="1"/>
  <c r="K197" i="1"/>
  <c r="M197" i="4" s="1"/>
  <c r="K198" i="1"/>
  <c r="M198" i="4" s="1"/>
  <c r="K199" i="1"/>
  <c r="M199" i="4" s="1"/>
  <c r="K200" i="1"/>
  <c r="M200" i="4" s="1"/>
  <c r="K201" i="1"/>
  <c r="M201" i="4" s="1"/>
  <c r="K202" i="1"/>
  <c r="M202" i="4" s="1"/>
  <c r="K203" i="1"/>
  <c r="M203" i="4" s="1"/>
  <c r="K204" i="1"/>
  <c r="M204" i="4" s="1"/>
  <c r="K205" i="1"/>
  <c r="M205" i="4" s="1"/>
  <c r="K206" i="1"/>
  <c r="M206" i="4" s="1"/>
  <c r="K207" i="1"/>
  <c r="M207" i="4" s="1"/>
  <c r="K208" i="1"/>
  <c r="M208" i="4" s="1"/>
  <c r="K209" i="1"/>
  <c r="M209" i="4" s="1"/>
  <c r="K210" i="1"/>
  <c r="M210" i="4" s="1"/>
  <c r="K211" i="1"/>
  <c r="M211" i="4" s="1"/>
  <c r="K212" i="1"/>
  <c r="M212" i="4" s="1"/>
  <c r="K213" i="1"/>
  <c r="M213" i="4" s="1"/>
  <c r="K214" i="1"/>
  <c r="M214" i="4" s="1"/>
  <c r="K215" i="1"/>
  <c r="M215" i="4" s="1"/>
  <c r="K216" i="1"/>
  <c r="M216" i="4" s="1"/>
  <c r="K217" i="1"/>
  <c r="M217" i="4" s="1"/>
  <c r="K218" i="1"/>
  <c r="M218" i="4" s="1"/>
  <c r="K219" i="1"/>
  <c r="M219" i="4" s="1"/>
  <c r="K220" i="1"/>
  <c r="M220" i="4" s="1"/>
  <c r="K221" i="1"/>
  <c r="M221" i="4" s="1"/>
  <c r="K222" i="1"/>
  <c r="M222" i="4" s="1"/>
  <c r="K223" i="1"/>
  <c r="M223" i="4" s="1"/>
  <c r="K224" i="1"/>
  <c r="M224" i="4" s="1"/>
  <c r="K225" i="1"/>
  <c r="M225" i="4" s="1"/>
  <c r="K226" i="1"/>
  <c r="M226" i="4" s="1"/>
  <c r="K227" i="1"/>
  <c r="M227" i="4" s="1"/>
  <c r="K228" i="1"/>
  <c r="M228" i="4" s="1"/>
  <c r="K229" i="1"/>
  <c r="M229" i="4" s="1"/>
  <c r="K230" i="1"/>
  <c r="M230" i="4" s="1"/>
  <c r="K231" i="1"/>
  <c r="M231" i="4" s="1"/>
  <c r="K232" i="1"/>
  <c r="M232" i="4" s="1"/>
  <c r="K233" i="1"/>
  <c r="M233" i="4" s="1"/>
  <c r="K234" i="1"/>
  <c r="M234" i="4" s="1"/>
  <c r="K235" i="1"/>
  <c r="M235" i="4" s="1"/>
  <c r="K236" i="1"/>
  <c r="M236" i="4" s="1"/>
  <c r="K237" i="1"/>
  <c r="M237" i="4" s="1"/>
  <c r="K238" i="1"/>
  <c r="M238" i="4" s="1"/>
  <c r="K239" i="1"/>
  <c r="M239" i="4" s="1"/>
  <c r="K240" i="1"/>
  <c r="M240" i="4" s="1"/>
  <c r="K241" i="1"/>
  <c r="M241" i="4" s="1"/>
  <c r="K242" i="1"/>
  <c r="M242" i="4" s="1"/>
  <c r="K243" i="1"/>
  <c r="M243" i="4" s="1"/>
  <c r="K244" i="1"/>
  <c r="M244" i="4" s="1"/>
  <c r="K245" i="1"/>
  <c r="M245" i="4" s="1"/>
  <c r="K246" i="1"/>
  <c r="M246" i="4" s="1"/>
  <c r="K247" i="1"/>
  <c r="M247" i="4" s="1"/>
  <c r="K248" i="1"/>
  <c r="M248" i="4" s="1"/>
  <c r="K249" i="1"/>
  <c r="M249" i="4" s="1"/>
  <c r="K250" i="1"/>
  <c r="M250" i="4" s="1"/>
  <c r="K251" i="1"/>
  <c r="M251" i="4" s="1"/>
  <c r="K252" i="1"/>
  <c r="M252" i="4" s="1"/>
  <c r="K253" i="1"/>
  <c r="M253" i="4" s="1"/>
  <c r="K254" i="1"/>
  <c r="M254" i="4" s="1"/>
  <c r="K255" i="1"/>
  <c r="M255" i="4" s="1"/>
  <c r="K256" i="1"/>
  <c r="M256" i="4" s="1"/>
  <c r="K257" i="1"/>
  <c r="M257" i="4" s="1"/>
  <c r="K258" i="1"/>
  <c r="M258" i="4" s="1"/>
  <c r="K259" i="1"/>
  <c r="M259" i="4" s="1"/>
  <c r="K260" i="1"/>
  <c r="M260" i="4" s="1"/>
  <c r="K261" i="1"/>
  <c r="M261" i="4" s="1"/>
  <c r="K262" i="1"/>
  <c r="M262" i="4" s="1"/>
  <c r="K263" i="1"/>
  <c r="M263" i="4" s="1"/>
  <c r="K264" i="1"/>
  <c r="M264" i="4" s="1"/>
  <c r="K265" i="1"/>
  <c r="M265" i="4" s="1"/>
  <c r="K266" i="1"/>
  <c r="M266" i="4" s="1"/>
  <c r="K267" i="1"/>
  <c r="M267" i="4" s="1"/>
  <c r="K268" i="1"/>
  <c r="M268" i="4" s="1"/>
  <c r="K269" i="1"/>
  <c r="M269" i="4" s="1"/>
  <c r="K270" i="1"/>
  <c r="M270" i="4" s="1"/>
  <c r="K271" i="1"/>
  <c r="M271" i="4" s="1"/>
  <c r="K272" i="1"/>
  <c r="M272" i="4" s="1"/>
  <c r="K273" i="1"/>
  <c r="M273" i="4" s="1"/>
  <c r="K274" i="1"/>
  <c r="M274" i="4" s="1"/>
  <c r="K275" i="1"/>
  <c r="M275" i="4" s="1"/>
  <c r="K276" i="1"/>
  <c r="M276" i="4" s="1"/>
  <c r="K277" i="1"/>
  <c r="M277" i="4" s="1"/>
  <c r="K278" i="1"/>
  <c r="M278" i="4" s="1"/>
  <c r="K279" i="1"/>
  <c r="M279" i="4" s="1"/>
  <c r="K280" i="1"/>
  <c r="M280" i="4" s="1"/>
  <c r="K281" i="1"/>
  <c r="M281" i="4" s="1"/>
  <c r="K282" i="1"/>
  <c r="M282" i="4" s="1"/>
  <c r="K283" i="1"/>
  <c r="M283" i="4" s="1"/>
  <c r="K284" i="1"/>
  <c r="M284" i="4" s="1"/>
  <c r="K285" i="1"/>
  <c r="M285" i="4" s="1"/>
  <c r="K286" i="1"/>
  <c r="M286" i="4" s="1"/>
  <c r="K287" i="1"/>
  <c r="M287" i="4" s="1"/>
  <c r="K288" i="1"/>
  <c r="M288" i="4" s="1"/>
  <c r="K289" i="1"/>
  <c r="M289" i="4" s="1"/>
  <c r="K290" i="1"/>
  <c r="M290" i="4" s="1"/>
  <c r="K291" i="1"/>
  <c r="M291" i="4" s="1"/>
  <c r="K292" i="1"/>
  <c r="M292" i="4" s="1"/>
  <c r="K293" i="1"/>
  <c r="M293" i="4" s="1"/>
  <c r="K294" i="1"/>
  <c r="M294" i="4" s="1"/>
  <c r="K295" i="1"/>
  <c r="M295" i="4" s="1"/>
  <c r="K296" i="1"/>
  <c r="M296" i="4" s="1"/>
  <c r="K297" i="1"/>
  <c r="M297" i="4" s="1"/>
  <c r="K298" i="1"/>
  <c r="M298" i="4" s="1"/>
  <c r="K299" i="1"/>
  <c r="M299" i="4" s="1"/>
  <c r="K300" i="1"/>
  <c r="M300" i="4" s="1"/>
  <c r="K301" i="1"/>
  <c r="M301" i="4" s="1"/>
  <c r="K302" i="1"/>
  <c r="M302" i="4" s="1"/>
  <c r="K303" i="1"/>
  <c r="M303" i="4" s="1"/>
  <c r="K304" i="1"/>
  <c r="M304" i="4" s="1"/>
  <c r="K305" i="1"/>
  <c r="M305" i="4" s="1"/>
  <c r="K306" i="1"/>
  <c r="M306" i="4" s="1"/>
  <c r="K307" i="1"/>
  <c r="M307" i="4" s="1"/>
  <c r="K308" i="1"/>
  <c r="M308" i="4" s="1"/>
  <c r="K309" i="1"/>
  <c r="M309" i="4" s="1"/>
  <c r="K310" i="1"/>
  <c r="M310" i="4" s="1"/>
  <c r="K311" i="1"/>
  <c r="M311" i="4" s="1"/>
  <c r="K312" i="1"/>
  <c r="M312" i="4" s="1"/>
  <c r="K313" i="1"/>
  <c r="M313" i="4" s="1"/>
  <c r="K314" i="1"/>
  <c r="M314" i="4" s="1"/>
  <c r="K315" i="1"/>
  <c r="M315" i="4" s="1"/>
  <c r="K316" i="1"/>
  <c r="M316" i="4" s="1"/>
  <c r="K317" i="1"/>
  <c r="M317" i="4" s="1"/>
  <c r="K318" i="1"/>
  <c r="M318" i="4" s="1"/>
  <c r="K319" i="1"/>
  <c r="M319" i="4" s="1"/>
  <c r="K320" i="1"/>
  <c r="M320" i="4" s="1"/>
  <c r="K321" i="1"/>
  <c r="M321" i="4" s="1"/>
  <c r="K322" i="1"/>
  <c r="M322" i="4" s="1"/>
  <c r="K323" i="1"/>
  <c r="M323" i="4" s="1"/>
  <c r="K324" i="1"/>
  <c r="M324" i="4" s="1"/>
  <c r="K325" i="1"/>
  <c r="M325" i="4" s="1"/>
  <c r="K326" i="1"/>
  <c r="M326" i="4" s="1"/>
  <c r="K327" i="1"/>
  <c r="M327" i="4" s="1"/>
  <c r="K328" i="1"/>
  <c r="M328" i="4" s="1"/>
  <c r="K329" i="1"/>
  <c r="M329" i="4" s="1"/>
  <c r="K330" i="1"/>
  <c r="M330" i="4" s="1"/>
  <c r="K331" i="1"/>
  <c r="M331" i="4" s="1"/>
  <c r="K332" i="1"/>
  <c r="M332" i="4" s="1"/>
  <c r="K333" i="1"/>
  <c r="M333" i="4" s="1"/>
  <c r="K334" i="1"/>
  <c r="M334" i="4" s="1"/>
  <c r="K335" i="1"/>
  <c r="M335" i="4" s="1"/>
  <c r="K336" i="1"/>
  <c r="M336" i="4" s="1"/>
  <c r="K337" i="1"/>
  <c r="M337" i="4" s="1"/>
  <c r="K338" i="1"/>
  <c r="M338" i="4" s="1"/>
  <c r="K339" i="1"/>
  <c r="M339" i="4" s="1"/>
  <c r="K340" i="1"/>
  <c r="M340" i="4" s="1"/>
  <c r="K341" i="1"/>
  <c r="M341" i="4" s="1"/>
  <c r="K342" i="1"/>
  <c r="M342" i="4" s="1"/>
  <c r="K343" i="1"/>
  <c r="M343" i="4" s="1"/>
  <c r="K344" i="1"/>
  <c r="M344" i="4" s="1"/>
  <c r="K345" i="1"/>
  <c r="M345" i="4" s="1"/>
  <c r="K346" i="1"/>
  <c r="M346" i="4" s="1"/>
  <c r="K347" i="1"/>
  <c r="M347" i="4" s="1"/>
  <c r="K348" i="1"/>
  <c r="M348" i="4" s="1"/>
  <c r="K349" i="1"/>
  <c r="M349" i="4" s="1"/>
  <c r="K350" i="1"/>
  <c r="M350" i="4" s="1"/>
  <c r="K351" i="1"/>
  <c r="M351" i="4" s="1"/>
  <c r="K352" i="1"/>
  <c r="M352" i="4" s="1"/>
  <c r="K353" i="1"/>
  <c r="M353" i="4" s="1"/>
  <c r="K355" i="1"/>
  <c r="M355" i="4" s="1"/>
  <c r="K356" i="1"/>
  <c r="M356" i="4" s="1"/>
  <c r="K357" i="1"/>
  <c r="M357" i="4" s="1"/>
  <c r="K358" i="1"/>
  <c r="M358" i="4" s="1"/>
  <c r="K359" i="1"/>
  <c r="M359" i="4" s="1"/>
  <c r="K360" i="1"/>
  <c r="M360" i="4" s="1"/>
  <c r="K361" i="1"/>
  <c r="M361" i="4" s="1"/>
  <c r="K362" i="1"/>
  <c r="M362" i="4" s="1"/>
  <c r="K363" i="1"/>
  <c r="M363" i="4" s="1"/>
  <c r="K364" i="1"/>
  <c r="M364" i="4" s="1"/>
  <c r="K365" i="1"/>
  <c r="M365" i="4" s="1"/>
  <c r="K366" i="1"/>
  <c r="M366" i="4" s="1"/>
  <c r="K367" i="1"/>
  <c r="M367" i="4" s="1"/>
  <c r="K368" i="1"/>
  <c r="M368" i="4" s="1"/>
  <c r="K369" i="1"/>
  <c r="M369" i="4" s="1"/>
  <c r="K370" i="1"/>
  <c r="M370" i="4" s="1"/>
  <c r="K371" i="1"/>
  <c r="M371" i="4" s="1"/>
  <c r="K372" i="1"/>
  <c r="M372" i="4" s="1"/>
  <c r="K373" i="1"/>
  <c r="M373" i="4" s="1"/>
  <c r="K374" i="1"/>
  <c r="M374" i="4" s="1"/>
  <c r="K375" i="1"/>
  <c r="M375" i="4" s="1"/>
  <c r="K376" i="1"/>
  <c r="M376" i="4" s="1"/>
  <c r="K377" i="1"/>
  <c r="M377" i="4" s="1"/>
  <c r="K378" i="1"/>
  <c r="M378" i="4" s="1"/>
  <c r="K379" i="1"/>
  <c r="M379" i="4" s="1"/>
  <c r="K380" i="1"/>
  <c r="M380" i="4" s="1"/>
  <c r="K381" i="1"/>
  <c r="M381" i="4" s="1"/>
  <c r="K382" i="1"/>
  <c r="M382" i="4" s="1"/>
  <c r="K383" i="1"/>
  <c r="M383" i="4" s="1"/>
  <c r="K384" i="1"/>
  <c r="M384" i="4" s="1"/>
  <c r="K385" i="1"/>
  <c r="M385" i="4" s="1"/>
  <c r="K386" i="1"/>
  <c r="M386" i="4" s="1"/>
  <c r="K387" i="1"/>
  <c r="M387" i="4" s="1"/>
  <c r="K388" i="1"/>
  <c r="M388" i="4" s="1"/>
  <c r="K389" i="1"/>
  <c r="M389" i="4" s="1"/>
  <c r="K390" i="1"/>
  <c r="M390" i="4" s="1"/>
  <c r="K391" i="1"/>
  <c r="M391" i="4" s="1"/>
  <c r="K392" i="1"/>
  <c r="M392" i="4" s="1"/>
  <c r="K393" i="1"/>
  <c r="M393" i="4" s="1"/>
  <c r="K394" i="1"/>
  <c r="M394" i="4" s="1"/>
  <c r="K395" i="1"/>
  <c r="M395" i="4" s="1"/>
  <c r="K396" i="1"/>
  <c r="M396" i="4" s="1"/>
  <c r="K397" i="1"/>
  <c r="M397" i="4" s="1"/>
  <c r="K398" i="1"/>
  <c r="M398" i="4" s="1"/>
  <c r="K399" i="1"/>
  <c r="M399" i="4" s="1"/>
  <c r="K400" i="1"/>
  <c r="M400" i="4" s="1"/>
  <c r="K401" i="1"/>
  <c r="M401" i="4" s="1"/>
  <c r="K402" i="1"/>
  <c r="M402" i="4" s="1"/>
  <c r="K403" i="1"/>
  <c r="M403" i="4" s="1"/>
  <c r="K404" i="1"/>
  <c r="M404" i="4" s="1"/>
  <c r="K405" i="1"/>
  <c r="M405" i="4" s="1"/>
  <c r="K406" i="1"/>
  <c r="M406" i="4" s="1"/>
  <c r="K407" i="1"/>
  <c r="M407" i="4" s="1"/>
  <c r="K408" i="1"/>
  <c r="M408" i="4" s="1"/>
  <c r="K409" i="1"/>
  <c r="M409" i="4" s="1"/>
  <c r="K410" i="1"/>
  <c r="M410" i="4" s="1"/>
  <c r="K411" i="1"/>
  <c r="M411" i="4" s="1"/>
  <c r="K412" i="1"/>
  <c r="M412" i="4" s="1"/>
  <c r="K413" i="1"/>
  <c r="M413" i="4" s="1"/>
  <c r="K414" i="1"/>
  <c r="M414" i="4" s="1"/>
  <c r="K415" i="1"/>
  <c r="M415" i="4" s="1"/>
  <c r="K416" i="1"/>
  <c r="M416" i="4" s="1"/>
  <c r="K417" i="1"/>
  <c r="M417" i="4" s="1"/>
  <c r="K418" i="1"/>
  <c r="M418" i="4" s="1"/>
  <c r="K419" i="1"/>
  <c r="M419" i="4" s="1"/>
  <c r="K420" i="1"/>
  <c r="M420" i="4" s="1"/>
  <c r="K421" i="1"/>
  <c r="M421" i="4" s="1"/>
  <c r="K422" i="1"/>
  <c r="M422" i="4" s="1"/>
  <c r="K423" i="1"/>
  <c r="M423" i="4" s="1"/>
  <c r="K424" i="1"/>
  <c r="M424" i="4" s="1"/>
  <c r="K425" i="1"/>
  <c r="M425" i="4" s="1"/>
  <c r="K426" i="1"/>
  <c r="M426" i="4" s="1"/>
  <c r="K427" i="1"/>
  <c r="M427" i="4" s="1"/>
  <c r="K428" i="1"/>
  <c r="M428" i="4" s="1"/>
  <c r="K429" i="1"/>
  <c r="M429" i="4" s="1"/>
  <c r="K430" i="1"/>
  <c r="M430" i="4" s="1"/>
  <c r="K431" i="1"/>
  <c r="M431" i="4" s="1"/>
  <c r="K432" i="1"/>
  <c r="M432" i="4" s="1"/>
  <c r="K433" i="1"/>
  <c r="M433" i="4" s="1"/>
  <c r="K434" i="1"/>
  <c r="M434" i="4" s="1"/>
  <c r="K435" i="1"/>
  <c r="M435" i="4" s="1"/>
  <c r="K436" i="1"/>
  <c r="M436" i="4" s="1"/>
  <c r="K437" i="1"/>
  <c r="M437" i="4" s="1"/>
  <c r="K438" i="1"/>
  <c r="M438" i="4" s="1"/>
  <c r="K439" i="1"/>
  <c r="M439" i="4" s="1"/>
  <c r="K440" i="1"/>
  <c r="M440" i="4" s="1"/>
  <c r="K441" i="1"/>
  <c r="M441" i="4" s="1"/>
  <c r="K442" i="1"/>
  <c r="M442" i="4" s="1"/>
  <c r="K443" i="1"/>
  <c r="M443" i="4" s="1"/>
  <c r="K444" i="1"/>
  <c r="M444" i="4" s="1"/>
  <c r="K445" i="1"/>
  <c r="M445" i="4" s="1"/>
  <c r="K446" i="1"/>
  <c r="M446" i="4" s="1"/>
  <c r="K447" i="1"/>
  <c r="M447" i="4" s="1"/>
  <c r="K448" i="1"/>
  <c r="M448" i="4" s="1"/>
  <c r="K449" i="1"/>
  <c r="M449" i="4" s="1"/>
  <c r="K450" i="1"/>
  <c r="M450" i="4" s="1"/>
  <c r="K451" i="1"/>
  <c r="M451" i="4" s="1"/>
  <c r="K452" i="1"/>
  <c r="M452" i="4" s="1"/>
  <c r="K453" i="1"/>
  <c r="M453" i="4" s="1"/>
  <c r="K454" i="1"/>
  <c r="M454" i="4" s="1"/>
  <c r="K455" i="1"/>
  <c r="M455" i="4" s="1"/>
  <c r="K456" i="1"/>
  <c r="M456" i="4" s="1"/>
  <c r="K457" i="1"/>
  <c r="M457" i="4" s="1"/>
  <c r="K458" i="1"/>
  <c r="M458" i="4" s="1"/>
  <c r="K459" i="1"/>
  <c r="M459" i="4" s="1"/>
  <c r="K460" i="1"/>
  <c r="M460" i="4" s="1"/>
  <c r="K461" i="1"/>
  <c r="M461" i="4" s="1"/>
  <c r="K462" i="1"/>
  <c r="M462" i="4" s="1"/>
  <c r="K463" i="1"/>
  <c r="M463" i="4" s="1"/>
  <c r="K464" i="1"/>
  <c r="M464" i="4" s="1"/>
  <c r="K465" i="1"/>
  <c r="M465" i="4" s="1"/>
  <c r="K466" i="1"/>
  <c r="M466" i="4" s="1"/>
  <c r="K467" i="1"/>
  <c r="M467" i="4" s="1"/>
  <c r="K468" i="1"/>
  <c r="M468" i="4" s="1"/>
  <c r="K469" i="1"/>
  <c r="M469" i="4" s="1"/>
  <c r="K470" i="1"/>
  <c r="M470" i="4" s="1"/>
  <c r="K471" i="1"/>
  <c r="M471" i="4" s="1"/>
  <c r="K472" i="1"/>
  <c r="M472" i="4" s="1"/>
  <c r="K473" i="1"/>
  <c r="M473" i="4" s="1"/>
  <c r="K474" i="1"/>
  <c r="M474" i="4" s="1"/>
  <c r="K475" i="1"/>
  <c r="M475" i="4" s="1"/>
  <c r="K476" i="1"/>
  <c r="M476" i="4" s="1"/>
  <c r="K477" i="1"/>
  <c r="M477" i="4" s="1"/>
  <c r="K478" i="1"/>
  <c r="M478" i="4" s="1"/>
  <c r="K479" i="1"/>
  <c r="M479" i="4" s="1"/>
  <c r="K480" i="1"/>
  <c r="M480" i="4" s="1"/>
  <c r="K481" i="1"/>
  <c r="M481" i="4" s="1"/>
  <c r="K482" i="1"/>
  <c r="M482" i="4" s="1"/>
  <c r="K483" i="1"/>
  <c r="M483" i="4" s="1"/>
  <c r="K484" i="1"/>
  <c r="M484" i="4" s="1"/>
  <c r="K485" i="1"/>
  <c r="M485" i="4" s="1"/>
  <c r="K486" i="1"/>
  <c r="M486" i="4" s="1"/>
  <c r="K487" i="1"/>
  <c r="M487" i="4" s="1"/>
  <c r="K488" i="1"/>
  <c r="M488" i="4" s="1"/>
  <c r="K489" i="1"/>
  <c r="M489" i="4" s="1"/>
  <c r="K490" i="1"/>
  <c r="M490" i="4" s="1"/>
  <c r="K491" i="1"/>
  <c r="M491" i="4" s="1"/>
  <c r="K492" i="1"/>
  <c r="M492" i="4" s="1"/>
  <c r="K493" i="1"/>
  <c r="M493" i="4" s="1"/>
  <c r="K494" i="1"/>
  <c r="M494" i="4" s="1"/>
  <c r="K495" i="1"/>
  <c r="M495" i="4" s="1"/>
  <c r="K496" i="1"/>
  <c r="M496" i="4" s="1"/>
  <c r="K497" i="1"/>
  <c r="M497" i="4" s="1"/>
  <c r="K498" i="1"/>
  <c r="M498" i="4" s="1"/>
  <c r="K499" i="1"/>
  <c r="M499" i="4" s="1"/>
  <c r="K500" i="1"/>
  <c r="M500" i="4" s="1"/>
  <c r="K501" i="1"/>
  <c r="M501" i="4" s="1"/>
  <c r="K502" i="1"/>
  <c r="M502" i="4" s="1"/>
  <c r="K503" i="1"/>
  <c r="M503" i="4" s="1"/>
  <c r="K504" i="1"/>
  <c r="M504" i="4" s="1"/>
  <c r="K505" i="1"/>
  <c r="M505" i="4" s="1"/>
  <c r="K506" i="1"/>
  <c r="M506" i="4" s="1"/>
  <c r="K507" i="1"/>
  <c r="M507" i="4" s="1"/>
  <c r="K508" i="1"/>
  <c r="M508" i="4" s="1"/>
  <c r="K509" i="1"/>
  <c r="M509" i="4" s="1"/>
  <c r="K510" i="1"/>
  <c r="M510" i="4" s="1"/>
  <c r="K511" i="1"/>
  <c r="M511" i="4" s="1"/>
  <c r="K512" i="1"/>
  <c r="M512" i="4" s="1"/>
  <c r="K513" i="1"/>
  <c r="M513" i="4" s="1"/>
  <c r="K514" i="1"/>
  <c r="M514" i="4" s="1"/>
  <c r="K515" i="1"/>
  <c r="M515" i="4" s="1"/>
  <c r="K516" i="1"/>
  <c r="M516" i="4" s="1"/>
  <c r="K517" i="1"/>
  <c r="M517" i="4" s="1"/>
  <c r="K518" i="1"/>
  <c r="M518" i="4" s="1"/>
  <c r="K519" i="1"/>
  <c r="M519" i="4" s="1"/>
  <c r="K520" i="1"/>
  <c r="M520" i="4" s="1"/>
  <c r="K521" i="1"/>
  <c r="M521" i="4" s="1"/>
  <c r="K522" i="1"/>
  <c r="M522" i="4" s="1"/>
  <c r="K523" i="1"/>
  <c r="M523" i="4" s="1"/>
  <c r="K524" i="1"/>
  <c r="M524" i="4" s="1"/>
  <c r="K525" i="1"/>
  <c r="M525" i="4" s="1"/>
  <c r="K526" i="1"/>
  <c r="M526" i="4" s="1"/>
  <c r="K527" i="1"/>
  <c r="M527" i="4" s="1"/>
  <c r="K528" i="1"/>
  <c r="M528" i="4" s="1"/>
  <c r="K529" i="1"/>
  <c r="M529" i="4" s="1"/>
  <c r="K530" i="1"/>
  <c r="M530" i="4" s="1"/>
  <c r="K531" i="1"/>
  <c r="M531" i="4" s="1"/>
  <c r="K532" i="1"/>
  <c r="M532" i="4" s="1"/>
  <c r="K533" i="1"/>
  <c r="M533" i="4" s="1"/>
  <c r="K534" i="1"/>
  <c r="M534" i="4" s="1"/>
  <c r="K535" i="1"/>
  <c r="M535" i="4" s="1"/>
  <c r="K536" i="1"/>
  <c r="M536" i="4" s="1"/>
  <c r="K537" i="1"/>
  <c r="M537" i="4" s="1"/>
  <c r="K538" i="1"/>
  <c r="M538" i="4" s="1"/>
  <c r="K539" i="1"/>
  <c r="M539" i="4" s="1"/>
  <c r="K540" i="1"/>
  <c r="M540" i="4" s="1"/>
  <c r="K541" i="1"/>
  <c r="M541" i="4" s="1"/>
  <c r="K542" i="1"/>
  <c r="M542" i="4" s="1"/>
  <c r="K543" i="1"/>
  <c r="M543" i="4" s="1"/>
  <c r="K544" i="1"/>
  <c r="M544" i="4" s="1"/>
  <c r="K545" i="1"/>
  <c r="M545" i="4" s="1"/>
  <c r="K546" i="1"/>
  <c r="M546" i="4" s="1"/>
  <c r="K547" i="1"/>
  <c r="M547" i="4" s="1"/>
  <c r="K548" i="1"/>
  <c r="M548" i="4" s="1"/>
  <c r="K549" i="1"/>
  <c r="M549" i="4" s="1"/>
  <c r="K550" i="1"/>
  <c r="M550" i="4" s="1"/>
  <c r="K551" i="1"/>
  <c r="M551" i="4" s="1"/>
  <c r="K552" i="1"/>
  <c r="M552" i="4" s="1"/>
  <c r="K553" i="1"/>
  <c r="M553" i="4" s="1"/>
  <c r="K554" i="1"/>
  <c r="M554" i="4" s="1"/>
  <c r="K555" i="1"/>
  <c r="M555" i="4" s="1"/>
  <c r="K556" i="1"/>
  <c r="M556" i="4" s="1"/>
  <c r="K557" i="1"/>
  <c r="M557" i="4" s="1"/>
  <c r="K558" i="1"/>
  <c r="M558" i="4" s="1"/>
  <c r="K559" i="1"/>
  <c r="M559" i="4" s="1"/>
  <c r="K560" i="1"/>
  <c r="M560" i="4" s="1"/>
  <c r="K561" i="1"/>
  <c r="M561" i="4" s="1"/>
  <c r="K562" i="1"/>
  <c r="M562" i="4" s="1"/>
  <c r="K563" i="1"/>
  <c r="M563" i="4" s="1"/>
  <c r="K564" i="1"/>
  <c r="M564" i="4" s="1"/>
  <c r="K565" i="1"/>
  <c r="M565" i="4" s="1"/>
  <c r="K566" i="1"/>
  <c r="M566" i="4" s="1"/>
  <c r="K567" i="1"/>
  <c r="M567" i="4" s="1"/>
  <c r="K568" i="1"/>
  <c r="M568" i="4" s="1"/>
  <c r="K569" i="1"/>
  <c r="M569" i="4" s="1"/>
  <c r="K570" i="1"/>
  <c r="M570" i="4" s="1"/>
  <c r="K571" i="1"/>
  <c r="M571" i="4" s="1"/>
  <c r="K572" i="1"/>
  <c r="M572" i="4" s="1"/>
  <c r="K573" i="1"/>
  <c r="M573" i="4" s="1"/>
  <c r="K574" i="1"/>
  <c r="M574" i="4" s="1"/>
  <c r="K575" i="1"/>
  <c r="M575" i="4" s="1"/>
  <c r="K576" i="1"/>
  <c r="M576" i="4" s="1"/>
  <c r="K577" i="1"/>
  <c r="M577" i="4" s="1"/>
  <c r="K578" i="1"/>
  <c r="M578" i="4" s="1"/>
  <c r="K579" i="1"/>
  <c r="M579" i="4" s="1"/>
  <c r="K580" i="1"/>
  <c r="M580" i="4" s="1"/>
  <c r="K581" i="1"/>
  <c r="M581" i="4" s="1"/>
  <c r="K582" i="1"/>
  <c r="M582" i="4" s="1"/>
  <c r="K583" i="1"/>
  <c r="M583" i="4" s="1"/>
  <c r="K584" i="1"/>
  <c r="M584" i="4" s="1"/>
  <c r="K585" i="1"/>
  <c r="M585" i="4" s="1"/>
  <c r="K586" i="1"/>
  <c r="M586" i="4" s="1"/>
  <c r="K587" i="1"/>
  <c r="M587" i="4" s="1"/>
  <c r="K588" i="1"/>
  <c r="M588" i="4" s="1"/>
  <c r="K589" i="1"/>
  <c r="M589" i="4" s="1"/>
  <c r="K590" i="1"/>
  <c r="M590" i="4" s="1"/>
  <c r="K591" i="1"/>
  <c r="M591" i="4" s="1"/>
  <c r="K592" i="1"/>
  <c r="M592" i="4" s="1"/>
  <c r="K593" i="1"/>
  <c r="M593" i="4" s="1"/>
  <c r="K594" i="1"/>
  <c r="M594" i="4" s="1"/>
  <c r="K595" i="1"/>
  <c r="M595" i="4" s="1"/>
  <c r="K596" i="1"/>
  <c r="M596" i="4" s="1"/>
  <c r="K597" i="1"/>
  <c r="M597" i="4" s="1"/>
  <c r="K598" i="1"/>
  <c r="M598" i="4" s="1"/>
  <c r="K599" i="1"/>
  <c r="M599" i="4" s="1"/>
  <c r="K600" i="1"/>
  <c r="M600" i="4" s="1"/>
  <c r="K601" i="1"/>
  <c r="M601" i="4" s="1"/>
  <c r="K602" i="1"/>
  <c r="M602" i="4" s="1"/>
  <c r="K603" i="1"/>
  <c r="M603" i="4" s="1"/>
  <c r="K604" i="1"/>
  <c r="M604" i="4" s="1"/>
  <c r="K605" i="1"/>
  <c r="M605" i="4" s="1"/>
  <c r="K606" i="1"/>
  <c r="M606" i="4" s="1"/>
  <c r="K607" i="1"/>
  <c r="M607" i="4" s="1"/>
  <c r="K608" i="1"/>
  <c r="M608" i="4" s="1"/>
  <c r="K609" i="1"/>
  <c r="M609" i="4" s="1"/>
  <c r="K610" i="1"/>
  <c r="M610" i="4" s="1"/>
  <c r="K611" i="1"/>
  <c r="M611" i="4" s="1"/>
  <c r="K612" i="1"/>
  <c r="M612" i="4" s="1"/>
  <c r="K613" i="1"/>
  <c r="M613" i="4" s="1"/>
  <c r="K614" i="1"/>
  <c r="M614" i="4" s="1"/>
  <c r="K615" i="1"/>
  <c r="M615" i="4" s="1"/>
  <c r="K616" i="1"/>
  <c r="M616" i="4" s="1"/>
  <c r="K617" i="1"/>
  <c r="M617" i="4" s="1"/>
  <c r="K618" i="1"/>
  <c r="M618" i="4" s="1"/>
  <c r="K619" i="1"/>
  <c r="M619" i="4" s="1"/>
  <c r="K620" i="1"/>
  <c r="M620" i="4" s="1"/>
  <c r="K621" i="1"/>
  <c r="M621" i="4" s="1"/>
  <c r="K622" i="1"/>
  <c r="M622" i="4" s="1"/>
  <c r="K623" i="1"/>
  <c r="M623" i="4" s="1"/>
  <c r="K624" i="1"/>
  <c r="M624" i="4" s="1"/>
  <c r="K625" i="1"/>
  <c r="M625" i="4" s="1"/>
  <c r="K626" i="1"/>
  <c r="M626" i="4" s="1"/>
  <c r="K627" i="1"/>
  <c r="M627" i="4" s="1"/>
  <c r="K628" i="1"/>
  <c r="M628" i="4" s="1"/>
  <c r="K629" i="1"/>
  <c r="M629" i="4" s="1"/>
  <c r="K630" i="1"/>
  <c r="M630" i="4" s="1"/>
  <c r="K631" i="1"/>
  <c r="M631" i="4" s="1"/>
  <c r="K632" i="1"/>
  <c r="M632" i="4" s="1"/>
  <c r="K633" i="1"/>
  <c r="M633" i="4" s="1"/>
  <c r="K634" i="1"/>
  <c r="M634" i="4" s="1"/>
  <c r="K635" i="1"/>
  <c r="M635" i="4" s="1"/>
  <c r="K636" i="1"/>
  <c r="M636" i="4" s="1"/>
  <c r="K637" i="1"/>
  <c r="M637" i="4" s="1"/>
  <c r="K638" i="1"/>
  <c r="M638" i="4" s="1"/>
  <c r="K639" i="1"/>
  <c r="M639" i="4" s="1"/>
  <c r="K640" i="1"/>
  <c r="M640" i="4" s="1"/>
  <c r="K641" i="1"/>
  <c r="M641" i="4" s="1"/>
  <c r="K642" i="1"/>
  <c r="M642" i="4" s="1"/>
  <c r="K643" i="1"/>
  <c r="M643" i="4" s="1"/>
  <c r="K644" i="1"/>
  <c r="M644" i="4" s="1"/>
  <c r="K645" i="1"/>
  <c r="M645" i="4" s="1"/>
  <c r="K646" i="1"/>
  <c r="M646" i="4" s="1"/>
  <c r="K647" i="1"/>
  <c r="M647" i="4" s="1"/>
  <c r="K648" i="1"/>
  <c r="M648" i="4" s="1"/>
  <c r="K649" i="1"/>
  <c r="M649" i="4" s="1"/>
  <c r="K650" i="1"/>
  <c r="M650" i="4" s="1"/>
  <c r="K651" i="1"/>
  <c r="M651" i="4" s="1"/>
  <c r="K652" i="1"/>
  <c r="M652" i="4" s="1"/>
  <c r="K653" i="1"/>
  <c r="M653" i="4" s="1"/>
  <c r="K654" i="1"/>
  <c r="M654" i="4" s="1"/>
  <c r="K655" i="1"/>
  <c r="M655" i="4" s="1"/>
  <c r="K656" i="1"/>
  <c r="M656" i="4" s="1"/>
  <c r="K657" i="1"/>
  <c r="M657" i="4" s="1"/>
  <c r="K658" i="1"/>
  <c r="M658" i="4" s="1"/>
  <c r="K659" i="1"/>
  <c r="M659" i="4" s="1"/>
  <c r="K660" i="1"/>
  <c r="M660" i="4" s="1"/>
  <c r="K661" i="1"/>
  <c r="M661" i="4" s="1"/>
  <c r="K662" i="1"/>
  <c r="M662" i="4" s="1"/>
  <c r="K663" i="1"/>
  <c r="M663" i="4" s="1"/>
  <c r="K664" i="1"/>
  <c r="M664" i="4" s="1"/>
  <c r="K665" i="1"/>
  <c r="M665" i="4" s="1"/>
  <c r="K666" i="1"/>
  <c r="M666" i="4" s="1"/>
  <c r="K667" i="1"/>
  <c r="M667" i="4" s="1"/>
  <c r="K668" i="1"/>
  <c r="M668" i="4" s="1"/>
  <c r="K669" i="1"/>
  <c r="M669" i="4" s="1"/>
  <c r="K670" i="1"/>
  <c r="M670" i="4" s="1"/>
  <c r="K671" i="1"/>
  <c r="M671" i="4" s="1"/>
  <c r="K672" i="1"/>
  <c r="M672" i="4" s="1"/>
  <c r="K673" i="1"/>
  <c r="M673" i="4" s="1"/>
  <c r="K674" i="1"/>
  <c r="M674" i="4" s="1"/>
  <c r="K675" i="1"/>
  <c r="M675" i="4" s="1"/>
  <c r="K676" i="1"/>
  <c r="M676" i="4" s="1"/>
  <c r="K677" i="1"/>
  <c r="M677" i="4" s="1"/>
  <c r="K678" i="1"/>
  <c r="M678" i="4" s="1"/>
  <c r="K679" i="1"/>
  <c r="M679" i="4" s="1"/>
  <c r="K680" i="1"/>
  <c r="M680" i="4" s="1"/>
  <c r="K681" i="1"/>
  <c r="M681" i="4" s="1"/>
  <c r="K682" i="1"/>
  <c r="M682" i="4" s="1"/>
  <c r="K683" i="1"/>
  <c r="M683" i="4" s="1"/>
  <c r="K684" i="1"/>
  <c r="M684" i="4" s="1"/>
  <c r="K685" i="1"/>
  <c r="M685" i="4" s="1"/>
  <c r="K686" i="1"/>
  <c r="M686" i="4" s="1"/>
  <c r="K687" i="1"/>
  <c r="M687" i="4" s="1"/>
  <c r="K688" i="1"/>
  <c r="M688" i="4" s="1"/>
  <c r="K689" i="1"/>
  <c r="M689" i="4" s="1"/>
  <c r="K690" i="1"/>
  <c r="M690" i="4" s="1"/>
  <c r="K691" i="1"/>
  <c r="M691" i="4" s="1"/>
  <c r="K692" i="1"/>
  <c r="M692" i="4" s="1"/>
  <c r="K693" i="1"/>
  <c r="M693" i="4" s="1"/>
  <c r="K694" i="1"/>
  <c r="M694" i="4" s="1"/>
  <c r="K695" i="1"/>
  <c r="M695" i="4" s="1"/>
  <c r="K696" i="1"/>
  <c r="M696" i="4" s="1"/>
  <c r="K697" i="1"/>
  <c r="M697" i="4" s="1"/>
  <c r="K698" i="1"/>
  <c r="M698" i="4" s="1"/>
  <c r="K699" i="1"/>
  <c r="M699" i="4" s="1"/>
  <c r="K700" i="1"/>
  <c r="M700" i="4" s="1"/>
  <c r="K701" i="1"/>
  <c r="M701" i="4" s="1"/>
  <c r="K702" i="1"/>
  <c r="M702" i="4" s="1"/>
  <c r="K703" i="1"/>
  <c r="M703" i="4" s="1"/>
  <c r="K704" i="1"/>
  <c r="M704" i="4" s="1"/>
  <c r="K705" i="1"/>
  <c r="M705" i="4" s="1"/>
  <c r="K706" i="1"/>
  <c r="M706" i="4" s="1"/>
  <c r="K707" i="1"/>
  <c r="M707" i="4" s="1"/>
  <c r="K708" i="1"/>
  <c r="M708" i="4" s="1"/>
  <c r="K709" i="1"/>
  <c r="M709" i="4" s="1"/>
  <c r="K710" i="1"/>
  <c r="M710" i="4" s="1"/>
  <c r="K711" i="1"/>
  <c r="M711" i="4" s="1"/>
  <c r="K712" i="1"/>
  <c r="M712" i="4" s="1"/>
  <c r="K713" i="1"/>
  <c r="M713" i="4" s="1"/>
  <c r="K714" i="1"/>
  <c r="M714" i="4" s="1"/>
  <c r="K715" i="1"/>
  <c r="M715" i="4" s="1"/>
  <c r="K716" i="1"/>
  <c r="M716" i="4" s="1"/>
  <c r="K717" i="1"/>
  <c r="M717" i="4" s="1"/>
  <c r="K718" i="1"/>
  <c r="M718" i="4" s="1"/>
  <c r="K719" i="1"/>
  <c r="M719" i="4" s="1"/>
  <c r="K720" i="1"/>
  <c r="M720" i="4" s="1"/>
  <c r="K721" i="1"/>
  <c r="M721" i="4" s="1"/>
  <c r="K722" i="1"/>
  <c r="M722" i="4" s="1"/>
  <c r="K723" i="1"/>
  <c r="M723" i="4" s="1"/>
  <c r="K724" i="1"/>
  <c r="M724" i="4" s="1"/>
  <c r="K725" i="1"/>
  <c r="M725" i="4" s="1"/>
  <c r="K726" i="1"/>
  <c r="M726" i="4" s="1"/>
  <c r="K727" i="1"/>
  <c r="M727" i="4" s="1"/>
  <c r="K728" i="1"/>
  <c r="M728" i="4" s="1"/>
  <c r="K729" i="1"/>
  <c r="M729" i="4" s="1"/>
  <c r="K730" i="1"/>
  <c r="M730" i="4" s="1"/>
  <c r="K731" i="1"/>
  <c r="M731" i="4" s="1"/>
  <c r="K732" i="1"/>
  <c r="M732" i="4" s="1"/>
  <c r="K733" i="1"/>
  <c r="M733" i="4" s="1"/>
  <c r="K734" i="1"/>
  <c r="M734" i="4" s="1"/>
  <c r="K735" i="1"/>
  <c r="M735" i="4" s="1"/>
  <c r="K736" i="1"/>
  <c r="M736" i="4" s="1"/>
  <c r="K737" i="1"/>
  <c r="M737" i="4" s="1"/>
  <c r="K738" i="1"/>
  <c r="M738" i="4" s="1"/>
  <c r="K739" i="1"/>
  <c r="M739" i="4" s="1"/>
  <c r="K740" i="1"/>
  <c r="M740" i="4" s="1"/>
  <c r="K741" i="1"/>
  <c r="M741" i="4" s="1"/>
  <c r="K742" i="1"/>
  <c r="M742" i="4" s="1"/>
  <c r="K743" i="1"/>
  <c r="M743" i="4" s="1"/>
  <c r="K744" i="1"/>
  <c r="M744" i="4" s="1"/>
  <c r="K745" i="1"/>
  <c r="M745" i="4" s="1"/>
  <c r="K746" i="1"/>
  <c r="M746" i="4" s="1"/>
  <c r="K747" i="1"/>
  <c r="M747" i="4" s="1"/>
  <c r="K748" i="1"/>
  <c r="M748" i="4" s="1"/>
  <c r="K749" i="1"/>
  <c r="M749" i="4" s="1"/>
  <c r="K750" i="1"/>
  <c r="M750" i="4" s="1"/>
  <c r="K751" i="1"/>
  <c r="M751" i="4" s="1"/>
  <c r="K752" i="1"/>
  <c r="M752" i="4" s="1"/>
  <c r="K753" i="1"/>
  <c r="M753" i="4" s="1"/>
  <c r="K754" i="1"/>
  <c r="M754" i="4" s="1"/>
  <c r="K755" i="1"/>
  <c r="M755" i="4" s="1"/>
  <c r="K756" i="1"/>
  <c r="M756" i="4" s="1"/>
  <c r="K757" i="1"/>
  <c r="M757" i="4" s="1"/>
  <c r="K758" i="1"/>
  <c r="M758" i="4" s="1"/>
  <c r="K759" i="1"/>
  <c r="M759" i="4" s="1"/>
  <c r="K760" i="1"/>
  <c r="M760" i="4" s="1"/>
  <c r="K761" i="1"/>
  <c r="M761" i="4" s="1"/>
  <c r="K762" i="1"/>
  <c r="M762" i="4" s="1"/>
  <c r="K763" i="1"/>
  <c r="M763" i="4" s="1"/>
  <c r="K764" i="1"/>
  <c r="M764" i="4" s="1"/>
  <c r="K765" i="1"/>
  <c r="M765" i="4" s="1"/>
  <c r="K766" i="1"/>
  <c r="M766" i="4" s="1"/>
  <c r="K767" i="1"/>
  <c r="M767" i="4" s="1"/>
  <c r="K768" i="1"/>
  <c r="M768" i="4" s="1"/>
  <c r="K769" i="1"/>
  <c r="M769" i="4" s="1"/>
  <c r="K770" i="1"/>
  <c r="M770" i="4" s="1"/>
  <c r="K771" i="1"/>
  <c r="M771" i="4" s="1"/>
  <c r="K772" i="1"/>
  <c r="M772" i="4" s="1"/>
  <c r="K773" i="1"/>
  <c r="M773" i="4" s="1"/>
  <c r="K774" i="1"/>
  <c r="M774" i="4" s="1"/>
  <c r="K775" i="1"/>
  <c r="M775" i="4" s="1"/>
  <c r="K776" i="1"/>
  <c r="M776" i="4" s="1"/>
  <c r="K777" i="1"/>
  <c r="M777" i="4" s="1"/>
  <c r="K778" i="1"/>
  <c r="M778" i="4" s="1"/>
  <c r="K779" i="1"/>
  <c r="M779" i="4" s="1"/>
  <c r="K780" i="1"/>
  <c r="M780" i="4" s="1"/>
  <c r="K781" i="1"/>
  <c r="M781" i="4" s="1"/>
  <c r="K782" i="1"/>
  <c r="M782" i="4" s="1"/>
  <c r="K783" i="1"/>
  <c r="M783" i="4" s="1"/>
  <c r="K784" i="1"/>
  <c r="M784" i="4" s="1"/>
  <c r="K785" i="1"/>
  <c r="M785" i="4" s="1"/>
  <c r="K786" i="1"/>
  <c r="M786" i="4" s="1"/>
  <c r="K787" i="1"/>
  <c r="M787" i="4" s="1"/>
  <c r="K788" i="1"/>
  <c r="M788" i="4" s="1"/>
  <c r="K789" i="1"/>
  <c r="M789" i="4" s="1"/>
  <c r="K790" i="1"/>
  <c r="M790" i="4" s="1"/>
  <c r="K791" i="1"/>
  <c r="M791" i="4" s="1"/>
  <c r="K792" i="1"/>
  <c r="M792" i="4" s="1"/>
  <c r="K793" i="1"/>
  <c r="M793" i="4" s="1"/>
  <c r="K794" i="1"/>
  <c r="M794" i="4" s="1"/>
  <c r="K795" i="1"/>
  <c r="M795" i="4" s="1"/>
  <c r="K796" i="1"/>
  <c r="M796" i="4" s="1"/>
  <c r="K797" i="1"/>
  <c r="M797" i="4" s="1"/>
  <c r="K798" i="1"/>
  <c r="M798" i="4" s="1"/>
  <c r="K799" i="1"/>
  <c r="M799" i="4" s="1"/>
  <c r="K800" i="1"/>
  <c r="M800" i="4" s="1"/>
  <c r="K801" i="1"/>
  <c r="M801" i="4" s="1"/>
  <c r="K802" i="1"/>
  <c r="M802" i="4" s="1"/>
  <c r="K803" i="1"/>
  <c r="M803" i="4" s="1"/>
  <c r="K804" i="1"/>
  <c r="M804" i="4" s="1"/>
  <c r="K805" i="1"/>
  <c r="M805" i="4" s="1"/>
  <c r="K806" i="1"/>
  <c r="M806" i="4" s="1"/>
  <c r="K807" i="1"/>
  <c r="M807" i="4" s="1"/>
  <c r="K808" i="1"/>
  <c r="M808" i="4" s="1"/>
  <c r="K809" i="1"/>
  <c r="M809" i="4" s="1"/>
  <c r="K810" i="1"/>
  <c r="M810" i="4" s="1"/>
  <c r="K811" i="1"/>
  <c r="M811" i="4" s="1"/>
  <c r="K812" i="1"/>
  <c r="M812" i="4" s="1"/>
  <c r="K813" i="1"/>
  <c r="M813" i="4" s="1"/>
  <c r="K814" i="1"/>
  <c r="M814" i="4" s="1"/>
  <c r="K815" i="1"/>
  <c r="M815" i="4" s="1"/>
  <c r="K816" i="1"/>
  <c r="M816" i="4" s="1"/>
  <c r="K817" i="1"/>
  <c r="M817" i="4" s="1"/>
  <c r="K818" i="1"/>
  <c r="M818" i="4" s="1"/>
  <c r="K819" i="1"/>
  <c r="M819" i="4" s="1"/>
  <c r="K820" i="1"/>
  <c r="M820" i="4" s="1"/>
  <c r="K821" i="1"/>
  <c r="M821" i="4" s="1"/>
  <c r="K822" i="1"/>
  <c r="M822" i="4" s="1"/>
  <c r="K823" i="1"/>
  <c r="M823" i="4" s="1"/>
  <c r="K824" i="1"/>
  <c r="M824" i="4" s="1"/>
  <c r="K825" i="1"/>
  <c r="M825" i="4" s="1"/>
  <c r="K826" i="1"/>
  <c r="M826" i="4" s="1"/>
  <c r="K827" i="1"/>
  <c r="M827" i="4" s="1"/>
  <c r="K828" i="1"/>
  <c r="M828" i="4" s="1"/>
  <c r="K829" i="1"/>
  <c r="M829" i="4" s="1"/>
  <c r="K830" i="1"/>
  <c r="M830" i="4" s="1"/>
  <c r="K831" i="1"/>
  <c r="M831" i="4" s="1"/>
  <c r="K832" i="1"/>
  <c r="M832" i="4" s="1"/>
  <c r="K833" i="1"/>
  <c r="M833" i="4" s="1"/>
  <c r="K834" i="1"/>
  <c r="M834" i="4" s="1"/>
  <c r="K835" i="1"/>
  <c r="M835" i="4" s="1"/>
  <c r="K836" i="1"/>
  <c r="M836" i="4" s="1"/>
  <c r="K837" i="1"/>
  <c r="M837" i="4" s="1"/>
  <c r="K838" i="1"/>
  <c r="M838" i="4" s="1"/>
  <c r="K839" i="1"/>
  <c r="M839" i="4" s="1"/>
  <c r="K840" i="1"/>
  <c r="M840" i="4" s="1"/>
  <c r="K841" i="1"/>
  <c r="M841" i="4" s="1"/>
  <c r="K842" i="1"/>
  <c r="M842" i="4" s="1"/>
  <c r="K843" i="1"/>
  <c r="M843" i="4" s="1"/>
  <c r="K844" i="1"/>
  <c r="M844" i="4" s="1"/>
  <c r="K845" i="1"/>
  <c r="M845" i="4" s="1"/>
  <c r="K846" i="1"/>
  <c r="M846" i="4" s="1"/>
  <c r="K847" i="1"/>
  <c r="M847" i="4" s="1"/>
  <c r="K848" i="1"/>
  <c r="M848" i="4" s="1"/>
  <c r="K849" i="1"/>
  <c r="M849" i="4" s="1"/>
  <c r="K850" i="1"/>
  <c r="M850" i="4" s="1"/>
  <c r="K851" i="1"/>
  <c r="M851" i="4" s="1"/>
  <c r="K852" i="1"/>
  <c r="M852" i="4" s="1"/>
  <c r="K853" i="1"/>
  <c r="M853" i="4" s="1"/>
  <c r="K854" i="1"/>
  <c r="M854" i="4" s="1"/>
  <c r="K855" i="1"/>
  <c r="M855" i="4" s="1"/>
  <c r="K856" i="1"/>
  <c r="M856" i="4" s="1"/>
  <c r="K857" i="1"/>
  <c r="M857" i="4" s="1"/>
  <c r="K858" i="1"/>
  <c r="M858" i="4" s="1"/>
  <c r="K859" i="1"/>
  <c r="M859" i="4" s="1"/>
  <c r="K860" i="1"/>
  <c r="M860" i="4" s="1"/>
  <c r="K861" i="1"/>
  <c r="M861" i="4" s="1"/>
  <c r="K862" i="1"/>
  <c r="M862" i="4" s="1"/>
  <c r="K863" i="1"/>
  <c r="M863" i="4" s="1"/>
  <c r="K864" i="1"/>
  <c r="M864" i="4" s="1"/>
  <c r="K865" i="1"/>
  <c r="M865" i="4" s="1"/>
  <c r="K866" i="1"/>
  <c r="M866" i="4" s="1"/>
  <c r="K867" i="1"/>
  <c r="M867" i="4" s="1"/>
  <c r="K868" i="1"/>
  <c r="M868" i="4" s="1"/>
  <c r="K869" i="1"/>
  <c r="M869" i="4" s="1"/>
  <c r="K870" i="1"/>
  <c r="M870" i="4" s="1"/>
  <c r="K871" i="1"/>
  <c r="M871" i="4" s="1"/>
  <c r="K872" i="1"/>
  <c r="M872" i="4" s="1"/>
  <c r="K873" i="1"/>
  <c r="M873" i="4" s="1"/>
  <c r="K874" i="1"/>
  <c r="M874" i="4" s="1"/>
  <c r="K875" i="1"/>
  <c r="M875" i="4" s="1"/>
  <c r="K876" i="1"/>
  <c r="M876" i="4" s="1"/>
  <c r="K877" i="1"/>
  <c r="M877" i="4" s="1"/>
  <c r="K878" i="1"/>
  <c r="M878" i="4" s="1"/>
  <c r="K879" i="1"/>
  <c r="M879" i="4" s="1"/>
  <c r="K880" i="1"/>
  <c r="M880" i="4" s="1"/>
  <c r="K881" i="1"/>
  <c r="M881" i="4" s="1"/>
  <c r="K882" i="1"/>
  <c r="M882" i="4" s="1"/>
  <c r="K883" i="1"/>
  <c r="M883" i="4" s="1"/>
  <c r="K884" i="1"/>
  <c r="M884" i="4" s="1"/>
  <c r="K885" i="1"/>
  <c r="M885" i="4" s="1"/>
  <c r="K886" i="1"/>
  <c r="M886" i="4" s="1"/>
  <c r="K887" i="1"/>
  <c r="M887" i="4" s="1"/>
  <c r="K888" i="1"/>
  <c r="M888" i="4" s="1"/>
  <c r="K889" i="1"/>
  <c r="M889" i="4" s="1"/>
  <c r="K890" i="1"/>
  <c r="M890" i="4" s="1"/>
  <c r="K891" i="1"/>
  <c r="M891" i="4" s="1"/>
  <c r="K892" i="1"/>
  <c r="M892" i="4" s="1"/>
  <c r="K893" i="1"/>
  <c r="M893" i="4" s="1"/>
  <c r="K894" i="1"/>
  <c r="M894" i="4" s="1"/>
  <c r="K895" i="1"/>
  <c r="M895" i="4" s="1"/>
  <c r="K896" i="1"/>
  <c r="M896" i="4" s="1"/>
  <c r="K897" i="1"/>
  <c r="M897" i="4" s="1"/>
  <c r="K898" i="1"/>
  <c r="M898" i="4" s="1"/>
  <c r="K899" i="1"/>
  <c r="M899" i="4" s="1"/>
  <c r="K900" i="1"/>
  <c r="M900" i="4" s="1"/>
  <c r="K901" i="1"/>
  <c r="M901" i="4" s="1"/>
  <c r="K902" i="1"/>
  <c r="M902" i="4" s="1"/>
  <c r="K903" i="1"/>
  <c r="M903" i="4" s="1"/>
  <c r="K904" i="1"/>
  <c r="M904" i="4" s="1"/>
  <c r="K905" i="1"/>
  <c r="M905" i="4" s="1"/>
  <c r="K906" i="1"/>
  <c r="M906" i="4" s="1"/>
  <c r="K907" i="1"/>
  <c r="M907" i="4" s="1"/>
  <c r="K908" i="1"/>
  <c r="M908" i="4" s="1"/>
  <c r="K909" i="1"/>
  <c r="M909" i="4" s="1"/>
  <c r="K910" i="1"/>
  <c r="M910" i="4" s="1"/>
  <c r="K911" i="1"/>
  <c r="M911" i="4" s="1"/>
  <c r="K912" i="1"/>
  <c r="M912" i="4" s="1"/>
  <c r="K913" i="1"/>
  <c r="M913" i="4" s="1"/>
  <c r="K914" i="1"/>
  <c r="M914" i="4" s="1"/>
  <c r="K915" i="1"/>
  <c r="M915" i="4" s="1"/>
  <c r="K916" i="1"/>
  <c r="M916" i="4" s="1"/>
  <c r="K917" i="1"/>
  <c r="M917" i="4" s="1"/>
  <c r="K918" i="1"/>
  <c r="M918" i="4" s="1"/>
  <c r="K919" i="1"/>
  <c r="M919" i="4" s="1"/>
  <c r="K920" i="1"/>
  <c r="M920" i="4" s="1"/>
  <c r="K921" i="1"/>
  <c r="M921" i="4" s="1"/>
  <c r="K922" i="1"/>
  <c r="M922" i="4" s="1"/>
  <c r="K923" i="1"/>
  <c r="M923" i="4" s="1"/>
  <c r="K924" i="1"/>
  <c r="M924" i="4" s="1"/>
  <c r="K925" i="1"/>
  <c r="M925" i="4" s="1"/>
  <c r="K926" i="1"/>
  <c r="M926" i="4" s="1"/>
  <c r="K927" i="1"/>
  <c r="M927" i="4" s="1"/>
  <c r="K928" i="1"/>
  <c r="M928" i="4" s="1"/>
  <c r="K929" i="1"/>
  <c r="M929" i="4" s="1"/>
  <c r="K930" i="1"/>
  <c r="M930" i="4" s="1"/>
  <c r="K931" i="1"/>
  <c r="M931" i="4" s="1"/>
  <c r="K932" i="1"/>
  <c r="M932" i="4" s="1"/>
  <c r="K933" i="1"/>
  <c r="M933" i="4" s="1"/>
  <c r="K934" i="1"/>
  <c r="M934" i="4" s="1"/>
  <c r="K935" i="1"/>
  <c r="M935" i="4" s="1"/>
  <c r="K936" i="1"/>
  <c r="M936" i="4" s="1"/>
  <c r="K937" i="1"/>
  <c r="M937" i="4" s="1"/>
  <c r="K938" i="1"/>
  <c r="M938" i="4" s="1"/>
  <c r="K939" i="1"/>
  <c r="M939" i="4" s="1"/>
  <c r="K940" i="1"/>
  <c r="M940" i="4" s="1"/>
  <c r="K941" i="1"/>
  <c r="M941" i="4" s="1"/>
  <c r="K942" i="1"/>
  <c r="M942" i="4" s="1"/>
  <c r="K943" i="1"/>
  <c r="M943" i="4" s="1"/>
  <c r="K944" i="1"/>
  <c r="M944" i="4" s="1"/>
  <c r="K945" i="1"/>
  <c r="M945" i="4" s="1"/>
  <c r="K946" i="1"/>
  <c r="M946" i="4" s="1"/>
  <c r="K947" i="1"/>
  <c r="M947" i="4" s="1"/>
  <c r="K948" i="1"/>
  <c r="M948" i="4" s="1"/>
  <c r="K949" i="1"/>
  <c r="M949" i="4" s="1"/>
  <c r="K950" i="1"/>
  <c r="M950" i="4" s="1"/>
  <c r="K951" i="1"/>
  <c r="M951" i="4" s="1"/>
  <c r="K952" i="1"/>
  <c r="M952" i="4" s="1"/>
  <c r="K953" i="1"/>
  <c r="M953" i="4" s="1"/>
  <c r="K954" i="1"/>
  <c r="M954" i="4" s="1"/>
  <c r="K955" i="1"/>
  <c r="M955" i="4" s="1"/>
  <c r="K956" i="1"/>
  <c r="M956" i="4" s="1"/>
  <c r="K957" i="1"/>
  <c r="M957" i="4" s="1"/>
  <c r="K958" i="1"/>
  <c r="M958" i="4" s="1"/>
  <c r="K959" i="1"/>
  <c r="M959" i="4" s="1"/>
  <c r="K960" i="1"/>
  <c r="M960" i="4" s="1"/>
  <c r="K961" i="1"/>
  <c r="M961" i="4" s="1"/>
  <c r="K962" i="1"/>
  <c r="M962" i="4" s="1"/>
  <c r="K963" i="1"/>
  <c r="M963" i="4" s="1"/>
  <c r="K964" i="1"/>
  <c r="M964" i="4" s="1"/>
  <c r="K965" i="1"/>
  <c r="M965" i="4" s="1"/>
  <c r="K966" i="1"/>
  <c r="M966" i="4" s="1"/>
  <c r="K967" i="1"/>
  <c r="M967" i="4" s="1"/>
  <c r="K968" i="1"/>
  <c r="M968" i="4" s="1"/>
  <c r="K969" i="1"/>
  <c r="M969" i="4" s="1"/>
  <c r="K970" i="1"/>
  <c r="M970" i="4" s="1"/>
  <c r="K971" i="1"/>
  <c r="M971" i="4" s="1"/>
  <c r="K972" i="1"/>
  <c r="M972" i="4" s="1"/>
  <c r="K973" i="1"/>
  <c r="M973" i="4" s="1"/>
  <c r="K974" i="1"/>
  <c r="M974" i="4" s="1"/>
  <c r="K975" i="1"/>
  <c r="M975" i="4" s="1"/>
  <c r="K976" i="1"/>
  <c r="M976" i="4" s="1"/>
  <c r="K977" i="1"/>
  <c r="M977" i="4" s="1"/>
  <c r="K978" i="1"/>
  <c r="M978" i="4" s="1"/>
  <c r="K979" i="1"/>
  <c r="M979" i="4" s="1"/>
  <c r="K980" i="1"/>
  <c r="M980" i="4" s="1"/>
  <c r="K981" i="1"/>
  <c r="M981" i="4" s="1"/>
  <c r="K982" i="1"/>
  <c r="M982" i="4" s="1"/>
  <c r="K983" i="1"/>
  <c r="M983" i="4" s="1"/>
  <c r="K984" i="1"/>
  <c r="M984" i="4" s="1"/>
  <c r="K985" i="1"/>
  <c r="M985" i="4" s="1"/>
  <c r="K986" i="1"/>
  <c r="M986" i="4" s="1"/>
  <c r="K987" i="1"/>
  <c r="M987" i="4" s="1"/>
  <c r="K988" i="1"/>
  <c r="M988" i="4" s="1"/>
  <c r="K989" i="1"/>
  <c r="M989" i="4" s="1"/>
  <c r="K990" i="1"/>
  <c r="M990" i="4" s="1"/>
  <c r="K991" i="1"/>
  <c r="M991" i="4" s="1"/>
  <c r="K992" i="1"/>
  <c r="M992" i="4" s="1"/>
  <c r="K993" i="1"/>
  <c r="M993" i="4" s="1"/>
  <c r="K994" i="1"/>
  <c r="M994" i="4" s="1"/>
  <c r="K995" i="1"/>
  <c r="M995" i="4" s="1"/>
  <c r="K996" i="1"/>
  <c r="M996" i="4" s="1"/>
  <c r="K997" i="1"/>
  <c r="M997" i="4" s="1"/>
  <c r="K998" i="1"/>
  <c r="M998" i="4" s="1"/>
  <c r="K999" i="1"/>
  <c r="M999" i="4" s="1"/>
  <c r="K1000" i="1"/>
  <c r="M1000" i="4" s="1"/>
  <c r="K1001" i="1"/>
  <c r="M1001" i="4" s="1"/>
  <c r="K1002" i="1"/>
  <c r="M1002" i="4" s="1"/>
  <c r="K1003" i="1"/>
  <c r="M1003" i="4" s="1"/>
  <c r="K1004" i="1"/>
  <c r="M1004" i="4" s="1"/>
  <c r="K1005" i="1"/>
  <c r="M1005" i="4" s="1"/>
  <c r="K1006" i="1"/>
  <c r="M1006" i="4" s="1"/>
  <c r="K1007" i="1"/>
  <c r="M1007" i="4" s="1"/>
  <c r="K1008" i="1"/>
  <c r="M1008" i="4" s="1"/>
  <c r="K1009" i="1"/>
  <c r="M1009" i="4" s="1"/>
  <c r="K1010" i="1"/>
  <c r="M1010" i="4" s="1"/>
  <c r="K1011" i="1"/>
  <c r="M1011" i="4" s="1"/>
  <c r="K1012" i="1"/>
  <c r="M1012" i="4" s="1"/>
  <c r="K1013" i="1"/>
  <c r="M1013" i="4" s="1"/>
  <c r="K1014" i="1"/>
  <c r="M1014" i="4" s="1"/>
  <c r="K1015" i="1"/>
  <c r="M1015" i="4" s="1"/>
  <c r="K1016" i="1"/>
  <c r="M1016" i="4" s="1"/>
  <c r="K1017" i="1"/>
  <c r="M1017" i="4" s="1"/>
  <c r="K1018" i="1"/>
  <c r="M1018" i="4" s="1"/>
  <c r="K1019" i="1"/>
  <c r="M1019" i="4" s="1"/>
  <c r="K1020" i="1"/>
  <c r="M1020" i="4" s="1"/>
  <c r="K1021" i="1"/>
  <c r="M1021" i="4" s="1"/>
  <c r="K1022" i="1"/>
  <c r="M1022" i="4" s="1"/>
  <c r="K1023" i="1"/>
  <c r="M1023" i="4" s="1"/>
  <c r="K1024" i="1"/>
  <c r="M1024" i="4" s="1"/>
  <c r="K1025" i="1"/>
  <c r="M1025" i="4" s="1"/>
  <c r="K1026" i="1"/>
  <c r="M1026" i="4" s="1"/>
  <c r="K1027" i="1"/>
  <c r="M1027" i="4" s="1"/>
  <c r="K1028" i="1"/>
  <c r="M1028" i="4" s="1"/>
  <c r="K1029" i="1"/>
  <c r="M1029" i="4" s="1"/>
  <c r="K1030" i="1"/>
  <c r="M1030" i="4" s="1"/>
  <c r="K1031" i="1"/>
  <c r="M1031" i="4" s="1"/>
  <c r="K1032" i="1"/>
  <c r="M1032" i="4" s="1"/>
  <c r="K1033" i="1"/>
  <c r="M1033" i="4" s="1"/>
  <c r="K1034" i="1"/>
  <c r="M1034" i="4" s="1"/>
  <c r="K1035" i="1"/>
  <c r="M1035" i="4" s="1"/>
  <c r="K1036" i="1"/>
  <c r="M1036" i="4" s="1"/>
  <c r="K1037" i="1"/>
  <c r="M1037" i="4" s="1"/>
  <c r="K1038" i="1"/>
  <c r="M1038" i="4" s="1"/>
  <c r="K1039" i="1"/>
  <c r="M1039" i="4" s="1"/>
  <c r="K1040" i="1"/>
  <c r="M1040" i="4" s="1"/>
  <c r="K1041" i="1"/>
  <c r="M1041" i="4" s="1"/>
  <c r="K1042" i="1"/>
  <c r="M1042" i="4" s="1"/>
  <c r="K1043" i="1"/>
  <c r="M1043" i="4" s="1"/>
  <c r="K1044" i="1"/>
  <c r="M1044" i="4" s="1"/>
  <c r="K1045" i="1"/>
  <c r="M1045" i="4" s="1"/>
  <c r="K1046" i="1"/>
  <c r="M1046" i="4" s="1"/>
  <c r="K1047" i="1"/>
  <c r="M1047" i="4" s="1"/>
  <c r="K1048" i="1"/>
  <c r="M1048" i="4" s="1"/>
  <c r="K1049" i="1"/>
  <c r="M1049" i="4" s="1"/>
  <c r="K1050" i="1"/>
  <c r="M1050" i="4" s="1"/>
  <c r="K1051" i="1"/>
  <c r="M1051" i="4" s="1"/>
  <c r="K1052" i="1"/>
  <c r="M1052" i="4" s="1"/>
  <c r="K1053" i="1"/>
  <c r="M1053" i="4" s="1"/>
  <c r="K1054" i="1"/>
  <c r="M1054" i="4" s="1"/>
  <c r="K1055" i="1"/>
  <c r="M1055" i="4" s="1"/>
  <c r="K1056" i="1"/>
  <c r="M1056" i="4" s="1"/>
  <c r="K1057" i="1"/>
  <c r="M1057" i="4" s="1"/>
  <c r="K1058" i="1"/>
  <c r="M1058" i="4" s="1"/>
  <c r="K1059" i="1"/>
  <c r="M1059" i="4" s="1"/>
  <c r="K1060" i="1"/>
  <c r="M1060" i="4" s="1"/>
  <c r="K1061" i="1"/>
  <c r="M1061" i="4" s="1"/>
  <c r="K1062" i="1"/>
  <c r="M1062" i="4" s="1"/>
  <c r="K1063" i="1"/>
  <c r="M1063" i="4" s="1"/>
  <c r="K1064" i="1"/>
  <c r="M1064" i="4" s="1"/>
  <c r="K1065" i="1"/>
  <c r="M1065" i="4" s="1"/>
  <c r="K1066" i="1"/>
  <c r="M1066" i="4" s="1"/>
  <c r="K1067" i="1"/>
  <c r="M1067" i="4" s="1"/>
  <c r="K1068" i="1"/>
  <c r="M1068" i="4" s="1"/>
  <c r="K1069" i="1"/>
  <c r="M1069" i="4" s="1"/>
  <c r="K1070" i="1"/>
  <c r="M1070" i="4" s="1"/>
  <c r="K1071" i="1"/>
  <c r="M1071" i="4" s="1"/>
  <c r="K1072" i="1"/>
  <c r="M1072" i="4" s="1"/>
  <c r="K1073" i="1"/>
  <c r="M1073" i="4" s="1"/>
  <c r="K1074" i="1"/>
  <c r="M1074" i="4" s="1"/>
  <c r="K1075" i="1"/>
  <c r="M1075" i="4" s="1"/>
  <c r="K1076" i="1"/>
  <c r="M1076" i="4" s="1"/>
  <c r="K1077" i="1"/>
  <c r="M1077" i="4" s="1"/>
  <c r="K1078" i="1"/>
  <c r="M1078" i="4" s="1"/>
  <c r="K1079" i="1"/>
  <c r="M1079" i="4" s="1"/>
  <c r="K1080" i="1"/>
  <c r="M1080" i="4" s="1"/>
  <c r="K1081" i="1"/>
  <c r="M1081" i="4" s="1"/>
  <c r="K1082" i="1"/>
  <c r="M1082" i="4" s="1"/>
  <c r="K1083" i="1"/>
  <c r="M1083" i="4" s="1"/>
  <c r="K1084" i="1"/>
  <c r="M1084" i="4" s="1"/>
  <c r="K1085" i="1"/>
  <c r="M1085" i="4" s="1"/>
  <c r="K1086" i="1"/>
  <c r="M1086" i="4" s="1"/>
  <c r="K1087" i="1"/>
  <c r="M1087" i="4" s="1"/>
  <c r="K1088" i="1"/>
  <c r="M1088" i="4" s="1"/>
  <c r="K1089" i="1"/>
  <c r="M1089" i="4" s="1"/>
  <c r="K1090" i="1"/>
  <c r="M1090" i="4" s="1"/>
  <c r="K1091" i="1"/>
  <c r="M1091" i="4" s="1"/>
  <c r="K1092" i="1"/>
  <c r="M1092" i="4" s="1"/>
  <c r="K1093" i="1"/>
  <c r="M1093" i="4" s="1"/>
  <c r="K1094" i="1"/>
  <c r="M1094" i="4" s="1"/>
  <c r="K1095" i="1"/>
  <c r="M1095" i="4" s="1"/>
  <c r="K1096" i="1"/>
  <c r="M1096" i="4" s="1"/>
  <c r="K1097" i="1"/>
  <c r="M1097" i="4" s="1"/>
  <c r="K1098" i="1"/>
  <c r="M1098" i="4" s="1"/>
  <c r="K1099" i="1"/>
  <c r="M1099" i="4" s="1"/>
  <c r="K1100" i="1"/>
  <c r="M1100" i="4" s="1"/>
  <c r="K1101" i="1"/>
  <c r="M1101" i="4" s="1"/>
  <c r="K1102" i="1"/>
  <c r="M1102" i="4" s="1"/>
  <c r="K1103" i="1"/>
  <c r="M1103" i="4" s="1"/>
  <c r="K1104" i="1"/>
  <c r="M1104" i="4" s="1"/>
  <c r="K1105" i="1"/>
  <c r="M1105" i="4" s="1"/>
  <c r="K1106" i="1"/>
  <c r="M1106" i="4" s="1"/>
  <c r="K1107" i="1"/>
  <c r="M1107" i="4" s="1"/>
  <c r="K1108" i="1"/>
  <c r="M1108" i="4" s="1"/>
  <c r="K1109" i="1"/>
  <c r="M1109" i="4" s="1"/>
  <c r="K1110" i="1"/>
  <c r="M1110" i="4" s="1"/>
  <c r="K1111" i="1"/>
  <c r="M1111" i="4" s="1"/>
  <c r="K1112" i="1"/>
  <c r="M1112" i="4" s="1"/>
  <c r="K1113" i="1"/>
  <c r="M1113" i="4" s="1"/>
  <c r="K1114" i="1"/>
  <c r="M1114" i="4" s="1"/>
  <c r="K1115" i="1"/>
  <c r="M1115" i="4" s="1"/>
  <c r="K1116" i="1"/>
  <c r="M1116" i="4" s="1"/>
  <c r="K1117" i="1"/>
  <c r="M1117" i="4" s="1"/>
  <c r="K1118" i="1"/>
  <c r="M1118" i="4" s="1"/>
  <c r="K1119" i="1"/>
  <c r="M1119" i="4" s="1"/>
  <c r="K1120" i="1"/>
  <c r="M1120" i="4" s="1"/>
  <c r="K1121" i="1"/>
  <c r="M1121" i="4" s="1"/>
  <c r="K1122" i="1"/>
  <c r="M1122" i="4" s="1"/>
  <c r="K1123" i="1"/>
  <c r="M1123" i="4" s="1"/>
  <c r="K1124" i="1"/>
  <c r="M1124" i="4" s="1"/>
  <c r="K1125" i="1"/>
  <c r="M1125" i="4" s="1"/>
  <c r="K1126" i="1"/>
  <c r="M1126" i="4" s="1"/>
  <c r="K1127" i="1"/>
  <c r="M1127" i="4" s="1"/>
  <c r="K1128" i="1"/>
  <c r="M1128" i="4" s="1"/>
  <c r="K1129" i="1"/>
  <c r="M1129" i="4" s="1"/>
  <c r="K1130" i="1"/>
  <c r="M1130" i="4" s="1"/>
  <c r="K1131" i="1"/>
  <c r="M1131" i="4" s="1"/>
  <c r="K1132" i="1"/>
  <c r="M1132" i="4" s="1"/>
  <c r="K1133" i="1"/>
  <c r="M1133" i="4" s="1"/>
  <c r="K1134" i="1"/>
  <c r="M1134" i="4" s="1"/>
  <c r="K1135" i="1"/>
  <c r="M1135" i="4" s="1"/>
  <c r="K1136" i="1"/>
  <c r="M1136" i="4" s="1"/>
  <c r="K1137" i="1"/>
  <c r="M1137" i="4" s="1"/>
  <c r="K1138" i="1"/>
  <c r="M1138" i="4" s="1"/>
  <c r="K1139" i="1"/>
  <c r="M1139" i="4" s="1"/>
  <c r="K1140" i="1"/>
  <c r="M1140" i="4" s="1"/>
  <c r="K1141" i="1"/>
  <c r="M1141" i="4" s="1"/>
  <c r="K1142" i="1"/>
  <c r="M1142" i="4" s="1"/>
  <c r="K1143" i="1"/>
  <c r="M1143" i="4" s="1"/>
  <c r="K1144" i="1"/>
  <c r="M1144" i="4" s="1"/>
  <c r="K1145" i="1"/>
  <c r="M1145" i="4" s="1"/>
  <c r="K1146" i="1"/>
  <c r="M1146" i="4" s="1"/>
  <c r="K1147" i="1"/>
  <c r="M1147" i="4" s="1"/>
  <c r="K1148" i="1"/>
  <c r="M1148" i="4" s="1"/>
  <c r="K1149" i="1"/>
  <c r="M1149" i="4" s="1"/>
  <c r="K1150" i="1"/>
  <c r="M1150" i="4" s="1"/>
  <c r="K1151" i="1"/>
  <c r="M1151" i="4" s="1"/>
  <c r="K1152" i="1"/>
  <c r="M1152" i="4" s="1"/>
  <c r="K1153" i="1"/>
  <c r="M1153" i="4" s="1"/>
  <c r="K1154" i="1"/>
  <c r="M1154" i="4" s="1"/>
  <c r="K1155" i="1"/>
  <c r="M1155" i="4" s="1"/>
  <c r="K1156" i="1"/>
  <c r="M1156" i="4" s="1"/>
  <c r="K1157" i="1"/>
  <c r="M1157" i="4" s="1"/>
  <c r="K1158" i="1"/>
  <c r="M1158" i="4" s="1"/>
  <c r="K1159" i="1"/>
  <c r="M1159" i="4" s="1"/>
  <c r="K1160" i="1"/>
  <c r="M1160" i="4" s="1"/>
  <c r="K1161" i="1"/>
  <c r="M1161" i="4" s="1"/>
  <c r="K1162" i="1"/>
  <c r="M1162" i="4" s="1"/>
  <c r="K1163" i="1"/>
  <c r="M1163" i="4" s="1"/>
  <c r="K1164" i="1"/>
  <c r="M1164" i="4" s="1"/>
  <c r="K1165" i="1"/>
  <c r="M1165" i="4" s="1"/>
  <c r="K1166" i="1"/>
  <c r="M1166" i="4" s="1"/>
  <c r="K1167" i="1"/>
  <c r="M1167" i="4" s="1"/>
  <c r="K1168" i="1"/>
  <c r="M1168" i="4" s="1"/>
  <c r="K1169" i="1"/>
  <c r="M1169" i="4" s="1"/>
  <c r="K1170" i="1"/>
  <c r="M1170" i="4" s="1"/>
  <c r="K1171" i="1"/>
  <c r="M1171" i="4" s="1"/>
  <c r="K1172" i="1"/>
  <c r="M1172" i="4" s="1"/>
  <c r="K1173" i="1"/>
  <c r="M1173" i="4" s="1"/>
  <c r="K1174" i="1"/>
  <c r="M1174" i="4" s="1"/>
  <c r="K1175" i="1"/>
  <c r="M1175" i="4" s="1"/>
  <c r="K1176" i="1"/>
  <c r="M1176" i="4" s="1"/>
  <c r="K1177" i="1"/>
  <c r="M1177" i="4" s="1"/>
  <c r="K1178" i="1"/>
  <c r="M1178" i="4" s="1"/>
  <c r="K1179" i="1"/>
  <c r="M1179" i="4" s="1"/>
  <c r="K1180" i="1"/>
  <c r="M1180" i="4" s="1"/>
  <c r="K1181" i="1"/>
  <c r="M1181" i="4" s="1"/>
  <c r="K1182" i="1"/>
  <c r="M1182" i="4" s="1"/>
  <c r="K1183" i="1"/>
  <c r="M1183" i="4" s="1"/>
  <c r="K1184" i="1"/>
  <c r="M1184" i="4" s="1"/>
  <c r="K1185" i="1"/>
  <c r="M1185" i="4" s="1"/>
  <c r="K1186" i="1"/>
  <c r="M1186" i="4" s="1"/>
  <c r="K1187" i="1"/>
  <c r="M1187" i="4" s="1"/>
  <c r="K1188" i="1"/>
  <c r="M1188" i="4" s="1"/>
  <c r="K1189" i="1"/>
  <c r="M1189" i="4" s="1"/>
  <c r="K1190" i="1"/>
  <c r="M1190" i="4" s="1"/>
  <c r="K1191" i="1"/>
  <c r="M1191" i="4" s="1"/>
  <c r="K1192" i="1"/>
  <c r="M1192" i="4" s="1"/>
  <c r="K1193" i="1"/>
  <c r="M1193" i="4" s="1"/>
  <c r="K1194" i="1"/>
  <c r="M1194" i="4" s="1"/>
  <c r="K1195" i="1"/>
  <c r="M1195" i="4" s="1"/>
  <c r="K1196" i="1"/>
  <c r="M1196" i="4" s="1"/>
  <c r="K1197" i="1"/>
  <c r="M1197" i="4" s="1"/>
  <c r="K1198" i="1"/>
  <c r="M1198" i="4" s="1"/>
  <c r="K1199" i="1"/>
  <c r="M1199" i="4" s="1"/>
  <c r="K1200" i="1"/>
  <c r="M1200" i="4" s="1"/>
  <c r="K1201" i="1"/>
  <c r="M1201" i="4" s="1"/>
  <c r="K1202" i="1"/>
  <c r="M1202" i="4" s="1"/>
  <c r="K1203" i="1"/>
  <c r="M1203" i="4" s="1"/>
  <c r="K1204" i="1"/>
  <c r="M1204" i="4" s="1"/>
  <c r="K1205" i="1"/>
  <c r="M1205" i="4" s="1"/>
  <c r="K1206" i="1"/>
  <c r="M1206" i="4" s="1"/>
  <c r="K1207" i="1"/>
  <c r="M1207" i="4" s="1"/>
  <c r="K1208" i="1"/>
  <c r="M1208" i="4" s="1"/>
  <c r="K1209" i="1"/>
  <c r="M1209" i="4" s="1"/>
  <c r="K1210" i="1"/>
  <c r="M1210" i="4" s="1"/>
  <c r="K1211" i="1"/>
  <c r="M1211" i="4" s="1"/>
  <c r="K1212" i="1"/>
  <c r="M1212" i="4" s="1"/>
  <c r="K1213" i="1"/>
  <c r="M1213" i="4" s="1"/>
  <c r="K1214" i="1"/>
  <c r="M1214" i="4" s="1"/>
  <c r="K1215" i="1"/>
  <c r="M1215" i="4" s="1"/>
  <c r="K1216" i="1"/>
  <c r="M1216" i="4" s="1"/>
  <c r="K1217" i="1"/>
  <c r="M1217" i="4" s="1"/>
  <c r="K1218" i="1"/>
  <c r="M1218" i="4" s="1"/>
  <c r="K1219" i="1"/>
  <c r="M1219" i="4" s="1"/>
  <c r="K1220" i="1"/>
  <c r="M1220" i="4" s="1"/>
  <c r="K1221" i="1"/>
  <c r="M1221" i="4" s="1"/>
  <c r="K1222" i="1"/>
  <c r="M1222" i="4" s="1"/>
  <c r="K1223" i="1"/>
  <c r="M1223" i="4" s="1"/>
  <c r="K1224" i="1"/>
  <c r="M1224" i="4" s="1"/>
  <c r="K1225" i="1"/>
  <c r="M1225" i="4" s="1"/>
  <c r="K1226" i="1"/>
  <c r="M1226" i="4" s="1"/>
  <c r="K1227" i="1"/>
  <c r="M1227" i="4" s="1"/>
  <c r="K1228" i="1"/>
  <c r="M1228" i="4" s="1"/>
  <c r="K1229" i="1"/>
  <c r="M1229" i="4" s="1"/>
  <c r="K1230" i="1"/>
  <c r="M1230" i="4" s="1"/>
  <c r="K1231" i="1"/>
  <c r="M1231" i="4" s="1"/>
  <c r="K1232" i="1"/>
  <c r="M1232" i="4" s="1"/>
  <c r="K1233" i="1"/>
  <c r="M1233" i="4" s="1"/>
  <c r="K1234" i="1"/>
  <c r="M1234" i="4" s="1"/>
  <c r="K1235" i="1"/>
  <c r="M1235" i="4" s="1"/>
  <c r="K1236" i="1"/>
  <c r="M1236" i="4" s="1"/>
  <c r="K1237" i="1"/>
  <c r="M1237" i="4" s="1"/>
  <c r="K1238" i="1"/>
  <c r="M1238" i="4" s="1"/>
  <c r="K1239" i="1"/>
  <c r="M1239" i="4" s="1"/>
  <c r="K1240" i="1"/>
  <c r="M1240" i="4" s="1"/>
  <c r="K1241" i="1"/>
  <c r="M1241" i="4" s="1"/>
  <c r="K1242" i="1"/>
  <c r="M1242" i="4" s="1"/>
  <c r="K1243" i="1"/>
  <c r="M1243" i="4" s="1"/>
  <c r="K1244" i="1"/>
  <c r="M1244" i="4" s="1"/>
  <c r="K1245" i="1"/>
  <c r="M1245" i="4" s="1"/>
  <c r="K1246" i="1"/>
  <c r="M1246" i="4" s="1"/>
  <c r="K1247" i="1"/>
  <c r="M1247" i="4" s="1"/>
  <c r="K1248" i="1"/>
  <c r="M1248" i="4" s="1"/>
  <c r="K1249" i="1"/>
  <c r="M1249" i="4" s="1"/>
  <c r="K1250" i="1"/>
  <c r="M1250" i="4" s="1"/>
  <c r="K1251" i="1"/>
  <c r="M1251" i="4" s="1"/>
  <c r="K1252" i="1"/>
  <c r="M1252" i="4" s="1"/>
  <c r="K1253" i="1"/>
  <c r="M1253" i="4" s="1"/>
  <c r="K1254" i="1"/>
  <c r="M1254" i="4" s="1"/>
  <c r="K1255" i="1"/>
  <c r="M1255" i="4" s="1"/>
  <c r="K1256" i="1"/>
  <c r="M1256" i="4" s="1"/>
  <c r="K1257" i="1"/>
  <c r="M1257" i="4" s="1"/>
  <c r="K1258" i="1"/>
  <c r="M1258" i="4" s="1"/>
  <c r="K1259" i="1"/>
  <c r="M1259" i="4" s="1"/>
  <c r="K1260" i="1"/>
  <c r="M1260" i="4" s="1"/>
  <c r="K1261" i="1"/>
  <c r="M1261" i="4" s="1"/>
  <c r="K1262" i="1"/>
  <c r="M1262" i="4" s="1"/>
  <c r="K1263" i="1"/>
  <c r="M1263" i="4" s="1"/>
  <c r="K1264" i="1"/>
  <c r="M1264" i="4" s="1"/>
  <c r="K1265" i="1"/>
  <c r="M1265" i="4" s="1"/>
  <c r="K1266" i="1"/>
  <c r="M1266" i="4" s="1"/>
  <c r="K1267" i="1"/>
  <c r="M1267" i="4" s="1"/>
  <c r="K1268" i="1"/>
  <c r="M1268" i="4" s="1"/>
  <c r="K1269" i="1"/>
  <c r="M1269" i="4" s="1"/>
  <c r="K1270" i="1"/>
  <c r="M1270" i="4" s="1"/>
  <c r="K1271" i="1"/>
  <c r="M1271" i="4" s="1"/>
  <c r="K1272" i="1"/>
  <c r="M1272" i="4" s="1"/>
  <c r="K1273" i="1"/>
  <c r="M1273" i="4" s="1"/>
  <c r="K1274" i="1"/>
  <c r="M1274" i="4" s="1"/>
  <c r="K1275" i="1"/>
  <c r="M1275" i="4" s="1"/>
  <c r="K1276" i="1"/>
  <c r="M1276" i="4" s="1"/>
  <c r="K1277" i="1"/>
  <c r="M1277" i="4" s="1"/>
  <c r="K1278" i="1"/>
  <c r="M1278" i="4" s="1"/>
  <c r="K1279" i="1"/>
  <c r="M1279" i="4" s="1"/>
  <c r="K1280" i="1"/>
  <c r="M1280" i="4" s="1"/>
  <c r="K1281" i="1"/>
  <c r="M1281" i="4" s="1"/>
  <c r="K1282" i="1"/>
  <c r="M1282" i="4" s="1"/>
  <c r="K1283" i="1"/>
  <c r="M1283" i="4" s="1"/>
  <c r="K1284" i="1"/>
  <c r="M1284" i="4" s="1"/>
  <c r="K1285" i="1"/>
  <c r="M1285" i="4" s="1"/>
  <c r="K1286" i="1"/>
  <c r="M1286" i="4" s="1"/>
  <c r="K1287" i="1"/>
  <c r="M1287" i="4" s="1"/>
  <c r="K1288" i="1"/>
  <c r="M1288" i="4" s="1"/>
  <c r="K1289" i="1"/>
  <c r="M1289" i="4" s="1"/>
  <c r="K1290" i="1"/>
  <c r="M1290" i="4" s="1"/>
  <c r="K1291" i="1"/>
  <c r="M1291" i="4" s="1"/>
  <c r="K1292" i="1"/>
  <c r="M1292" i="4" s="1"/>
  <c r="K1293" i="1"/>
  <c r="M1293" i="4" s="1"/>
  <c r="K1294" i="1"/>
  <c r="M1294" i="4" s="1"/>
  <c r="K1295" i="1"/>
  <c r="M1295" i="4" s="1"/>
  <c r="K1296" i="1"/>
  <c r="M1296" i="4" s="1"/>
  <c r="K1297" i="1"/>
  <c r="M1297" i="4" s="1"/>
  <c r="K1298" i="1"/>
  <c r="M1298" i="4" s="1"/>
  <c r="K1299" i="1"/>
  <c r="M1299" i="4" s="1"/>
  <c r="K1300" i="1"/>
  <c r="M1300" i="4" s="1"/>
  <c r="K1301" i="1"/>
  <c r="M1301" i="4" s="1"/>
  <c r="K1302" i="1"/>
  <c r="M1302" i="4" s="1"/>
  <c r="K1303" i="1"/>
  <c r="M1303" i="4" s="1"/>
  <c r="K1304" i="1"/>
  <c r="M1304" i="4" s="1"/>
  <c r="K1305" i="1"/>
  <c r="M1305" i="4" s="1"/>
  <c r="K1306" i="1"/>
  <c r="M1306" i="4" s="1"/>
  <c r="K1307" i="1"/>
  <c r="M1307" i="4" s="1"/>
  <c r="K1308" i="1"/>
  <c r="M1308" i="4" s="1"/>
  <c r="K1309" i="1"/>
  <c r="M1309" i="4" s="1"/>
  <c r="K1310" i="1"/>
  <c r="M1310" i="4" s="1"/>
  <c r="K1311" i="1"/>
  <c r="M1311" i="4" s="1"/>
  <c r="K1312" i="1"/>
  <c r="M1312" i="4" s="1"/>
  <c r="K1313" i="1"/>
  <c r="M1313" i="4" s="1"/>
  <c r="K1314" i="1"/>
  <c r="M1314" i="4" s="1"/>
  <c r="K1315" i="1"/>
  <c r="M1315" i="4" s="1"/>
  <c r="K1316" i="1"/>
  <c r="M1316" i="4" s="1"/>
  <c r="K1317" i="1"/>
  <c r="M1317" i="4" s="1"/>
  <c r="K1318" i="1"/>
  <c r="M1318" i="4" s="1"/>
  <c r="K1319" i="1"/>
  <c r="M1319" i="4" s="1"/>
  <c r="K1320" i="1"/>
  <c r="M1320" i="4" s="1"/>
  <c r="K1321" i="1"/>
  <c r="M1321" i="4" s="1"/>
  <c r="K1322" i="1"/>
  <c r="M1322" i="4" s="1"/>
  <c r="K1323" i="1"/>
  <c r="M1323" i="4" s="1"/>
  <c r="K1324" i="1"/>
  <c r="M1324" i="4" s="1"/>
  <c r="K1325" i="1"/>
  <c r="M1325" i="4" s="1"/>
  <c r="K1326" i="1"/>
  <c r="M1326" i="4" s="1"/>
  <c r="K1327" i="1"/>
  <c r="M1327" i="4" s="1"/>
  <c r="K1328" i="1"/>
  <c r="M1328" i="4" s="1"/>
  <c r="K1329" i="1"/>
  <c r="M1329" i="4" s="1"/>
  <c r="K1330" i="1"/>
  <c r="M1330" i="4" s="1"/>
  <c r="K1331" i="1"/>
  <c r="M1331" i="4" s="1"/>
  <c r="K1332" i="1"/>
  <c r="M1332" i="4" s="1"/>
  <c r="K1333" i="1"/>
  <c r="M1333" i="4" s="1"/>
  <c r="K1334" i="1"/>
  <c r="M1334" i="4" s="1"/>
  <c r="K1335" i="1"/>
  <c r="M1335" i="4" s="1"/>
  <c r="K1336" i="1"/>
  <c r="M1336" i="4" s="1"/>
  <c r="K1337" i="1"/>
  <c r="M1337" i="4" s="1"/>
  <c r="K1338" i="1"/>
  <c r="M1338" i="4" s="1"/>
  <c r="K1339" i="1"/>
  <c r="M1339" i="4" s="1"/>
  <c r="K1340" i="1"/>
  <c r="M1340" i="4" s="1"/>
  <c r="K1341" i="1"/>
  <c r="M1341" i="4" s="1"/>
  <c r="K1342" i="1"/>
  <c r="M1342" i="4" s="1"/>
  <c r="K1343" i="1"/>
  <c r="M1343" i="4" s="1"/>
  <c r="K1344" i="1"/>
  <c r="M1344" i="4" s="1"/>
  <c r="K1345" i="1"/>
  <c r="M1345" i="4" s="1"/>
  <c r="K1346" i="1"/>
  <c r="M1346" i="4" s="1"/>
  <c r="K1347" i="1"/>
  <c r="M1347" i="4" s="1"/>
  <c r="K1348" i="1"/>
  <c r="M1348" i="4" s="1"/>
  <c r="K1349" i="1"/>
  <c r="M1349" i="4" s="1"/>
  <c r="K1350" i="1"/>
  <c r="M1350" i="4" s="1"/>
  <c r="K1351" i="1"/>
  <c r="M1351" i="4" s="1"/>
  <c r="K1352" i="1"/>
  <c r="M1352" i="4" s="1"/>
  <c r="K1353" i="1"/>
  <c r="M1353" i="4" s="1"/>
  <c r="K1354" i="1"/>
  <c r="M1354" i="4" s="1"/>
  <c r="K1355" i="1"/>
  <c r="M1355" i="4" s="1"/>
  <c r="K1356" i="1"/>
  <c r="M1356" i="4" s="1"/>
  <c r="K1357" i="1"/>
  <c r="M1357" i="4" s="1"/>
  <c r="K1358" i="1"/>
  <c r="M1358" i="4" s="1"/>
  <c r="K1359" i="1"/>
  <c r="M1359" i="4" s="1"/>
  <c r="K1360" i="1"/>
  <c r="M1360" i="4" s="1"/>
  <c r="K1361" i="1"/>
  <c r="M1361" i="4" s="1"/>
  <c r="K1362" i="1"/>
  <c r="M1362" i="4" s="1"/>
  <c r="K1363" i="1"/>
  <c r="M1363" i="4" s="1"/>
  <c r="K1364" i="1"/>
  <c r="M1364" i="4" s="1"/>
  <c r="K1365" i="1"/>
  <c r="M1365" i="4" s="1"/>
  <c r="K1366" i="1"/>
  <c r="M1366" i="4" s="1"/>
  <c r="K1367" i="1"/>
  <c r="M1367" i="4" s="1"/>
  <c r="K1368" i="1"/>
  <c r="M1368" i="4" s="1"/>
  <c r="K1369" i="1"/>
  <c r="M1369" i="4" s="1"/>
  <c r="K1370" i="1"/>
  <c r="M1370" i="4" s="1"/>
  <c r="K1371" i="1"/>
  <c r="M1371" i="4" s="1"/>
  <c r="K1372" i="1"/>
  <c r="M1372" i="4" s="1"/>
  <c r="K1373" i="1"/>
  <c r="M1373" i="4" s="1"/>
  <c r="K1374" i="1"/>
  <c r="M1374" i="4" s="1"/>
  <c r="K1375" i="1"/>
  <c r="M1375" i="4" s="1"/>
  <c r="K1376" i="1"/>
  <c r="M1376" i="4" s="1"/>
  <c r="K1377" i="1"/>
  <c r="M1377" i="4" s="1"/>
  <c r="K1378" i="1"/>
  <c r="M1378" i="4" s="1"/>
  <c r="K1379" i="1"/>
  <c r="M1379" i="4" s="1"/>
  <c r="K1380" i="1"/>
  <c r="M1380" i="4" s="1"/>
  <c r="K1381" i="1"/>
  <c r="M1381" i="4" s="1"/>
  <c r="K1382" i="1"/>
  <c r="M1382" i="4" s="1"/>
  <c r="K1383" i="1"/>
  <c r="M1383" i="4" s="1"/>
  <c r="K1384" i="1"/>
  <c r="M1384" i="4" s="1"/>
  <c r="K1385" i="1"/>
  <c r="M1385" i="4" s="1"/>
  <c r="K1386" i="1"/>
  <c r="M1386" i="4" s="1"/>
  <c r="K1387" i="1"/>
  <c r="M1387" i="4" s="1"/>
  <c r="K1388" i="1"/>
  <c r="M1388" i="4" s="1"/>
  <c r="K1389" i="1"/>
  <c r="M1389" i="4" s="1"/>
  <c r="K1390" i="1"/>
  <c r="M1390" i="4" s="1"/>
  <c r="K1391" i="1"/>
  <c r="M1391" i="4" s="1"/>
  <c r="K1392" i="1"/>
  <c r="M1392" i="4" s="1"/>
  <c r="K1393" i="1"/>
  <c r="M1393" i="4" s="1"/>
  <c r="K1394" i="1"/>
  <c r="M1394" i="4" s="1"/>
  <c r="K1395" i="1"/>
  <c r="M1395" i="4" s="1"/>
  <c r="K1396" i="1"/>
  <c r="M1396" i="4" s="1"/>
  <c r="K1397" i="1"/>
  <c r="M1397" i="4" s="1"/>
  <c r="K1398" i="1"/>
  <c r="M1398" i="4" s="1"/>
  <c r="K1399" i="1"/>
  <c r="M1399" i="4" s="1"/>
  <c r="K1400" i="1"/>
  <c r="M1400" i="4" s="1"/>
  <c r="K1401" i="1"/>
  <c r="M1401" i="4" s="1"/>
  <c r="K1402" i="1"/>
  <c r="M1402" i="4" s="1"/>
  <c r="K1403" i="1"/>
  <c r="M1403" i="4" s="1"/>
  <c r="K1404" i="1"/>
  <c r="M1404" i="4" s="1"/>
  <c r="K1405" i="1"/>
  <c r="M1405" i="4" s="1"/>
  <c r="K1406" i="1"/>
  <c r="M1406" i="4" s="1"/>
  <c r="K1407" i="1"/>
  <c r="M1407" i="4" s="1"/>
  <c r="K1408" i="1"/>
  <c r="M1408" i="4" s="1"/>
  <c r="K1409" i="1"/>
  <c r="M1409" i="4" s="1"/>
  <c r="K1410" i="1"/>
  <c r="M1410" i="4" s="1"/>
  <c r="K1411" i="1"/>
  <c r="M1411" i="4" s="1"/>
  <c r="K1412" i="1"/>
  <c r="M1412" i="4" s="1"/>
  <c r="K1413" i="1"/>
  <c r="M1413" i="4" s="1"/>
  <c r="K1414" i="1"/>
  <c r="M1414" i="4" s="1"/>
  <c r="K1415" i="1"/>
  <c r="M1415" i="4" s="1"/>
  <c r="K1416" i="1"/>
  <c r="M1416" i="4" s="1"/>
  <c r="K1417" i="1"/>
  <c r="M1417" i="4" s="1"/>
  <c r="K1418" i="1"/>
  <c r="M1418" i="4" s="1"/>
  <c r="K1419" i="1"/>
  <c r="M1419" i="4" s="1"/>
  <c r="K1420" i="1"/>
  <c r="M1420" i="4" s="1"/>
  <c r="K1421" i="1"/>
  <c r="M1421" i="4" s="1"/>
  <c r="K1422" i="1"/>
  <c r="M1422" i="4" s="1"/>
  <c r="K1423" i="1"/>
  <c r="M1423" i="4" s="1"/>
  <c r="K1424" i="1"/>
  <c r="M1424" i="4" s="1"/>
  <c r="K1425" i="1"/>
  <c r="M1425" i="4" s="1"/>
  <c r="K1426" i="1"/>
  <c r="M1426" i="4" s="1"/>
  <c r="K1427" i="1"/>
  <c r="M1427" i="4" s="1"/>
  <c r="K1428" i="1"/>
  <c r="M1428" i="4" s="1"/>
  <c r="K1429" i="1"/>
  <c r="M1429" i="4" s="1"/>
  <c r="K1430" i="1"/>
  <c r="M1430" i="4" s="1"/>
  <c r="K1431" i="1"/>
  <c r="M1431" i="4" s="1"/>
  <c r="K1432" i="1"/>
  <c r="M1432" i="4" s="1"/>
  <c r="K1433" i="1"/>
  <c r="M1433" i="4" s="1"/>
  <c r="K1434" i="1"/>
  <c r="M1434" i="4" s="1"/>
  <c r="K1435" i="1"/>
  <c r="M1435" i="4" s="1"/>
  <c r="K1436" i="1"/>
  <c r="M1436" i="4" s="1"/>
  <c r="K1437" i="1"/>
  <c r="M1437" i="4" s="1"/>
  <c r="K1438" i="1"/>
  <c r="M1438" i="4" s="1"/>
  <c r="K1439" i="1"/>
  <c r="M1439" i="4" s="1"/>
  <c r="K1440" i="1"/>
  <c r="M1440" i="4" s="1"/>
  <c r="K1441" i="1"/>
  <c r="M1441" i="4" s="1"/>
  <c r="K1442" i="1"/>
  <c r="M1442" i="4" s="1"/>
  <c r="K1443" i="1"/>
  <c r="M1443" i="4" s="1"/>
  <c r="K1444" i="1"/>
  <c r="M1444" i="4" s="1"/>
  <c r="K1445" i="1"/>
  <c r="M1445" i="4" s="1"/>
  <c r="K1446" i="1"/>
  <c r="M1446" i="4" s="1"/>
  <c r="K1447" i="1"/>
  <c r="M1447" i="4" s="1"/>
  <c r="K1448" i="1"/>
  <c r="M1448" i="4" s="1"/>
  <c r="K1449" i="1"/>
  <c r="M1449" i="4" s="1"/>
  <c r="K1450" i="1"/>
  <c r="M1450" i="4" s="1"/>
  <c r="K1451" i="1"/>
  <c r="M1451" i="4" s="1"/>
  <c r="K1452" i="1"/>
  <c r="M1452" i="4" s="1"/>
  <c r="K1453" i="1"/>
  <c r="M1453" i="4" s="1"/>
  <c r="K1454" i="1"/>
  <c r="M1454" i="4" s="1"/>
  <c r="K1455" i="1"/>
  <c r="M1455" i="4" s="1"/>
  <c r="K1456" i="1"/>
  <c r="M1456" i="4" s="1"/>
  <c r="K1457" i="1"/>
  <c r="M1457" i="4" s="1"/>
  <c r="K1458" i="1"/>
  <c r="M1458" i="4" s="1"/>
  <c r="K1459" i="1"/>
  <c r="M1459" i="4" s="1"/>
  <c r="K1460" i="1"/>
  <c r="M1460" i="4" s="1"/>
  <c r="K1461" i="1"/>
  <c r="M1461" i="4" s="1"/>
  <c r="K1462" i="1"/>
  <c r="M1462" i="4" s="1"/>
  <c r="K1463" i="1"/>
  <c r="M1463" i="4" s="1"/>
  <c r="K1464" i="1"/>
  <c r="M1464" i="4" s="1"/>
  <c r="K1465" i="1"/>
  <c r="M1465" i="4" s="1"/>
  <c r="K1466" i="1"/>
  <c r="M1466" i="4" s="1"/>
  <c r="K1467" i="1"/>
  <c r="M1467" i="4" s="1"/>
  <c r="K1468" i="1"/>
  <c r="M1468" i="4" s="1"/>
  <c r="K1469" i="1"/>
  <c r="M1469" i="4" s="1"/>
  <c r="K1470" i="1"/>
  <c r="M1470" i="4" s="1"/>
  <c r="K1471" i="1"/>
  <c r="M1471" i="4" s="1"/>
  <c r="K1472" i="1"/>
  <c r="M1472" i="4" s="1"/>
  <c r="K1473" i="1"/>
  <c r="M1473" i="4" s="1"/>
  <c r="K1474" i="1"/>
  <c r="M1474" i="4" s="1"/>
  <c r="K1475" i="1"/>
  <c r="M1475" i="4" s="1"/>
  <c r="K1476" i="1"/>
  <c r="M1476" i="4" s="1"/>
  <c r="K1477" i="1"/>
  <c r="M1477" i="4" s="1"/>
  <c r="K1478" i="1"/>
  <c r="M1478" i="4" s="1"/>
  <c r="K1479" i="1"/>
  <c r="M1479" i="4" s="1"/>
  <c r="K1480" i="1"/>
  <c r="M1480" i="4" s="1"/>
  <c r="K1481" i="1"/>
  <c r="M1481" i="4" s="1"/>
  <c r="K1482" i="1"/>
  <c r="M1482" i="4" s="1"/>
  <c r="K1483" i="1"/>
  <c r="M1483" i="4" s="1"/>
  <c r="K1484" i="1"/>
  <c r="M1484" i="4" s="1"/>
  <c r="K1485" i="1"/>
  <c r="M1485" i="4" s="1"/>
  <c r="K1486" i="1"/>
  <c r="M1486" i="4" s="1"/>
  <c r="K1487" i="1"/>
  <c r="M1487" i="4" s="1"/>
  <c r="K1488" i="1"/>
  <c r="M1488" i="4" s="1"/>
  <c r="K1489" i="1"/>
  <c r="M1489" i="4" s="1"/>
  <c r="K1490" i="1"/>
  <c r="M1490" i="4" s="1"/>
  <c r="K1491" i="1"/>
  <c r="M1491" i="4" s="1"/>
  <c r="K1492" i="1"/>
  <c r="M1492" i="4" s="1"/>
  <c r="K1493" i="1"/>
  <c r="M1493" i="4" s="1"/>
  <c r="K1494" i="1"/>
  <c r="M1494" i="4" s="1"/>
  <c r="K1495" i="1"/>
  <c r="M1495" i="4" s="1"/>
  <c r="K1496" i="1"/>
  <c r="M1496" i="4" s="1"/>
  <c r="K1497" i="1"/>
  <c r="M1497" i="4" s="1"/>
  <c r="K1498" i="1"/>
  <c r="M1498" i="4" s="1"/>
  <c r="K1499" i="1"/>
  <c r="M1499" i="4" s="1"/>
  <c r="K1500" i="1"/>
  <c r="M1500" i="4" s="1"/>
  <c r="K1501" i="1"/>
  <c r="M1501" i="4" s="1"/>
  <c r="K1502" i="1"/>
  <c r="M1502" i="4" s="1"/>
  <c r="K1503" i="1"/>
  <c r="M1503" i="4" s="1"/>
  <c r="K1504" i="1"/>
  <c r="M1504" i="4" s="1"/>
  <c r="K1505" i="1"/>
  <c r="M1505" i="4" s="1"/>
  <c r="K1506" i="1"/>
  <c r="M1506" i="4" s="1"/>
  <c r="K1507" i="1"/>
  <c r="M1507" i="4" s="1"/>
  <c r="K1508" i="1"/>
  <c r="M1508" i="4" s="1"/>
  <c r="K1509" i="1"/>
  <c r="M1509" i="4" s="1"/>
  <c r="K1510" i="1"/>
  <c r="M1510" i="4" s="1"/>
  <c r="K1511" i="1"/>
  <c r="M1511" i="4" s="1"/>
  <c r="K1512" i="1"/>
  <c r="M1512" i="4" s="1"/>
  <c r="K1513" i="1"/>
  <c r="M1513" i="4" s="1"/>
  <c r="K1514" i="1"/>
  <c r="M1514" i="4" s="1"/>
  <c r="K1515" i="1"/>
  <c r="M1515" i="4" s="1"/>
  <c r="K1516" i="1"/>
  <c r="M1516" i="4" s="1"/>
  <c r="K1517" i="1"/>
  <c r="M1517" i="4" s="1"/>
  <c r="K1518" i="1"/>
  <c r="M1518" i="4" s="1"/>
  <c r="K1519" i="1"/>
  <c r="M1519" i="4" s="1"/>
  <c r="K1520" i="1"/>
  <c r="M1520" i="4" s="1"/>
  <c r="K1521" i="1"/>
  <c r="M1521" i="4" s="1"/>
  <c r="K1522" i="1"/>
  <c r="M1522" i="4" s="1"/>
  <c r="K1523" i="1"/>
  <c r="M1523" i="4" s="1"/>
  <c r="K1524" i="1"/>
  <c r="M1524" i="4" s="1"/>
  <c r="K1525" i="1"/>
  <c r="M1525" i="4" s="1"/>
  <c r="K1526" i="1"/>
  <c r="M1526" i="4" s="1"/>
  <c r="K1527" i="1"/>
  <c r="M1527" i="4" s="1"/>
  <c r="K1528" i="1"/>
  <c r="M1528" i="4" s="1"/>
  <c r="K1529" i="1"/>
  <c r="M1529" i="4" s="1"/>
  <c r="K1530" i="1"/>
  <c r="M1530" i="4" s="1"/>
  <c r="K1531" i="1"/>
  <c r="M1531" i="4" s="1"/>
  <c r="K1532" i="1"/>
  <c r="M1532" i="4" s="1"/>
  <c r="K1533" i="1"/>
  <c r="M1533" i="4" s="1"/>
  <c r="K1534" i="1"/>
  <c r="M1534" i="4" s="1"/>
  <c r="K1535" i="1"/>
  <c r="M1535" i="4" s="1"/>
  <c r="K1536" i="1"/>
  <c r="M1536" i="4" s="1"/>
  <c r="K1537" i="1"/>
  <c r="M1537" i="4" s="1"/>
  <c r="K1538" i="1"/>
  <c r="M1538" i="4" s="1"/>
  <c r="K1539" i="1"/>
  <c r="M1539" i="4" s="1"/>
  <c r="K1540" i="1"/>
  <c r="M1540" i="4" s="1"/>
  <c r="K1541" i="1"/>
  <c r="M1541" i="4" s="1"/>
  <c r="K1542" i="1"/>
  <c r="M1542" i="4" s="1"/>
  <c r="K1543" i="1"/>
  <c r="M1543" i="4" s="1"/>
  <c r="K1544" i="1"/>
  <c r="M1544" i="4" s="1"/>
  <c r="K1545" i="1"/>
  <c r="M1545" i="4" s="1"/>
  <c r="K1546" i="1"/>
  <c r="M1546" i="4" s="1"/>
  <c r="K1547" i="1"/>
  <c r="M1547" i="4" s="1"/>
  <c r="K1548" i="1"/>
  <c r="M1548" i="4" s="1"/>
  <c r="K1549" i="1"/>
  <c r="M1549" i="4" s="1"/>
  <c r="K1550" i="1"/>
  <c r="M1550" i="4" s="1"/>
  <c r="K1551" i="1"/>
  <c r="M1551" i="4" s="1"/>
  <c r="K1552" i="1"/>
  <c r="M1552" i="4" s="1"/>
  <c r="K1553" i="1"/>
  <c r="M1553" i="4" s="1"/>
  <c r="K1554" i="1"/>
  <c r="M1554" i="4" s="1"/>
  <c r="K1555" i="1"/>
  <c r="M1555" i="4" s="1"/>
  <c r="K1556" i="1"/>
  <c r="M1556" i="4" s="1"/>
  <c r="K1557" i="1"/>
  <c r="M1557" i="4" s="1"/>
  <c r="K1558" i="1"/>
  <c r="M1558" i="4" s="1"/>
  <c r="K1559" i="1"/>
  <c r="M1559" i="4" s="1"/>
  <c r="K1560" i="1"/>
  <c r="M1560" i="4" s="1"/>
  <c r="K1561" i="1"/>
  <c r="M1561" i="4" s="1"/>
  <c r="K1562" i="1"/>
  <c r="M1562" i="4" s="1"/>
  <c r="K1563" i="1"/>
  <c r="M1563" i="4" s="1"/>
  <c r="K1564" i="1"/>
  <c r="M1564" i="4" s="1"/>
  <c r="K1565" i="1"/>
  <c r="M1565" i="4" s="1"/>
  <c r="K1566" i="1"/>
  <c r="M1566" i="4" s="1"/>
  <c r="K1567" i="1"/>
  <c r="M1567" i="4" s="1"/>
  <c r="K1568" i="1"/>
  <c r="M1568" i="4" s="1"/>
  <c r="K1569" i="1"/>
  <c r="M1569" i="4" s="1"/>
  <c r="K1570" i="1"/>
  <c r="M1570" i="4" s="1"/>
  <c r="K1571" i="1"/>
  <c r="M1571" i="4" s="1"/>
  <c r="K1572" i="1"/>
  <c r="M1572" i="4" s="1"/>
  <c r="K1573" i="1"/>
  <c r="M1573" i="4" s="1"/>
  <c r="K1574" i="1"/>
  <c r="M1574" i="4" s="1"/>
  <c r="K1575" i="1"/>
  <c r="M1575" i="4" s="1"/>
  <c r="K1576" i="1"/>
  <c r="M1576" i="4" s="1"/>
  <c r="K1577" i="1"/>
  <c r="M1577" i="4" s="1"/>
  <c r="K1578" i="1"/>
  <c r="M1578" i="4" s="1"/>
  <c r="K1579" i="1"/>
  <c r="M1579" i="4" s="1"/>
  <c r="K1580" i="1"/>
  <c r="M1580" i="4" s="1"/>
  <c r="K1581" i="1"/>
  <c r="M1581" i="4" s="1"/>
  <c r="K1582" i="1"/>
  <c r="M1582" i="4" s="1"/>
  <c r="K1583" i="1"/>
  <c r="M1583" i="4" s="1"/>
  <c r="K1584" i="1"/>
  <c r="M1584" i="4" s="1"/>
  <c r="K1585" i="1"/>
  <c r="M1585" i="4" s="1"/>
  <c r="K1586" i="1"/>
  <c r="M1586" i="4" s="1"/>
  <c r="K1587" i="1"/>
  <c r="M1587" i="4" s="1"/>
  <c r="K1588" i="1"/>
  <c r="M1588" i="4" s="1"/>
  <c r="K1589" i="1"/>
  <c r="M1589" i="4" s="1"/>
  <c r="K1590" i="1"/>
  <c r="M1590" i="4" s="1"/>
  <c r="K1591" i="1"/>
  <c r="M1591" i="4" s="1"/>
  <c r="K1592" i="1"/>
  <c r="M1592" i="4" s="1"/>
  <c r="K1593" i="1"/>
  <c r="M1593" i="4" s="1"/>
  <c r="K1594" i="1"/>
  <c r="M1594" i="4" s="1"/>
  <c r="K1595" i="1"/>
  <c r="M1595" i="4" s="1"/>
  <c r="K1596" i="1"/>
  <c r="M1596" i="4" s="1"/>
  <c r="K1597" i="1"/>
  <c r="M1597" i="4" s="1"/>
  <c r="K1598" i="1"/>
  <c r="M1598" i="4" s="1"/>
  <c r="K1599" i="1"/>
  <c r="M1599" i="4" s="1"/>
  <c r="K1600" i="1"/>
  <c r="M1600" i="4" s="1"/>
  <c r="K1601" i="1"/>
  <c r="M1601" i="4" s="1"/>
  <c r="K1602" i="1"/>
  <c r="M1602" i="4" s="1"/>
  <c r="K1603" i="1"/>
  <c r="M1603" i="4" s="1"/>
  <c r="K1604" i="1"/>
  <c r="M1604" i="4" s="1"/>
  <c r="K1605" i="1"/>
  <c r="M1605" i="4" s="1"/>
  <c r="K1606" i="1"/>
  <c r="M1606" i="4" s="1"/>
  <c r="K1607" i="1"/>
  <c r="M1607" i="4" s="1"/>
  <c r="K1608" i="1"/>
  <c r="M1608" i="4" s="1"/>
  <c r="K1609" i="1"/>
  <c r="M1609" i="4" s="1"/>
  <c r="K1610" i="1"/>
  <c r="M1610" i="4" s="1"/>
  <c r="K1611" i="1"/>
  <c r="M1611" i="4" s="1"/>
  <c r="K1612" i="1"/>
  <c r="M1612" i="4" s="1"/>
  <c r="K1613" i="1"/>
  <c r="M1613" i="4" s="1"/>
  <c r="K1614" i="1"/>
  <c r="M1614" i="4" s="1"/>
  <c r="K1615" i="1"/>
  <c r="M1615" i="4" s="1"/>
  <c r="K1616" i="1"/>
  <c r="M1616" i="4" s="1"/>
  <c r="K1617" i="1"/>
  <c r="M1617" i="4" s="1"/>
  <c r="K1618" i="1"/>
  <c r="M1618" i="4" s="1"/>
  <c r="K1619" i="1"/>
  <c r="M1619" i="4" s="1"/>
  <c r="K1620" i="1"/>
  <c r="M1620" i="4" s="1"/>
  <c r="K1621" i="1"/>
  <c r="M1621" i="4" s="1"/>
  <c r="K1622" i="1"/>
  <c r="M1622" i="4" s="1"/>
  <c r="K1623" i="1"/>
  <c r="M1623" i="4" s="1"/>
  <c r="K1624" i="1"/>
  <c r="M1624" i="4" s="1"/>
  <c r="K1625" i="1"/>
  <c r="M1625" i="4" s="1"/>
  <c r="K1626" i="1"/>
  <c r="M1626" i="4" s="1"/>
  <c r="K1627" i="1"/>
  <c r="M1627" i="4" s="1"/>
  <c r="K1628" i="1"/>
  <c r="M1628" i="4" s="1"/>
  <c r="K1629" i="1"/>
  <c r="M1629" i="4" s="1"/>
  <c r="K1630" i="1"/>
  <c r="M1630" i="4" s="1"/>
  <c r="K1631" i="1"/>
  <c r="M1631" i="4" s="1"/>
  <c r="K1632" i="1"/>
  <c r="M1632" i="4" s="1"/>
  <c r="K1633" i="1"/>
  <c r="M1633" i="4" s="1"/>
  <c r="K1634" i="1"/>
  <c r="M1634" i="4" s="1"/>
  <c r="K1635" i="1"/>
  <c r="M1635" i="4" s="1"/>
  <c r="K1636" i="1"/>
  <c r="M1636" i="4" s="1"/>
  <c r="K1637" i="1"/>
  <c r="M1637" i="4" s="1"/>
  <c r="K1638" i="1"/>
  <c r="M1638" i="4" s="1"/>
  <c r="K1639" i="1"/>
  <c r="M1639" i="4" s="1"/>
  <c r="K1640" i="1"/>
  <c r="M1640" i="4" s="1"/>
  <c r="K1641" i="1"/>
  <c r="M1641" i="4" s="1"/>
  <c r="K1642" i="1"/>
  <c r="M1642" i="4" s="1"/>
  <c r="K1643" i="1"/>
  <c r="M1643" i="4" s="1"/>
  <c r="K1644" i="1"/>
  <c r="M1644" i="4" s="1"/>
  <c r="K1645" i="1"/>
  <c r="M1645" i="4" s="1"/>
  <c r="K1646" i="1"/>
  <c r="M1646" i="4" s="1"/>
  <c r="K1647" i="1"/>
  <c r="M1647" i="4" s="1"/>
  <c r="K1648" i="1"/>
  <c r="M1648" i="4" s="1"/>
  <c r="K1649" i="1"/>
  <c r="M1649" i="4" s="1"/>
  <c r="K1650" i="1"/>
  <c r="M1650" i="4" s="1"/>
  <c r="K1651" i="1"/>
  <c r="M1651" i="4" s="1"/>
  <c r="K1652" i="1"/>
  <c r="M1652" i="4" s="1"/>
  <c r="K1653" i="1"/>
  <c r="M1653" i="4" s="1"/>
  <c r="K1654" i="1"/>
  <c r="M1654" i="4" s="1"/>
  <c r="K1655" i="1"/>
  <c r="M1655" i="4" s="1"/>
  <c r="K1656" i="1"/>
  <c r="M1656" i="4" s="1"/>
  <c r="K1657" i="1"/>
  <c r="M1657" i="4" s="1"/>
  <c r="K1658" i="1"/>
  <c r="M1658" i="4" s="1"/>
  <c r="K1659" i="1"/>
  <c r="M1659" i="4" s="1"/>
  <c r="K1660" i="1"/>
  <c r="M1660" i="4" s="1"/>
  <c r="K1661" i="1"/>
  <c r="M1661" i="4" s="1"/>
  <c r="K1662" i="1"/>
  <c r="M1662" i="4" s="1"/>
  <c r="K1663" i="1"/>
  <c r="M1663" i="4" s="1"/>
  <c r="K1664" i="1"/>
  <c r="M1664" i="4" s="1"/>
  <c r="K1665" i="1"/>
  <c r="M1665" i="4" s="1"/>
  <c r="K1666" i="1"/>
  <c r="M1666" i="4" s="1"/>
  <c r="K1667" i="1"/>
  <c r="M1667" i="4" s="1"/>
  <c r="K1668" i="1"/>
  <c r="M1668" i="4" s="1"/>
  <c r="K1669" i="1"/>
  <c r="M1669" i="4" s="1"/>
  <c r="K1670" i="1"/>
  <c r="M1670" i="4" s="1"/>
  <c r="K1671" i="1"/>
  <c r="M1671" i="4" s="1"/>
  <c r="K1672" i="1"/>
  <c r="M1672" i="4" s="1"/>
  <c r="K1673" i="1"/>
  <c r="M1673" i="4" s="1"/>
  <c r="K1674" i="1"/>
  <c r="M1674" i="4" s="1"/>
  <c r="K1675" i="1"/>
  <c r="M1675" i="4" s="1"/>
  <c r="K1676" i="1"/>
  <c r="M1676" i="4" s="1"/>
  <c r="K1677" i="1"/>
  <c r="M1677" i="4" s="1"/>
  <c r="K1678" i="1"/>
  <c r="M1678" i="4" s="1"/>
  <c r="K1679" i="1"/>
  <c r="M1679" i="4" s="1"/>
  <c r="K1680" i="1"/>
  <c r="M1680" i="4" s="1"/>
  <c r="K1681" i="1"/>
  <c r="M1681" i="4" s="1"/>
  <c r="K1682" i="1"/>
  <c r="M1682" i="4" s="1"/>
  <c r="K1683" i="1"/>
  <c r="M1683" i="4" s="1"/>
  <c r="K1684" i="1"/>
  <c r="M1684" i="4" s="1"/>
  <c r="K1685" i="1"/>
  <c r="M1685" i="4" s="1"/>
  <c r="K1686" i="1"/>
  <c r="M1686" i="4" s="1"/>
  <c r="K1687" i="1"/>
  <c r="M1687" i="4" s="1"/>
  <c r="K1688" i="1"/>
  <c r="M1688" i="4" s="1"/>
  <c r="K1689" i="1"/>
  <c r="M1689" i="4" s="1"/>
  <c r="K1690" i="1"/>
  <c r="M1690" i="4" s="1"/>
  <c r="K1691" i="1"/>
  <c r="M1691" i="4" s="1"/>
  <c r="K1692" i="1"/>
  <c r="M1692" i="4" s="1"/>
  <c r="K1693" i="1"/>
  <c r="M1693" i="4" s="1"/>
  <c r="K1694" i="1"/>
  <c r="M1694" i="4" s="1"/>
  <c r="K1695" i="1"/>
  <c r="M1695" i="4" s="1"/>
  <c r="K1696" i="1"/>
  <c r="M1696" i="4" s="1"/>
  <c r="K1697" i="1"/>
  <c r="M1697" i="4" s="1"/>
  <c r="K1698" i="1"/>
  <c r="M1698" i="4" s="1"/>
  <c r="K1699" i="1"/>
  <c r="M1699" i="4" s="1"/>
  <c r="K1700" i="1"/>
  <c r="M1700" i="4" s="1"/>
  <c r="K1701" i="1"/>
  <c r="M1701" i="4" s="1"/>
  <c r="K1702" i="1"/>
  <c r="M1702" i="4" s="1"/>
  <c r="K1703" i="1"/>
  <c r="M1703" i="4" s="1"/>
  <c r="K1704" i="1"/>
  <c r="M1704" i="4" s="1"/>
  <c r="K1705" i="1"/>
  <c r="M1705" i="4" s="1"/>
  <c r="K1706" i="1"/>
  <c r="M1706" i="4" s="1"/>
  <c r="K1707" i="1"/>
  <c r="M1707" i="4" s="1"/>
  <c r="K1708" i="1"/>
  <c r="M1708" i="4" s="1"/>
  <c r="K1709" i="1"/>
  <c r="M1709" i="4" s="1"/>
  <c r="K1710" i="1"/>
  <c r="M1710" i="4" s="1"/>
  <c r="K1711" i="1"/>
  <c r="M1711" i="4" s="1"/>
  <c r="K1712" i="1"/>
  <c r="M1712" i="4" s="1"/>
  <c r="K1713" i="1"/>
  <c r="M1713" i="4" s="1"/>
  <c r="K1714" i="1"/>
  <c r="M1714" i="4" s="1"/>
  <c r="K1715" i="1"/>
  <c r="M1715" i="4" s="1"/>
  <c r="K1716" i="1"/>
  <c r="M1716" i="4" s="1"/>
  <c r="K1717" i="1"/>
  <c r="M1717" i="4" s="1"/>
  <c r="K1718" i="1"/>
  <c r="M1718" i="4" s="1"/>
  <c r="K1719" i="1"/>
  <c r="M1719" i="4" s="1"/>
  <c r="K1720" i="1"/>
  <c r="M1720" i="4" s="1"/>
  <c r="K1721" i="1"/>
  <c r="M1721" i="4" s="1"/>
  <c r="K1722" i="1"/>
  <c r="M1722" i="4" s="1"/>
  <c r="K1723" i="1"/>
  <c r="M1723" i="4" s="1"/>
  <c r="K1724" i="1"/>
  <c r="M1724" i="4" s="1"/>
  <c r="K1725" i="1"/>
  <c r="M1725" i="4" s="1"/>
  <c r="K1726" i="1"/>
  <c r="M1726" i="4" s="1"/>
  <c r="K1727" i="1"/>
  <c r="M1727" i="4" s="1"/>
  <c r="K1728" i="1"/>
  <c r="M1728" i="4" s="1"/>
  <c r="K1729" i="1"/>
  <c r="M1729" i="4" s="1"/>
  <c r="K1730" i="1"/>
  <c r="M1730" i="4" s="1"/>
  <c r="K1731" i="1"/>
  <c r="M1731" i="4" s="1"/>
  <c r="K1732" i="1"/>
  <c r="M1732" i="4" s="1"/>
  <c r="K1733" i="1"/>
  <c r="M1733" i="4" s="1"/>
  <c r="K1734" i="1"/>
  <c r="M1734" i="4" s="1"/>
  <c r="K1735" i="1"/>
  <c r="M1735" i="4" s="1"/>
  <c r="K1736" i="1"/>
  <c r="M1736" i="4" s="1"/>
  <c r="K1737" i="1"/>
  <c r="M1737" i="4" s="1"/>
  <c r="K1738" i="1"/>
  <c r="M1738" i="4" s="1"/>
  <c r="K1739" i="1"/>
  <c r="M1739" i="4" s="1"/>
  <c r="K1740" i="1"/>
  <c r="M1740" i="4" s="1"/>
  <c r="K1741" i="1"/>
  <c r="M1741" i="4" s="1"/>
  <c r="K1742" i="1"/>
  <c r="M1742" i="4" s="1"/>
  <c r="K1743" i="1"/>
  <c r="M1743" i="4" s="1"/>
  <c r="K1744" i="1"/>
  <c r="M1744" i="4" s="1"/>
  <c r="K1745" i="1"/>
  <c r="M1745" i="4" s="1"/>
  <c r="K1746" i="1"/>
  <c r="M1746" i="4" s="1"/>
  <c r="K1747" i="1"/>
  <c r="M1747" i="4" s="1"/>
  <c r="K1748" i="1"/>
  <c r="M1748" i="4" s="1"/>
  <c r="K1749" i="1"/>
  <c r="M1749" i="4" s="1"/>
  <c r="K1750" i="1"/>
  <c r="M1750" i="4" s="1"/>
  <c r="K1751" i="1"/>
  <c r="M1751" i="4" s="1"/>
  <c r="K1752" i="1"/>
  <c r="M1752" i="4" s="1"/>
  <c r="K1753" i="1"/>
  <c r="M1753" i="4" s="1"/>
  <c r="K1754" i="1"/>
  <c r="M1754" i="4" s="1"/>
  <c r="K1755" i="1"/>
  <c r="M1755" i="4" s="1"/>
  <c r="K1756" i="1"/>
  <c r="M1756" i="4" s="1"/>
  <c r="K1757" i="1"/>
  <c r="M1757" i="4" s="1"/>
  <c r="K1758" i="1"/>
  <c r="M1758" i="4" s="1"/>
  <c r="K1759" i="1"/>
  <c r="M1759" i="4" s="1"/>
  <c r="K1760" i="1"/>
  <c r="M1760" i="4" s="1"/>
  <c r="K1761" i="1"/>
  <c r="M1761" i="4" s="1"/>
  <c r="K1762" i="1"/>
  <c r="M1762" i="4" s="1"/>
  <c r="K1763" i="1"/>
  <c r="M1763" i="4" s="1"/>
  <c r="K1764" i="1"/>
  <c r="M1764" i="4" s="1"/>
  <c r="K1765" i="1"/>
  <c r="M1765" i="4" s="1"/>
  <c r="K1766" i="1"/>
  <c r="M1766" i="4" s="1"/>
  <c r="K1767" i="1"/>
  <c r="M1767" i="4" s="1"/>
  <c r="K1768" i="1"/>
  <c r="M1768" i="4" s="1"/>
  <c r="K1769" i="1"/>
  <c r="M1769" i="4" s="1"/>
  <c r="K1770" i="1"/>
  <c r="M1770" i="4" s="1"/>
  <c r="K1771" i="1"/>
  <c r="M1771" i="4" s="1"/>
  <c r="K1772" i="1"/>
  <c r="M1772" i="4" s="1"/>
  <c r="K1773" i="1"/>
  <c r="M1773" i="4" s="1"/>
  <c r="K1774" i="1"/>
  <c r="M1774" i="4" s="1"/>
  <c r="K1775" i="1"/>
  <c r="M1775" i="4" s="1"/>
  <c r="K1776" i="1"/>
  <c r="M1776" i="4" s="1"/>
  <c r="K1777" i="1"/>
  <c r="M1777" i="4" s="1"/>
  <c r="K1778" i="1"/>
  <c r="M1778" i="4" s="1"/>
  <c r="K1779" i="1"/>
  <c r="M1779" i="4" s="1"/>
  <c r="K1780" i="1"/>
  <c r="M1780" i="4" s="1"/>
  <c r="K1781" i="1"/>
  <c r="M1781" i="4" s="1"/>
  <c r="K1782" i="1"/>
  <c r="M1782" i="4" s="1"/>
  <c r="K1783" i="1"/>
  <c r="M1783" i="4" s="1"/>
  <c r="K1784" i="1"/>
  <c r="M1784" i="4" s="1"/>
  <c r="K1785" i="1"/>
  <c r="M1785" i="4" s="1"/>
  <c r="K1786" i="1"/>
  <c r="M1786" i="4" s="1"/>
  <c r="K1787" i="1"/>
  <c r="M1787" i="4" s="1"/>
  <c r="K1788" i="1"/>
  <c r="M1788" i="4" s="1"/>
  <c r="K1789" i="1"/>
  <c r="M1789" i="4" s="1"/>
  <c r="K1790" i="1"/>
  <c r="M1790" i="4" s="1"/>
  <c r="K1791" i="1"/>
  <c r="M1791" i="4" s="1"/>
  <c r="K1792" i="1"/>
  <c r="M1792" i="4" s="1"/>
  <c r="K1793" i="1"/>
  <c r="M1793" i="4" s="1"/>
  <c r="K1794" i="1"/>
  <c r="M1794" i="4" s="1"/>
  <c r="K1795" i="1"/>
  <c r="M1795" i="4" s="1"/>
  <c r="K1796" i="1"/>
  <c r="M1796" i="4" s="1"/>
  <c r="K1797" i="1"/>
  <c r="M1797" i="4" s="1"/>
  <c r="K1798" i="1"/>
  <c r="M1798" i="4" s="1"/>
  <c r="K1799" i="1"/>
  <c r="M1799" i="4" s="1"/>
  <c r="K1800" i="1"/>
  <c r="M1800" i="4" s="1"/>
  <c r="K1801" i="1"/>
  <c r="M1801" i="4" s="1"/>
  <c r="K1802" i="1"/>
  <c r="M1802" i="4" s="1"/>
  <c r="K1803" i="1"/>
  <c r="M1803" i="4" s="1"/>
  <c r="K1804" i="1"/>
  <c r="M1804" i="4" s="1"/>
  <c r="K1805" i="1"/>
  <c r="M1805" i="4" s="1"/>
  <c r="K1806" i="1"/>
  <c r="M1806" i="4" s="1"/>
  <c r="K1807" i="1"/>
  <c r="M1807" i="4" s="1"/>
  <c r="K1808" i="1"/>
  <c r="M1808" i="4" s="1"/>
  <c r="K1809" i="1"/>
  <c r="M1809" i="4" s="1"/>
  <c r="K1810" i="1"/>
  <c r="M1810" i="4" s="1"/>
  <c r="K1811" i="1"/>
  <c r="M1811" i="4" s="1"/>
  <c r="K1812" i="1"/>
  <c r="M1812" i="4" s="1"/>
  <c r="K1813" i="1"/>
  <c r="M1813" i="4" s="1"/>
  <c r="K1814" i="1"/>
  <c r="M1814" i="4" s="1"/>
  <c r="K1815" i="1"/>
  <c r="M1815" i="4" s="1"/>
  <c r="K1816" i="1"/>
  <c r="M1816" i="4" s="1"/>
  <c r="K1817" i="1"/>
  <c r="M1817" i="4" s="1"/>
  <c r="K1818" i="1"/>
  <c r="M1818" i="4" s="1"/>
  <c r="K1819" i="1"/>
  <c r="M1819" i="4" s="1"/>
  <c r="K1820" i="1"/>
  <c r="M1820" i="4" s="1"/>
  <c r="K1821" i="1"/>
  <c r="M1821" i="4" s="1"/>
  <c r="K1822" i="1"/>
  <c r="M1822" i="4" s="1"/>
  <c r="K1823" i="1"/>
  <c r="M1823" i="4" s="1"/>
  <c r="K1824" i="1"/>
  <c r="M1824" i="4" s="1"/>
  <c r="K1825" i="1"/>
  <c r="M1825" i="4" s="1"/>
  <c r="K1826" i="1"/>
  <c r="M1826" i="4" s="1"/>
  <c r="K1827" i="1"/>
  <c r="M1827" i="4" s="1"/>
  <c r="K1828" i="1"/>
  <c r="M1828" i="4" s="1"/>
  <c r="K1829" i="1"/>
  <c r="M1829" i="4" s="1"/>
  <c r="K1830" i="1"/>
  <c r="M1830" i="4" s="1"/>
  <c r="K1831" i="1"/>
  <c r="M1831" i="4" s="1"/>
  <c r="K1832" i="1"/>
  <c r="M1832" i="4" s="1"/>
  <c r="K1833" i="1"/>
  <c r="M1833" i="4" s="1"/>
  <c r="K1834" i="1"/>
  <c r="M1834" i="4" s="1"/>
  <c r="K1835" i="1"/>
  <c r="M1835" i="4" s="1"/>
  <c r="K1836" i="1"/>
  <c r="M1836" i="4" s="1"/>
  <c r="K1837" i="1"/>
  <c r="M1837" i="4" s="1"/>
  <c r="K1838" i="1"/>
  <c r="M1838" i="4" s="1"/>
  <c r="K1839" i="1"/>
  <c r="M1839" i="4" s="1"/>
  <c r="K1840" i="1"/>
  <c r="M1840" i="4" s="1"/>
  <c r="K1841" i="1"/>
  <c r="M1841" i="4" s="1"/>
  <c r="K1842" i="1"/>
  <c r="M1842" i="4" s="1"/>
  <c r="K1843" i="1"/>
  <c r="M1843" i="4" s="1"/>
  <c r="K1844" i="1"/>
  <c r="M1844" i="4" s="1"/>
  <c r="K1845" i="1"/>
  <c r="M1845" i="4" s="1"/>
  <c r="K1846" i="1"/>
  <c r="M1846" i="4" s="1"/>
  <c r="K1847" i="1"/>
  <c r="M1847" i="4" s="1"/>
  <c r="K1848" i="1"/>
  <c r="M1848" i="4" s="1"/>
  <c r="K1849" i="1"/>
  <c r="M1849" i="4" s="1"/>
  <c r="K1850" i="1"/>
  <c r="M1850" i="4" s="1"/>
  <c r="K1851" i="1"/>
  <c r="M1851" i="4" s="1"/>
  <c r="K1852" i="1"/>
  <c r="M1852" i="4" s="1"/>
  <c r="K1853" i="1"/>
  <c r="M1853" i="4" s="1"/>
  <c r="K1854" i="1"/>
  <c r="M1854" i="4" s="1"/>
  <c r="K1855" i="1"/>
  <c r="M1855" i="4" s="1"/>
  <c r="K1856" i="1"/>
  <c r="M1856" i="4" s="1"/>
  <c r="K1857" i="1"/>
  <c r="M1857" i="4" s="1"/>
  <c r="K1858" i="1"/>
  <c r="M1858" i="4" s="1"/>
  <c r="K1859" i="1"/>
  <c r="M1859" i="4" s="1"/>
  <c r="K1860" i="1"/>
  <c r="M1860" i="4" s="1"/>
  <c r="K1861" i="1"/>
  <c r="M1861" i="4" s="1"/>
  <c r="K1862" i="1"/>
  <c r="M1862" i="4" s="1"/>
  <c r="K1863" i="1"/>
  <c r="M1863" i="4" s="1"/>
  <c r="K1864" i="1"/>
  <c r="M1864" i="4" s="1"/>
  <c r="K1865" i="1"/>
  <c r="M1865" i="4" s="1"/>
  <c r="K1866" i="1"/>
  <c r="M1866" i="4" s="1"/>
  <c r="K1867" i="1"/>
  <c r="M1867" i="4" s="1"/>
  <c r="K1868" i="1"/>
  <c r="M1868" i="4" s="1"/>
  <c r="K1869" i="1"/>
  <c r="M1869" i="4" s="1"/>
  <c r="K1870" i="1"/>
  <c r="M1870" i="4" s="1"/>
  <c r="K1871" i="1"/>
  <c r="M1871" i="4" s="1"/>
  <c r="K1872" i="1"/>
  <c r="M1872" i="4" s="1"/>
  <c r="K1873" i="1"/>
  <c r="M1873" i="4" s="1"/>
  <c r="K1874" i="1"/>
  <c r="M1874" i="4" s="1"/>
  <c r="K1875" i="1"/>
  <c r="M1875" i="4" s="1"/>
  <c r="K1876" i="1"/>
  <c r="M1876" i="4" s="1"/>
  <c r="K1877" i="1"/>
  <c r="M1877" i="4" s="1"/>
  <c r="K1878" i="1"/>
  <c r="M1878" i="4" s="1"/>
  <c r="K1879" i="1"/>
  <c r="M1879" i="4" s="1"/>
  <c r="K1880" i="1"/>
  <c r="M1880" i="4" s="1"/>
  <c r="K1881" i="1"/>
  <c r="M1881" i="4" s="1"/>
  <c r="K1882" i="1"/>
  <c r="M1882" i="4" s="1"/>
  <c r="K1883" i="1"/>
  <c r="M1883" i="4" s="1"/>
  <c r="K1884" i="1"/>
  <c r="M1884" i="4" s="1"/>
  <c r="K1885" i="1"/>
  <c r="M1885" i="4" s="1"/>
  <c r="K1886" i="1"/>
  <c r="M1886" i="4" s="1"/>
  <c r="K1887" i="1"/>
  <c r="M1887" i="4" s="1"/>
  <c r="K1888" i="1"/>
  <c r="M1888" i="4" s="1"/>
  <c r="K1889" i="1"/>
  <c r="M1889" i="4" s="1"/>
  <c r="K1890" i="1"/>
  <c r="M1890" i="4" s="1"/>
  <c r="K1891" i="1"/>
  <c r="M1891" i="4" s="1"/>
  <c r="K1892" i="1"/>
  <c r="M1892" i="4" s="1"/>
  <c r="K1893" i="1"/>
  <c r="M1893" i="4" s="1"/>
  <c r="K1894" i="1"/>
  <c r="M1894" i="4" s="1"/>
  <c r="K1895" i="1"/>
  <c r="M1895" i="4" s="1"/>
  <c r="K1896" i="1"/>
  <c r="M1896" i="4" s="1"/>
  <c r="K1897" i="1"/>
  <c r="M1897" i="4" s="1"/>
  <c r="K1898" i="1"/>
  <c r="M1898" i="4" s="1"/>
  <c r="K1899" i="1"/>
  <c r="M1899" i="4" s="1"/>
  <c r="K1900" i="1"/>
  <c r="M1900" i="4" s="1"/>
  <c r="K1901" i="1"/>
  <c r="M1901" i="4" s="1"/>
  <c r="K1902" i="1"/>
  <c r="M1902" i="4" s="1"/>
  <c r="K1903" i="1"/>
  <c r="M1903" i="4" s="1"/>
  <c r="K1904" i="1"/>
  <c r="M1904" i="4" s="1"/>
  <c r="K1905" i="1"/>
  <c r="M1905" i="4" s="1"/>
  <c r="K1906" i="1"/>
  <c r="M1906" i="4" s="1"/>
  <c r="K1907" i="1"/>
  <c r="M1907" i="4" s="1"/>
  <c r="K1908" i="1"/>
  <c r="M1908" i="4" s="1"/>
  <c r="K1909" i="1"/>
  <c r="M1909" i="4" s="1"/>
  <c r="K1910" i="1"/>
  <c r="M1910" i="4" s="1"/>
  <c r="K1911" i="1"/>
  <c r="M1911" i="4" s="1"/>
  <c r="K1912" i="1"/>
  <c r="M1912" i="4" s="1"/>
  <c r="K1913" i="1"/>
  <c r="M1913" i="4" s="1"/>
  <c r="K1914" i="1"/>
  <c r="M1914" i="4" s="1"/>
  <c r="K1915" i="1"/>
  <c r="M1915" i="4" s="1"/>
  <c r="K1916" i="1"/>
  <c r="M1916" i="4" s="1"/>
  <c r="K1917" i="1"/>
  <c r="M1917" i="4" s="1"/>
  <c r="K1918" i="1"/>
  <c r="M1918" i="4" s="1"/>
  <c r="K1919" i="1"/>
  <c r="M1919" i="4" s="1"/>
  <c r="K1920" i="1"/>
  <c r="M1920" i="4" s="1"/>
  <c r="K1921" i="1"/>
  <c r="M1921" i="4" s="1"/>
  <c r="K1922" i="1"/>
  <c r="M1922" i="4" s="1"/>
  <c r="K1923" i="1"/>
  <c r="M1923" i="4" s="1"/>
  <c r="K1924" i="1"/>
  <c r="M1924" i="4" s="1"/>
  <c r="K1925" i="1"/>
  <c r="M1925" i="4" s="1"/>
  <c r="K1926" i="1"/>
  <c r="M1926" i="4" s="1"/>
  <c r="K1927" i="1"/>
  <c r="M1927" i="4" s="1"/>
  <c r="K1928" i="1"/>
  <c r="M1928" i="4" s="1"/>
  <c r="K1929" i="1"/>
  <c r="M1929" i="4" s="1"/>
  <c r="K1930" i="1"/>
  <c r="M1930" i="4" s="1"/>
  <c r="K1931" i="1"/>
  <c r="M1931" i="4" s="1"/>
  <c r="K1932" i="1"/>
  <c r="M1932" i="4" s="1"/>
  <c r="K1933" i="1"/>
  <c r="M1933" i="4" s="1"/>
  <c r="K1934" i="1"/>
  <c r="M1934" i="4" s="1"/>
  <c r="K1935" i="1"/>
  <c r="M1935" i="4" s="1"/>
  <c r="K1936" i="1"/>
  <c r="M1936" i="4" s="1"/>
  <c r="K1937" i="1"/>
  <c r="M1937" i="4" s="1"/>
  <c r="K1938" i="1"/>
  <c r="M1938" i="4" s="1"/>
  <c r="K1939" i="1"/>
  <c r="M1939" i="4" s="1"/>
  <c r="K1940" i="1"/>
  <c r="M1940" i="4" s="1"/>
  <c r="K1941" i="1"/>
  <c r="M1941" i="4" s="1"/>
  <c r="K1942" i="1"/>
  <c r="M1942" i="4" s="1"/>
  <c r="K1943" i="1"/>
  <c r="M1943" i="4" s="1"/>
  <c r="K1944" i="1"/>
  <c r="M1944" i="4" s="1"/>
  <c r="K1945" i="1"/>
  <c r="M1945" i="4" s="1"/>
  <c r="K1946" i="1"/>
  <c r="M1946" i="4" s="1"/>
  <c r="K1947" i="1"/>
  <c r="M1947" i="4" s="1"/>
  <c r="K1948" i="1"/>
  <c r="M1948" i="4" s="1"/>
  <c r="K1949" i="1"/>
  <c r="M1949" i="4" s="1"/>
  <c r="K1950" i="1"/>
  <c r="M1950" i="4" s="1"/>
  <c r="K1951" i="1"/>
  <c r="M1951" i="4" s="1"/>
  <c r="K1952" i="1"/>
  <c r="M1952" i="4" s="1"/>
  <c r="K1953" i="1"/>
  <c r="M1953" i="4" s="1"/>
  <c r="K1954" i="1"/>
  <c r="M1954" i="4" s="1"/>
  <c r="K1955" i="1"/>
  <c r="M1955" i="4" s="1"/>
  <c r="K1956" i="1"/>
  <c r="M1956" i="4" s="1"/>
  <c r="K1957" i="1"/>
  <c r="M1957" i="4" s="1"/>
  <c r="K1958" i="1"/>
  <c r="M1958" i="4" s="1"/>
  <c r="K1959" i="1"/>
  <c r="M1959" i="4" s="1"/>
  <c r="K1960" i="1"/>
  <c r="M1960" i="4" s="1"/>
  <c r="K1961" i="1"/>
  <c r="M1961" i="4" s="1"/>
  <c r="K1962" i="1"/>
  <c r="M1962" i="4" s="1"/>
  <c r="K1963" i="1"/>
  <c r="M1963" i="4" s="1"/>
  <c r="K1964" i="1"/>
  <c r="M1964" i="4" s="1"/>
  <c r="K1965" i="1"/>
  <c r="M1965" i="4" s="1"/>
  <c r="K1966" i="1"/>
  <c r="M1966" i="4" s="1"/>
  <c r="K1967" i="1"/>
  <c r="M1967" i="4" s="1"/>
  <c r="K1968" i="1"/>
  <c r="M1968" i="4" s="1"/>
  <c r="K1969" i="1"/>
  <c r="M1969" i="4" s="1"/>
  <c r="K1970" i="1"/>
  <c r="M1970" i="4" s="1"/>
  <c r="K1971" i="1"/>
  <c r="M1971" i="4" s="1"/>
  <c r="K1972" i="1"/>
  <c r="M1972" i="4" s="1"/>
  <c r="K1973" i="1"/>
  <c r="M1973" i="4" s="1"/>
  <c r="K1974" i="1"/>
  <c r="M1974" i="4" s="1"/>
  <c r="K1975" i="1"/>
  <c r="M1975" i="4" s="1"/>
  <c r="K1976" i="1"/>
  <c r="M1976" i="4" s="1"/>
  <c r="K1977" i="1"/>
  <c r="M1977" i="4" s="1"/>
  <c r="K1978" i="1"/>
  <c r="M1978" i="4" s="1"/>
  <c r="K1979" i="1"/>
  <c r="M1979" i="4" s="1"/>
  <c r="K1980" i="1"/>
  <c r="M1980" i="4" s="1"/>
  <c r="K1981" i="1"/>
  <c r="M1981" i="4" s="1"/>
  <c r="K1982" i="1"/>
  <c r="M1982" i="4" s="1"/>
  <c r="K1983" i="1"/>
  <c r="M1983" i="4" s="1"/>
  <c r="K1984" i="1"/>
  <c r="M1984" i="4" s="1"/>
  <c r="K1985" i="1"/>
  <c r="M1985" i="4" s="1"/>
  <c r="K1986" i="1"/>
  <c r="M1986" i="4" s="1"/>
  <c r="K1987" i="1"/>
  <c r="M1987" i="4" s="1"/>
  <c r="K1988" i="1"/>
  <c r="M1988" i="4" s="1"/>
  <c r="K1989" i="1"/>
  <c r="M1989" i="4" s="1"/>
  <c r="K1990" i="1"/>
  <c r="M1990" i="4" s="1"/>
  <c r="K1991" i="1"/>
  <c r="M1991" i="4" s="1"/>
  <c r="K1992" i="1"/>
  <c r="M1992" i="4" s="1"/>
  <c r="K1993" i="1"/>
  <c r="M1993" i="4" s="1"/>
  <c r="K1994" i="1"/>
  <c r="M1994" i="4" s="1"/>
  <c r="K1995" i="1"/>
  <c r="M1995" i="4" s="1"/>
  <c r="K1996" i="1"/>
  <c r="M1996" i="4" s="1"/>
  <c r="K1997" i="1"/>
  <c r="M1997" i="4" s="1"/>
  <c r="K1998" i="1"/>
  <c r="M1998" i="4" s="1"/>
  <c r="K1999" i="1"/>
  <c r="M1999" i="4" s="1"/>
  <c r="K2000" i="1"/>
  <c r="M2000" i="4" s="1"/>
  <c r="K2001" i="1"/>
  <c r="M2001" i="4" s="1"/>
  <c r="K2002" i="1"/>
  <c r="M2002" i="4" s="1"/>
  <c r="K2003" i="1"/>
  <c r="M2003" i="4" s="1"/>
  <c r="K2004" i="1"/>
  <c r="M2004" i="4" s="1"/>
  <c r="K2005" i="1"/>
  <c r="M2005" i="4" s="1"/>
  <c r="K2006" i="1"/>
  <c r="M2006" i="4" s="1"/>
  <c r="K2007" i="1"/>
  <c r="M2007" i="4" s="1"/>
  <c r="K2008" i="1"/>
  <c r="M2008" i="4" s="1"/>
  <c r="K2009" i="1"/>
  <c r="M2009" i="4" s="1"/>
  <c r="K2010" i="1"/>
  <c r="M2010" i="4" s="1"/>
  <c r="K2011" i="1"/>
  <c r="M2011" i="4" s="1"/>
  <c r="K2012" i="1"/>
  <c r="M2012" i="4" s="1"/>
  <c r="K2013" i="1"/>
  <c r="M2013" i="4" s="1"/>
  <c r="K2014" i="1"/>
  <c r="M2014" i="4" s="1"/>
  <c r="K2015" i="1"/>
  <c r="M2015" i="4" s="1"/>
  <c r="K2016" i="1"/>
  <c r="M2016" i="4" s="1"/>
  <c r="K2" i="1"/>
  <c r="E3" i="1"/>
  <c r="D3" i="4" s="1"/>
  <c r="E4" i="1"/>
  <c r="D4" i="4" s="1"/>
  <c r="E5" i="1"/>
  <c r="D5" i="4" s="1"/>
  <c r="E6" i="1"/>
  <c r="D6" i="4" s="1"/>
  <c r="E7" i="1"/>
  <c r="D7" i="4" s="1"/>
  <c r="E8" i="1"/>
  <c r="D8" i="4" s="1"/>
  <c r="E9" i="1"/>
  <c r="D9" i="4" s="1"/>
  <c r="E10" i="1"/>
  <c r="D10" i="4" s="1"/>
  <c r="E11" i="1"/>
  <c r="D11" i="4" s="1"/>
  <c r="E12" i="1"/>
  <c r="D12" i="4" s="1"/>
  <c r="E13" i="1"/>
  <c r="D13" i="4" s="1"/>
  <c r="E14" i="1"/>
  <c r="D14" i="4" s="1"/>
  <c r="E15" i="1"/>
  <c r="D15" i="4" s="1"/>
  <c r="E16" i="1"/>
  <c r="D16" i="4" s="1"/>
  <c r="E17" i="1"/>
  <c r="D17" i="4" s="1"/>
  <c r="E18" i="1"/>
  <c r="D18" i="4" s="1"/>
  <c r="E19" i="1"/>
  <c r="D19" i="4" s="1"/>
  <c r="E20" i="1"/>
  <c r="D20" i="4" s="1"/>
  <c r="E21" i="1"/>
  <c r="D21" i="4" s="1"/>
  <c r="E22" i="1"/>
  <c r="D22" i="4" s="1"/>
  <c r="E23" i="1"/>
  <c r="D23" i="4" s="1"/>
  <c r="E24" i="1"/>
  <c r="D24" i="4" s="1"/>
  <c r="E25" i="1"/>
  <c r="D25" i="4" s="1"/>
  <c r="E26" i="1"/>
  <c r="D26" i="4" s="1"/>
  <c r="E27" i="1"/>
  <c r="D27" i="4" s="1"/>
  <c r="E28" i="1"/>
  <c r="D28" i="4" s="1"/>
  <c r="E29" i="1"/>
  <c r="D29" i="4" s="1"/>
  <c r="E30" i="1"/>
  <c r="D30" i="4" s="1"/>
  <c r="E31" i="1"/>
  <c r="D31" i="4" s="1"/>
  <c r="E32" i="1"/>
  <c r="D32" i="4" s="1"/>
  <c r="E33" i="1"/>
  <c r="D33" i="4" s="1"/>
  <c r="E34" i="1"/>
  <c r="D34" i="4" s="1"/>
  <c r="E35" i="1"/>
  <c r="D35" i="4" s="1"/>
  <c r="E36" i="1"/>
  <c r="D36" i="4" s="1"/>
  <c r="E37" i="1"/>
  <c r="D37" i="4" s="1"/>
  <c r="E38" i="1"/>
  <c r="D38" i="4" s="1"/>
  <c r="E39" i="1"/>
  <c r="D39" i="4" s="1"/>
  <c r="E40" i="1"/>
  <c r="D40" i="4" s="1"/>
  <c r="E41" i="1"/>
  <c r="D41" i="4" s="1"/>
  <c r="E42" i="1"/>
  <c r="D42" i="4" s="1"/>
  <c r="E43" i="1"/>
  <c r="D43" i="4" s="1"/>
  <c r="E44" i="1"/>
  <c r="D44" i="4" s="1"/>
  <c r="E45" i="1"/>
  <c r="D45" i="4" s="1"/>
  <c r="E46" i="1"/>
  <c r="D46" i="4" s="1"/>
  <c r="E47" i="1"/>
  <c r="D47" i="4" s="1"/>
  <c r="E48" i="1"/>
  <c r="D48" i="4" s="1"/>
  <c r="E49" i="1"/>
  <c r="D49" i="4" s="1"/>
  <c r="E50" i="1"/>
  <c r="D50" i="4" s="1"/>
  <c r="E51" i="1"/>
  <c r="D51" i="4" s="1"/>
  <c r="E52" i="1"/>
  <c r="D52" i="4" s="1"/>
  <c r="E53" i="1"/>
  <c r="D53" i="4" s="1"/>
  <c r="E54" i="1"/>
  <c r="D54" i="4" s="1"/>
  <c r="E55" i="1"/>
  <c r="D55" i="4" s="1"/>
  <c r="E56" i="1"/>
  <c r="D56" i="4" s="1"/>
  <c r="E57" i="1"/>
  <c r="D57" i="4" s="1"/>
  <c r="E58" i="1"/>
  <c r="D58" i="4" s="1"/>
  <c r="E59" i="1"/>
  <c r="D59" i="4" s="1"/>
  <c r="E60" i="1"/>
  <c r="D60" i="4" s="1"/>
  <c r="E61" i="1"/>
  <c r="D61" i="4" s="1"/>
  <c r="E62" i="1"/>
  <c r="D62" i="4" s="1"/>
  <c r="E63" i="1"/>
  <c r="D63" i="4" s="1"/>
  <c r="E64" i="1"/>
  <c r="D64" i="4" s="1"/>
  <c r="E65" i="1"/>
  <c r="D65" i="4" s="1"/>
  <c r="E66" i="1"/>
  <c r="D66" i="4" s="1"/>
  <c r="E67" i="1"/>
  <c r="D67" i="4" s="1"/>
  <c r="E68" i="1"/>
  <c r="D68" i="4" s="1"/>
  <c r="E69" i="1"/>
  <c r="D69" i="4" s="1"/>
  <c r="E70" i="1"/>
  <c r="D70" i="4" s="1"/>
  <c r="E71" i="1"/>
  <c r="D71" i="4" s="1"/>
  <c r="E72" i="1"/>
  <c r="D72" i="4" s="1"/>
  <c r="E73" i="1"/>
  <c r="D73" i="4" s="1"/>
  <c r="E74" i="1"/>
  <c r="D74" i="4" s="1"/>
  <c r="E75" i="1"/>
  <c r="D75" i="4" s="1"/>
  <c r="E76" i="1"/>
  <c r="D76" i="4" s="1"/>
  <c r="E77" i="1"/>
  <c r="D77" i="4" s="1"/>
  <c r="E78" i="1"/>
  <c r="D78" i="4" s="1"/>
  <c r="E79" i="1"/>
  <c r="D79" i="4" s="1"/>
  <c r="E80" i="1"/>
  <c r="D80" i="4" s="1"/>
  <c r="E81" i="1"/>
  <c r="D81" i="4" s="1"/>
  <c r="E82" i="1"/>
  <c r="D82" i="4" s="1"/>
  <c r="E83" i="1"/>
  <c r="D83" i="4" s="1"/>
  <c r="E84" i="1"/>
  <c r="D84" i="4" s="1"/>
  <c r="E85" i="1"/>
  <c r="D85" i="4" s="1"/>
  <c r="E86" i="1"/>
  <c r="D86" i="4" s="1"/>
  <c r="E87" i="1"/>
  <c r="D87" i="4" s="1"/>
  <c r="E88" i="1"/>
  <c r="D88" i="4" s="1"/>
  <c r="E89" i="1"/>
  <c r="D89" i="4" s="1"/>
  <c r="E90" i="1"/>
  <c r="D90" i="4" s="1"/>
  <c r="E91" i="1"/>
  <c r="D91" i="4" s="1"/>
  <c r="E92" i="1"/>
  <c r="D92" i="4" s="1"/>
  <c r="E93" i="1"/>
  <c r="D93" i="4" s="1"/>
  <c r="E94" i="1"/>
  <c r="D94" i="4" s="1"/>
  <c r="E95" i="1"/>
  <c r="D95" i="4" s="1"/>
  <c r="E96" i="1"/>
  <c r="D96" i="4" s="1"/>
  <c r="E97" i="1"/>
  <c r="D97" i="4" s="1"/>
  <c r="E98" i="1"/>
  <c r="D98" i="4" s="1"/>
  <c r="E99" i="1"/>
  <c r="D99" i="4" s="1"/>
  <c r="E100" i="1"/>
  <c r="D100" i="4" s="1"/>
  <c r="E101" i="1"/>
  <c r="D101" i="4" s="1"/>
  <c r="E102" i="1"/>
  <c r="D102" i="4" s="1"/>
  <c r="E103" i="1"/>
  <c r="D103" i="4" s="1"/>
  <c r="E104" i="1"/>
  <c r="D104" i="4" s="1"/>
  <c r="E105" i="1"/>
  <c r="D105" i="4" s="1"/>
  <c r="E106" i="1"/>
  <c r="D106" i="4" s="1"/>
  <c r="E107" i="1"/>
  <c r="D107" i="4" s="1"/>
  <c r="E108" i="1"/>
  <c r="D108" i="4" s="1"/>
  <c r="E109" i="1"/>
  <c r="D109" i="4" s="1"/>
  <c r="E110" i="1"/>
  <c r="D110" i="4" s="1"/>
  <c r="E111" i="1"/>
  <c r="D111" i="4" s="1"/>
  <c r="E112" i="1"/>
  <c r="D112" i="4" s="1"/>
  <c r="E113" i="1"/>
  <c r="D113" i="4" s="1"/>
  <c r="E114" i="1"/>
  <c r="D114" i="4" s="1"/>
  <c r="E115" i="1"/>
  <c r="D115" i="4" s="1"/>
  <c r="E116" i="1"/>
  <c r="D116" i="4" s="1"/>
  <c r="E117" i="1"/>
  <c r="D117" i="4" s="1"/>
  <c r="E118" i="1"/>
  <c r="D118" i="4" s="1"/>
  <c r="E119" i="1"/>
  <c r="D119" i="4" s="1"/>
  <c r="E120" i="1"/>
  <c r="D120" i="4" s="1"/>
  <c r="E121" i="1"/>
  <c r="D121" i="4" s="1"/>
  <c r="E122" i="1"/>
  <c r="D122" i="4" s="1"/>
  <c r="E123" i="1"/>
  <c r="D123" i="4" s="1"/>
  <c r="E124" i="1"/>
  <c r="D124" i="4" s="1"/>
  <c r="E125" i="1"/>
  <c r="D125" i="4" s="1"/>
  <c r="E126" i="1"/>
  <c r="D126" i="4" s="1"/>
  <c r="E127" i="1"/>
  <c r="D127" i="4" s="1"/>
  <c r="E128" i="1"/>
  <c r="D128" i="4" s="1"/>
  <c r="E129" i="1"/>
  <c r="D129" i="4" s="1"/>
  <c r="E130" i="1"/>
  <c r="D130" i="4" s="1"/>
  <c r="E131" i="1"/>
  <c r="D131" i="4" s="1"/>
  <c r="E132" i="1"/>
  <c r="D132" i="4" s="1"/>
  <c r="E133" i="1"/>
  <c r="D133" i="4" s="1"/>
  <c r="E134" i="1"/>
  <c r="D134" i="4" s="1"/>
  <c r="E135" i="1"/>
  <c r="D135" i="4" s="1"/>
  <c r="E136" i="1"/>
  <c r="D136" i="4" s="1"/>
  <c r="E137" i="1"/>
  <c r="D137" i="4" s="1"/>
  <c r="E138" i="1"/>
  <c r="D138" i="4" s="1"/>
  <c r="E139" i="1"/>
  <c r="D139" i="4" s="1"/>
  <c r="E140" i="1"/>
  <c r="D140" i="4" s="1"/>
  <c r="E141" i="1"/>
  <c r="D141" i="4" s="1"/>
  <c r="E142" i="1"/>
  <c r="D142" i="4" s="1"/>
  <c r="E143" i="1"/>
  <c r="D143" i="4" s="1"/>
  <c r="E144" i="1"/>
  <c r="D144" i="4" s="1"/>
  <c r="E145" i="1"/>
  <c r="D145" i="4" s="1"/>
  <c r="E146" i="1"/>
  <c r="D146" i="4" s="1"/>
  <c r="E147" i="1"/>
  <c r="D147" i="4" s="1"/>
  <c r="E148" i="1"/>
  <c r="D148" i="4" s="1"/>
  <c r="E149" i="1"/>
  <c r="D149" i="4" s="1"/>
  <c r="E150" i="1"/>
  <c r="D150" i="4" s="1"/>
  <c r="E151" i="1"/>
  <c r="D151" i="4" s="1"/>
  <c r="E152" i="1"/>
  <c r="D152" i="4" s="1"/>
  <c r="E153" i="1"/>
  <c r="D153" i="4" s="1"/>
  <c r="E154" i="1"/>
  <c r="D154" i="4" s="1"/>
  <c r="E155" i="1"/>
  <c r="D155" i="4" s="1"/>
  <c r="E156" i="1"/>
  <c r="D156" i="4" s="1"/>
  <c r="E157" i="1"/>
  <c r="D157" i="4" s="1"/>
  <c r="E158" i="1"/>
  <c r="D158" i="4" s="1"/>
  <c r="E159" i="1"/>
  <c r="D159" i="4" s="1"/>
  <c r="E160" i="1"/>
  <c r="D160" i="4" s="1"/>
  <c r="E161" i="1"/>
  <c r="D161" i="4" s="1"/>
  <c r="E162" i="1"/>
  <c r="D162" i="4" s="1"/>
  <c r="E163" i="1"/>
  <c r="D163" i="4" s="1"/>
  <c r="E164" i="1"/>
  <c r="D164" i="4" s="1"/>
  <c r="E165" i="1"/>
  <c r="D165" i="4" s="1"/>
  <c r="E166" i="1"/>
  <c r="D166" i="4" s="1"/>
  <c r="E167" i="1"/>
  <c r="D167" i="4" s="1"/>
  <c r="E168" i="1"/>
  <c r="D168" i="4" s="1"/>
  <c r="E169" i="1"/>
  <c r="D169" i="4" s="1"/>
  <c r="E170" i="1"/>
  <c r="D170" i="4" s="1"/>
  <c r="E171" i="1"/>
  <c r="D171" i="4" s="1"/>
  <c r="E172" i="1"/>
  <c r="D172" i="4" s="1"/>
  <c r="E173" i="1"/>
  <c r="D173" i="4" s="1"/>
  <c r="E174" i="1"/>
  <c r="D174" i="4" s="1"/>
  <c r="E175" i="1"/>
  <c r="D175" i="4" s="1"/>
  <c r="E176" i="1"/>
  <c r="D176" i="4" s="1"/>
  <c r="E177" i="1"/>
  <c r="D177" i="4" s="1"/>
  <c r="E178" i="1"/>
  <c r="D178" i="4" s="1"/>
  <c r="E179" i="1"/>
  <c r="D179" i="4" s="1"/>
  <c r="E180" i="1"/>
  <c r="D180" i="4" s="1"/>
  <c r="E181" i="1"/>
  <c r="D181" i="4" s="1"/>
  <c r="E182" i="1"/>
  <c r="D182" i="4" s="1"/>
  <c r="E183" i="1"/>
  <c r="D183" i="4" s="1"/>
  <c r="E184" i="1"/>
  <c r="D184" i="4" s="1"/>
  <c r="E185" i="1"/>
  <c r="D185" i="4" s="1"/>
  <c r="E186" i="1"/>
  <c r="D186" i="4" s="1"/>
  <c r="E187" i="1"/>
  <c r="D187" i="4" s="1"/>
  <c r="E188" i="1"/>
  <c r="D188" i="4" s="1"/>
  <c r="E189" i="1"/>
  <c r="D189" i="4" s="1"/>
  <c r="E190" i="1"/>
  <c r="D190" i="4" s="1"/>
  <c r="E191" i="1"/>
  <c r="D191" i="4" s="1"/>
  <c r="E192" i="1"/>
  <c r="D192" i="4" s="1"/>
  <c r="E193" i="1"/>
  <c r="D193" i="4" s="1"/>
  <c r="E194" i="1"/>
  <c r="D194" i="4" s="1"/>
  <c r="E195" i="1"/>
  <c r="D195" i="4" s="1"/>
  <c r="E196" i="1"/>
  <c r="D196" i="4" s="1"/>
  <c r="E197" i="1"/>
  <c r="D197" i="4" s="1"/>
  <c r="E198" i="1"/>
  <c r="D198" i="4" s="1"/>
  <c r="E199" i="1"/>
  <c r="D199" i="4" s="1"/>
  <c r="E200" i="1"/>
  <c r="D200" i="4" s="1"/>
  <c r="E201" i="1"/>
  <c r="D201" i="4" s="1"/>
  <c r="E202" i="1"/>
  <c r="D202" i="4" s="1"/>
  <c r="E203" i="1"/>
  <c r="D203" i="4" s="1"/>
  <c r="E204" i="1"/>
  <c r="D204" i="4" s="1"/>
  <c r="E205" i="1"/>
  <c r="D205" i="4" s="1"/>
  <c r="E206" i="1"/>
  <c r="D206" i="4" s="1"/>
  <c r="E207" i="1"/>
  <c r="D207" i="4" s="1"/>
  <c r="E208" i="1"/>
  <c r="D208" i="4" s="1"/>
  <c r="E209" i="1"/>
  <c r="D209" i="4" s="1"/>
  <c r="E210" i="1"/>
  <c r="D210" i="4" s="1"/>
  <c r="E211" i="1"/>
  <c r="D211" i="4" s="1"/>
  <c r="E212" i="1"/>
  <c r="D212" i="4" s="1"/>
  <c r="E213" i="1"/>
  <c r="D213" i="4" s="1"/>
  <c r="E214" i="1"/>
  <c r="D214" i="4" s="1"/>
  <c r="E215" i="1"/>
  <c r="D215" i="4" s="1"/>
  <c r="E216" i="1"/>
  <c r="D216" i="4" s="1"/>
  <c r="E217" i="1"/>
  <c r="D217" i="4" s="1"/>
  <c r="E218" i="1"/>
  <c r="D218" i="4" s="1"/>
  <c r="E219" i="1"/>
  <c r="D219" i="4" s="1"/>
  <c r="E220" i="1"/>
  <c r="D220" i="4" s="1"/>
  <c r="E221" i="1"/>
  <c r="D221" i="4" s="1"/>
  <c r="E222" i="1"/>
  <c r="D222" i="4" s="1"/>
  <c r="E223" i="1"/>
  <c r="D223" i="4" s="1"/>
  <c r="E224" i="1"/>
  <c r="D224" i="4" s="1"/>
  <c r="E225" i="1"/>
  <c r="D225" i="4" s="1"/>
  <c r="E226" i="1"/>
  <c r="D226" i="4" s="1"/>
  <c r="E227" i="1"/>
  <c r="D227" i="4" s="1"/>
  <c r="E228" i="1"/>
  <c r="D228" i="4" s="1"/>
  <c r="E229" i="1"/>
  <c r="D229" i="4" s="1"/>
  <c r="E230" i="1"/>
  <c r="D230" i="4" s="1"/>
  <c r="E231" i="1"/>
  <c r="D231" i="4" s="1"/>
  <c r="E232" i="1"/>
  <c r="D232" i="4" s="1"/>
  <c r="E233" i="1"/>
  <c r="D233" i="4" s="1"/>
  <c r="E234" i="1"/>
  <c r="D234" i="4" s="1"/>
  <c r="E235" i="1"/>
  <c r="D235" i="4" s="1"/>
  <c r="E236" i="1"/>
  <c r="D236" i="4" s="1"/>
  <c r="E237" i="1"/>
  <c r="D237" i="4" s="1"/>
  <c r="E238" i="1"/>
  <c r="D238" i="4" s="1"/>
  <c r="E239" i="1"/>
  <c r="D239" i="4" s="1"/>
  <c r="E240" i="1"/>
  <c r="D240" i="4" s="1"/>
  <c r="E241" i="1"/>
  <c r="D241" i="4" s="1"/>
  <c r="E242" i="1"/>
  <c r="D242" i="4" s="1"/>
  <c r="E243" i="1"/>
  <c r="D243" i="4" s="1"/>
  <c r="E244" i="1"/>
  <c r="D244" i="4" s="1"/>
  <c r="E245" i="1"/>
  <c r="D245" i="4" s="1"/>
  <c r="E246" i="1"/>
  <c r="D246" i="4" s="1"/>
  <c r="E247" i="1"/>
  <c r="D247" i="4" s="1"/>
  <c r="E248" i="1"/>
  <c r="D248" i="4" s="1"/>
  <c r="E249" i="1"/>
  <c r="D249" i="4" s="1"/>
  <c r="E250" i="1"/>
  <c r="D250" i="4" s="1"/>
  <c r="E251" i="1"/>
  <c r="D251" i="4" s="1"/>
  <c r="E252" i="1"/>
  <c r="D252" i="4" s="1"/>
  <c r="E253" i="1"/>
  <c r="D253" i="4" s="1"/>
  <c r="E254" i="1"/>
  <c r="D254" i="4" s="1"/>
  <c r="E255" i="1"/>
  <c r="D255" i="4" s="1"/>
  <c r="E256" i="1"/>
  <c r="D256" i="4" s="1"/>
  <c r="E257" i="1"/>
  <c r="D257" i="4" s="1"/>
  <c r="E258" i="1"/>
  <c r="D258" i="4" s="1"/>
  <c r="E259" i="1"/>
  <c r="D259" i="4" s="1"/>
  <c r="E260" i="1"/>
  <c r="D260" i="4" s="1"/>
  <c r="E261" i="1"/>
  <c r="D261" i="4" s="1"/>
  <c r="E262" i="1"/>
  <c r="D262" i="4" s="1"/>
  <c r="E263" i="1"/>
  <c r="D263" i="4" s="1"/>
  <c r="E264" i="1"/>
  <c r="D264" i="4" s="1"/>
  <c r="E265" i="1"/>
  <c r="D265" i="4" s="1"/>
  <c r="E266" i="1"/>
  <c r="D266" i="4" s="1"/>
  <c r="E267" i="1"/>
  <c r="D267" i="4" s="1"/>
  <c r="E268" i="1"/>
  <c r="D268" i="4" s="1"/>
  <c r="E269" i="1"/>
  <c r="D269" i="4" s="1"/>
  <c r="E270" i="1"/>
  <c r="D270" i="4" s="1"/>
  <c r="E271" i="1"/>
  <c r="D271" i="4" s="1"/>
  <c r="E272" i="1"/>
  <c r="D272" i="4" s="1"/>
  <c r="E273" i="1"/>
  <c r="D273" i="4" s="1"/>
  <c r="E274" i="1"/>
  <c r="D274" i="4" s="1"/>
  <c r="E275" i="1"/>
  <c r="D275" i="4" s="1"/>
  <c r="E276" i="1"/>
  <c r="D276" i="4" s="1"/>
  <c r="E277" i="1"/>
  <c r="D277" i="4" s="1"/>
  <c r="E278" i="1"/>
  <c r="D278" i="4" s="1"/>
  <c r="E279" i="1"/>
  <c r="D279" i="4" s="1"/>
  <c r="E280" i="1"/>
  <c r="D280" i="4" s="1"/>
  <c r="E281" i="1"/>
  <c r="D281" i="4" s="1"/>
  <c r="E282" i="1"/>
  <c r="D282" i="4" s="1"/>
  <c r="E283" i="1"/>
  <c r="D283" i="4" s="1"/>
  <c r="E284" i="1"/>
  <c r="D284" i="4" s="1"/>
  <c r="E285" i="1"/>
  <c r="D285" i="4" s="1"/>
  <c r="E286" i="1"/>
  <c r="D286" i="4" s="1"/>
  <c r="E287" i="1"/>
  <c r="D287" i="4" s="1"/>
  <c r="E288" i="1"/>
  <c r="D288" i="4" s="1"/>
  <c r="E289" i="1"/>
  <c r="D289" i="4" s="1"/>
  <c r="E290" i="1"/>
  <c r="D290" i="4" s="1"/>
  <c r="E291" i="1"/>
  <c r="D291" i="4" s="1"/>
  <c r="E292" i="1"/>
  <c r="D292" i="4" s="1"/>
  <c r="E293" i="1"/>
  <c r="D293" i="4" s="1"/>
  <c r="E294" i="1"/>
  <c r="D294" i="4" s="1"/>
  <c r="E295" i="1"/>
  <c r="D295" i="4" s="1"/>
  <c r="E296" i="1"/>
  <c r="D296" i="4" s="1"/>
  <c r="E297" i="1"/>
  <c r="D297" i="4" s="1"/>
  <c r="E298" i="1"/>
  <c r="D298" i="4" s="1"/>
  <c r="E299" i="1"/>
  <c r="D299" i="4" s="1"/>
  <c r="E300" i="1"/>
  <c r="D300" i="4" s="1"/>
  <c r="E301" i="1"/>
  <c r="D301" i="4" s="1"/>
  <c r="E302" i="1"/>
  <c r="D302" i="4" s="1"/>
  <c r="E303" i="1"/>
  <c r="D303" i="4" s="1"/>
  <c r="E304" i="1"/>
  <c r="D304" i="4" s="1"/>
  <c r="E305" i="1"/>
  <c r="D305" i="4" s="1"/>
  <c r="E306" i="1"/>
  <c r="D306" i="4" s="1"/>
  <c r="E307" i="1"/>
  <c r="D307" i="4" s="1"/>
  <c r="E308" i="1"/>
  <c r="D308" i="4" s="1"/>
  <c r="E309" i="1"/>
  <c r="D309" i="4" s="1"/>
  <c r="E310" i="1"/>
  <c r="D310" i="4" s="1"/>
  <c r="E311" i="1"/>
  <c r="D311" i="4" s="1"/>
  <c r="E312" i="1"/>
  <c r="D312" i="4" s="1"/>
  <c r="E313" i="1"/>
  <c r="D313" i="4" s="1"/>
  <c r="E314" i="1"/>
  <c r="D314" i="4" s="1"/>
  <c r="E315" i="1"/>
  <c r="D315" i="4" s="1"/>
  <c r="E316" i="1"/>
  <c r="D316" i="4" s="1"/>
  <c r="E317" i="1"/>
  <c r="D317" i="4" s="1"/>
  <c r="E318" i="1"/>
  <c r="D318" i="4" s="1"/>
  <c r="E319" i="1"/>
  <c r="D319" i="4" s="1"/>
  <c r="E320" i="1"/>
  <c r="D320" i="4" s="1"/>
  <c r="E321" i="1"/>
  <c r="D321" i="4" s="1"/>
  <c r="E322" i="1"/>
  <c r="D322" i="4" s="1"/>
  <c r="E323" i="1"/>
  <c r="D323" i="4" s="1"/>
  <c r="E324" i="1"/>
  <c r="D324" i="4" s="1"/>
  <c r="E325" i="1"/>
  <c r="D325" i="4" s="1"/>
  <c r="E326" i="1"/>
  <c r="D326" i="4" s="1"/>
  <c r="E327" i="1"/>
  <c r="D327" i="4" s="1"/>
  <c r="E328" i="1"/>
  <c r="D328" i="4" s="1"/>
  <c r="E329" i="1"/>
  <c r="D329" i="4" s="1"/>
  <c r="E330" i="1"/>
  <c r="D330" i="4" s="1"/>
  <c r="E331" i="1"/>
  <c r="D331" i="4" s="1"/>
  <c r="E332" i="1"/>
  <c r="D332" i="4" s="1"/>
  <c r="E333" i="1"/>
  <c r="D333" i="4" s="1"/>
  <c r="E334" i="1"/>
  <c r="D334" i="4" s="1"/>
  <c r="E335" i="1"/>
  <c r="D335" i="4" s="1"/>
  <c r="E336" i="1"/>
  <c r="D336" i="4" s="1"/>
  <c r="E337" i="1"/>
  <c r="D337" i="4" s="1"/>
  <c r="E338" i="1"/>
  <c r="D338" i="4" s="1"/>
  <c r="E339" i="1"/>
  <c r="D339" i="4" s="1"/>
  <c r="E340" i="1"/>
  <c r="D340" i="4" s="1"/>
  <c r="E341" i="1"/>
  <c r="D341" i="4" s="1"/>
  <c r="E342" i="1"/>
  <c r="D342" i="4" s="1"/>
  <c r="E343" i="1"/>
  <c r="D343" i="4" s="1"/>
  <c r="E344" i="1"/>
  <c r="D344" i="4" s="1"/>
  <c r="E345" i="1"/>
  <c r="D345" i="4" s="1"/>
  <c r="E346" i="1"/>
  <c r="D346" i="4" s="1"/>
  <c r="E347" i="1"/>
  <c r="D347" i="4" s="1"/>
  <c r="E348" i="1"/>
  <c r="D348" i="4" s="1"/>
  <c r="E349" i="1"/>
  <c r="D349" i="4" s="1"/>
  <c r="E350" i="1"/>
  <c r="D350" i="4" s="1"/>
  <c r="E351" i="1"/>
  <c r="D351" i="4" s="1"/>
  <c r="E352" i="1"/>
  <c r="D352" i="4" s="1"/>
  <c r="E353" i="1"/>
  <c r="D353" i="4" s="1"/>
  <c r="E354" i="1"/>
  <c r="D354" i="4" s="1"/>
  <c r="E355" i="1"/>
  <c r="D355" i="4" s="1"/>
  <c r="E356" i="1"/>
  <c r="D356" i="4" s="1"/>
  <c r="E357" i="1"/>
  <c r="D357" i="4" s="1"/>
  <c r="E358" i="1"/>
  <c r="D358" i="4" s="1"/>
  <c r="E359" i="1"/>
  <c r="D359" i="4" s="1"/>
  <c r="E360" i="1"/>
  <c r="D360" i="4" s="1"/>
  <c r="E361" i="1"/>
  <c r="D361" i="4" s="1"/>
  <c r="E362" i="1"/>
  <c r="D362" i="4" s="1"/>
  <c r="E363" i="1"/>
  <c r="D363" i="4" s="1"/>
  <c r="E364" i="1"/>
  <c r="D364" i="4" s="1"/>
  <c r="E365" i="1"/>
  <c r="D365" i="4" s="1"/>
  <c r="E366" i="1"/>
  <c r="D366" i="4" s="1"/>
  <c r="E367" i="1"/>
  <c r="D367" i="4" s="1"/>
  <c r="E368" i="1"/>
  <c r="D368" i="4" s="1"/>
  <c r="E369" i="1"/>
  <c r="D369" i="4" s="1"/>
  <c r="E370" i="1"/>
  <c r="D370" i="4" s="1"/>
  <c r="E371" i="1"/>
  <c r="D371" i="4" s="1"/>
  <c r="E372" i="1"/>
  <c r="D372" i="4" s="1"/>
  <c r="E373" i="1"/>
  <c r="D373" i="4" s="1"/>
  <c r="E374" i="1"/>
  <c r="D374" i="4" s="1"/>
  <c r="E375" i="1"/>
  <c r="D375" i="4" s="1"/>
  <c r="E376" i="1"/>
  <c r="D376" i="4" s="1"/>
  <c r="E377" i="1"/>
  <c r="D377" i="4" s="1"/>
  <c r="E378" i="1"/>
  <c r="D378" i="4" s="1"/>
  <c r="E379" i="1"/>
  <c r="D379" i="4" s="1"/>
  <c r="E380" i="1"/>
  <c r="D380" i="4" s="1"/>
  <c r="E381" i="1"/>
  <c r="D381" i="4" s="1"/>
  <c r="E382" i="1"/>
  <c r="D382" i="4" s="1"/>
  <c r="E383" i="1"/>
  <c r="D383" i="4" s="1"/>
  <c r="E384" i="1"/>
  <c r="D384" i="4" s="1"/>
  <c r="E385" i="1"/>
  <c r="D385" i="4" s="1"/>
  <c r="E386" i="1"/>
  <c r="D386" i="4" s="1"/>
  <c r="E387" i="1"/>
  <c r="D387" i="4" s="1"/>
  <c r="E388" i="1"/>
  <c r="D388" i="4" s="1"/>
  <c r="E389" i="1"/>
  <c r="D389" i="4" s="1"/>
  <c r="E390" i="1"/>
  <c r="D390" i="4" s="1"/>
  <c r="E391" i="1"/>
  <c r="D391" i="4" s="1"/>
  <c r="E392" i="1"/>
  <c r="D392" i="4" s="1"/>
  <c r="E393" i="1"/>
  <c r="D393" i="4" s="1"/>
  <c r="E394" i="1"/>
  <c r="D394" i="4" s="1"/>
  <c r="E395" i="1"/>
  <c r="D395" i="4" s="1"/>
  <c r="E396" i="1"/>
  <c r="D396" i="4" s="1"/>
  <c r="E397" i="1"/>
  <c r="D397" i="4" s="1"/>
  <c r="E398" i="1"/>
  <c r="D398" i="4" s="1"/>
  <c r="E399" i="1"/>
  <c r="D399" i="4" s="1"/>
  <c r="E400" i="1"/>
  <c r="D400" i="4" s="1"/>
  <c r="E401" i="1"/>
  <c r="D401" i="4" s="1"/>
  <c r="E402" i="1"/>
  <c r="D402" i="4" s="1"/>
  <c r="E403" i="1"/>
  <c r="D403" i="4" s="1"/>
  <c r="E404" i="1"/>
  <c r="D404" i="4" s="1"/>
  <c r="E405" i="1"/>
  <c r="D405" i="4" s="1"/>
  <c r="E406" i="1"/>
  <c r="D406" i="4" s="1"/>
  <c r="E407" i="1"/>
  <c r="D407" i="4" s="1"/>
  <c r="E408" i="1"/>
  <c r="D408" i="4" s="1"/>
  <c r="E409" i="1"/>
  <c r="D409" i="4" s="1"/>
  <c r="E410" i="1"/>
  <c r="D410" i="4" s="1"/>
  <c r="E411" i="1"/>
  <c r="D411" i="4" s="1"/>
  <c r="E412" i="1"/>
  <c r="D412" i="4" s="1"/>
  <c r="E413" i="1"/>
  <c r="D413" i="4" s="1"/>
  <c r="E414" i="1"/>
  <c r="D414" i="4" s="1"/>
  <c r="E415" i="1"/>
  <c r="D415" i="4" s="1"/>
  <c r="E416" i="1"/>
  <c r="D416" i="4" s="1"/>
  <c r="E417" i="1"/>
  <c r="D417" i="4" s="1"/>
  <c r="E418" i="1"/>
  <c r="D418" i="4" s="1"/>
  <c r="E419" i="1"/>
  <c r="D419" i="4" s="1"/>
  <c r="E420" i="1"/>
  <c r="D420" i="4" s="1"/>
  <c r="E421" i="1"/>
  <c r="D421" i="4" s="1"/>
  <c r="E422" i="1"/>
  <c r="D422" i="4" s="1"/>
  <c r="E423" i="1"/>
  <c r="D423" i="4" s="1"/>
  <c r="E424" i="1"/>
  <c r="D424" i="4" s="1"/>
  <c r="E425" i="1"/>
  <c r="D425" i="4" s="1"/>
  <c r="E426" i="1"/>
  <c r="D426" i="4" s="1"/>
  <c r="E427" i="1"/>
  <c r="D427" i="4" s="1"/>
  <c r="E428" i="1"/>
  <c r="D428" i="4" s="1"/>
  <c r="E429" i="1"/>
  <c r="D429" i="4" s="1"/>
  <c r="E430" i="1"/>
  <c r="D430" i="4" s="1"/>
  <c r="E431" i="1"/>
  <c r="D431" i="4" s="1"/>
  <c r="E432" i="1"/>
  <c r="D432" i="4" s="1"/>
  <c r="E433" i="1"/>
  <c r="D433" i="4" s="1"/>
  <c r="E434" i="1"/>
  <c r="D434" i="4" s="1"/>
  <c r="E435" i="1"/>
  <c r="D435" i="4" s="1"/>
  <c r="E436" i="1"/>
  <c r="D436" i="4" s="1"/>
  <c r="E437" i="1"/>
  <c r="D437" i="4" s="1"/>
  <c r="E438" i="1"/>
  <c r="D438" i="4" s="1"/>
  <c r="E439" i="1"/>
  <c r="D439" i="4" s="1"/>
  <c r="E440" i="1"/>
  <c r="D440" i="4" s="1"/>
  <c r="E441" i="1"/>
  <c r="D441" i="4" s="1"/>
  <c r="E442" i="1"/>
  <c r="D442" i="4" s="1"/>
  <c r="E443" i="1"/>
  <c r="D443" i="4" s="1"/>
  <c r="E444" i="1"/>
  <c r="D444" i="4" s="1"/>
  <c r="E445" i="1"/>
  <c r="D445" i="4" s="1"/>
  <c r="E446" i="1"/>
  <c r="D446" i="4" s="1"/>
  <c r="E447" i="1"/>
  <c r="D447" i="4" s="1"/>
  <c r="E448" i="1"/>
  <c r="D448" i="4" s="1"/>
  <c r="E449" i="1"/>
  <c r="D449" i="4" s="1"/>
  <c r="E450" i="1"/>
  <c r="D450" i="4" s="1"/>
  <c r="E451" i="1"/>
  <c r="D451" i="4" s="1"/>
  <c r="E452" i="1"/>
  <c r="D452" i="4" s="1"/>
  <c r="E453" i="1"/>
  <c r="D453" i="4" s="1"/>
  <c r="E454" i="1"/>
  <c r="D454" i="4" s="1"/>
  <c r="E455" i="1"/>
  <c r="D455" i="4" s="1"/>
  <c r="E456" i="1"/>
  <c r="D456" i="4" s="1"/>
  <c r="E457" i="1"/>
  <c r="D457" i="4" s="1"/>
  <c r="E458" i="1"/>
  <c r="D458" i="4" s="1"/>
  <c r="E459" i="1"/>
  <c r="D459" i="4" s="1"/>
  <c r="E460" i="1"/>
  <c r="D460" i="4" s="1"/>
  <c r="E461" i="1"/>
  <c r="D461" i="4" s="1"/>
  <c r="E462" i="1"/>
  <c r="D462" i="4" s="1"/>
  <c r="E463" i="1"/>
  <c r="D463" i="4" s="1"/>
  <c r="E464" i="1"/>
  <c r="D464" i="4" s="1"/>
  <c r="E465" i="1"/>
  <c r="D465" i="4" s="1"/>
  <c r="E466" i="1"/>
  <c r="D466" i="4" s="1"/>
  <c r="E467" i="1"/>
  <c r="D467" i="4" s="1"/>
  <c r="E468" i="1"/>
  <c r="D468" i="4" s="1"/>
  <c r="E469" i="1"/>
  <c r="D469" i="4" s="1"/>
  <c r="E470" i="1"/>
  <c r="D470" i="4" s="1"/>
  <c r="E471" i="1"/>
  <c r="D471" i="4" s="1"/>
  <c r="E472" i="1"/>
  <c r="D472" i="4" s="1"/>
  <c r="E473" i="1"/>
  <c r="D473" i="4" s="1"/>
  <c r="E474" i="1"/>
  <c r="D474" i="4" s="1"/>
  <c r="E475" i="1"/>
  <c r="D475" i="4" s="1"/>
  <c r="E476" i="1"/>
  <c r="D476" i="4" s="1"/>
  <c r="E477" i="1"/>
  <c r="D477" i="4" s="1"/>
  <c r="E478" i="1"/>
  <c r="D478" i="4" s="1"/>
  <c r="E479" i="1"/>
  <c r="D479" i="4" s="1"/>
  <c r="E480" i="1"/>
  <c r="D480" i="4" s="1"/>
  <c r="E481" i="1"/>
  <c r="D481" i="4" s="1"/>
  <c r="E482" i="1"/>
  <c r="D482" i="4" s="1"/>
  <c r="E483" i="1"/>
  <c r="D483" i="4" s="1"/>
  <c r="E484" i="1"/>
  <c r="D484" i="4" s="1"/>
  <c r="E485" i="1"/>
  <c r="D485" i="4" s="1"/>
  <c r="E486" i="1"/>
  <c r="D486" i="4" s="1"/>
  <c r="E487" i="1"/>
  <c r="D487" i="4" s="1"/>
  <c r="E488" i="1"/>
  <c r="D488" i="4" s="1"/>
  <c r="E489" i="1"/>
  <c r="D489" i="4" s="1"/>
  <c r="E490" i="1"/>
  <c r="D490" i="4" s="1"/>
  <c r="E491" i="1"/>
  <c r="D491" i="4" s="1"/>
  <c r="E492" i="1"/>
  <c r="D492" i="4" s="1"/>
  <c r="E493" i="1"/>
  <c r="D493" i="4" s="1"/>
  <c r="E494" i="1"/>
  <c r="D494" i="4" s="1"/>
  <c r="E495" i="1"/>
  <c r="D495" i="4" s="1"/>
  <c r="E496" i="1"/>
  <c r="D496" i="4" s="1"/>
  <c r="E497" i="1"/>
  <c r="D497" i="4" s="1"/>
  <c r="E498" i="1"/>
  <c r="D498" i="4" s="1"/>
  <c r="E499" i="1"/>
  <c r="D499" i="4" s="1"/>
  <c r="E500" i="1"/>
  <c r="D500" i="4" s="1"/>
  <c r="E501" i="1"/>
  <c r="D501" i="4" s="1"/>
  <c r="E502" i="1"/>
  <c r="D502" i="4" s="1"/>
  <c r="E503" i="1"/>
  <c r="D503" i="4" s="1"/>
  <c r="E504" i="1"/>
  <c r="D504" i="4" s="1"/>
  <c r="E505" i="1"/>
  <c r="D505" i="4" s="1"/>
  <c r="E506" i="1"/>
  <c r="D506" i="4" s="1"/>
  <c r="E507" i="1"/>
  <c r="D507" i="4" s="1"/>
  <c r="E508" i="1"/>
  <c r="D508" i="4" s="1"/>
  <c r="E509" i="1"/>
  <c r="D509" i="4" s="1"/>
  <c r="E510" i="1"/>
  <c r="D510" i="4" s="1"/>
  <c r="E511" i="1"/>
  <c r="D511" i="4" s="1"/>
  <c r="E512" i="1"/>
  <c r="D512" i="4" s="1"/>
  <c r="E513" i="1"/>
  <c r="D513" i="4" s="1"/>
  <c r="E514" i="1"/>
  <c r="D514" i="4" s="1"/>
  <c r="E515" i="1"/>
  <c r="D515" i="4" s="1"/>
  <c r="E516" i="1"/>
  <c r="D516" i="4" s="1"/>
  <c r="E517" i="1"/>
  <c r="D517" i="4" s="1"/>
  <c r="E518" i="1"/>
  <c r="D518" i="4" s="1"/>
  <c r="E519" i="1"/>
  <c r="D519" i="4" s="1"/>
  <c r="E520" i="1"/>
  <c r="D520" i="4" s="1"/>
  <c r="E521" i="1"/>
  <c r="D521" i="4" s="1"/>
  <c r="E522" i="1"/>
  <c r="D522" i="4" s="1"/>
  <c r="E523" i="1"/>
  <c r="D523" i="4" s="1"/>
  <c r="E524" i="1"/>
  <c r="D524" i="4" s="1"/>
  <c r="E525" i="1"/>
  <c r="D525" i="4" s="1"/>
  <c r="E526" i="1"/>
  <c r="D526" i="4" s="1"/>
  <c r="E527" i="1"/>
  <c r="D527" i="4" s="1"/>
  <c r="E528" i="1"/>
  <c r="D528" i="4" s="1"/>
  <c r="E529" i="1"/>
  <c r="D529" i="4" s="1"/>
  <c r="E530" i="1"/>
  <c r="D530" i="4" s="1"/>
  <c r="E531" i="1"/>
  <c r="D531" i="4" s="1"/>
  <c r="E532" i="1"/>
  <c r="D532" i="4" s="1"/>
  <c r="E533" i="1"/>
  <c r="D533" i="4" s="1"/>
  <c r="E534" i="1"/>
  <c r="D534" i="4" s="1"/>
  <c r="E535" i="1"/>
  <c r="D535" i="4" s="1"/>
  <c r="E536" i="1"/>
  <c r="D536" i="4" s="1"/>
  <c r="E537" i="1"/>
  <c r="D537" i="4" s="1"/>
  <c r="E538" i="1"/>
  <c r="D538" i="4" s="1"/>
  <c r="E539" i="1"/>
  <c r="D539" i="4" s="1"/>
  <c r="E540" i="1"/>
  <c r="D540" i="4" s="1"/>
  <c r="E541" i="1"/>
  <c r="D541" i="4" s="1"/>
  <c r="E542" i="1"/>
  <c r="D542" i="4" s="1"/>
  <c r="E543" i="1"/>
  <c r="D543" i="4" s="1"/>
  <c r="E544" i="1"/>
  <c r="D544" i="4" s="1"/>
  <c r="E545" i="1"/>
  <c r="D545" i="4" s="1"/>
  <c r="E546" i="1"/>
  <c r="D546" i="4" s="1"/>
  <c r="E547" i="1"/>
  <c r="D547" i="4" s="1"/>
  <c r="E548" i="1"/>
  <c r="D548" i="4" s="1"/>
  <c r="E549" i="1"/>
  <c r="D549" i="4" s="1"/>
  <c r="E550" i="1"/>
  <c r="D550" i="4" s="1"/>
  <c r="E551" i="1"/>
  <c r="D551" i="4" s="1"/>
  <c r="E552" i="1"/>
  <c r="D552" i="4" s="1"/>
  <c r="E553" i="1"/>
  <c r="D553" i="4" s="1"/>
  <c r="E554" i="1"/>
  <c r="D554" i="4" s="1"/>
  <c r="E555" i="1"/>
  <c r="D555" i="4" s="1"/>
  <c r="E556" i="1"/>
  <c r="D556" i="4" s="1"/>
  <c r="E557" i="1"/>
  <c r="D557" i="4" s="1"/>
  <c r="E558" i="1"/>
  <c r="D558" i="4" s="1"/>
  <c r="E559" i="1"/>
  <c r="D559" i="4" s="1"/>
  <c r="E560" i="1"/>
  <c r="D560" i="4" s="1"/>
  <c r="E561" i="1"/>
  <c r="D561" i="4" s="1"/>
  <c r="E562" i="1"/>
  <c r="D562" i="4" s="1"/>
  <c r="E563" i="1"/>
  <c r="D563" i="4" s="1"/>
  <c r="E564" i="1"/>
  <c r="D564" i="4" s="1"/>
  <c r="E565" i="1"/>
  <c r="D565" i="4" s="1"/>
  <c r="E566" i="1"/>
  <c r="D566" i="4" s="1"/>
  <c r="E567" i="1"/>
  <c r="D567" i="4" s="1"/>
  <c r="E568" i="1"/>
  <c r="D568" i="4" s="1"/>
  <c r="E569" i="1"/>
  <c r="D569" i="4" s="1"/>
  <c r="E570" i="1"/>
  <c r="D570" i="4" s="1"/>
  <c r="E571" i="1"/>
  <c r="D571" i="4" s="1"/>
  <c r="E572" i="1"/>
  <c r="D572" i="4" s="1"/>
  <c r="E573" i="1"/>
  <c r="D573" i="4" s="1"/>
  <c r="E574" i="1"/>
  <c r="D574" i="4" s="1"/>
  <c r="E575" i="1"/>
  <c r="D575" i="4" s="1"/>
  <c r="E576" i="1"/>
  <c r="D576" i="4" s="1"/>
  <c r="E577" i="1"/>
  <c r="D577" i="4" s="1"/>
  <c r="E578" i="1"/>
  <c r="D578" i="4" s="1"/>
  <c r="E579" i="1"/>
  <c r="D579" i="4" s="1"/>
  <c r="E580" i="1"/>
  <c r="D580" i="4" s="1"/>
  <c r="E581" i="1"/>
  <c r="D581" i="4" s="1"/>
  <c r="E582" i="1"/>
  <c r="D582" i="4" s="1"/>
  <c r="E583" i="1"/>
  <c r="D583" i="4" s="1"/>
  <c r="E584" i="1"/>
  <c r="D584" i="4" s="1"/>
  <c r="E585" i="1"/>
  <c r="D585" i="4" s="1"/>
  <c r="E586" i="1"/>
  <c r="D586" i="4" s="1"/>
  <c r="E587" i="1"/>
  <c r="D587" i="4" s="1"/>
  <c r="E588" i="1"/>
  <c r="D588" i="4" s="1"/>
  <c r="E589" i="1"/>
  <c r="D589" i="4" s="1"/>
  <c r="E590" i="1"/>
  <c r="D590" i="4" s="1"/>
  <c r="E591" i="1"/>
  <c r="D591" i="4" s="1"/>
  <c r="E592" i="1"/>
  <c r="D592" i="4" s="1"/>
  <c r="E593" i="1"/>
  <c r="D593" i="4" s="1"/>
  <c r="E594" i="1"/>
  <c r="D594" i="4" s="1"/>
  <c r="E595" i="1"/>
  <c r="D595" i="4" s="1"/>
  <c r="E596" i="1"/>
  <c r="D596" i="4" s="1"/>
  <c r="E597" i="1"/>
  <c r="D597" i="4" s="1"/>
  <c r="E598" i="1"/>
  <c r="D598" i="4" s="1"/>
  <c r="E599" i="1"/>
  <c r="D599" i="4" s="1"/>
  <c r="E600" i="1"/>
  <c r="D600" i="4" s="1"/>
  <c r="E601" i="1"/>
  <c r="D601" i="4" s="1"/>
  <c r="E602" i="1"/>
  <c r="D602" i="4" s="1"/>
  <c r="E603" i="1"/>
  <c r="D603" i="4" s="1"/>
  <c r="E604" i="1"/>
  <c r="D604" i="4" s="1"/>
  <c r="E605" i="1"/>
  <c r="D605" i="4" s="1"/>
  <c r="E606" i="1"/>
  <c r="D606" i="4" s="1"/>
  <c r="E607" i="1"/>
  <c r="D607" i="4" s="1"/>
  <c r="E608" i="1"/>
  <c r="D608" i="4" s="1"/>
  <c r="E609" i="1"/>
  <c r="D609" i="4" s="1"/>
  <c r="E610" i="1"/>
  <c r="D610" i="4" s="1"/>
  <c r="E611" i="1"/>
  <c r="D611" i="4" s="1"/>
  <c r="E612" i="1"/>
  <c r="D612" i="4" s="1"/>
  <c r="E613" i="1"/>
  <c r="D613" i="4" s="1"/>
  <c r="E614" i="1"/>
  <c r="D614" i="4" s="1"/>
  <c r="E615" i="1"/>
  <c r="D615" i="4" s="1"/>
  <c r="E616" i="1"/>
  <c r="D616" i="4" s="1"/>
  <c r="E617" i="1"/>
  <c r="D617" i="4" s="1"/>
  <c r="E618" i="1"/>
  <c r="D618" i="4" s="1"/>
  <c r="E619" i="1"/>
  <c r="D619" i="4" s="1"/>
  <c r="E620" i="1"/>
  <c r="D620" i="4" s="1"/>
  <c r="E621" i="1"/>
  <c r="D621" i="4" s="1"/>
  <c r="E622" i="1"/>
  <c r="D622" i="4" s="1"/>
  <c r="E623" i="1"/>
  <c r="D623" i="4" s="1"/>
  <c r="E624" i="1"/>
  <c r="D624" i="4" s="1"/>
  <c r="E625" i="1"/>
  <c r="D625" i="4" s="1"/>
  <c r="E626" i="1"/>
  <c r="D626" i="4" s="1"/>
  <c r="E627" i="1"/>
  <c r="D627" i="4" s="1"/>
  <c r="E628" i="1"/>
  <c r="D628" i="4" s="1"/>
  <c r="E629" i="1"/>
  <c r="D629" i="4" s="1"/>
  <c r="E630" i="1"/>
  <c r="D630" i="4" s="1"/>
  <c r="E631" i="1"/>
  <c r="D631" i="4" s="1"/>
  <c r="E632" i="1"/>
  <c r="D632" i="4" s="1"/>
  <c r="E633" i="1"/>
  <c r="D633" i="4" s="1"/>
  <c r="E634" i="1"/>
  <c r="D634" i="4" s="1"/>
  <c r="E635" i="1"/>
  <c r="D635" i="4" s="1"/>
  <c r="E636" i="1"/>
  <c r="D636" i="4" s="1"/>
  <c r="E637" i="1"/>
  <c r="D637" i="4" s="1"/>
  <c r="E638" i="1"/>
  <c r="D638" i="4" s="1"/>
  <c r="E639" i="1"/>
  <c r="D639" i="4" s="1"/>
  <c r="E640" i="1"/>
  <c r="D640" i="4" s="1"/>
  <c r="E641" i="1"/>
  <c r="D641" i="4" s="1"/>
  <c r="E642" i="1"/>
  <c r="D642" i="4" s="1"/>
  <c r="E643" i="1"/>
  <c r="D643" i="4" s="1"/>
  <c r="E644" i="1"/>
  <c r="D644" i="4" s="1"/>
  <c r="E645" i="1"/>
  <c r="D645" i="4" s="1"/>
  <c r="E646" i="1"/>
  <c r="D646" i="4" s="1"/>
  <c r="E647" i="1"/>
  <c r="D647" i="4" s="1"/>
  <c r="E648" i="1"/>
  <c r="D648" i="4" s="1"/>
  <c r="E649" i="1"/>
  <c r="D649" i="4" s="1"/>
  <c r="E650" i="1"/>
  <c r="D650" i="4" s="1"/>
  <c r="E651" i="1"/>
  <c r="D651" i="4" s="1"/>
  <c r="E652" i="1"/>
  <c r="D652" i="4" s="1"/>
  <c r="E653" i="1"/>
  <c r="D653" i="4" s="1"/>
  <c r="E654" i="1"/>
  <c r="D654" i="4" s="1"/>
  <c r="E655" i="1"/>
  <c r="D655" i="4" s="1"/>
  <c r="E656" i="1"/>
  <c r="D656" i="4" s="1"/>
  <c r="E657" i="1"/>
  <c r="D657" i="4" s="1"/>
  <c r="E658" i="1"/>
  <c r="D658" i="4" s="1"/>
  <c r="E659" i="1"/>
  <c r="D659" i="4" s="1"/>
  <c r="E660" i="1"/>
  <c r="D660" i="4" s="1"/>
  <c r="E661" i="1"/>
  <c r="D661" i="4" s="1"/>
  <c r="E662" i="1"/>
  <c r="D662" i="4" s="1"/>
  <c r="E663" i="1"/>
  <c r="D663" i="4" s="1"/>
  <c r="E664" i="1"/>
  <c r="D664" i="4" s="1"/>
  <c r="E665" i="1"/>
  <c r="D665" i="4" s="1"/>
  <c r="E666" i="1"/>
  <c r="D666" i="4" s="1"/>
  <c r="E667" i="1"/>
  <c r="D667" i="4" s="1"/>
  <c r="E668" i="1"/>
  <c r="D668" i="4" s="1"/>
  <c r="E669" i="1"/>
  <c r="D669" i="4" s="1"/>
  <c r="E670" i="1"/>
  <c r="D670" i="4" s="1"/>
  <c r="E671" i="1"/>
  <c r="D671" i="4" s="1"/>
  <c r="E672" i="1"/>
  <c r="D672" i="4" s="1"/>
  <c r="E673" i="1"/>
  <c r="D673" i="4" s="1"/>
  <c r="E674" i="1"/>
  <c r="D674" i="4" s="1"/>
  <c r="E675" i="1"/>
  <c r="D675" i="4" s="1"/>
  <c r="E676" i="1"/>
  <c r="D676" i="4" s="1"/>
  <c r="E677" i="1"/>
  <c r="D677" i="4" s="1"/>
  <c r="E678" i="1"/>
  <c r="D678" i="4" s="1"/>
  <c r="E679" i="1"/>
  <c r="D679" i="4" s="1"/>
  <c r="E680" i="1"/>
  <c r="D680" i="4" s="1"/>
  <c r="E681" i="1"/>
  <c r="D681" i="4" s="1"/>
  <c r="E682" i="1"/>
  <c r="D682" i="4" s="1"/>
  <c r="E683" i="1"/>
  <c r="D683" i="4" s="1"/>
  <c r="E684" i="1"/>
  <c r="D684" i="4" s="1"/>
  <c r="E685" i="1"/>
  <c r="D685" i="4" s="1"/>
  <c r="E686" i="1"/>
  <c r="D686" i="4" s="1"/>
  <c r="E687" i="1"/>
  <c r="D687" i="4" s="1"/>
  <c r="E688" i="1"/>
  <c r="D688" i="4" s="1"/>
  <c r="E689" i="1"/>
  <c r="D689" i="4" s="1"/>
  <c r="E690" i="1"/>
  <c r="D690" i="4" s="1"/>
  <c r="E691" i="1"/>
  <c r="D691" i="4" s="1"/>
  <c r="E692" i="1"/>
  <c r="D692" i="4" s="1"/>
  <c r="E693" i="1"/>
  <c r="D693" i="4" s="1"/>
  <c r="E694" i="1"/>
  <c r="D694" i="4" s="1"/>
  <c r="E695" i="1"/>
  <c r="D695" i="4" s="1"/>
  <c r="E696" i="1"/>
  <c r="D696" i="4" s="1"/>
  <c r="E697" i="1"/>
  <c r="D697" i="4" s="1"/>
  <c r="E698" i="1"/>
  <c r="D698" i="4" s="1"/>
  <c r="E699" i="1"/>
  <c r="D699" i="4" s="1"/>
  <c r="E700" i="1"/>
  <c r="D700" i="4" s="1"/>
  <c r="E701" i="1"/>
  <c r="D701" i="4" s="1"/>
  <c r="E702" i="1"/>
  <c r="D702" i="4" s="1"/>
  <c r="E703" i="1"/>
  <c r="D703" i="4" s="1"/>
  <c r="E704" i="1"/>
  <c r="D704" i="4" s="1"/>
  <c r="E705" i="1"/>
  <c r="D705" i="4" s="1"/>
  <c r="E706" i="1"/>
  <c r="D706" i="4" s="1"/>
  <c r="E707" i="1"/>
  <c r="D707" i="4" s="1"/>
  <c r="E708" i="1"/>
  <c r="D708" i="4" s="1"/>
  <c r="E709" i="1"/>
  <c r="D709" i="4" s="1"/>
  <c r="E710" i="1"/>
  <c r="D710" i="4" s="1"/>
  <c r="E711" i="1"/>
  <c r="D711" i="4" s="1"/>
  <c r="E712" i="1"/>
  <c r="D712" i="4" s="1"/>
  <c r="E713" i="1"/>
  <c r="D713" i="4" s="1"/>
  <c r="E714" i="1"/>
  <c r="D714" i="4" s="1"/>
  <c r="E715" i="1"/>
  <c r="D715" i="4" s="1"/>
  <c r="E716" i="1"/>
  <c r="D716" i="4" s="1"/>
  <c r="E717" i="1"/>
  <c r="D717" i="4" s="1"/>
  <c r="E718" i="1"/>
  <c r="D718" i="4" s="1"/>
  <c r="E719" i="1"/>
  <c r="D719" i="4" s="1"/>
  <c r="E720" i="1"/>
  <c r="D720" i="4" s="1"/>
  <c r="E721" i="1"/>
  <c r="D721" i="4" s="1"/>
  <c r="E722" i="1"/>
  <c r="D722" i="4" s="1"/>
  <c r="E723" i="1"/>
  <c r="D723" i="4" s="1"/>
  <c r="E724" i="1"/>
  <c r="D724" i="4" s="1"/>
  <c r="E725" i="1"/>
  <c r="D725" i="4" s="1"/>
  <c r="E726" i="1"/>
  <c r="D726" i="4" s="1"/>
  <c r="E727" i="1"/>
  <c r="D727" i="4" s="1"/>
  <c r="E728" i="1"/>
  <c r="D728" i="4" s="1"/>
  <c r="E729" i="1"/>
  <c r="D729" i="4" s="1"/>
  <c r="E730" i="1"/>
  <c r="D730" i="4" s="1"/>
  <c r="E731" i="1"/>
  <c r="D731" i="4" s="1"/>
  <c r="E732" i="1"/>
  <c r="D732" i="4" s="1"/>
  <c r="E733" i="1"/>
  <c r="D733" i="4" s="1"/>
  <c r="E734" i="1"/>
  <c r="D734" i="4" s="1"/>
  <c r="E735" i="1"/>
  <c r="D735" i="4" s="1"/>
  <c r="E736" i="1"/>
  <c r="D736" i="4" s="1"/>
  <c r="E737" i="1"/>
  <c r="D737" i="4" s="1"/>
  <c r="E738" i="1"/>
  <c r="D738" i="4" s="1"/>
  <c r="E739" i="1"/>
  <c r="D739" i="4" s="1"/>
  <c r="E740" i="1"/>
  <c r="D740" i="4" s="1"/>
  <c r="E741" i="1"/>
  <c r="D741" i="4" s="1"/>
  <c r="E742" i="1"/>
  <c r="D742" i="4" s="1"/>
  <c r="E743" i="1"/>
  <c r="D743" i="4" s="1"/>
  <c r="E744" i="1"/>
  <c r="D744" i="4" s="1"/>
  <c r="E745" i="1"/>
  <c r="D745" i="4" s="1"/>
  <c r="E746" i="1"/>
  <c r="D746" i="4" s="1"/>
  <c r="E747" i="1"/>
  <c r="D747" i="4" s="1"/>
  <c r="E748" i="1"/>
  <c r="D748" i="4" s="1"/>
  <c r="E749" i="1"/>
  <c r="D749" i="4" s="1"/>
  <c r="E750" i="1"/>
  <c r="D750" i="4" s="1"/>
  <c r="E751" i="1"/>
  <c r="D751" i="4" s="1"/>
  <c r="E752" i="1"/>
  <c r="D752" i="4" s="1"/>
  <c r="E753" i="1"/>
  <c r="D753" i="4" s="1"/>
  <c r="E754" i="1"/>
  <c r="D754" i="4" s="1"/>
  <c r="E755" i="1"/>
  <c r="D755" i="4" s="1"/>
  <c r="E756" i="1"/>
  <c r="D756" i="4" s="1"/>
  <c r="E757" i="1"/>
  <c r="D757" i="4" s="1"/>
  <c r="E758" i="1"/>
  <c r="D758" i="4" s="1"/>
  <c r="E759" i="1"/>
  <c r="D759" i="4" s="1"/>
  <c r="E760" i="1"/>
  <c r="D760" i="4" s="1"/>
  <c r="E761" i="1"/>
  <c r="D761" i="4" s="1"/>
  <c r="E762" i="1"/>
  <c r="D762" i="4" s="1"/>
  <c r="E763" i="1"/>
  <c r="D763" i="4" s="1"/>
  <c r="E764" i="1"/>
  <c r="D764" i="4" s="1"/>
  <c r="E765" i="1"/>
  <c r="D765" i="4" s="1"/>
  <c r="E766" i="1"/>
  <c r="D766" i="4" s="1"/>
  <c r="E767" i="1"/>
  <c r="D767" i="4" s="1"/>
  <c r="E768" i="1"/>
  <c r="D768" i="4" s="1"/>
  <c r="E769" i="1"/>
  <c r="D769" i="4" s="1"/>
  <c r="E770" i="1"/>
  <c r="D770" i="4" s="1"/>
  <c r="E771" i="1"/>
  <c r="D771" i="4" s="1"/>
  <c r="E772" i="1"/>
  <c r="D772" i="4" s="1"/>
  <c r="E773" i="1"/>
  <c r="D773" i="4" s="1"/>
  <c r="E774" i="1"/>
  <c r="D774" i="4" s="1"/>
  <c r="E775" i="1"/>
  <c r="D775" i="4" s="1"/>
  <c r="E776" i="1"/>
  <c r="D776" i="4" s="1"/>
  <c r="E777" i="1"/>
  <c r="D777" i="4" s="1"/>
  <c r="E778" i="1"/>
  <c r="D778" i="4" s="1"/>
  <c r="E779" i="1"/>
  <c r="D779" i="4" s="1"/>
  <c r="E780" i="1"/>
  <c r="D780" i="4" s="1"/>
  <c r="E781" i="1"/>
  <c r="D781" i="4" s="1"/>
  <c r="E782" i="1"/>
  <c r="D782" i="4" s="1"/>
  <c r="E783" i="1"/>
  <c r="D783" i="4" s="1"/>
  <c r="E784" i="1"/>
  <c r="D784" i="4" s="1"/>
  <c r="E785" i="1"/>
  <c r="D785" i="4" s="1"/>
  <c r="E786" i="1"/>
  <c r="D786" i="4" s="1"/>
  <c r="E787" i="1"/>
  <c r="D787" i="4" s="1"/>
  <c r="E788" i="1"/>
  <c r="D788" i="4" s="1"/>
  <c r="E789" i="1"/>
  <c r="D789" i="4" s="1"/>
  <c r="E790" i="1"/>
  <c r="D790" i="4" s="1"/>
  <c r="E791" i="1"/>
  <c r="D791" i="4" s="1"/>
  <c r="E792" i="1"/>
  <c r="D792" i="4" s="1"/>
  <c r="E793" i="1"/>
  <c r="D793" i="4" s="1"/>
  <c r="E794" i="1"/>
  <c r="D794" i="4" s="1"/>
  <c r="E795" i="1"/>
  <c r="D795" i="4" s="1"/>
  <c r="E796" i="1"/>
  <c r="D796" i="4" s="1"/>
  <c r="E797" i="1"/>
  <c r="D797" i="4" s="1"/>
  <c r="E798" i="1"/>
  <c r="D798" i="4" s="1"/>
  <c r="E799" i="1"/>
  <c r="D799" i="4" s="1"/>
  <c r="E800" i="1"/>
  <c r="D800" i="4" s="1"/>
  <c r="E801" i="1"/>
  <c r="D801" i="4" s="1"/>
  <c r="E802" i="1"/>
  <c r="D802" i="4" s="1"/>
  <c r="E803" i="1"/>
  <c r="D803" i="4" s="1"/>
  <c r="E804" i="1"/>
  <c r="D804" i="4" s="1"/>
  <c r="E805" i="1"/>
  <c r="D805" i="4" s="1"/>
  <c r="E806" i="1"/>
  <c r="D806" i="4" s="1"/>
  <c r="E807" i="1"/>
  <c r="D807" i="4" s="1"/>
  <c r="E808" i="1"/>
  <c r="D808" i="4" s="1"/>
  <c r="E809" i="1"/>
  <c r="D809" i="4" s="1"/>
  <c r="E810" i="1"/>
  <c r="D810" i="4" s="1"/>
  <c r="E811" i="1"/>
  <c r="D811" i="4" s="1"/>
  <c r="E812" i="1"/>
  <c r="D812" i="4" s="1"/>
  <c r="E813" i="1"/>
  <c r="D813" i="4" s="1"/>
  <c r="E814" i="1"/>
  <c r="D814" i="4" s="1"/>
  <c r="E815" i="1"/>
  <c r="D815" i="4" s="1"/>
  <c r="E816" i="1"/>
  <c r="D816" i="4" s="1"/>
  <c r="E817" i="1"/>
  <c r="D817" i="4" s="1"/>
  <c r="E818" i="1"/>
  <c r="D818" i="4" s="1"/>
  <c r="E819" i="1"/>
  <c r="D819" i="4" s="1"/>
  <c r="E820" i="1"/>
  <c r="D820" i="4" s="1"/>
  <c r="E821" i="1"/>
  <c r="D821" i="4" s="1"/>
  <c r="E822" i="1"/>
  <c r="D822" i="4" s="1"/>
  <c r="E823" i="1"/>
  <c r="D823" i="4" s="1"/>
  <c r="E824" i="1"/>
  <c r="D824" i="4" s="1"/>
  <c r="E825" i="1"/>
  <c r="D825" i="4" s="1"/>
  <c r="E826" i="1"/>
  <c r="D826" i="4" s="1"/>
  <c r="E827" i="1"/>
  <c r="D827" i="4" s="1"/>
  <c r="E828" i="1"/>
  <c r="D828" i="4" s="1"/>
  <c r="E829" i="1"/>
  <c r="D829" i="4" s="1"/>
  <c r="E830" i="1"/>
  <c r="D830" i="4" s="1"/>
  <c r="E831" i="1"/>
  <c r="D831" i="4" s="1"/>
  <c r="E832" i="1"/>
  <c r="D832" i="4" s="1"/>
  <c r="E833" i="1"/>
  <c r="D833" i="4" s="1"/>
  <c r="E834" i="1"/>
  <c r="D834" i="4" s="1"/>
  <c r="E835" i="1"/>
  <c r="D835" i="4" s="1"/>
  <c r="E836" i="1"/>
  <c r="D836" i="4" s="1"/>
  <c r="E837" i="1"/>
  <c r="D837" i="4" s="1"/>
  <c r="E838" i="1"/>
  <c r="D838" i="4" s="1"/>
  <c r="E839" i="1"/>
  <c r="D839" i="4" s="1"/>
  <c r="E840" i="1"/>
  <c r="D840" i="4" s="1"/>
  <c r="E841" i="1"/>
  <c r="D841" i="4" s="1"/>
  <c r="E842" i="1"/>
  <c r="D842" i="4" s="1"/>
  <c r="E843" i="1"/>
  <c r="D843" i="4" s="1"/>
  <c r="E844" i="1"/>
  <c r="D844" i="4" s="1"/>
  <c r="E845" i="1"/>
  <c r="D845" i="4" s="1"/>
  <c r="E846" i="1"/>
  <c r="D846" i="4" s="1"/>
  <c r="E847" i="1"/>
  <c r="D847" i="4" s="1"/>
  <c r="E848" i="1"/>
  <c r="D848" i="4" s="1"/>
  <c r="E849" i="1"/>
  <c r="D849" i="4" s="1"/>
  <c r="E850" i="1"/>
  <c r="D850" i="4" s="1"/>
  <c r="E851" i="1"/>
  <c r="D851" i="4" s="1"/>
  <c r="E852" i="1"/>
  <c r="D852" i="4" s="1"/>
  <c r="E853" i="1"/>
  <c r="D853" i="4" s="1"/>
  <c r="E854" i="1"/>
  <c r="D854" i="4" s="1"/>
  <c r="E855" i="1"/>
  <c r="D855" i="4" s="1"/>
  <c r="E856" i="1"/>
  <c r="D856" i="4" s="1"/>
  <c r="E857" i="1"/>
  <c r="D857" i="4" s="1"/>
  <c r="E858" i="1"/>
  <c r="D858" i="4" s="1"/>
  <c r="E859" i="1"/>
  <c r="D859" i="4" s="1"/>
  <c r="E860" i="1"/>
  <c r="D860" i="4" s="1"/>
  <c r="E861" i="1"/>
  <c r="D861" i="4" s="1"/>
  <c r="E862" i="1"/>
  <c r="D862" i="4" s="1"/>
  <c r="E863" i="1"/>
  <c r="D863" i="4" s="1"/>
  <c r="E864" i="1"/>
  <c r="D864" i="4" s="1"/>
  <c r="E865" i="1"/>
  <c r="D865" i="4" s="1"/>
  <c r="E866" i="1"/>
  <c r="D866" i="4" s="1"/>
  <c r="E867" i="1"/>
  <c r="D867" i="4" s="1"/>
  <c r="E868" i="1"/>
  <c r="D868" i="4" s="1"/>
  <c r="E869" i="1"/>
  <c r="D869" i="4" s="1"/>
  <c r="E870" i="1"/>
  <c r="D870" i="4" s="1"/>
  <c r="E871" i="1"/>
  <c r="D871" i="4" s="1"/>
  <c r="E872" i="1"/>
  <c r="D872" i="4" s="1"/>
  <c r="E873" i="1"/>
  <c r="D873" i="4" s="1"/>
  <c r="E874" i="1"/>
  <c r="D874" i="4" s="1"/>
  <c r="E875" i="1"/>
  <c r="D875" i="4" s="1"/>
  <c r="E876" i="1"/>
  <c r="D876" i="4" s="1"/>
  <c r="E877" i="1"/>
  <c r="D877" i="4" s="1"/>
  <c r="E878" i="1"/>
  <c r="D878" i="4" s="1"/>
  <c r="E879" i="1"/>
  <c r="D879" i="4" s="1"/>
  <c r="E880" i="1"/>
  <c r="D880" i="4" s="1"/>
  <c r="E881" i="1"/>
  <c r="D881" i="4" s="1"/>
  <c r="E882" i="1"/>
  <c r="D882" i="4" s="1"/>
  <c r="E883" i="1"/>
  <c r="D883" i="4" s="1"/>
  <c r="E884" i="1"/>
  <c r="D884" i="4" s="1"/>
  <c r="E885" i="1"/>
  <c r="D885" i="4" s="1"/>
  <c r="E886" i="1"/>
  <c r="D886" i="4" s="1"/>
  <c r="E887" i="1"/>
  <c r="D887" i="4" s="1"/>
  <c r="E888" i="1"/>
  <c r="D888" i="4" s="1"/>
  <c r="E889" i="1"/>
  <c r="D889" i="4" s="1"/>
  <c r="E890" i="1"/>
  <c r="D890" i="4" s="1"/>
  <c r="E891" i="1"/>
  <c r="D891" i="4" s="1"/>
  <c r="E892" i="1"/>
  <c r="D892" i="4" s="1"/>
  <c r="E893" i="1"/>
  <c r="D893" i="4" s="1"/>
  <c r="E894" i="1"/>
  <c r="D894" i="4" s="1"/>
  <c r="E895" i="1"/>
  <c r="D895" i="4" s="1"/>
  <c r="E896" i="1"/>
  <c r="D896" i="4" s="1"/>
  <c r="E897" i="1"/>
  <c r="D897" i="4" s="1"/>
  <c r="E898" i="1"/>
  <c r="D898" i="4" s="1"/>
  <c r="E899" i="1"/>
  <c r="D899" i="4" s="1"/>
  <c r="E900" i="1"/>
  <c r="D900" i="4" s="1"/>
  <c r="E901" i="1"/>
  <c r="D901" i="4" s="1"/>
  <c r="E902" i="1"/>
  <c r="D902" i="4" s="1"/>
  <c r="E903" i="1"/>
  <c r="D903" i="4" s="1"/>
  <c r="E904" i="1"/>
  <c r="D904" i="4" s="1"/>
  <c r="E905" i="1"/>
  <c r="D905" i="4" s="1"/>
  <c r="E906" i="1"/>
  <c r="D906" i="4" s="1"/>
  <c r="E907" i="1"/>
  <c r="D907" i="4" s="1"/>
  <c r="E908" i="1"/>
  <c r="D908" i="4" s="1"/>
  <c r="E909" i="1"/>
  <c r="D909" i="4" s="1"/>
  <c r="E910" i="1"/>
  <c r="D910" i="4" s="1"/>
  <c r="E911" i="1"/>
  <c r="D911" i="4" s="1"/>
  <c r="E912" i="1"/>
  <c r="D912" i="4" s="1"/>
  <c r="E913" i="1"/>
  <c r="D913" i="4" s="1"/>
  <c r="E914" i="1"/>
  <c r="D914" i="4" s="1"/>
  <c r="E915" i="1"/>
  <c r="D915" i="4" s="1"/>
  <c r="E916" i="1"/>
  <c r="D916" i="4" s="1"/>
  <c r="E917" i="1"/>
  <c r="D917" i="4" s="1"/>
  <c r="E918" i="1"/>
  <c r="D918" i="4" s="1"/>
  <c r="E919" i="1"/>
  <c r="D919" i="4" s="1"/>
  <c r="E920" i="1"/>
  <c r="D920" i="4" s="1"/>
  <c r="E921" i="1"/>
  <c r="D921" i="4" s="1"/>
  <c r="E922" i="1"/>
  <c r="D922" i="4" s="1"/>
  <c r="E923" i="1"/>
  <c r="D923" i="4" s="1"/>
  <c r="E924" i="1"/>
  <c r="D924" i="4" s="1"/>
  <c r="E925" i="1"/>
  <c r="D925" i="4" s="1"/>
  <c r="E926" i="1"/>
  <c r="D926" i="4" s="1"/>
  <c r="E927" i="1"/>
  <c r="D927" i="4" s="1"/>
  <c r="E928" i="1"/>
  <c r="D928" i="4" s="1"/>
  <c r="E929" i="1"/>
  <c r="D929" i="4" s="1"/>
  <c r="E930" i="1"/>
  <c r="D930" i="4" s="1"/>
  <c r="E931" i="1"/>
  <c r="D931" i="4" s="1"/>
  <c r="E932" i="1"/>
  <c r="D932" i="4" s="1"/>
  <c r="E933" i="1"/>
  <c r="D933" i="4" s="1"/>
  <c r="E934" i="1"/>
  <c r="D934" i="4" s="1"/>
  <c r="E935" i="1"/>
  <c r="D935" i="4" s="1"/>
  <c r="E936" i="1"/>
  <c r="D936" i="4" s="1"/>
  <c r="E937" i="1"/>
  <c r="D937" i="4" s="1"/>
  <c r="E938" i="1"/>
  <c r="D938" i="4" s="1"/>
  <c r="E939" i="1"/>
  <c r="D939" i="4" s="1"/>
  <c r="E940" i="1"/>
  <c r="D940" i="4" s="1"/>
  <c r="E941" i="1"/>
  <c r="D941" i="4" s="1"/>
  <c r="E942" i="1"/>
  <c r="D942" i="4" s="1"/>
  <c r="E943" i="1"/>
  <c r="D943" i="4" s="1"/>
  <c r="E944" i="1"/>
  <c r="D944" i="4" s="1"/>
  <c r="E945" i="1"/>
  <c r="D945" i="4" s="1"/>
  <c r="E946" i="1"/>
  <c r="D946" i="4" s="1"/>
  <c r="E947" i="1"/>
  <c r="D947" i="4" s="1"/>
  <c r="E948" i="1"/>
  <c r="D948" i="4" s="1"/>
  <c r="E949" i="1"/>
  <c r="D949" i="4" s="1"/>
  <c r="E950" i="1"/>
  <c r="D950" i="4" s="1"/>
  <c r="E951" i="1"/>
  <c r="D951" i="4" s="1"/>
  <c r="E952" i="1"/>
  <c r="D952" i="4" s="1"/>
  <c r="E953" i="1"/>
  <c r="D953" i="4" s="1"/>
  <c r="E954" i="1"/>
  <c r="D954" i="4" s="1"/>
  <c r="E955" i="1"/>
  <c r="D955" i="4" s="1"/>
  <c r="E956" i="1"/>
  <c r="D956" i="4" s="1"/>
  <c r="E957" i="1"/>
  <c r="D957" i="4" s="1"/>
  <c r="E958" i="1"/>
  <c r="D958" i="4" s="1"/>
  <c r="E959" i="1"/>
  <c r="D959" i="4" s="1"/>
  <c r="E960" i="1"/>
  <c r="D960" i="4" s="1"/>
  <c r="E961" i="1"/>
  <c r="D961" i="4" s="1"/>
  <c r="E962" i="1"/>
  <c r="D962" i="4" s="1"/>
  <c r="E963" i="1"/>
  <c r="D963" i="4" s="1"/>
  <c r="E964" i="1"/>
  <c r="D964" i="4" s="1"/>
  <c r="E965" i="1"/>
  <c r="D965" i="4" s="1"/>
  <c r="E966" i="1"/>
  <c r="D966" i="4" s="1"/>
  <c r="E967" i="1"/>
  <c r="D967" i="4" s="1"/>
  <c r="E968" i="1"/>
  <c r="D968" i="4" s="1"/>
  <c r="E969" i="1"/>
  <c r="D969" i="4" s="1"/>
  <c r="E970" i="1"/>
  <c r="D970" i="4" s="1"/>
  <c r="E971" i="1"/>
  <c r="D971" i="4" s="1"/>
  <c r="E972" i="1"/>
  <c r="D972" i="4" s="1"/>
  <c r="E973" i="1"/>
  <c r="D973" i="4" s="1"/>
  <c r="E974" i="1"/>
  <c r="D974" i="4" s="1"/>
  <c r="E975" i="1"/>
  <c r="D975" i="4" s="1"/>
  <c r="E976" i="1"/>
  <c r="D976" i="4" s="1"/>
  <c r="E977" i="1"/>
  <c r="D977" i="4" s="1"/>
  <c r="E978" i="1"/>
  <c r="D978" i="4" s="1"/>
  <c r="E979" i="1"/>
  <c r="D979" i="4" s="1"/>
  <c r="E980" i="1"/>
  <c r="D980" i="4" s="1"/>
  <c r="E981" i="1"/>
  <c r="D981" i="4" s="1"/>
  <c r="E982" i="1"/>
  <c r="D982" i="4" s="1"/>
  <c r="E983" i="1"/>
  <c r="D983" i="4" s="1"/>
  <c r="E984" i="1"/>
  <c r="D984" i="4" s="1"/>
  <c r="E985" i="1"/>
  <c r="D985" i="4" s="1"/>
  <c r="E986" i="1"/>
  <c r="D986" i="4" s="1"/>
  <c r="E987" i="1"/>
  <c r="D987" i="4" s="1"/>
  <c r="E988" i="1"/>
  <c r="D988" i="4" s="1"/>
  <c r="E989" i="1"/>
  <c r="D989" i="4" s="1"/>
  <c r="E990" i="1"/>
  <c r="D990" i="4" s="1"/>
  <c r="E991" i="1"/>
  <c r="D991" i="4" s="1"/>
  <c r="E992" i="1"/>
  <c r="D992" i="4" s="1"/>
  <c r="E993" i="1"/>
  <c r="D993" i="4" s="1"/>
  <c r="E994" i="1"/>
  <c r="D994" i="4" s="1"/>
  <c r="E995" i="1"/>
  <c r="D995" i="4" s="1"/>
  <c r="E996" i="1"/>
  <c r="D996" i="4" s="1"/>
  <c r="E997" i="1"/>
  <c r="D997" i="4" s="1"/>
  <c r="E998" i="1"/>
  <c r="D998" i="4" s="1"/>
  <c r="E999" i="1"/>
  <c r="D999" i="4" s="1"/>
  <c r="E1000" i="1"/>
  <c r="D1000" i="4" s="1"/>
  <c r="E1001" i="1"/>
  <c r="D1001" i="4" s="1"/>
  <c r="E1002" i="1"/>
  <c r="D1002" i="4" s="1"/>
  <c r="E1003" i="1"/>
  <c r="D1003" i="4" s="1"/>
  <c r="E1004" i="1"/>
  <c r="D1004" i="4" s="1"/>
  <c r="E1005" i="1"/>
  <c r="D1005" i="4" s="1"/>
  <c r="E1006" i="1"/>
  <c r="D1006" i="4" s="1"/>
  <c r="E1007" i="1"/>
  <c r="D1007" i="4" s="1"/>
  <c r="E1008" i="1"/>
  <c r="D1008" i="4" s="1"/>
  <c r="E1009" i="1"/>
  <c r="D1009" i="4" s="1"/>
  <c r="E1010" i="1"/>
  <c r="D1010" i="4" s="1"/>
  <c r="E1011" i="1"/>
  <c r="D1011" i="4" s="1"/>
  <c r="E1012" i="1"/>
  <c r="D1012" i="4" s="1"/>
  <c r="E1013" i="1"/>
  <c r="D1013" i="4" s="1"/>
  <c r="E1014" i="1"/>
  <c r="D1014" i="4" s="1"/>
  <c r="E1015" i="1"/>
  <c r="D1015" i="4" s="1"/>
  <c r="E1016" i="1"/>
  <c r="D1016" i="4" s="1"/>
  <c r="E1017" i="1"/>
  <c r="D1017" i="4" s="1"/>
  <c r="E1018" i="1"/>
  <c r="D1018" i="4" s="1"/>
  <c r="E1019" i="1"/>
  <c r="D1019" i="4" s="1"/>
  <c r="E1020" i="1"/>
  <c r="D1020" i="4" s="1"/>
  <c r="E1021" i="1"/>
  <c r="D1021" i="4" s="1"/>
  <c r="E1022" i="1"/>
  <c r="D1022" i="4" s="1"/>
  <c r="E1023" i="1"/>
  <c r="D1023" i="4" s="1"/>
  <c r="E1024" i="1"/>
  <c r="D1024" i="4" s="1"/>
  <c r="E1025" i="1"/>
  <c r="D1025" i="4" s="1"/>
  <c r="E1026" i="1"/>
  <c r="D1026" i="4" s="1"/>
  <c r="E1027" i="1"/>
  <c r="D1027" i="4" s="1"/>
  <c r="E1028" i="1"/>
  <c r="D1028" i="4" s="1"/>
  <c r="E1029" i="1"/>
  <c r="D1029" i="4" s="1"/>
  <c r="E1030" i="1"/>
  <c r="D1030" i="4" s="1"/>
  <c r="E1031" i="1"/>
  <c r="D1031" i="4" s="1"/>
  <c r="E1032" i="1"/>
  <c r="D1032" i="4" s="1"/>
  <c r="E1033" i="1"/>
  <c r="D1033" i="4" s="1"/>
  <c r="E1034" i="1"/>
  <c r="D1034" i="4" s="1"/>
  <c r="E1035" i="1"/>
  <c r="D1035" i="4" s="1"/>
  <c r="E1036" i="1"/>
  <c r="D1036" i="4" s="1"/>
  <c r="E1037" i="1"/>
  <c r="D1037" i="4" s="1"/>
  <c r="E1038" i="1"/>
  <c r="D1038" i="4" s="1"/>
  <c r="E1039" i="1"/>
  <c r="D1039" i="4" s="1"/>
  <c r="E1040" i="1"/>
  <c r="D1040" i="4" s="1"/>
  <c r="E1041" i="1"/>
  <c r="D1041" i="4" s="1"/>
  <c r="E1042" i="1"/>
  <c r="D1042" i="4" s="1"/>
  <c r="E1043" i="1"/>
  <c r="D1043" i="4" s="1"/>
  <c r="E1044" i="1"/>
  <c r="D1044" i="4" s="1"/>
  <c r="E1045" i="1"/>
  <c r="D1045" i="4" s="1"/>
  <c r="E1046" i="1"/>
  <c r="D1046" i="4" s="1"/>
  <c r="E1047" i="1"/>
  <c r="D1047" i="4" s="1"/>
  <c r="E1048" i="1"/>
  <c r="D1048" i="4" s="1"/>
  <c r="E1049" i="1"/>
  <c r="D1049" i="4" s="1"/>
  <c r="E1050" i="1"/>
  <c r="D1050" i="4" s="1"/>
  <c r="E1051" i="1"/>
  <c r="D1051" i="4" s="1"/>
  <c r="E1052" i="1"/>
  <c r="D1052" i="4" s="1"/>
  <c r="E1053" i="1"/>
  <c r="D1053" i="4" s="1"/>
  <c r="E1054" i="1"/>
  <c r="D1054" i="4" s="1"/>
  <c r="E1055" i="1"/>
  <c r="D1055" i="4" s="1"/>
  <c r="E1056" i="1"/>
  <c r="D1056" i="4" s="1"/>
  <c r="E1057" i="1"/>
  <c r="D1057" i="4" s="1"/>
  <c r="E1058" i="1"/>
  <c r="D1058" i="4" s="1"/>
  <c r="E1059" i="1"/>
  <c r="D1059" i="4" s="1"/>
  <c r="E1060" i="1"/>
  <c r="D1060" i="4" s="1"/>
  <c r="E1061" i="1"/>
  <c r="D1061" i="4" s="1"/>
  <c r="E1062" i="1"/>
  <c r="D1062" i="4" s="1"/>
  <c r="E1063" i="1"/>
  <c r="D1063" i="4" s="1"/>
  <c r="E1064" i="1"/>
  <c r="D1064" i="4" s="1"/>
  <c r="E1065" i="1"/>
  <c r="D1065" i="4" s="1"/>
  <c r="E1066" i="1"/>
  <c r="D1066" i="4" s="1"/>
  <c r="E1067" i="1"/>
  <c r="D1067" i="4" s="1"/>
  <c r="E1068" i="1"/>
  <c r="D1068" i="4" s="1"/>
  <c r="E1069" i="1"/>
  <c r="D1069" i="4" s="1"/>
  <c r="E1070" i="1"/>
  <c r="D1070" i="4" s="1"/>
  <c r="E1071" i="1"/>
  <c r="D1071" i="4" s="1"/>
  <c r="E1072" i="1"/>
  <c r="D1072" i="4" s="1"/>
  <c r="E1073" i="1"/>
  <c r="D1073" i="4" s="1"/>
  <c r="E1074" i="1"/>
  <c r="D1074" i="4" s="1"/>
  <c r="E1075" i="1"/>
  <c r="D1075" i="4" s="1"/>
  <c r="E1076" i="1"/>
  <c r="D1076" i="4" s="1"/>
  <c r="E1077" i="1"/>
  <c r="D1077" i="4" s="1"/>
  <c r="E1078" i="1"/>
  <c r="D1078" i="4" s="1"/>
  <c r="E1079" i="1"/>
  <c r="D1079" i="4" s="1"/>
  <c r="E1080" i="1"/>
  <c r="D1080" i="4" s="1"/>
  <c r="E1081" i="1"/>
  <c r="D1081" i="4" s="1"/>
  <c r="E1082" i="1"/>
  <c r="D1082" i="4" s="1"/>
  <c r="E1083" i="1"/>
  <c r="D1083" i="4" s="1"/>
  <c r="E1084" i="1"/>
  <c r="D1084" i="4" s="1"/>
  <c r="E1085" i="1"/>
  <c r="D1085" i="4" s="1"/>
  <c r="E1086" i="1"/>
  <c r="D1086" i="4" s="1"/>
  <c r="E1087" i="1"/>
  <c r="D1087" i="4" s="1"/>
  <c r="E1088" i="1"/>
  <c r="D1088" i="4" s="1"/>
  <c r="E1089" i="1"/>
  <c r="D1089" i="4" s="1"/>
  <c r="E1090" i="1"/>
  <c r="D1090" i="4" s="1"/>
  <c r="E1091" i="1"/>
  <c r="D1091" i="4" s="1"/>
  <c r="E1092" i="1"/>
  <c r="D1092" i="4" s="1"/>
  <c r="E1093" i="1"/>
  <c r="D1093" i="4" s="1"/>
  <c r="E1094" i="1"/>
  <c r="D1094" i="4" s="1"/>
  <c r="E1095" i="1"/>
  <c r="D1095" i="4" s="1"/>
  <c r="E1096" i="1"/>
  <c r="D1096" i="4" s="1"/>
  <c r="E1097" i="1"/>
  <c r="D1097" i="4" s="1"/>
  <c r="E1098" i="1"/>
  <c r="D1098" i="4" s="1"/>
  <c r="E1099" i="1"/>
  <c r="D1099" i="4" s="1"/>
  <c r="E1100" i="1"/>
  <c r="D1100" i="4" s="1"/>
  <c r="E1101" i="1"/>
  <c r="D1101" i="4" s="1"/>
  <c r="E1102" i="1"/>
  <c r="D1102" i="4" s="1"/>
  <c r="E1103" i="1"/>
  <c r="D1103" i="4" s="1"/>
  <c r="E1104" i="1"/>
  <c r="D1104" i="4" s="1"/>
  <c r="E1105" i="1"/>
  <c r="D1105" i="4" s="1"/>
  <c r="E1106" i="1"/>
  <c r="D1106" i="4" s="1"/>
  <c r="E1107" i="1"/>
  <c r="D1107" i="4" s="1"/>
  <c r="E1108" i="1"/>
  <c r="D1108" i="4" s="1"/>
  <c r="E1109" i="1"/>
  <c r="D1109" i="4" s="1"/>
  <c r="E1110" i="1"/>
  <c r="D1110" i="4" s="1"/>
  <c r="E1111" i="1"/>
  <c r="D1111" i="4" s="1"/>
  <c r="E1112" i="1"/>
  <c r="D1112" i="4" s="1"/>
  <c r="E1113" i="1"/>
  <c r="D1113" i="4" s="1"/>
  <c r="E1114" i="1"/>
  <c r="D1114" i="4" s="1"/>
  <c r="E1115" i="1"/>
  <c r="D1115" i="4" s="1"/>
  <c r="E1116" i="1"/>
  <c r="D1116" i="4" s="1"/>
  <c r="E1117" i="1"/>
  <c r="D1117" i="4" s="1"/>
  <c r="E1118" i="1"/>
  <c r="D1118" i="4" s="1"/>
  <c r="E1119" i="1"/>
  <c r="D1119" i="4" s="1"/>
  <c r="E1120" i="1"/>
  <c r="D1120" i="4" s="1"/>
  <c r="E1121" i="1"/>
  <c r="D1121" i="4" s="1"/>
  <c r="E1122" i="1"/>
  <c r="D1122" i="4" s="1"/>
  <c r="E1123" i="1"/>
  <c r="D1123" i="4" s="1"/>
  <c r="E1124" i="1"/>
  <c r="D1124" i="4" s="1"/>
  <c r="E1125" i="1"/>
  <c r="D1125" i="4" s="1"/>
  <c r="E1126" i="1"/>
  <c r="D1126" i="4" s="1"/>
  <c r="E1127" i="1"/>
  <c r="D1127" i="4" s="1"/>
  <c r="E1128" i="1"/>
  <c r="D1128" i="4" s="1"/>
  <c r="E1129" i="1"/>
  <c r="D1129" i="4" s="1"/>
  <c r="E1130" i="1"/>
  <c r="D1130" i="4" s="1"/>
  <c r="E1131" i="1"/>
  <c r="D1131" i="4" s="1"/>
  <c r="E1132" i="1"/>
  <c r="D1132" i="4" s="1"/>
  <c r="E1133" i="1"/>
  <c r="D1133" i="4" s="1"/>
  <c r="E1134" i="1"/>
  <c r="D1134" i="4" s="1"/>
  <c r="E1135" i="1"/>
  <c r="D1135" i="4" s="1"/>
  <c r="E1136" i="1"/>
  <c r="D1136" i="4" s="1"/>
  <c r="E1137" i="1"/>
  <c r="D1137" i="4" s="1"/>
  <c r="E1138" i="1"/>
  <c r="D1138" i="4" s="1"/>
  <c r="E1139" i="1"/>
  <c r="D1139" i="4" s="1"/>
  <c r="E1140" i="1"/>
  <c r="D1140" i="4" s="1"/>
  <c r="E1141" i="1"/>
  <c r="D1141" i="4" s="1"/>
  <c r="E1142" i="1"/>
  <c r="D1142" i="4" s="1"/>
  <c r="E1143" i="1"/>
  <c r="D1143" i="4" s="1"/>
  <c r="E1144" i="1"/>
  <c r="D1144" i="4" s="1"/>
  <c r="E1145" i="1"/>
  <c r="D1145" i="4" s="1"/>
  <c r="E1146" i="1"/>
  <c r="D1146" i="4" s="1"/>
  <c r="E1147" i="1"/>
  <c r="D1147" i="4" s="1"/>
  <c r="E1148" i="1"/>
  <c r="D1148" i="4" s="1"/>
  <c r="E1149" i="1"/>
  <c r="D1149" i="4" s="1"/>
  <c r="E1150" i="1"/>
  <c r="D1150" i="4" s="1"/>
  <c r="E1151" i="1"/>
  <c r="D1151" i="4" s="1"/>
  <c r="E1152" i="1"/>
  <c r="D1152" i="4" s="1"/>
  <c r="E1153" i="1"/>
  <c r="D1153" i="4" s="1"/>
  <c r="E1154" i="1"/>
  <c r="D1154" i="4" s="1"/>
  <c r="E1155" i="1"/>
  <c r="D1155" i="4" s="1"/>
  <c r="E1156" i="1"/>
  <c r="D1156" i="4" s="1"/>
  <c r="E1157" i="1"/>
  <c r="D1157" i="4" s="1"/>
  <c r="E1158" i="1"/>
  <c r="D1158" i="4" s="1"/>
  <c r="E1159" i="1"/>
  <c r="D1159" i="4" s="1"/>
  <c r="E1160" i="1"/>
  <c r="D1160" i="4" s="1"/>
  <c r="E1161" i="1"/>
  <c r="D1161" i="4" s="1"/>
  <c r="E1162" i="1"/>
  <c r="D1162" i="4" s="1"/>
  <c r="E1163" i="1"/>
  <c r="D1163" i="4" s="1"/>
  <c r="E1164" i="1"/>
  <c r="D1164" i="4" s="1"/>
  <c r="E1165" i="1"/>
  <c r="D1165" i="4" s="1"/>
  <c r="E1166" i="1"/>
  <c r="D1166" i="4" s="1"/>
  <c r="E1167" i="1"/>
  <c r="D1167" i="4" s="1"/>
  <c r="E1168" i="1"/>
  <c r="D1168" i="4" s="1"/>
  <c r="E1169" i="1"/>
  <c r="D1169" i="4" s="1"/>
  <c r="E1170" i="1"/>
  <c r="D1170" i="4" s="1"/>
  <c r="E1171" i="1"/>
  <c r="D1171" i="4" s="1"/>
  <c r="E1172" i="1"/>
  <c r="D1172" i="4" s="1"/>
  <c r="E1173" i="1"/>
  <c r="D1173" i="4" s="1"/>
  <c r="E1174" i="1"/>
  <c r="D1174" i="4" s="1"/>
  <c r="E1175" i="1"/>
  <c r="D1175" i="4" s="1"/>
  <c r="E1176" i="1"/>
  <c r="D1176" i="4" s="1"/>
  <c r="E1177" i="1"/>
  <c r="D1177" i="4" s="1"/>
  <c r="E1178" i="1"/>
  <c r="D1178" i="4" s="1"/>
  <c r="E1179" i="1"/>
  <c r="D1179" i="4" s="1"/>
  <c r="E1180" i="1"/>
  <c r="D1180" i="4" s="1"/>
  <c r="E1181" i="1"/>
  <c r="D1181" i="4" s="1"/>
  <c r="E1182" i="1"/>
  <c r="D1182" i="4" s="1"/>
  <c r="E1183" i="1"/>
  <c r="D1183" i="4" s="1"/>
  <c r="E1184" i="1"/>
  <c r="D1184" i="4" s="1"/>
  <c r="E1185" i="1"/>
  <c r="D1185" i="4" s="1"/>
  <c r="E1186" i="1"/>
  <c r="D1186" i="4" s="1"/>
  <c r="E1187" i="1"/>
  <c r="D1187" i="4" s="1"/>
  <c r="E1188" i="1"/>
  <c r="D1188" i="4" s="1"/>
  <c r="E1189" i="1"/>
  <c r="D1189" i="4" s="1"/>
  <c r="E1190" i="1"/>
  <c r="D1190" i="4" s="1"/>
  <c r="E1191" i="1"/>
  <c r="D1191" i="4" s="1"/>
  <c r="E1192" i="1"/>
  <c r="D1192" i="4" s="1"/>
  <c r="E1193" i="1"/>
  <c r="D1193" i="4" s="1"/>
  <c r="E1194" i="1"/>
  <c r="D1194" i="4" s="1"/>
  <c r="E1195" i="1"/>
  <c r="D1195" i="4" s="1"/>
  <c r="E1196" i="1"/>
  <c r="D1196" i="4" s="1"/>
  <c r="E1197" i="1"/>
  <c r="D1197" i="4" s="1"/>
  <c r="E1198" i="1"/>
  <c r="D1198" i="4" s="1"/>
  <c r="E1199" i="1"/>
  <c r="D1199" i="4" s="1"/>
  <c r="E1200" i="1"/>
  <c r="D1200" i="4" s="1"/>
  <c r="E1201" i="1"/>
  <c r="D1201" i="4" s="1"/>
  <c r="E1202" i="1"/>
  <c r="D1202" i="4" s="1"/>
  <c r="E1203" i="1"/>
  <c r="D1203" i="4" s="1"/>
  <c r="E1204" i="1"/>
  <c r="D1204" i="4" s="1"/>
  <c r="E1205" i="1"/>
  <c r="D1205" i="4" s="1"/>
  <c r="E1206" i="1"/>
  <c r="D1206" i="4" s="1"/>
  <c r="E1207" i="1"/>
  <c r="D1207" i="4" s="1"/>
  <c r="E1208" i="1"/>
  <c r="D1208" i="4" s="1"/>
  <c r="E1209" i="1"/>
  <c r="D1209" i="4" s="1"/>
  <c r="E1210" i="1"/>
  <c r="D1210" i="4" s="1"/>
  <c r="E1211" i="1"/>
  <c r="D1211" i="4" s="1"/>
  <c r="E1212" i="1"/>
  <c r="D1212" i="4" s="1"/>
  <c r="E1213" i="1"/>
  <c r="D1213" i="4" s="1"/>
  <c r="E1214" i="1"/>
  <c r="D1214" i="4" s="1"/>
  <c r="E1215" i="1"/>
  <c r="D1215" i="4" s="1"/>
  <c r="E1216" i="1"/>
  <c r="D1216" i="4" s="1"/>
  <c r="E1217" i="1"/>
  <c r="D1217" i="4" s="1"/>
  <c r="E1218" i="1"/>
  <c r="D1218" i="4" s="1"/>
  <c r="E1219" i="1"/>
  <c r="D1219" i="4" s="1"/>
  <c r="E1220" i="1"/>
  <c r="D1220" i="4" s="1"/>
  <c r="E1221" i="1"/>
  <c r="D1221" i="4" s="1"/>
  <c r="E1222" i="1"/>
  <c r="D1222" i="4" s="1"/>
  <c r="E1223" i="1"/>
  <c r="D1223" i="4" s="1"/>
  <c r="E1224" i="1"/>
  <c r="D1224" i="4" s="1"/>
  <c r="E1225" i="1"/>
  <c r="D1225" i="4" s="1"/>
  <c r="E1226" i="1"/>
  <c r="D1226" i="4" s="1"/>
  <c r="E1227" i="1"/>
  <c r="D1227" i="4" s="1"/>
  <c r="E1228" i="1"/>
  <c r="D1228" i="4" s="1"/>
  <c r="E1229" i="1"/>
  <c r="D1229" i="4" s="1"/>
  <c r="E1230" i="1"/>
  <c r="D1230" i="4" s="1"/>
  <c r="E1231" i="1"/>
  <c r="D1231" i="4" s="1"/>
  <c r="E1232" i="1"/>
  <c r="D1232" i="4" s="1"/>
  <c r="E1233" i="1"/>
  <c r="D1233" i="4" s="1"/>
  <c r="E1234" i="1"/>
  <c r="D1234" i="4" s="1"/>
  <c r="E1235" i="1"/>
  <c r="D1235" i="4" s="1"/>
  <c r="E1236" i="1"/>
  <c r="D1236" i="4" s="1"/>
  <c r="E1237" i="1"/>
  <c r="D1237" i="4" s="1"/>
  <c r="E1238" i="1"/>
  <c r="D1238" i="4" s="1"/>
  <c r="E1239" i="1"/>
  <c r="D1239" i="4" s="1"/>
  <c r="E1240" i="1"/>
  <c r="D1240" i="4" s="1"/>
  <c r="E1241" i="1"/>
  <c r="D1241" i="4" s="1"/>
  <c r="E1242" i="1"/>
  <c r="D1242" i="4" s="1"/>
  <c r="E1243" i="1"/>
  <c r="D1243" i="4" s="1"/>
  <c r="E1244" i="1"/>
  <c r="D1244" i="4" s="1"/>
  <c r="E1245" i="1"/>
  <c r="D1245" i="4" s="1"/>
  <c r="E1246" i="1"/>
  <c r="D1246" i="4" s="1"/>
  <c r="E1247" i="1"/>
  <c r="D1247" i="4" s="1"/>
  <c r="E1248" i="1"/>
  <c r="D1248" i="4" s="1"/>
  <c r="E1249" i="1"/>
  <c r="D1249" i="4" s="1"/>
  <c r="E1250" i="1"/>
  <c r="D1250" i="4" s="1"/>
  <c r="E1251" i="1"/>
  <c r="D1251" i="4" s="1"/>
  <c r="E1252" i="1"/>
  <c r="D1252" i="4" s="1"/>
  <c r="E1253" i="1"/>
  <c r="D1253" i="4" s="1"/>
  <c r="E1254" i="1"/>
  <c r="D1254" i="4" s="1"/>
  <c r="E1255" i="1"/>
  <c r="D1255" i="4" s="1"/>
  <c r="E1256" i="1"/>
  <c r="D1256" i="4" s="1"/>
  <c r="E1257" i="1"/>
  <c r="D1257" i="4" s="1"/>
  <c r="E1258" i="1"/>
  <c r="D1258" i="4" s="1"/>
  <c r="E1259" i="1"/>
  <c r="D1259" i="4" s="1"/>
  <c r="E1260" i="1"/>
  <c r="D1260" i="4" s="1"/>
  <c r="E1261" i="1"/>
  <c r="D1261" i="4" s="1"/>
  <c r="E1262" i="1"/>
  <c r="D1262" i="4" s="1"/>
  <c r="E1263" i="1"/>
  <c r="D1263" i="4" s="1"/>
  <c r="E1264" i="1"/>
  <c r="D1264" i="4" s="1"/>
  <c r="E1265" i="1"/>
  <c r="D1265" i="4" s="1"/>
  <c r="E1266" i="1"/>
  <c r="D1266" i="4" s="1"/>
  <c r="E1267" i="1"/>
  <c r="D1267" i="4" s="1"/>
  <c r="E1268" i="1"/>
  <c r="D1268" i="4" s="1"/>
  <c r="E1269" i="1"/>
  <c r="D1269" i="4" s="1"/>
  <c r="E1270" i="1"/>
  <c r="D1270" i="4" s="1"/>
  <c r="E1271" i="1"/>
  <c r="D1271" i="4" s="1"/>
  <c r="E1272" i="1"/>
  <c r="D1272" i="4" s="1"/>
  <c r="E1273" i="1"/>
  <c r="D1273" i="4" s="1"/>
  <c r="E1274" i="1"/>
  <c r="D1274" i="4" s="1"/>
  <c r="E1275" i="1"/>
  <c r="D1275" i="4" s="1"/>
  <c r="E1276" i="1"/>
  <c r="D1276" i="4" s="1"/>
  <c r="E1277" i="1"/>
  <c r="D1277" i="4" s="1"/>
  <c r="E1278" i="1"/>
  <c r="D1278" i="4" s="1"/>
  <c r="E1279" i="1"/>
  <c r="D1279" i="4" s="1"/>
  <c r="E1280" i="1"/>
  <c r="D1280" i="4" s="1"/>
  <c r="E1281" i="1"/>
  <c r="D1281" i="4" s="1"/>
  <c r="E1282" i="1"/>
  <c r="D1282" i="4" s="1"/>
  <c r="E1283" i="1"/>
  <c r="D1283" i="4" s="1"/>
  <c r="E1284" i="1"/>
  <c r="D1284" i="4" s="1"/>
  <c r="E1285" i="1"/>
  <c r="D1285" i="4" s="1"/>
  <c r="E1286" i="1"/>
  <c r="D1286" i="4" s="1"/>
  <c r="E1287" i="1"/>
  <c r="D1287" i="4" s="1"/>
  <c r="E1288" i="1"/>
  <c r="D1288" i="4" s="1"/>
  <c r="E1289" i="1"/>
  <c r="D1289" i="4" s="1"/>
  <c r="E1290" i="1"/>
  <c r="D1290" i="4" s="1"/>
  <c r="E1291" i="1"/>
  <c r="D1291" i="4" s="1"/>
  <c r="E1292" i="1"/>
  <c r="D1292" i="4" s="1"/>
  <c r="E1293" i="1"/>
  <c r="D1293" i="4" s="1"/>
  <c r="E1294" i="1"/>
  <c r="D1294" i="4" s="1"/>
  <c r="E1295" i="1"/>
  <c r="D1295" i="4" s="1"/>
  <c r="E1296" i="1"/>
  <c r="D1296" i="4" s="1"/>
  <c r="E1297" i="1"/>
  <c r="D1297" i="4" s="1"/>
  <c r="E1298" i="1"/>
  <c r="D1298" i="4" s="1"/>
  <c r="E1299" i="1"/>
  <c r="D1299" i="4" s="1"/>
  <c r="E1300" i="1"/>
  <c r="D1300" i="4" s="1"/>
  <c r="E1301" i="1"/>
  <c r="D1301" i="4" s="1"/>
  <c r="E1302" i="1"/>
  <c r="D1302" i="4" s="1"/>
  <c r="E1303" i="1"/>
  <c r="D1303" i="4" s="1"/>
  <c r="E1304" i="1"/>
  <c r="D1304" i="4" s="1"/>
  <c r="E1305" i="1"/>
  <c r="D1305" i="4" s="1"/>
  <c r="E1306" i="1"/>
  <c r="D1306" i="4" s="1"/>
  <c r="E1307" i="1"/>
  <c r="D1307" i="4" s="1"/>
  <c r="E1308" i="1"/>
  <c r="D1308" i="4" s="1"/>
  <c r="E1309" i="1"/>
  <c r="D1309" i="4" s="1"/>
  <c r="E1310" i="1"/>
  <c r="D1310" i="4" s="1"/>
  <c r="E1311" i="1"/>
  <c r="D1311" i="4" s="1"/>
  <c r="E1312" i="1"/>
  <c r="D1312" i="4" s="1"/>
  <c r="E1313" i="1"/>
  <c r="D1313" i="4" s="1"/>
  <c r="E1314" i="1"/>
  <c r="D1314" i="4" s="1"/>
  <c r="E1315" i="1"/>
  <c r="D1315" i="4" s="1"/>
  <c r="E1316" i="1"/>
  <c r="D1316" i="4" s="1"/>
  <c r="E1317" i="1"/>
  <c r="D1317" i="4" s="1"/>
  <c r="E1318" i="1"/>
  <c r="D1318" i="4" s="1"/>
  <c r="E1319" i="1"/>
  <c r="D1319" i="4" s="1"/>
  <c r="E1320" i="1"/>
  <c r="D1320" i="4" s="1"/>
  <c r="E1321" i="1"/>
  <c r="D1321" i="4" s="1"/>
  <c r="E1322" i="1"/>
  <c r="D1322" i="4" s="1"/>
  <c r="E1323" i="1"/>
  <c r="D1323" i="4" s="1"/>
  <c r="E1324" i="1"/>
  <c r="D1324" i="4" s="1"/>
  <c r="E1325" i="1"/>
  <c r="D1325" i="4" s="1"/>
  <c r="E1326" i="1"/>
  <c r="D1326" i="4" s="1"/>
  <c r="E1327" i="1"/>
  <c r="D1327" i="4" s="1"/>
  <c r="E1328" i="1"/>
  <c r="D1328" i="4" s="1"/>
  <c r="E1329" i="1"/>
  <c r="D1329" i="4" s="1"/>
  <c r="E1330" i="1"/>
  <c r="D1330" i="4" s="1"/>
  <c r="E1331" i="1"/>
  <c r="D1331" i="4" s="1"/>
  <c r="E1332" i="1"/>
  <c r="D1332" i="4" s="1"/>
  <c r="E1333" i="1"/>
  <c r="D1333" i="4" s="1"/>
  <c r="E1334" i="1"/>
  <c r="D1334" i="4" s="1"/>
  <c r="E1335" i="1"/>
  <c r="D1335" i="4" s="1"/>
  <c r="E1336" i="1"/>
  <c r="D1336" i="4" s="1"/>
  <c r="E1337" i="1"/>
  <c r="D1337" i="4" s="1"/>
  <c r="E1338" i="1"/>
  <c r="D1338" i="4" s="1"/>
  <c r="E1339" i="1"/>
  <c r="D1339" i="4" s="1"/>
  <c r="E1340" i="1"/>
  <c r="D1340" i="4" s="1"/>
  <c r="E1341" i="1"/>
  <c r="D1341" i="4" s="1"/>
  <c r="E1342" i="1"/>
  <c r="D1342" i="4" s="1"/>
  <c r="E1343" i="1"/>
  <c r="D1343" i="4" s="1"/>
  <c r="E1344" i="1"/>
  <c r="D1344" i="4" s="1"/>
  <c r="E1345" i="1"/>
  <c r="D1345" i="4" s="1"/>
  <c r="E1346" i="1"/>
  <c r="D1346" i="4" s="1"/>
  <c r="E1347" i="1"/>
  <c r="D1347" i="4" s="1"/>
  <c r="E1348" i="1"/>
  <c r="D1348" i="4" s="1"/>
  <c r="E1349" i="1"/>
  <c r="D1349" i="4" s="1"/>
  <c r="E1350" i="1"/>
  <c r="D1350" i="4" s="1"/>
  <c r="E1351" i="1"/>
  <c r="D1351" i="4" s="1"/>
  <c r="E1352" i="1"/>
  <c r="D1352" i="4" s="1"/>
  <c r="E1353" i="1"/>
  <c r="D1353" i="4" s="1"/>
  <c r="E1354" i="1"/>
  <c r="D1354" i="4" s="1"/>
  <c r="E1355" i="1"/>
  <c r="D1355" i="4" s="1"/>
  <c r="E1356" i="1"/>
  <c r="D1356" i="4" s="1"/>
  <c r="E1357" i="1"/>
  <c r="D1357" i="4" s="1"/>
  <c r="E1358" i="1"/>
  <c r="D1358" i="4" s="1"/>
  <c r="E1359" i="1"/>
  <c r="D1359" i="4" s="1"/>
  <c r="E1360" i="1"/>
  <c r="D1360" i="4" s="1"/>
  <c r="E1361" i="1"/>
  <c r="D1361" i="4" s="1"/>
  <c r="E1362" i="1"/>
  <c r="D1362" i="4" s="1"/>
  <c r="E1363" i="1"/>
  <c r="D1363" i="4" s="1"/>
  <c r="E1364" i="1"/>
  <c r="D1364" i="4" s="1"/>
  <c r="E1365" i="1"/>
  <c r="D1365" i="4" s="1"/>
  <c r="E1366" i="1"/>
  <c r="D1366" i="4" s="1"/>
  <c r="E1367" i="1"/>
  <c r="D1367" i="4" s="1"/>
  <c r="E1368" i="1"/>
  <c r="D1368" i="4" s="1"/>
  <c r="E1369" i="1"/>
  <c r="D1369" i="4" s="1"/>
  <c r="E1370" i="1"/>
  <c r="D1370" i="4" s="1"/>
  <c r="E1371" i="1"/>
  <c r="D1371" i="4" s="1"/>
  <c r="E1372" i="1"/>
  <c r="D1372" i="4" s="1"/>
  <c r="E1373" i="1"/>
  <c r="D1373" i="4" s="1"/>
  <c r="E1374" i="1"/>
  <c r="D1374" i="4" s="1"/>
  <c r="E1375" i="1"/>
  <c r="D1375" i="4" s="1"/>
  <c r="E1376" i="1"/>
  <c r="D1376" i="4" s="1"/>
  <c r="E1377" i="1"/>
  <c r="D1377" i="4" s="1"/>
  <c r="E1378" i="1"/>
  <c r="D1378" i="4" s="1"/>
  <c r="E1379" i="1"/>
  <c r="D1379" i="4" s="1"/>
  <c r="E1380" i="1"/>
  <c r="D1380" i="4" s="1"/>
  <c r="E1381" i="1"/>
  <c r="D1381" i="4" s="1"/>
  <c r="E1382" i="1"/>
  <c r="D1382" i="4" s="1"/>
  <c r="E1383" i="1"/>
  <c r="D1383" i="4" s="1"/>
  <c r="E1384" i="1"/>
  <c r="D1384" i="4" s="1"/>
  <c r="E1385" i="1"/>
  <c r="D1385" i="4" s="1"/>
  <c r="E1386" i="1"/>
  <c r="D1386" i="4" s="1"/>
  <c r="E1387" i="1"/>
  <c r="D1387" i="4" s="1"/>
  <c r="E1388" i="1"/>
  <c r="D1388" i="4" s="1"/>
  <c r="E1389" i="1"/>
  <c r="D1389" i="4" s="1"/>
  <c r="E1390" i="1"/>
  <c r="D1390" i="4" s="1"/>
  <c r="E1391" i="1"/>
  <c r="D1391" i="4" s="1"/>
  <c r="E1392" i="1"/>
  <c r="D1392" i="4" s="1"/>
  <c r="E1393" i="1"/>
  <c r="D1393" i="4" s="1"/>
  <c r="E1394" i="1"/>
  <c r="D1394" i="4" s="1"/>
  <c r="E1395" i="1"/>
  <c r="D1395" i="4" s="1"/>
  <c r="E1396" i="1"/>
  <c r="D1396" i="4" s="1"/>
  <c r="E1397" i="1"/>
  <c r="D1397" i="4" s="1"/>
  <c r="E1398" i="1"/>
  <c r="D1398" i="4" s="1"/>
  <c r="E1399" i="1"/>
  <c r="D1399" i="4" s="1"/>
  <c r="E1400" i="1"/>
  <c r="D1400" i="4" s="1"/>
  <c r="E1401" i="1"/>
  <c r="D1401" i="4" s="1"/>
  <c r="E1402" i="1"/>
  <c r="D1402" i="4" s="1"/>
  <c r="E1403" i="1"/>
  <c r="D1403" i="4" s="1"/>
  <c r="E1404" i="1"/>
  <c r="D1404" i="4" s="1"/>
  <c r="E1405" i="1"/>
  <c r="D1405" i="4" s="1"/>
  <c r="E1406" i="1"/>
  <c r="D1406" i="4" s="1"/>
  <c r="E1407" i="1"/>
  <c r="D1407" i="4" s="1"/>
  <c r="E1408" i="1"/>
  <c r="D1408" i="4" s="1"/>
  <c r="E1409" i="1"/>
  <c r="D1409" i="4" s="1"/>
  <c r="E1410" i="1"/>
  <c r="D1410" i="4" s="1"/>
  <c r="E1411" i="1"/>
  <c r="D1411" i="4" s="1"/>
  <c r="E1412" i="1"/>
  <c r="D1412" i="4" s="1"/>
  <c r="E1413" i="1"/>
  <c r="D1413" i="4" s="1"/>
  <c r="E1414" i="1"/>
  <c r="D1414" i="4" s="1"/>
  <c r="E1415" i="1"/>
  <c r="D1415" i="4" s="1"/>
  <c r="E1416" i="1"/>
  <c r="D1416" i="4" s="1"/>
  <c r="E1417" i="1"/>
  <c r="D1417" i="4" s="1"/>
  <c r="E1418" i="1"/>
  <c r="D1418" i="4" s="1"/>
  <c r="E1419" i="1"/>
  <c r="D1419" i="4" s="1"/>
  <c r="E1420" i="1"/>
  <c r="D1420" i="4" s="1"/>
  <c r="E1421" i="1"/>
  <c r="D1421" i="4" s="1"/>
  <c r="E1422" i="1"/>
  <c r="D1422" i="4" s="1"/>
  <c r="E1423" i="1"/>
  <c r="D1423" i="4" s="1"/>
  <c r="E1424" i="1"/>
  <c r="D1424" i="4" s="1"/>
  <c r="E1425" i="1"/>
  <c r="D1425" i="4" s="1"/>
  <c r="E1426" i="1"/>
  <c r="D1426" i="4" s="1"/>
  <c r="E1427" i="1"/>
  <c r="D1427" i="4" s="1"/>
  <c r="E1428" i="1"/>
  <c r="D1428" i="4" s="1"/>
  <c r="E1429" i="1"/>
  <c r="D1429" i="4" s="1"/>
  <c r="E1430" i="1"/>
  <c r="D1430" i="4" s="1"/>
  <c r="E1431" i="1"/>
  <c r="D1431" i="4" s="1"/>
  <c r="E1432" i="1"/>
  <c r="D1432" i="4" s="1"/>
  <c r="E1433" i="1"/>
  <c r="D1433" i="4" s="1"/>
  <c r="E1434" i="1"/>
  <c r="D1434" i="4" s="1"/>
  <c r="E1435" i="1"/>
  <c r="D1435" i="4" s="1"/>
  <c r="E1436" i="1"/>
  <c r="D1436" i="4" s="1"/>
  <c r="E1437" i="1"/>
  <c r="D1437" i="4" s="1"/>
  <c r="E1438" i="1"/>
  <c r="D1438" i="4" s="1"/>
  <c r="E1439" i="1"/>
  <c r="D1439" i="4" s="1"/>
  <c r="E1440" i="1"/>
  <c r="D1440" i="4" s="1"/>
  <c r="E1441" i="1"/>
  <c r="D1441" i="4" s="1"/>
  <c r="E1442" i="1"/>
  <c r="D1442" i="4" s="1"/>
  <c r="E1443" i="1"/>
  <c r="D1443" i="4" s="1"/>
  <c r="E1444" i="1"/>
  <c r="D1444" i="4" s="1"/>
  <c r="E1445" i="1"/>
  <c r="D1445" i="4" s="1"/>
  <c r="E1446" i="1"/>
  <c r="D1446" i="4" s="1"/>
  <c r="E1447" i="1"/>
  <c r="D1447" i="4" s="1"/>
  <c r="E1448" i="1"/>
  <c r="D1448" i="4" s="1"/>
  <c r="E1449" i="1"/>
  <c r="D1449" i="4" s="1"/>
  <c r="E1450" i="1"/>
  <c r="D1450" i="4" s="1"/>
  <c r="E1451" i="1"/>
  <c r="D1451" i="4" s="1"/>
  <c r="E1452" i="1"/>
  <c r="D1452" i="4" s="1"/>
  <c r="E1453" i="1"/>
  <c r="D1453" i="4" s="1"/>
  <c r="E1454" i="1"/>
  <c r="D1454" i="4" s="1"/>
  <c r="E1455" i="1"/>
  <c r="D1455" i="4" s="1"/>
  <c r="E1456" i="1"/>
  <c r="D1456" i="4" s="1"/>
  <c r="E1457" i="1"/>
  <c r="D1457" i="4" s="1"/>
  <c r="E1458" i="1"/>
  <c r="D1458" i="4" s="1"/>
  <c r="E1459" i="1"/>
  <c r="D1459" i="4" s="1"/>
  <c r="E1460" i="1"/>
  <c r="D1460" i="4" s="1"/>
  <c r="E1461" i="1"/>
  <c r="D1461" i="4" s="1"/>
  <c r="E1462" i="1"/>
  <c r="D1462" i="4" s="1"/>
  <c r="E1463" i="1"/>
  <c r="D1463" i="4" s="1"/>
  <c r="E1464" i="1"/>
  <c r="D1464" i="4" s="1"/>
  <c r="E1465" i="1"/>
  <c r="D1465" i="4" s="1"/>
  <c r="E1466" i="1"/>
  <c r="D1466" i="4" s="1"/>
  <c r="E1467" i="1"/>
  <c r="D1467" i="4" s="1"/>
  <c r="E1468" i="1"/>
  <c r="D1468" i="4" s="1"/>
  <c r="E1469" i="1"/>
  <c r="D1469" i="4" s="1"/>
  <c r="E1470" i="1"/>
  <c r="D1470" i="4" s="1"/>
  <c r="E1471" i="1"/>
  <c r="D1471" i="4" s="1"/>
  <c r="E1472" i="1"/>
  <c r="D1472" i="4" s="1"/>
  <c r="E1473" i="1"/>
  <c r="D1473" i="4" s="1"/>
  <c r="E1474" i="1"/>
  <c r="D1474" i="4" s="1"/>
  <c r="E1475" i="1"/>
  <c r="D1475" i="4" s="1"/>
  <c r="E1476" i="1"/>
  <c r="D1476" i="4" s="1"/>
  <c r="E1477" i="1"/>
  <c r="D1477" i="4" s="1"/>
  <c r="E1478" i="1"/>
  <c r="D1478" i="4" s="1"/>
  <c r="E1479" i="1"/>
  <c r="D1479" i="4" s="1"/>
  <c r="E1480" i="1"/>
  <c r="D1480" i="4" s="1"/>
  <c r="E1481" i="1"/>
  <c r="D1481" i="4" s="1"/>
  <c r="E1482" i="1"/>
  <c r="D1482" i="4" s="1"/>
  <c r="E1483" i="1"/>
  <c r="D1483" i="4" s="1"/>
  <c r="E1484" i="1"/>
  <c r="D1484" i="4" s="1"/>
  <c r="E1485" i="1"/>
  <c r="D1485" i="4" s="1"/>
  <c r="E1486" i="1"/>
  <c r="D1486" i="4" s="1"/>
  <c r="E1487" i="1"/>
  <c r="D1487" i="4" s="1"/>
  <c r="E1488" i="1"/>
  <c r="D1488" i="4" s="1"/>
  <c r="E1489" i="1"/>
  <c r="D1489" i="4" s="1"/>
  <c r="E1490" i="1"/>
  <c r="D1490" i="4" s="1"/>
  <c r="E1491" i="1"/>
  <c r="D1491" i="4" s="1"/>
  <c r="E1492" i="1"/>
  <c r="D1492" i="4" s="1"/>
  <c r="E1493" i="1"/>
  <c r="D1493" i="4" s="1"/>
  <c r="E1494" i="1"/>
  <c r="D1494" i="4" s="1"/>
  <c r="E1495" i="1"/>
  <c r="D1495" i="4" s="1"/>
  <c r="E1496" i="1"/>
  <c r="D1496" i="4" s="1"/>
  <c r="E1497" i="1"/>
  <c r="D1497" i="4" s="1"/>
  <c r="E1498" i="1"/>
  <c r="D1498" i="4" s="1"/>
  <c r="E1499" i="1"/>
  <c r="D1499" i="4" s="1"/>
  <c r="E1500" i="1"/>
  <c r="D1500" i="4" s="1"/>
  <c r="E1501" i="1"/>
  <c r="D1501" i="4" s="1"/>
  <c r="E1502" i="1"/>
  <c r="D1502" i="4" s="1"/>
  <c r="E1503" i="1"/>
  <c r="D1503" i="4" s="1"/>
  <c r="E1504" i="1"/>
  <c r="D1504" i="4" s="1"/>
  <c r="E1505" i="1"/>
  <c r="D1505" i="4" s="1"/>
  <c r="E1506" i="1"/>
  <c r="D1506" i="4" s="1"/>
  <c r="E1507" i="1"/>
  <c r="D1507" i="4" s="1"/>
  <c r="E1508" i="1"/>
  <c r="D1508" i="4" s="1"/>
  <c r="E1509" i="1"/>
  <c r="D1509" i="4" s="1"/>
  <c r="E1510" i="1"/>
  <c r="D1510" i="4" s="1"/>
  <c r="E1511" i="1"/>
  <c r="D1511" i="4" s="1"/>
  <c r="E1512" i="1"/>
  <c r="D1512" i="4" s="1"/>
  <c r="E1513" i="1"/>
  <c r="D1513" i="4" s="1"/>
  <c r="E1514" i="1"/>
  <c r="D1514" i="4" s="1"/>
  <c r="E1515" i="1"/>
  <c r="D1515" i="4" s="1"/>
  <c r="E1516" i="1"/>
  <c r="D1516" i="4" s="1"/>
  <c r="E1517" i="1"/>
  <c r="D1517" i="4" s="1"/>
  <c r="E1518" i="1"/>
  <c r="D1518" i="4" s="1"/>
  <c r="E1519" i="1"/>
  <c r="D1519" i="4" s="1"/>
  <c r="E1520" i="1"/>
  <c r="D1520" i="4" s="1"/>
  <c r="E1521" i="1"/>
  <c r="D1521" i="4" s="1"/>
  <c r="E1522" i="1"/>
  <c r="D1522" i="4" s="1"/>
  <c r="E1523" i="1"/>
  <c r="D1523" i="4" s="1"/>
  <c r="E1524" i="1"/>
  <c r="D1524" i="4" s="1"/>
  <c r="E1525" i="1"/>
  <c r="D1525" i="4" s="1"/>
  <c r="E1526" i="1"/>
  <c r="D1526" i="4" s="1"/>
  <c r="E1527" i="1"/>
  <c r="D1527" i="4" s="1"/>
  <c r="E1528" i="1"/>
  <c r="D1528" i="4" s="1"/>
  <c r="E1529" i="1"/>
  <c r="D1529" i="4" s="1"/>
  <c r="E1530" i="1"/>
  <c r="D1530" i="4" s="1"/>
  <c r="E1531" i="1"/>
  <c r="D1531" i="4" s="1"/>
  <c r="E1532" i="1"/>
  <c r="D1532" i="4" s="1"/>
  <c r="E1533" i="1"/>
  <c r="D1533" i="4" s="1"/>
  <c r="E1534" i="1"/>
  <c r="D1534" i="4" s="1"/>
  <c r="E1535" i="1"/>
  <c r="D1535" i="4" s="1"/>
  <c r="E1536" i="1"/>
  <c r="D1536" i="4" s="1"/>
  <c r="E1537" i="1"/>
  <c r="D1537" i="4" s="1"/>
  <c r="E1538" i="1"/>
  <c r="D1538" i="4" s="1"/>
  <c r="E1539" i="1"/>
  <c r="D1539" i="4" s="1"/>
  <c r="E1540" i="1"/>
  <c r="D1540" i="4" s="1"/>
  <c r="E1541" i="1"/>
  <c r="D1541" i="4" s="1"/>
  <c r="E1542" i="1"/>
  <c r="D1542" i="4" s="1"/>
  <c r="E1543" i="1"/>
  <c r="D1543" i="4" s="1"/>
  <c r="E1544" i="1"/>
  <c r="D1544" i="4" s="1"/>
  <c r="E1545" i="1"/>
  <c r="D1545" i="4" s="1"/>
  <c r="E1546" i="1"/>
  <c r="D1546" i="4" s="1"/>
  <c r="E1547" i="1"/>
  <c r="D1547" i="4" s="1"/>
  <c r="E1548" i="1"/>
  <c r="D1548" i="4" s="1"/>
  <c r="E1549" i="1"/>
  <c r="D1549" i="4" s="1"/>
  <c r="E1550" i="1"/>
  <c r="D1550" i="4" s="1"/>
  <c r="E1551" i="1"/>
  <c r="D1551" i="4" s="1"/>
  <c r="E1552" i="1"/>
  <c r="D1552" i="4" s="1"/>
  <c r="E1553" i="1"/>
  <c r="D1553" i="4" s="1"/>
  <c r="E1554" i="1"/>
  <c r="D1554" i="4" s="1"/>
  <c r="E1555" i="1"/>
  <c r="D1555" i="4" s="1"/>
  <c r="E1556" i="1"/>
  <c r="D1556" i="4" s="1"/>
  <c r="E1557" i="1"/>
  <c r="D1557" i="4" s="1"/>
  <c r="E1558" i="1"/>
  <c r="D1558" i="4" s="1"/>
  <c r="E1559" i="1"/>
  <c r="D1559" i="4" s="1"/>
  <c r="E1560" i="1"/>
  <c r="D1560" i="4" s="1"/>
  <c r="E1561" i="1"/>
  <c r="D1561" i="4" s="1"/>
  <c r="E1562" i="1"/>
  <c r="D1562" i="4" s="1"/>
  <c r="E1563" i="1"/>
  <c r="D1563" i="4" s="1"/>
  <c r="E1564" i="1"/>
  <c r="D1564" i="4" s="1"/>
  <c r="E1565" i="1"/>
  <c r="D1565" i="4" s="1"/>
  <c r="E1566" i="1"/>
  <c r="D1566" i="4" s="1"/>
  <c r="E1567" i="1"/>
  <c r="D1567" i="4" s="1"/>
  <c r="E1568" i="1"/>
  <c r="D1568" i="4" s="1"/>
  <c r="E1569" i="1"/>
  <c r="D1569" i="4" s="1"/>
  <c r="E1570" i="1"/>
  <c r="D1570" i="4" s="1"/>
  <c r="E1571" i="1"/>
  <c r="D1571" i="4" s="1"/>
  <c r="E1572" i="1"/>
  <c r="D1572" i="4" s="1"/>
  <c r="E1573" i="1"/>
  <c r="D1573" i="4" s="1"/>
  <c r="E1574" i="1"/>
  <c r="D1574" i="4" s="1"/>
  <c r="E1575" i="1"/>
  <c r="D1575" i="4" s="1"/>
  <c r="E1576" i="1"/>
  <c r="D1576" i="4" s="1"/>
  <c r="E1577" i="1"/>
  <c r="D1577" i="4" s="1"/>
  <c r="E1578" i="1"/>
  <c r="D1578" i="4" s="1"/>
  <c r="E1579" i="1"/>
  <c r="D1579" i="4" s="1"/>
  <c r="E1580" i="1"/>
  <c r="D1580" i="4" s="1"/>
  <c r="E1581" i="1"/>
  <c r="D1581" i="4" s="1"/>
  <c r="E1582" i="1"/>
  <c r="D1582" i="4" s="1"/>
  <c r="E1583" i="1"/>
  <c r="D1583" i="4" s="1"/>
  <c r="E1584" i="1"/>
  <c r="D1584" i="4" s="1"/>
  <c r="E1585" i="1"/>
  <c r="D1585" i="4" s="1"/>
  <c r="E1586" i="1"/>
  <c r="D1586" i="4" s="1"/>
  <c r="E1587" i="1"/>
  <c r="D1587" i="4" s="1"/>
  <c r="E1588" i="1"/>
  <c r="D1588" i="4" s="1"/>
  <c r="E1589" i="1"/>
  <c r="D1589" i="4" s="1"/>
  <c r="E1590" i="1"/>
  <c r="D1590" i="4" s="1"/>
  <c r="E1591" i="1"/>
  <c r="D1591" i="4" s="1"/>
  <c r="E1592" i="1"/>
  <c r="D1592" i="4" s="1"/>
  <c r="E1593" i="1"/>
  <c r="D1593" i="4" s="1"/>
  <c r="E1594" i="1"/>
  <c r="D1594" i="4" s="1"/>
  <c r="E1595" i="1"/>
  <c r="D1595" i="4" s="1"/>
  <c r="E1596" i="1"/>
  <c r="D1596" i="4" s="1"/>
  <c r="E1597" i="1"/>
  <c r="D1597" i="4" s="1"/>
  <c r="E1598" i="1"/>
  <c r="D1598" i="4" s="1"/>
  <c r="E1599" i="1"/>
  <c r="D1599" i="4" s="1"/>
  <c r="E1600" i="1"/>
  <c r="D1600" i="4" s="1"/>
  <c r="E1601" i="1"/>
  <c r="D1601" i="4" s="1"/>
  <c r="E1602" i="1"/>
  <c r="D1602" i="4" s="1"/>
  <c r="E1603" i="1"/>
  <c r="D1603" i="4" s="1"/>
  <c r="E1604" i="1"/>
  <c r="D1604" i="4" s="1"/>
  <c r="E1605" i="1"/>
  <c r="D1605" i="4" s="1"/>
  <c r="E1606" i="1"/>
  <c r="D1606" i="4" s="1"/>
  <c r="E1607" i="1"/>
  <c r="D1607" i="4" s="1"/>
  <c r="E1608" i="1"/>
  <c r="D1608" i="4" s="1"/>
  <c r="E1609" i="1"/>
  <c r="D1609" i="4" s="1"/>
  <c r="E1610" i="1"/>
  <c r="D1610" i="4" s="1"/>
  <c r="E1611" i="1"/>
  <c r="D1611" i="4" s="1"/>
  <c r="E1612" i="1"/>
  <c r="D1612" i="4" s="1"/>
  <c r="E1613" i="1"/>
  <c r="D1613" i="4" s="1"/>
  <c r="E1614" i="1"/>
  <c r="D1614" i="4" s="1"/>
  <c r="E1615" i="1"/>
  <c r="D1615" i="4" s="1"/>
  <c r="E1616" i="1"/>
  <c r="D1616" i="4" s="1"/>
  <c r="E1617" i="1"/>
  <c r="D1617" i="4" s="1"/>
  <c r="E1618" i="1"/>
  <c r="D1618" i="4" s="1"/>
  <c r="E1619" i="1"/>
  <c r="D1619" i="4" s="1"/>
  <c r="E1620" i="1"/>
  <c r="D1620" i="4" s="1"/>
  <c r="E1621" i="1"/>
  <c r="D1621" i="4" s="1"/>
  <c r="E1622" i="1"/>
  <c r="D1622" i="4" s="1"/>
  <c r="E1623" i="1"/>
  <c r="D1623" i="4" s="1"/>
  <c r="E1624" i="1"/>
  <c r="D1624" i="4" s="1"/>
  <c r="E1625" i="1"/>
  <c r="D1625" i="4" s="1"/>
  <c r="E1626" i="1"/>
  <c r="D1626" i="4" s="1"/>
  <c r="E1627" i="1"/>
  <c r="D1627" i="4" s="1"/>
  <c r="E1628" i="1"/>
  <c r="D1628" i="4" s="1"/>
  <c r="E1629" i="1"/>
  <c r="D1629" i="4" s="1"/>
  <c r="E1630" i="1"/>
  <c r="D1630" i="4" s="1"/>
  <c r="E1631" i="1"/>
  <c r="D1631" i="4" s="1"/>
  <c r="E1632" i="1"/>
  <c r="D1632" i="4" s="1"/>
  <c r="E1633" i="1"/>
  <c r="D1633" i="4" s="1"/>
  <c r="E1634" i="1"/>
  <c r="D1634" i="4" s="1"/>
  <c r="E1635" i="1"/>
  <c r="D1635" i="4" s="1"/>
  <c r="E1636" i="1"/>
  <c r="D1636" i="4" s="1"/>
  <c r="E1637" i="1"/>
  <c r="D1637" i="4" s="1"/>
  <c r="E1638" i="1"/>
  <c r="D1638" i="4" s="1"/>
  <c r="E1639" i="1"/>
  <c r="D1639" i="4" s="1"/>
  <c r="E1640" i="1"/>
  <c r="D1640" i="4" s="1"/>
  <c r="E1641" i="1"/>
  <c r="D1641" i="4" s="1"/>
  <c r="E1642" i="1"/>
  <c r="D1642" i="4" s="1"/>
  <c r="E1643" i="1"/>
  <c r="D1643" i="4" s="1"/>
  <c r="E1644" i="1"/>
  <c r="D1644" i="4" s="1"/>
  <c r="E1645" i="1"/>
  <c r="D1645" i="4" s="1"/>
  <c r="E1646" i="1"/>
  <c r="D1646" i="4" s="1"/>
  <c r="E1647" i="1"/>
  <c r="D1647" i="4" s="1"/>
  <c r="E1648" i="1"/>
  <c r="D1648" i="4" s="1"/>
  <c r="E1649" i="1"/>
  <c r="D1649" i="4" s="1"/>
  <c r="E1650" i="1"/>
  <c r="D1650" i="4" s="1"/>
  <c r="E1651" i="1"/>
  <c r="D1651" i="4" s="1"/>
  <c r="E1652" i="1"/>
  <c r="D1652" i="4" s="1"/>
  <c r="E1653" i="1"/>
  <c r="D1653" i="4" s="1"/>
  <c r="E1654" i="1"/>
  <c r="D1654" i="4" s="1"/>
  <c r="E1655" i="1"/>
  <c r="D1655" i="4" s="1"/>
  <c r="E1656" i="1"/>
  <c r="D1656" i="4" s="1"/>
  <c r="E1657" i="1"/>
  <c r="D1657" i="4" s="1"/>
  <c r="E1658" i="1"/>
  <c r="D1658" i="4" s="1"/>
  <c r="E1659" i="1"/>
  <c r="D1659" i="4" s="1"/>
  <c r="E1660" i="1"/>
  <c r="D1660" i="4" s="1"/>
  <c r="E1661" i="1"/>
  <c r="D1661" i="4" s="1"/>
  <c r="E1662" i="1"/>
  <c r="D1662" i="4" s="1"/>
  <c r="E1663" i="1"/>
  <c r="D1663" i="4" s="1"/>
  <c r="E1664" i="1"/>
  <c r="D1664" i="4" s="1"/>
  <c r="E1665" i="1"/>
  <c r="D1665" i="4" s="1"/>
  <c r="E1666" i="1"/>
  <c r="D1666" i="4" s="1"/>
  <c r="E1667" i="1"/>
  <c r="D1667" i="4" s="1"/>
  <c r="E1668" i="1"/>
  <c r="D1668" i="4" s="1"/>
  <c r="E1669" i="1"/>
  <c r="D1669" i="4" s="1"/>
  <c r="E1670" i="1"/>
  <c r="D1670" i="4" s="1"/>
  <c r="E1671" i="1"/>
  <c r="D1671" i="4" s="1"/>
  <c r="E1672" i="1"/>
  <c r="D1672" i="4" s="1"/>
  <c r="E1673" i="1"/>
  <c r="D1673" i="4" s="1"/>
  <c r="E1674" i="1"/>
  <c r="D1674" i="4" s="1"/>
  <c r="E1675" i="1"/>
  <c r="D1675" i="4" s="1"/>
  <c r="E1676" i="1"/>
  <c r="D1676" i="4" s="1"/>
  <c r="E1677" i="1"/>
  <c r="D1677" i="4" s="1"/>
  <c r="E1678" i="1"/>
  <c r="D1678" i="4" s="1"/>
  <c r="E1679" i="1"/>
  <c r="D1679" i="4" s="1"/>
  <c r="E1680" i="1"/>
  <c r="D1680" i="4" s="1"/>
  <c r="E1681" i="1"/>
  <c r="D1681" i="4" s="1"/>
  <c r="E1682" i="1"/>
  <c r="D1682" i="4" s="1"/>
  <c r="E1683" i="1"/>
  <c r="D1683" i="4" s="1"/>
  <c r="E1684" i="1"/>
  <c r="D1684" i="4" s="1"/>
  <c r="E1685" i="1"/>
  <c r="D1685" i="4" s="1"/>
  <c r="E1686" i="1"/>
  <c r="D1686" i="4" s="1"/>
  <c r="E1687" i="1"/>
  <c r="D1687" i="4" s="1"/>
  <c r="E1688" i="1"/>
  <c r="D1688" i="4" s="1"/>
  <c r="E1689" i="1"/>
  <c r="D1689" i="4" s="1"/>
  <c r="E1690" i="1"/>
  <c r="D1690" i="4" s="1"/>
  <c r="E1691" i="1"/>
  <c r="D1691" i="4" s="1"/>
  <c r="E1692" i="1"/>
  <c r="D1692" i="4" s="1"/>
  <c r="E1693" i="1"/>
  <c r="D1693" i="4" s="1"/>
  <c r="E1694" i="1"/>
  <c r="D1694" i="4" s="1"/>
  <c r="E1695" i="1"/>
  <c r="D1695" i="4" s="1"/>
  <c r="E1696" i="1"/>
  <c r="D1696" i="4" s="1"/>
  <c r="E1697" i="1"/>
  <c r="D1697" i="4" s="1"/>
  <c r="E1698" i="1"/>
  <c r="D1698" i="4" s="1"/>
  <c r="E1699" i="1"/>
  <c r="D1699" i="4" s="1"/>
  <c r="E1700" i="1"/>
  <c r="D1700" i="4" s="1"/>
  <c r="E1701" i="1"/>
  <c r="D1701" i="4" s="1"/>
  <c r="E1702" i="1"/>
  <c r="D1702" i="4" s="1"/>
  <c r="E1703" i="1"/>
  <c r="D1703" i="4" s="1"/>
  <c r="E1704" i="1"/>
  <c r="D1704" i="4" s="1"/>
  <c r="E1705" i="1"/>
  <c r="D1705" i="4" s="1"/>
  <c r="E1706" i="1"/>
  <c r="D1706" i="4" s="1"/>
  <c r="E1707" i="1"/>
  <c r="D1707" i="4" s="1"/>
  <c r="E1708" i="1"/>
  <c r="D1708" i="4" s="1"/>
  <c r="E1709" i="1"/>
  <c r="D1709" i="4" s="1"/>
  <c r="E1710" i="1"/>
  <c r="D1710" i="4" s="1"/>
  <c r="E1711" i="1"/>
  <c r="D1711" i="4" s="1"/>
  <c r="E1712" i="1"/>
  <c r="D1712" i="4" s="1"/>
  <c r="E1713" i="1"/>
  <c r="D1713" i="4" s="1"/>
  <c r="E1714" i="1"/>
  <c r="D1714" i="4" s="1"/>
  <c r="E1715" i="1"/>
  <c r="D1715" i="4" s="1"/>
  <c r="E1716" i="1"/>
  <c r="D1716" i="4" s="1"/>
  <c r="E1717" i="1"/>
  <c r="D1717" i="4" s="1"/>
  <c r="E1718" i="1"/>
  <c r="D1718" i="4" s="1"/>
  <c r="E1719" i="1"/>
  <c r="D1719" i="4" s="1"/>
  <c r="E1720" i="1"/>
  <c r="D1720" i="4" s="1"/>
  <c r="E1721" i="1"/>
  <c r="D1721" i="4" s="1"/>
  <c r="E1722" i="1"/>
  <c r="D1722" i="4" s="1"/>
  <c r="E1723" i="1"/>
  <c r="D1723" i="4" s="1"/>
  <c r="E1724" i="1"/>
  <c r="D1724" i="4" s="1"/>
  <c r="E1725" i="1"/>
  <c r="D1725" i="4" s="1"/>
  <c r="E1726" i="1"/>
  <c r="D1726" i="4" s="1"/>
  <c r="E1727" i="1"/>
  <c r="D1727" i="4" s="1"/>
  <c r="E1728" i="1"/>
  <c r="D1728" i="4" s="1"/>
  <c r="E1729" i="1"/>
  <c r="D1729" i="4" s="1"/>
  <c r="E1730" i="1"/>
  <c r="D1730" i="4" s="1"/>
  <c r="E1731" i="1"/>
  <c r="D1731" i="4" s="1"/>
  <c r="E1732" i="1"/>
  <c r="D1732" i="4" s="1"/>
  <c r="E1733" i="1"/>
  <c r="D1733" i="4" s="1"/>
  <c r="E1734" i="1"/>
  <c r="D1734" i="4" s="1"/>
  <c r="E1735" i="1"/>
  <c r="D1735" i="4" s="1"/>
  <c r="E1736" i="1"/>
  <c r="D1736" i="4" s="1"/>
  <c r="E1737" i="1"/>
  <c r="D1737" i="4" s="1"/>
  <c r="E1738" i="1"/>
  <c r="D1738" i="4" s="1"/>
  <c r="E1739" i="1"/>
  <c r="D1739" i="4" s="1"/>
  <c r="E1740" i="1"/>
  <c r="D1740" i="4" s="1"/>
  <c r="E1741" i="1"/>
  <c r="D1741" i="4" s="1"/>
  <c r="E1742" i="1"/>
  <c r="D1742" i="4" s="1"/>
  <c r="E1743" i="1"/>
  <c r="D1743" i="4" s="1"/>
  <c r="E1744" i="1"/>
  <c r="D1744" i="4" s="1"/>
  <c r="E1745" i="1"/>
  <c r="D1745" i="4" s="1"/>
  <c r="E1746" i="1"/>
  <c r="D1746" i="4" s="1"/>
  <c r="E1747" i="1"/>
  <c r="D1747" i="4" s="1"/>
  <c r="E1748" i="1"/>
  <c r="D1748" i="4" s="1"/>
  <c r="E1749" i="1"/>
  <c r="D1749" i="4" s="1"/>
  <c r="E1750" i="1"/>
  <c r="D1750" i="4" s="1"/>
  <c r="E1751" i="1"/>
  <c r="D1751" i="4" s="1"/>
  <c r="E1752" i="1"/>
  <c r="D1752" i="4" s="1"/>
  <c r="E1753" i="1"/>
  <c r="D1753" i="4" s="1"/>
  <c r="E1754" i="1"/>
  <c r="D1754" i="4" s="1"/>
  <c r="E1755" i="1"/>
  <c r="D1755" i="4" s="1"/>
  <c r="E1756" i="1"/>
  <c r="D1756" i="4" s="1"/>
  <c r="E1757" i="1"/>
  <c r="D1757" i="4" s="1"/>
  <c r="E1758" i="1"/>
  <c r="D1758" i="4" s="1"/>
  <c r="E1759" i="1"/>
  <c r="D1759" i="4" s="1"/>
  <c r="E1760" i="1"/>
  <c r="D1760" i="4" s="1"/>
  <c r="E1761" i="1"/>
  <c r="D1761" i="4" s="1"/>
  <c r="E1762" i="1"/>
  <c r="D1762" i="4" s="1"/>
  <c r="E1763" i="1"/>
  <c r="D1763" i="4" s="1"/>
  <c r="E1764" i="1"/>
  <c r="D1764" i="4" s="1"/>
  <c r="E1765" i="1"/>
  <c r="D1765" i="4" s="1"/>
  <c r="E1766" i="1"/>
  <c r="D1766" i="4" s="1"/>
  <c r="E1767" i="1"/>
  <c r="D1767" i="4" s="1"/>
  <c r="E1768" i="1"/>
  <c r="D1768" i="4" s="1"/>
  <c r="E1769" i="1"/>
  <c r="D1769" i="4" s="1"/>
  <c r="E1770" i="1"/>
  <c r="D1770" i="4" s="1"/>
  <c r="E1771" i="1"/>
  <c r="D1771" i="4" s="1"/>
  <c r="E1772" i="1"/>
  <c r="D1772" i="4" s="1"/>
  <c r="E1773" i="1"/>
  <c r="D1773" i="4" s="1"/>
  <c r="E1774" i="1"/>
  <c r="D1774" i="4" s="1"/>
  <c r="E1775" i="1"/>
  <c r="D1775" i="4" s="1"/>
  <c r="E1776" i="1"/>
  <c r="D1776" i="4" s="1"/>
  <c r="E1777" i="1"/>
  <c r="D1777" i="4" s="1"/>
  <c r="E1778" i="1"/>
  <c r="D1778" i="4" s="1"/>
  <c r="E1779" i="1"/>
  <c r="D1779" i="4" s="1"/>
  <c r="E1780" i="1"/>
  <c r="D1780" i="4" s="1"/>
  <c r="E1781" i="1"/>
  <c r="D1781" i="4" s="1"/>
  <c r="E1782" i="1"/>
  <c r="D1782" i="4" s="1"/>
  <c r="E1783" i="1"/>
  <c r="D1783" i="4" s="1"/>
  <c r="E1784" i="1"/>
  <c r="D1784" i="4" s="1"/>
  <c r="E1785" i="1"/>
  <c r="D1785" i="4" s="1"/>
  <c r="E1786" i="1"/>
  <c r="D1786" i="4" s="1"/>
  <c r="E1787" i="1"/>
  <c r="D1787" i="4" s="1"/>
  <c r="E1788" i="1"/>
  <c r="D1788" i="4" s="1"/>
  <c r="E1789" i="1"/>
  <c r="D1789" i="4" s="1"/>
  <c r="E1790" i="1"/>
  <c r="D1790" i="4" s="1"/>
  <c r="E1791" i="1"/>
  <c r="D1791" i="4" s="1"/>
  <c r="E1792" i="1"/>
  <c r="D1792" i="4" s="1"/>
  <c r="E1793" i="1"/>
  <c r="D1793" i="4" s="1"/>
  <c r="E1794" i="1"/>
  <c r="D1794" i="4" s="1"/>
  <c r="E1795" i="1"/>
  <c r="D1795" i="4" s="1"/>
  <c r="E1796" i="1"/>
  <c r="D1796" i="4" s="1"/>
  <c r="E1797" i="1"/>
  <c r="D1797" i="4" s="1"/>
  <c r="E1798" i="1"/>
  <c r="D1798" i="4" s="1"/>
  <c r="E1799" i="1"/>
  <c r="D1799" i="4" s="1"/>
  <c r="E1800" i="1"/>
  <c r="D1800" i="4" s="1"/>
  <c r="E1801" i="1"/>
  <c r="D1801" i="4" s="1"/>
  <c r="E1802" i="1"/>
  <c r="D1802" i="4" s="1"/>
  <c r="E1803" i="1"/>
  <c r="D1803" i="4" s="1"/>
  <c r="E1804" i="1"/>
  <c r="D1804" i="4" s="1"/>
  <c r="E1805" i="1"/>
  <c r="D1805" i="4" s="1"/>
  <c r="E1806" i="1"/>
  <c r="D1806" i="4" s="1"/>
  <c r="E1807" i="1"/>
  <c r="D1807" i="4" s="1"/>
  <c r="E1808" i="1"/>
  <c r="D1808" i="4" s="1"/>
  <c r="E1809" i="1"/>
  <c r="D1809" i="4" s="1"/>
  <c r="E1810" i="1"/>
  <c r="D1810" i="4" s="1"/>
  <c r="E1811" i="1"/>
  <c r="D1811" i="4" s="1"/>
  <c r="E1812" i="1"/>
  <c r="D1812" i="4" s="1"/>
  <c r="E1813" i="1"/>
  <c r="D1813" i="4" s="1"/>
  <c r="E1814" i="1"/>
  <c r="D1814" i="4" s="1"/>
  <c r="E1815" i="1"/>
  <c r="D1815" i="4" s="1"/>
  <c r="E1816" i="1"/>
  <c r="D1816" i="4" s="1"/>
  <c r="E1817" i="1"/>
  <c r="D1817" i="4" s="1"/>
  <c r="E1818" i="1"/>
  <c r="D1818" i="4" s="1"/>
  <c r="E1819" i="1"/>
  <c r="D1819" i="4" s="1"/>
  <c r="E1820" i="1"/>
  <c r="D1820" i="4" s="1"/>
  <c r="E1821" i="1"/>
  <c r="D1821" i="4" s="1"/>
  <c r="E1822" i="1"/>
  <c r="D1822" i="4" s="1"/>
  <c r="E1823" i="1"/>
  <c r="D1823" i="4" s="1"/>
  <c r="E1824" i="1"/>
  <c r="D1824" i="4" s="1"/>
  <c r="E1825" i="1"/>
  <c r="D1825" i="4" s="1"/>
  <c r="E1826" i="1"/>
  <c r="D1826" i="4" s="1"/>
  <c r="E1827" i="1"/>
  <c r="D1827" i="4" s="1"/>
  <c r="E1828" i="1"/>
  <c r="D1828" i="4" s="1"/>
  <c r="E1829" i="1"/>
  <c r="D1829" i="4" s="1"/>
  <c r="E1830" i="1"/>
  <c r="D1830" i="4" s="1"/>
  <c r="E1831" i="1"/>
  <c r="D1831" i="4" s="1"/>
  <c r="E1832" i="1"/>
  <c r="D1832" i="4" s="1"/>
  <c r="E1833" i="1"/>
  <c r="D1833" i="4" s="1"/>
  <c r="E1834" i="1"/>
  <c r="D1834" i="4" s="1"/>
  <c r="E1835" i="1"/>
  <c r="D1835" i="4" s="1"/>
  <c r="E1836" i="1"/>
  <c r="D1836" i="4" s="1"/>
  <c r="E1837" i="1"/>
  <c r="D1837" i="4" s="1"/>
  <c r="E1838" i="1"/>
  <c r="D1838" i="4" s="1"/>
  <c r="E1839" i="1"/>
  <c r="D1839" i="4" s="1"/>
  <c r="E1840" i="1"/>
  <c r="D1840" i="4" s="1"/>
  <c r="E1841" i="1"/>
  <c r="D1841" i="4" s="1"/>
  <c r="E1842" i="1"/>
  <c r="D1842" i="4" s="1"/>
  <c r="E1843" i="1"/>
  <c r="D1843" i="4" s="1"/>
  <c r="E1844" i="1"/>
  <c r="D1844" i="4" s="1"/>
  <c r="E1845" i="1"/>
  <c r="D1845" i="4" s="1"/>
  <c r="E1846" i="1"/>
  <c r="D1846" i="4" s="1"/>
  <c r="E1847" i="1"/>
  <c r="D1847" i="4" s="1"/>
  <c r="E1848" i="1"/>
  <c r="D1848" i="4" s="1"/>
  <c r="E1849" i="1"/>
  <c r="D1849" i="4" s="1"/>
  <c r="E1850" i="1"/>
  <c r="D1850" i="4" s="1"/>
  <c r="E1851" i="1"/>
  <c r="D1851" i="4" s="1"/>
  <c r="E1852" i="1"/>
  <c r="D1852" i="4" s="1"/>
  <c r="E1853" i="1"/>
  <c r="D1853" i="4" s="1"/>
  <c r="E1854" i="1"/>
  <c r="D1854" i="4" s="1"/>
  <c r="E1855" i="1"/>
  <c r="D1855" i="4" s="1"/>
  <c r="E1856" i="1"/>
  <c r="D1856" i="4" s="1"/>
  <c r="E1857" i="1"/>
  <c r="D1857" i="4" s="1"/>
  <c r="E1858" i="1"/>
  <c r="D1858" i="4" s="1"/>
  <c r="E1859" i="1"/>
  <c r="D1859" i="4" s="1"/>
  <c r="E1860" i="1"/>
  <c r="D1860" i="4" s="1"/>
  <c r="E1861" i="1"/>
  <c r="D1861" i="4" s="1"/>
  <c r="E1862" i="1"/>
  <c r="D1862" i="4" s="1"/>
  <c r="E1863" i="1"/>
  <c r="D1863" i="4" s="1"/>
  <c r="E1864" i="1"/>
  <c r="D1864" i="4" s="1"/>
  <c r="E1865" i="1"/>
  <c r="D1865" i="4" s="1"/>
  <c r="E1866" i="1"/>
  <c r="D1866" i="4" s="1"/>
  <c r="E1867" i="1"/>
  <c r="D1867" i="4" s="1"/>
  <c r="E1868" i="1"/>
  <c r="D1868" i="4" s="1"/>
  <c r="E1869" i="1"/>
  <c r="D1869" i="4" s="1"/>
  <c r="E1870" i="1"/>
  <c r="D1870" i="4" s="1"/>
  <c r="E1871" i="1"/>
  <c r="D1871" i="4" s="1"/>
  <c r="E1872" i="1"/>
  <c r="D1872" i="4" s="1"/>
  <c r="E1873" i="1"/>
  <c r="D1873" i="4" s="1"/>
  <c r="E1874" i="1"/>
  <c r="D1874" i="4" s="1"/>
  <c r="E1875" i="1"/>
  <c r="D1875" i="4" s="1"/>
  <c r="E1876" i="1"/>
  <c r="D1876" i="4" s="1"/>
  <c r="E1877" i="1"/>
  <c r="D1877" i="4" s="1"/>
  <c r="E1878" i="1"/>
  <c r="D1878" i="4" s="1"/>
  <c r="E1879" i="1"/>
  <c r="D1879" i="4" s="1"/>
  <c r="E1880" i="1"/>
  <c r="D1880" i="4" s="1"/>
  <c r="E1881" i="1"/>
  <c r="D1881" i="4" s="1"/>
  <c r="E1882" i="1"/>
  <c r="D1882" i="4" s="1"/>
  <c r="E1883" i="1"/>
  <c r="D1883" i="4" s="1"/>
  <c r="E1884" i="1"/>
  <c r="D1884" i="4" s="1"/>
  <c r="E1885" i="1"/>
  <c r="D1885" i="4" s="1"/>
  <c r="E1886" i="1"/>
  <c r="D1886" i="4" s="1"/>
  <c r="E1887" i="1"/>
  <c r="D1887" i="4" s="1"/>
  <c r="E1888" i="1"/>
  <c r="D1888" i="4" s="1"/>
  <c r="E1889" i="1"/>
  <c r="D1889" i="4" s="1"/>
  <c r="E1890" i="1"/>
  <c r="D1890" i="4" s="1"/>
  <c r="E1891" i="1"/>
  <c r="D1891" i="4" s="1"/>
  <c r="E1892" i="1"/>
  <c r="D1892" i="4" s="1"/>
  <c r="E1893" i="1"/>
  <c r="D1893" i="4" s="1"/>
  <c r="E1894" i="1"/>
  <c r="D1894" i="4" s="1"/>
  <c r="E1895" i="1"/>
  <c r="D1895" i="4" s="1"/>
  <c r="E1896" i="1"/>
  <c r="D1896" i="4" s="1"/>
  <c r="E1897" i="1"/>
  <c r="D1897" i="4" s="1"/>
  <c r="E1898" i="1"/>
  <c r="D1898" i="4" s="1"/>
  <c r="E1899" i="1"/>
  <c r="D1899" i="4" s="1"/>
  <c r="E1900" i="1"/>
  <c r="D1900" i="4" s="1"/>
  <c r="E1901" i="1"/>
  <c r="D1901" i="4" s="1"/>
  <c r="E1902" i="1"/>
  <c r="D1902" i="4" s="1"/>
  <c r="E1903" i="1"/>
  <c r="D1903" i="4" s="1"/>
  <c r="E1904" i="1"/>
  <c r="D1904" i="4" s="1"/>
  <c r="E1905" i="1"/>
  <c r="D1905" i="4" s="1"/>
  <c r="E1906" i="1"/>
  <c r="D1906" i="4" s="1"/>
  <c r="E1907" i="1"/>
  <c r="D1907" i="4" s="1"/>
  <c r="E1908" i="1"/>
  <c r="D1908" i="4" s="1"/>
  <c r="E1909" i="1"/>
  <c r="D1909" i="4" s="1"/>
  <c r="E1910" i="1"/>
  <c r="D1910" i="4" s="1"/>
  <c r="E1911" i="1"/>
  <c r="D1911" i="4" s="1"/>
  <c r="E1912" i="1"/>
  <c r="D1912" i="4" s="1"/>
  <c r="E1913" i="1"/>
  <c r="D1913" i="4" s="1"/>
  <c r="E1914" i="1"/>
  <c r="D1914" i="4" s="1"/>
  <c r="E1915" i="1"/>
  <c r="D1915" i="4" s="1"/>
  <c r="E1916" i="1"/>
  <c r="D1916" i="4" s="1"/>
  <c r="E1917" i="1"/>
  <c r="D1917" i="4" s="1"/>
  <c r="E1918" i="1"/>
  <c r="D1918" i="4" s="1"/>
  <c r="E1919" i="1"/>
  <c r="D1919" i="4" s="1"/>
  <c r="E1920" i="1"/>
  <c r="D1920" i="4" s="1"/>
  <c r="E1921" i="1"/>
  <c r="D1921" i="4" s="1"/>
  <c r="E1922" i="1"/>
  <c r="D1922" i="4" s="1"/>
  <c r="E1923" i="1"/>
  <c r="D1923" i="4" s="1"/>
  <c r="E1924" i="1"/>
  <c r="D1924" i="4" s="1"/>
  <c r="E1925" i="1"/>
  <c r="D1925" i="4" s="1"/>
  <c r="E1926" i="1"/>
  <c r="D1926" i="4" s="1"/>
  <c r="E1927" i="1"/>
  <c r="D1927" i="4" s="1"/>
  <c r="E1928" i="1"/>
  <c r="D1928" i="4" s="1"/>
  <c r="E1929" i="1"/>
  <c r="D1929" i="4" s="1"/>
  <c r="E1930" i="1"/>
  <c r="D1930" i="4" s="1"/>
  <c r="E1931" i="1"/>
  <c r="D1931" i="4" s="1"/>
  <c r="E1932" i="1"/>
  <c r="D1932" i="4" s="1"/>
  <c r="E1933" i="1"/>
  <c r="D1933" i="4" s="1"/>
  <c r="E1934" i="1"/>
  <c r="D1934" i="4" s="1"/>
  <c r="E1935" i="1"/>
  <c r="D1935" i="4" s="1"/>
  <c r="E1936" i="1"/>
  <c r="D1936" i="4" s="1"/>
  <c r="E1937" i="1"/>
  <c r="D1937" i="4" s="1"/>
  <c r="E1938" i="1"/>
  <c r="D1938" i="4" s="1"/>
  <c r="E1939" i="1"/>
  <c r="D1939" i="4" s="1"/>
  <c r="E1940" i="1"/>
  <c r="D1940" i="4" s="1"/>
  <c r="E1941" i="1"/>
  <c r="D1941" i="4" s="1"/>
  <c r="E1942" i="1"/>
  <c r="D1942" i="4" s="1"/>
  <c r="E1943" i="1"/>
  <c r="D1943" i="4" s="1"/>
  <c r="E1944" i="1"/>
  <c r="D1944" i="4" s="1"/>
  <c r="E1945" i="1"/>
  <c r="D1945" i="4" s="1"/>
  <c r="E1946" i="1"/>
  <c r="D1946" i="4" s="1"/>
  <c r="E1947" i="1"/>
  <c r="D1947" i="4" s="1"/>
  <c r="E1948" i="1"/>
  <c r="D1948" i="4" s="1"/>
  <c r="E1949" i="1"/>
  <c r="D1949" i="4" s="1"/>
  <c r="E1950" i="1"/>
  <c r="D1950" i="4" s="1"/>
  <c r="E1951" i="1"/>
  <c r="D1951" i="4" s="1"/>
  <c r="E1952" i="1"/>
  <c r="D1952" i="4" s="1"/>
  <c r="E1953" i="1"/>
  <c r="D1953" i="4" s="1"/>
  <c r="E1954" i="1"/>
  <c r="D1954" i="4" s="1"/>
  <c r="E1955" i="1"/>
  <c r="D1955" i="4" s="1"/>
  <c r="E1956" i="1"/>
  <c r="D1956" i="4" s="1"/>
  <c r="E1957" i="1"/>
  <c r="D1957" i="4" s="1"/>
  <c r="E1958" i="1"/>
  <c r="D1958" i="4" s="1"/>
  <c r="E1959" i="1"/>
  <c r="D1959" i="4" s="1"/>
  <c r="E1960" i="1"/>
  <c r="D1960" i="4" s="1"/>
  <c r="E1961" i="1"/>
  <c r="D1961" i="4" s="1"/>
  <c r="E1962" i="1"/>
  <c r="D1962" i="4" s="1"/>
  <c r="E1963" i="1"/>
  <c r="D1963" i="4" s="1"/>
  <c r="E1964" i="1"/>
  <c r="D1964" i="4" s="1"/>
  <c r="E1965" i="1"/>
  <c r="D1965" i="4" s="1"/>
  <c r="E1966" i="1"/>
  <c r="D1966" i="4" s="1"/>
  <c r="E1967" i="1"/>
  <c r="D1967" i="4" s="1"/>
  <c r="E1968" i="1"/>
  <c r="D1968" i="4" s="1"/>
  <c r="E1969" i="1"/>
  <c r="D1969" i="4" s="1"/>
  <c r="E1970" i="1"/>
  <c r="D1970" i="4" s="1"/>
  <c r="E1971" i="1"/>
  <c r="D1971" i="4" s="1"/>
  <c r="E1972" i="1"/>
  <c r="D1972" i="4" s="1"/>
  <c r="E1973" i="1"/>
  <c r="D1973" i="4" s="1"/>
  <c r="E1974" i="1"/>
  <c r="D1974" i="4" s="1"/>
  <c r="E1975" i="1"/>
  <c r="D1975" i="4" s="1"/>
  <c r="E1976" i="1"/>
  <c r="D1976" i="4" s="1"/>
  <c r="E1977" i="1"/>
  <c r="D1977" i="4" s="1"/>
  <c r="E1978" i="1"/>
  <c r="D1978" i="4" s="1"/>
  <c r="E1979" i="1"/>
  <c r="D1979" i="4" s="1"/>
  <c r="E1980" i="1"/>
  <c r="D1980" i="4" s="1"/>
  <c r="E1981" i="1"/>
  <c r="D1981" i="4" s="1"/>
  <c r="E1982" i="1"/>
  <c r="D1982" i="4" s="1"/>
  <c r="E1983" i="1"/>
  <c r="D1983" i="4" s="1"/>
  <c r="E1984" i="1"/>
  <c r="D1984" i="4" s="1"/>
  <c r="E1985" i="1"/>
  <c r="D1985" i="4" s="1"/>
  <c r="E1986" i="1"/>
  <c r="D1986" i="4" s="1"/>
  <c r="E1987" i="1"/>
  <c r="D1987" i="4" s="1"/>
  <c r="E1988" i="1"/>
  <c r="D1988" i="4" s="1"/>
  <c r="E1989" i="1"/>
  <c r="D1989" i="4" s="1"/>
  <c r="E1990" i="1"/>
  <c r="D1990" i="4" s="1"/>
  <c r="E1991" i="1"/>
  <c r="D1991" i="4" s="1"/>
  <c r="E1992" i="1"/>
  <c r="D1992" i="4" s="1"/>
  <c r="E1993" i="1"/>
  <c r="D1993" i="4" s="1"/>
  <c r="E1994" i="1"/>
  <c r="D1994" i="4" s="1"/>
  <c r="E1995" i="1"/>
  <c r="D1995" i="4" s="1"/>
  <c r="E1996" i="1"/>
  <c r="D1996" i="4" s="1"/>
  <c r="E1997" i="1"/>
  <c r="D1997" i="4" s="1"/>
  <c r="E1998" i="1"/>
  <c r="D1998" i="4" s="1"/>
  <c r="E1999" i="1"/>
  <c r="D1999" i="4" s="1"/>
  <c r="E2000" i="1"/>
  <c r="D2000" i="4" s="1"/>
  <c r="E2001" i="1"/>
  <c r="D2001" i="4" s="1"/>
  <c r="E2002" i="1"/>
  <c r="D2002" i="4" s="1"/>
  <c r="E2003" i="1"/>
  <c r="D2003" i="4" s="1"/>
  <c r="E2004" i="1"/>
  <c r="D2004" i="4" s="1"/>
  <c r="E2005" i="1"/>
  <c r="D2005" i="4" s="1"/>
  <c r="E2006" i="1"/>
  <c r="D2006" i="4" s="1"/>
  <c r="E2007" i="1"/>
  <c r="D2007" i="4" s="1"/>
  <c r="E2008" i="1"/>
  <c r="D2008" i="4" s="1"/>
  <c r="E2009" i="1"/>
  <c r="D2009" i="4" s="1"/>
  <c r="E2010" i="1"/>
  <c r="D2010" i="4" s="1"/>
  <c r="E2011" i="1"/>
  <c r="D2011" i="4" s="1"/>
  <c r="E2012" i="1"/>
  <c r="D2012" i="4" s="1"/>
  <c r="E2013" i="1"/>
  <c r="D2013" i="4" s="1"/>
  <c r="E2014" i="1"/>
  <c r="D2014" i="4" s="1"/>
  <c r="E2015" i="1"/>
  <c r="D2015" i="4" s="1"/>
  <c r="E2016" i="1"/>
  <c r="D2016" i="4" s="1"/>
  <c r="E2" i="1"/>
  <c r="D2" i="4" s="1"/>
  <c r="H1696" i="4" l="1"/>
  <c r="H1851" i="4"/>
  <c r="H1939" i="4"/>
  <c r="H1907" i="4"/>
  <c r="H1216" i="4"/>
  <c r="H2001" i="4"/>
  <c r="H1930" i="4"/>
  <c r="H1594" i="4"/>
  <c r="H1819" i="4"/>
  <c r="H1089" i="4"/>
  <c r="H1898" i="4"/>
  <c r="H1752" i="4"/>
  <c r="H1626" i="4"/>
  <c r="H1818" i="4"/>
  <c r="H1742" i="4"/>
  <c r="H1899" i="4"/>
  <c r="H1834" i="4"/>
  <c r="H1520" i="4"/>
  <c r="H1827" i="4"/>
  <c r="H1386" i="4"/>
  <c r="H1883" i="4"/>
  <c r="H1914" i="4"/>
  <c r="H1850" i="4"/>
  <c r="H1895" i="4"/>
  <c r="H1416" i="4"/>
  <c r="H1947" i="4"/>
  <c r="H1620" i="4"/>
  <c r="H1835" i="4"/>
  <c r="H2010" i="4"/>
  <c r="H1987" i="4"/>
  <c r="H1392" i="4"/>
  <c r="H1795" i="4"/>
  <c r="H1998" i="4"/>
  <c r="H1543" i="4"/>
  <c r="H1955" i="4"/>
  <c r="H1770" i="4"/>
  <c r="H1779" i="4"/>
  <c r="H854" i="4"/>
  <c r="H1915" i="4"/>
  <c r="H1771" i="4"/>
  <c r="H1754" i="4"/>
  <c r="H1296" i="4"/>
  <c r="H1971" i="4"/>
  <c r="H1814" i="4"/>
  <c r="H1977" i="4"/>
  <c r="H1803" i="4"/>
  <c r="H1974" i="4"/>
  <c r="H1787" i="4"/>
  <c r="H1434" i="4"/>
  <c r="H2011" i="4"/>
  <c r="H1979" i="4"/>
  <c r="H1990" i="4"/>
  <c r="H1440" i="4"/>
  <c r="H1804" i="4"/>
  <c r="H1846" i="4"/>
  <c r="H2009" i="4"/>
  <c r="H2002" i="4"/>
  <c r="H1025" i="4"/>
  <c r="H2006" i="4"/>
  <c r="H1798" i="4"/>
  <c r="H1528" i="4"/>
  <c r="H782" i="4"/>
  <c r="H1786" i="4"/>
  <c r="H1344" i="4"/>
  <c r="H1962" i="4"/>
  <c r="H1728" i="4"/>
  <c r="H1480" i="4"/>
  <c r="H1715" i="4"/>
  <c r="H1988" i="4"/>
  <c r="H2014" i="4"/>
  <c r="H1464" i="4"/>
  <c r="H1352" i="4"/>
  <c r="H1963" i="4"/>
  <c r="H1397" i="4"/>
  <c r="H1457" i="4"/>
  <c r="H1833" i="4"/>
  <c r="H1332" i="4"/>
  <c r="H1317" i="4"/>
  <c r="H1569" i="4"/>
  <c r="H1666" i="4"/>
  <c r="H1993" i="4"/>
  <c r="H1064" i="4"/>
  <c r="H853" i="4"/>
  <c r="H1553" i="4"/>
  <c r="H1967" i="4"/>
  <c r="H1843" i="4"/>
  <c r="H781" i="4"/>
  <c r="H1692" i="4"/>
  <c r="H1776" i="4"/>
  <c r="H1888" i="4"/>
  <c r="H1751" i="4"/>
  <c r="H1868" i="4"/>
  <c r="H1982" i="4"/>
  <c r="H1295" i="4"/>
  <c r="H1205" i="4"/>
  <c r="H1924" i="4"/>
  <c r="H1587" i="4"/>
  <c r="H1400" i="4"/>
  <c r="H1995" i="4"/>
  <c r="H797" i="4"/>
  <c r="H1182" i="4"/>
  <c r="H1700" i="4"/>
  <c r="H1567" i="4"/>
  <c r="H770" i="4"/>
  <c r="H749" i="4"/>
  <c r="H1435" i="4"/>
  <c r="H1360" i="4"/>
  <c r="H1978" i="4"/>
  <c r="H1548" i="4"/>
  <c r="H1940" i="4"/>
  <c r="H1948" i="4"/>
  <c r="H1964" i="4"/>
  <c r="H1280" i="4"/>
  <c r="H1338" i="4"/>
  <c r="H1830" i="4"/>
  <c r="H1860" i="4"/>
  <c r="H1916" i="4"/>
  <c r="H2012" i="4"/>
  <c r="H1733" i="4"/>
  <c r="H1164" i="4"/>
  <c r="H1676" i="4"/>
  <c r="H1632" i="4"/>
  <c r="H1866" i="4"/>
  <c r="H1931" i="4"/>
  <c r="H1698" i="4"/>
  <c r="H1504" i="4"/>
  <c r="H1482" i="4"/>
  <c r="H1197" i="4"/>
  <c r="H1828" i="4"/>
  <c r="H1384" i="4"/>
  <c r="H1796" i="4"/>
  <c r="H1765" i="4"/>
  <c r="H1450" i="4"/>
  <c r="H1894" i="4"/>
  <c r="H1424" i="4"/>
  <c r="H1747" i="4"/>
  <c r="H1811" i="4"/>
  <c r="H1583" i="4"/>
  <c r="H1902" i="4"/>
  <c r="H685" i="4"/>
  <c r="H1134" i="4"/>
  <c r="H1409" i="4"/>
  <c r="H1459" i="4"/>
  <c r="H1896" i="4"/>
  <c r="H1179" i="4"/>
  <c r="H677" i="4"/>
  <c r="H1258" i="4"/>
  <c r="H1992" i="4"/>
  <c r="H669" i="4"/>
  <c r="H967" i="4"/>
  <c r="H1184" i="4"/>
  <c r="H1946" i="4"/>
  <c r="H661" i="4"/>
  <c r="H761" i="4"/>
  <c r="H1238" i="4"/>
  <c r="H1734" i="4"/>
  <c r="H637" i="4"/>
  <c r="H1710" i="4"/>
  <c r="H650" i="4"/>
  <c r="H1920" i="4"/>
  <c r="H1882" i="4"/>
  <c r="H589" i="4"/>
  <c r="H711" i="4"/>
  <c r="H1272" i="4"/>
  <c r="H1852" i="4"/>
  <c r="H557" i="4"/>
  <c r="H1996" i="4"/>
  <c r="H1232" i="4"/>
  <c r="H533" i="4"/>
  <c r="H1326" i="4"/>
  <c r="H1188" i="4"/>
  <c r="H1568" i="4"/>
  <c r="H1472" i="4"/>
  <c r="H461" i="4"/>
  <c r="H1090" i="4"/>
  <c r="H1869" i="4"/>
  <c r="H453" i="4"/>
  <c r="H760" i="4"/>
  <c r="H1853" i="4"/>
  <c r="H437" i="4"/>
  <c r="H465" i="4"/>
  <c r="H1119" i="4"/>
  <c r="H1414" i="4"/>
  <c r="H421" i="4"/>
  <c r="H757" i="4"/>
  <c r="H1557" i="4"/>
  <c r="H1730" i="4"/>
  <c r="H1634" i="4"/>
  <c r="H1876" i="4"/>
  <c r="H405" i="4"/>
  <c r="H603" i="4"/>
  <c r="H1201" i="4"/>
  <c r="H1494" i="4"/>
  <c r="H1231" i="4"/>
  <c r="H1958" i="4"/>
  <c r="H1575" i="4"/>
  <c r="H381" i="4"/>
  <c r="H861" i="4"/>
  <c r="H1859" i="4"/>
  <c r="H1891" i="4"/>
  <c r="H365" i="4"/>
  <c r="H640" i="4"/>
  <c r="H974" i="4"/>
  <c r="H357" i="4"/>
  <c r="H723" i="4"/>
  <c r="H773" i="4"/>
  <c r="H1453" i="4"/>
  <c r="H1447" i="4"/>
  <c r="H1651" i="4"/>
  <c r="H349" i="4"/>
  <c r="H729" i="4"/>
  <c r="H1989" i="4"/>
  <c r="H1399" i="4"/>
  <c r="H1820" i="4"/>
  <c r="H341" i="4"/>
  <c r="H751" i="4"/>
  <c r="H1073" i="4"/>
  <c r="H1170" i="4"/>
  <c r="H1723" i="4"/>
  <c r="H325" i="4"/>
  <c r="H664" i="4"/>
  <c r="H529" i="4"/>
  <c r="H996" i="4"/>
  <c r="H765" i="4"/>
  <c r="H1499" i="4"/>
  <c r="H1456" i="4"/>
  <c r="H309" i="4"/>
  <c r="H329" i="4"/>
  <c r="H1008" i="4"/>
  <c r="H1261" i="4"/>
  <c r="H1277" i="4"/>
  <c r="H301" i="4"/>
  <c r="H810" i="4"/>
  <c r="H1066" i="4"/>
  <c r="H285" i="4"/>
  <c r="H658" i="4"/>
  <c r="H1679" i="4"/>
  <c r="H277" i="4"/>
  <c r="H936" i="4"/>
  <c r="H598" i="4"/>
  <c r="H1146" i="4"/>
  <c r="H1214" i="4"/>
  <c r="H1929" i="4"/>
  <c r="H269" i="4"/>
  <c r="H934" i="4"/>
  <c r="H638" i="4"/>
  <c r="H1972" i="4"/>
  <c r="H253" i="4"/>
  <c r="H1000" i="4"/>
  <c r="H997" i="4"/>
  <c r="H1559" i="4"/>
  <c r="H1315" i="4"/>
  <c r="H245" i="4"/>
  <c r="H688" i="4"/>
  <c r="H494" i="4"/>
  <c r="H1262" i="4"/>
  <c r="H1644" i="4"/>
  <c r="H221" i="4"/>
  <c r="H1027" i="4"/>
  <c r="H1283" i="4"/>
  <c r="H1302" i="4"/>
  <c r="H1642" i="4"/>
  <c r="H1672" i="4"/>
  <c r="H1498" i="4"/>
  <c r="H205" i="4"/>
  <c r="H328" i="4"/>
  <c r="H1016" i="4"/>
  <c r="H1769" i="4"/>
  <c r="H1540" i="4"/>
  <c r="H1635" i="4"/>
  <c r="H197" i="4"/>
  <c r="H1300" i="4"/>
  <c r="H1301" i="4"/>
  <c r="H1614" i="4"/>
  <c r="H1759" i="4"/>
  <c r="H189" i="4"/>
  <c r="H498" i="4"/>
  <c r="H1832" i="4"/>
  <c r="H1683" i="4"/>
  <c r="H181" i="4"/>
  <c r="H902" i="4"/>
  <c r="H1910" i="4"/>
  <c r="H165" i="4"/>
  <c r="H1095" i="4"/>
  <c r="H1211" i="4"/>
  <c r="H1422" i="4"/>
  <c r="H1196" i="4"/>
  <c r="H1658" i="4"/>
  <c r="H157" i="4"/>
  <c r="H229" i="4"/>
  <c r="H1538" i="4"/>
  <c r="H1782" i="4"/>
  <c r="H236" i="4"/>
  <c r="H149" i="4"/>
  <c r="H786" i="4"/>
  <c r="H694" i="4"/>
  <c r="H1240" i="4"/>
  <c r="H2000" i="4"/>
  <c r="H141" i="4"/>
  <c r="H272" i="4"/>
  <c r="H767" i="4"/>
  <c r="H1316" i="4"/>
  <c r="H133" i="4"/>
  <c r="H261" i="4"/>
  <c r="H413" i="4"/>
  <c r="H545" i="4"/>
  <c r="H995" i="4"/>
  <c r="H1670" i="4"/>
  <c r="H117" i="4"/>
  <c r="H1443" i="4"/>
  <c r="H1928" i="4"/>
  <c r="H1897" i="4"/>
  <c r="H101" i="4"/>
  <c r="H899" i="4"/>
  <c r="H1198" i="4"/>
  <c r="H1562" i="4"/>
  <c r="H428" i="4"/>
  <c r="H532" i="4"/>
  <c r="H93" i="4"/>
  <c r="H112" i="4"/>
  <c r="H500" i="4"/>
  <c r="H77" i="4"/>
  <c r="H1346" i="4"/>
  <c r="H69" i="4"/>
  <c r="H681" i="4"/>
  <c r="H657" i="4"/>
  <c r="H885" i="4"/>
  <c r="H1087" i="4"/>
  <c r="H219" i="4"/>
  <c r="H61" i="4"/>
  <c r="H230" i="4"/>
  <c r="H1638" i="4"/>
  <c r="H668" i="4"/>
  <c r="H53" i="4"/>
  <c r="H643" i="4"/>
  <c r="H887" i="4"/>
  <c r="H1645" i="4"/>
  <c r="H734" i="4"/>
  <c r="H45" i="4"/>
  <c r="H1705" i="4"/>
  <c r="H1648" i="4"/>
  <c r="H1595" i="4"/>
  <c r="H1815" i="4"/>
  <c r="H1556" i="4"/>
  <c r="H905" i="4"/>
  <c r="H1160" i="4"/>
  <c r="H1800" i="4"/>
  <c r="H793" i="4"/>
  <c r="H1178" i="4"/>
  <c r="H1633" i="4"/>
  <c r="H1320" i="4"/>
  <c r="H401" i="4"/>
  <c r="H1036" i="4"/>
  <c r="H1348" i="4"/>
  <c r="H1014" i="4"/>
  <c r="H1680" i="4"/>
  <c r="H547" i="4"/>
  <c r="H488" i="4"/>
  <c r="H337" i="4"/>
  <c r="H1729" i="4"/>
  <c r="H1279" i="4"/>
  <c r="H1256" i="4"/>
  <c r="H452" i="4"/>
  <c r="H397" i="4"/>
  <c r="H448" i="4"/>
  <c r="H297" i="4"/>
  <c r="H980" i="4"/>
  <c r="H629" i="4"/>
  <c r="H364" i="4"/>
  <c r="H265" i="4"/>
  <c r="H750" i="4"/>
  <c r="H1208" i="4"/>
  <c r="H1951" i="4"/>
  <c r="H257" i="4"/>
  <c r="H817" i="4"/>
  <c r="H1152" i="4"/>
  <c r="H1165" i="4"/>
  <c r="H319" i="4"/>
  <c r="H367" i="4"/>
  <c r="H249" i="4"/>
  <c r="H808" i="4"/>
  <c r="H1012" i="4"/>
  <c r="H225" i="4"/>
  <c r="H534" i="4"/>
  <c r="H1686" i="4"/>
  <c r="H1546" i="4"/>
  <c r="H209" i="4"/>
  <c r="H785" i="4"/>
  <c r="H611" i="4"/>
  <c r="H446" i="4"/>
  <c r="H599" i="4"/>
  <c r="H201" i="4"/>
  <c r="H1393" i="4"/>
  <c r="H1933" i="4"/>
  <c r="H193" i="4"/>
  <c r="H929" i="4"/>
  <c r="H803" i="4"/>
  <c r="H1428" i="4"/>
  <c r="H1750" i="4"/>
  <c r="H185" i="4"/>
  <c r="H609" i="4"/>
  <c r="H874" i="4"/>
  <c r="H161" i="4"/>
  <c r="H322" i="4"/>
  <c r="H1404" i="4"/>
  <c r="H1357" i="4"/>
  <c r="H1297" i="4"/>
  <c r="H1474" i="4"/>
  <c r="H153" i="4"/>
  <c r="H1361" i="4"/>
  <c r="H1837" i="4"/>
  <c r="H1871" i="4"/>
  <c r="H1801" i="4"/>
  <c r="H459" i="4"/>
  <c r="H368" i="4"/>
  <c r="H145" i="4"/>
  <c r="H613" i="4"/>
  <c r="H137" i="4"/>
  <c r="H457" i="4"/>
  <c r="H759" i="4"/>
  <c r="H560" i="4"/>
  <c r="H113" i="4"/>
  <c r="H1623" i="4"/>
  <c r="H584" i="4"/>
  <c r="H97" i="4"/>
  <c r="H1023" i="4"/>
  <c r="H1478" i="4"/>
  <c r="H1744" i="4"/>
  <c r="H81" i="4"/>
  <c r="H618" i="4"/>
  <c r="H1660" i="4"/>
  <c r="H49" i="4"/>
  <c r="H844" i="4"/>
  <c r="H1389" i="4"/>
  <c r="H1225" i="4"/>
  <c r="H1941" i="4"/>
  <c r="H536" i="4"/>
  <c r="H33" i="4"/>
  <c r="H907" i="4"/>
  <c r="H1547" i="4"/>
  <c r="H116" i="4"/>
  <c r="H25" i="4"/>
  <c r="H838" i="4"/>
  <c r="H9" i="4"/>
  <c r="H1444" i="4"/>
  <c r="H1081" i="4"/>
  <c r="H950" i="4"/>
  <c r="H1458" i="4"/>
  <c r="H1887" i="4"/>
  <c r="H942" i="4"/>
  <c r="H1449" i="4"/>
  <c r="H1507" i="4"/>
  <c r="H1732" i="4"/>
  <c r="H897" i="4"/>
  <c r="H886" i="4"/>
  <c r="H1550" i="4"/>
  <c r="H1657" i="4"/>
  <c r="H1481" i="4"/>
  <c r="H1355" i="4"/>
  <c r="H806" i="4"/>
  <c r="H1601" i="4"/>
  <c r="H1781" i="4"/>
  <c r="H742" i="4"/>
  <c r="H1009" i="4"/>
  <c r="H1476" i="4"/>
  <c r="H1637" i="4"/>
  <c r="H1289" i="4"/>
  <c r="H1061" i="4"/>
  <c r="H1578" i="4"/>
  <c r="H718" i="4"/>
  <c r="H646" i="4"/>
  <c r="H756" i="4"/>
  <c r="H614" i="4"/>
  <c r="H1167" i="4"/>
  <c r="H1737" i="4"/>
  <c r="H1775" i="4"/>
  <c r="H1113" i="4"/>
  <c r="H772" i="4"/>
  <c r="H574" i="4"/>
  <c r="H1266" i="4"/>
  <c r="H1006" i="4"/>
  <c r="H1511" i="4"/>
  <c r="H624" i="4"/>
  <c r="H558" i="4"/>
  <c r="H682" i="4"/>
  <c r="H931" i="4"/>
  <c r="H775" i="4"/>
  <c r="H1525" i="4"/>
  <c r="H605" i="4"/>
  <c r="H1412" i="4"/>
  <c r="H550" i="4"/>
  <c r="H1347" i="4"/>
  <c r="H1724" i="4"/>
  <c r="H526" i="4"/>
  <c r="H819" i="4"/>
  <c r="H1067" i="4"/>
  <c r="H1207" i="4"/>
  <c r="H502" i="4"/>
  <c r="H1015" i="4"/>
  <c r="H1126" i="4"/>
  <c r="H591" i="4"/>
  <c r="H592" i="4"/>
  <c r="H470" i="4"/>
  <c r="H801" i="4"/>
  <c r="H1462" i="4"/>
  <c r="H849" i="4"/>
  <c r="H438" i="4"/>
  <c r="H1766" i="4"/>
  <c r="H1403" i="4"/>
  <c r="H491" i="4"/>
  <c r="H442" i="4"/>
  <c r="H414" i="4"/>
  <c r="H933" i="4"/>
  <c r="H1983" i="4"/>
  <c r="H475" i="4"/>
  <c r="H406" i="4"/>
  <c r="H971" i="4"/>
  <c r="H1001" i="4"/>
  <c r="H1102" i="4"/>
  <c r="H1552" i="4"/>
  <c r="H390" i="4"/>
  <c r="H1038" i="4"/>
  <c r="H546" i="4"/>
  <c r="H382" i="4"/>
  <c r="H1385" i="4"/>
  <c r="H1506" i="4"/>
  <c r="H1825" i="4"/>
  <c r="H374" i="4"/>
  <c r="H1233" i="4"/>
  <c r="H1579" i="4"/>
  <c r="H696" i="4"/>
  <c r="H366" i="4"/>
  <c r="H358" i="4"/>
  <c r="H1150" i="4"/>
  <c r="H1560" i="4"/>
  <c r="H732" i="4"/>
  <c r="H318" i="4"/>
  <c r="H790" i="4"/>
  <c r="H310" i="4"/>
  <c r="H1093" i="4"/>
  <c r="H839" i="4"/>
  <c r="H474" i="4"/>
  <c r="H294" i="4"/>
  <c r="H1028" i="4"/>
  <c r="H1070" i="4"/>
  <c r="H1663" i="4"/>
  <c r="H373" i="4"/>
  <c r="H286" i="4"/>
  <c r="H683" i="4"/>
  <c r="H424" i="4"/>
  <c r="H278" i="4"/>
  <c r="H1725" i="4"/>
  <c r="H1519" i="4"/>
  <c r="H1777" i="4"/>
  <c r="H270" i="4"/>
  <c r="H1031" i="4"/>
  <c r="H1952" i="4"/>
  <c r="H392" i="4"/>
  <c r="H937" i="4"/>
  <c r="H914" i="4"/>
  <c r="H254" i="4"/>
  <c r="H1532" i="4"/>
  <c r="H705" i="4"/>
  <c r="H246" i="4"/>
  <c r="H1138" i="4"/>
  <c r="H1973" i="4"/>
  <c r="H238" i="4"/>
  <c r="H965" i="4"/>
  <c r="H966" i="4"/>
  <c r="H282" i="4"/>
  <c r="H222" i="4"/>
  <c r="H783" i="4"/>
  <c r="H1563" i="4"/>
  <c r="H344" i="4"/>
  <c r="H206" i="4"/>
  <c r="H804" i="4"/>
  <c r="H458" i="4"/>
  <c r="H182" i="4"/>
  <c r="H1334" i="4"/>
  <c r="H1394" i="4"/>
  <c r="H212" i="4"/>
  <c r="H342" i="4"/>
  <c r="H174" i="4"/>
  <c r="H877" i="4"/>
  <c r="H166" i="4"/>
  <c r="H1230" i="4"/>
  <c r="H464" i="4"/>
  <c r="H158" i="4"/>
  <c r="H1475" i="4"/>
  <c r="H150" i="4"/>
  <c r="H841" i="4"/>
  <c r="H1293" i="4"/>
  <c r="H134" i="4"/>
  <c r="H719" i="4"/>
  <c r="H1718" i="4"/>
  <c r="H1359" i="4"/>
  <c r="H427" i="4"/>
  <c r="H298" i="4"/>
  <c r="H126" i="4"/>
  <c r="H1136" i="4"/>
  <c r="H1537" i="4"/>
  <c r="H1263" i="4"/>
  <c r="H377" i="4"/>
  <c r="H350" i="4"/>
  <c r="H118" i="4"/>
  <c r="H1442" i="4"/>
  <c r="H299" i="4"/>
  <c r="H292" i="4"/>
  <c r="H848" i="4"/>
  <c r="H110" i="4"/>
  <c r="H789" i="4"/>
  <c r="H167" i="4"/>
  <c r="H840" i="4"/>
  <c r="H992" i="4"/>
  <c r="H802" i="4"/>
  <c r="H102" i="4"/>
  <c r="H264" i="4"/>
  <c r="H94" i="4"/>
  <c r="H762" i="4"/>
  <c r="H1125" i="4"/>
  <c r="H1564" i="4"/>
  <c r="H384" i="4"/>
  <c r="H86" i="4"/>
  <c r="H1065" i="4"/>
  <c r="H1668" i="4"/>
  <c r="H425" i="4"/>
  <c r="H226" i="4"/>
  <c r="H78" i="4"/>
  <c r="H422" i="4"/>
  <c r="H549" i="4"/>
  <c r="H70" i="4"/>
  <c r="H1534" i="4"/>
  <c r="H616" i="4"/>
  <c r="H321" i="4"/>
  <c r="H497" i="4"/>
  <c r="H736" i="4"/>
  <c r="H54" i="4"/>
  <c r="H1861" i="4"/>
  <c r="H199" i="4"/>
  <c r="H653" i="4"/>
  <c r="H46" i="4"/>
  <c r="H1353" i="4"/>
  <c r="H1849" i="4"/>
  <c r="H38" i="4"/>
  <c r="H1157" i="4"/>
  <c r="H1017" i="4"/>
  <c r="H1576" i="4"/>
  <c r="H1807" i="4"/>
  <c r="H436" i="4"/>
  <c r="H582" i="4"/>
  <c r="H30" i="4"/>
  <c r="H1011" i="4"/>
  <c r="H1351" i="4"/>
  <c r="H275" i="4"/>
  <c r="H593" i="4"/>
  <c r="H22" i="4"/>
  <c r="H1597" i="4"/>
  <c r="H293" i="4"/>
  <c r="H14" i="4"/>
  <c r="H768" i="4"/>
  <c r="H6" i="4"/>
  <c r="H1551" i="4"/>
  <c r="H1932" i="4"/>
  <c r="H1900" i="4"/>
  <c r="H1884" i="4"/>
  <c r="H1836" i="4"/>
  <c r="H1788" i="4"/>
  <c r="H1772" i="4"/>
  <c r="H1664" i="4"/>
  <c r="H1354" i="4"/>
  <c r="H1304" i="4"/>
  <c r="H1110" i="4"/>
  <c r="H1140" i="4"/>
  <c r="H1298" i="4"/>
  <c r="H1124" i="4"/>
  <c r="H1731" i="4"/>
  <c r="H1060" i="4"/>
  <c r="H1324" i="4"/>
  <c r="H1473" i="4"/>
  <c r="H1714" i="4"/>
  <c r="H964" i="4"/>
  <c r="H1270" i="4"/>
  <c r="H1641" i="4"/>
  <c r="H1976" i="4"/>
  <c r="H812" i="4"/>
  <c r="H1246" i="4"/>
  <c r="H796" i="4"/>
  <c r="H1618" i="4"/>
  <c r="H740" i="4"/>
  <c r="H774" i="4"/>
  <c r="H1094" i="4"/>
  <c r="H1465" i="4"/>
  <c r="H1312" i="4"/>
  <c r="H1431" i="4"/>
  <c r="H777" i="4"/>
  <c r="H898" i="4"/>
  <c r="H708" i="4"/>
  <c r="H945" i="4"/>
  <c r="H1865" i="4"/>
  <c r="H1584" i="4"/>
  <c r="H881" i="4"/>
  <c r="H644" i="4"/>
  <c r="H1521" i="4"/>
  <c r="H1339" i="4"/>
  <c r="H716" i="4"/>
  <c r="H628" i="4"/>
  <c r="H612" i="4"/>
  <c r="H1144" i="4"/>
  <c r="H1847" i="4"/>
  <c r="H596" i="4"/>
  <c r="H1630" i="4"/>
  <c r="H524" i="4"/>
  <c r="H1033" i="4"/>
  <c r="H1325" i="4"/>
  <c r="H1255" i="4"/>
  <c r="H508" i="4"/>
  <c r="H1857" i="4"/>
  <c r="H484" i="4"/>
  <c r="H631" i="4"/>
  <c r="H1417" i="4"/>
  <c r="H460" i="4"/>
  <c r="H1228" i="4"/>
  <c r="H1236" i="4"/>
  <c r="H1505" i="4"/>
  <c r="H1927" i="4"/>
  <c r="H1596" i="4"/>
  <c r="H412" i="4"/>
  <c r="H1099" i="4"/>
  <c r="H748" i="4"/>
  <c r="H1143" i="4"/>
  <c r="H1274" i="4"/>
  <c r="H404" i="4"/>
  <c r="H820" i="4"/>
  <c r="H983" i="4"/>
  <c r="H1341" i="4"/>
  <c r="H1701" i="4"/>
  <c r="H396" i="4"/>
  <c r="H548" i="4"/>
  <c r="H710" i="4"/>
  <c r="H1497" i="4"/>
  <c r="H380" i="4"/>
  <c r="H1500" i="4"/>
  <c r="H1161" i="4"/>
  <c r="H1864" i="4"/>
  <c r="H372" i="4"/>
  <c r="H503" i="4"/>
  <c r="H737" i="4"/>
  <c r="H1629" i="4"/>
  <c r="H1415" i="4"/>
  <c r="H356" i="4"/>
  <c r="H952" i="4"/>
  <c r="H486" i="4"/>
  <c r="H340" i="4"/>
  <c r="H1880" i="4"/>
  <c r="H1905" i="4"/>
  <c r="H324" i="4"/>
  <c r="H916" i="4"/>
  <c r="H1045" i="4"/>
  <c r="H347" i="4"/>
  <c r="H316" i="4"/>
  <c r="H1329" i="4"/>
  <c r="H300" i="4"/>
  <c r="H333" i="4"/>
  <c r="H553" i="4"/>
  <c r="H1115" i="4"/>
  <c r="H1549" i="4"/>
  <c r="H1673" i="4"/>
  <c r="H284" i="4"/>
  <c r="H388" i="4"/>
  <c r="H288" i="4"/>
  <c r="H922" i="4"/>
  <c r="H927" i="4"/>
  <c r="H935" i="4"/>
  <c r="H268" i="4"/>
  <c r="H766" i="4"/>
  <c r="H1694" i="4"/>
  <c r="H252" i="4"/>
  <c r="H473" i="4"/>
  <c r="H738" i="4"/>
  <c r="H684" i="4"/>
  <c r="H2013" i="4"/>
  <c r="H220" i="4"/>
  <c r="H471" i="4"/>
  <c r="H1158" i="4"/>
  <c r="H1486" i="4"/>
  <c r="H204" i="4"/>
  <c r="H678" i="4"/>
  <c r="H1212" i="4"/>
  <c r="H1265" i="4"/>
  <c r="H1586" i="4"/>
  <c r="H188" i="4"/>
  <c r="H725" i="4"/>
  <c r="H1294" i="4"/>
  <c r="H1350" i="4"/>
  <c r="H1662" i="4"/>
  <c r="H172" i="4"/>
  <c r="H228" i="4"/>
  <c r="H832" i="4"/>
  <c r="H910" i="4"/>
  <c r="H156" i="4"/>
  <c r="H675" i="4"/>
  <c r="H1340" i="4"/>
  <c r="H1588" i="4"/>
  <c r="H958" i="4"/>
  <c r="H148" i="4"/>
  <c r="H989" i="4"/>
  <c r="H1439" i="4"/>
  <c r="H132" i="4"/>
  <c r="H447" i="4"/>
  <c r="H878" i="4"/>
  <c r="H1829" i="4"/>
  <c r="H124" i="4"/>
  <c r="H231" i="4"/>
  <c r="H842" i="4"/>
  <c r="H1030" i="4"/>
  <c r="H108" i="4"/>
  <c r="H359" i="4"/>
  <c r="H673" i="4"/>
  <c r="H1051" i="4"/>
  <c r="H985" i="4"/>
  <c r="H100" i="4"/>
  <c r="H642" i="4"/>
  <c r="H1592" i="4"/>
  <c r="H92" i="4"/>
  <c r="H399" i="4"/>
  <c r="H454" i="4"/>
  <c r="H84" i="4"/>
  <c r="H85" i="4"/>
  <c r="H944" i="4"/>
  <c r="H1210" i="4"/>
  <c r="H1454" i="4"/>
  <c r="H1655" i="4"/>
  <c r="H76" i="4"/>
  <c r="H125" i="4"/>
  <c r="H169" i="4"/>
  <c r="H1071" i="4"/>
  <c r="H1345" i="4"/>
  <c r="H1433" i="4"/>
  <c r="H68" i="4"/>
  <c r="H109" i="4"/>
  <c r="H248" i="4"/>
  <c r="H769" i="4"/>
  <c r="H60" i="4"/>
  <c r="H525" i="4"/>
  <c r="H1330" i="4"/>
  <c r="H52" i="4"/>
  <c r="H917" i="4"/>
  <c r="H259" i="4"/>
  <c r="H44" i="4"/>
  <c r="H420" i="4"/>
  <c r="H1282" i="4"/>
  <c r="H36" i="4"/>
  <c r="H517" i="4"/>
  <c r="H535" i="4"/>
  <c r="H947" i="4"/>
  <c r="H28" i="4"/>
  <c r="H994" i="4"/>
  <c r="H1044" i="4"/>
  <c r="H1288" i="4"/>
  <c r="H20" i="4"/>
  <c r="H120" i="4"/>
  <c r="H456" i="4"/>
  <c r="H505" i="4"/>
  <c r="H12" i="4"/>
  <c r="H360" i="4"/>
  <c r="H512" i="4"/>
  <c r="H957" i="4"/>
  <c r="H1251" i="4"/>
  <c r="H4" i="4"/>
  <c r="H80" i="4"/>
  <c r="H289" i="4"/>
  <c r="H1690" i="4"/>
  <c r="H1555" i="4"/>
  <c r="H1425" i="4"/>
  <c r="H1758" i="4"/>
  <c r="H1387" i="4"/>
  <c r="H1451" i="4"/>
  <c r="H1267" i="4"/>
  <c r="H1407" i="4"/>
  <c r="H1311" i="4"/>
  <c r="H1219" i="4"/>
  <c r="H1245" i="4"/>
  <c r="H1075" i="4"/>
  <c r="H1116" i="4"/>
  <c r="H1420" i="4"/>
  <c r="H1492" i="4"/>
  <c r="H835" i="4"/>
  <c r="H1531" i="4"/>
  <c r="H1098" i="4"/>
  <c r="H811" i="4"/>
  <c r="H1529" i="4"/>
  <c r="H1032" i="4"/>
  <c r="H763" i="4"/>
  <c r="H1084" i="4"/>
  <c r="H1373" i="4"/>
  <c r="H1877" i="4"/>
  <c r="H755" i="4"/>
  <c r="H875" i="4"/>
  <c r="H1764" i="4"/>
  <c r="H1463" i="4"/>
  <c r="H731" i="4"/>
  <c r="H863" i="4"/>
  <c r="H1273" i="4"/>
  <c r="H1879" i="4"/>
  <c r="H1082" i="4"/>
  <c r="H867" i="4"/>
  <c r="H667" i="4"/>
  <c r="H1593" i="4"/>
  <c r="H1299" i="4"/>
  <c r="H627" i="4"/>
  <c r="H1005" i="4"/>
  <c r="H1237" i="4"/>
  <c r="H579" i="4"/>
  <c r="H704" i="4"/>
  <c r="H998" i="4"/>
  <c r="H1617" i="4"/>
  <c r="H1688" i="4"/>
  <c r="H1141" i="4"/>
  <c r="H555" i="4"/>
  <c r="H882" i="4"/>
  <c r="H1241" i="4"/>
  <c r="H523" i="4"/>
  <c r="H594" i="4"/>
  <c r="H1669" i="4"/>
  <c r="H1522" i="4"/>
  <c r="H467" i="4"/>
  <c r="H747" i="4"/>
  <c r="H1675" i="4"/>
  <c r="H1378" i="4"/>
  <c r="H451" i="4"/>
  <c r="H1104" i="4"/>
  <c r="H866" i="4"/>
  <c r="H1406" i="4"/>
  <c r="H1646" i="4"/>
  <c r="H443" i="4"/>
  <c r="H1072" i="4"/>
  <c r="H1809" i="4"/>
  <c r="H1610" i="4"/>
  <c r="H435" i="4"/>
  <c r="H903" i="4"/>
  <c r="H1881" i="4"/>
  <c r="H419" i="4"/>
  <c r="H795" i="4"/>
  <c r="H1831" i="4"/>
  <c r="H411" i="4"/>
  <c r="H984" i="4"/>
  <c r="H1872" i="4"/>
  <c r="H403" i="4"/>
  <c r="H417" i="4"/>
  <c r="H1441" i="4"/>
  <c r="H395" i="4"/>
  <c r="H712" i="4"/>
  <c r="H829" i="4"/>
  <c r="H387" i="4"/>
  <c r="H662" i="4"/>
  <c r="H635" i="4"/>
  <c r="H1363" i="4"/>
  <c r="H363" i="4"/>
  <c r="H564" i="4"/>
  <c r="H1193" i="4"/>
  <c r="H1628" i="4"/>
  <c r="H355" i="4"/>
  <c r="H1042" i="4"/>
  <c r="H1191" i="4"/>
  <c r="H331" i="4"/>
  <c r="H845" i="4"/>
  <c r="H1180" i="4"/>
  <c r="H323" i="4"/>
  <c r="H410" i="4"/>
  <c r="H968" i="4"/>
  <c r="H693" i="4"/>
  <c r="H1381" i="4"/>
  <c r="H315" i="4"/>
  <c r="H483" i="4"/>
  <c r="H1168" i="4"/>
  <c r="H307" i="4"/>
  <c r="H956" i="4"/>
  <c r="H1677" i="4"/>
  <c r="H926" i="4"/>
  <c r="H291" i="4"/>
  <c r="H463" i="4"/>
  <c r="H821" i="4"/>
  <c r="H1174" i="4"/>
  <c r="H1712" i="4"/>
  <c r="H283" i="4"/>
  <c r="H1366" i="4"/>
  <c r="H251" i="4"/>
  <c r="H924" i="4"/>
  <c r="H1682" i="4"/>
  <c r="H243" i="4"/>
  <c r="H273" i="4"/>
  <c r="H666" i="4"/>
  <c r="H991" i="4"/>
  <c r="H1808" i="4"/>
  <c r="H227" i="4"/>
  <c r="H235" i="4"/>
  <c r="H1049" i="4"/>
  <c r="H1526" i="4"/>
  <c r="H1736" i="4"/>
  <c r="H1591" i="4"/>
  <c r="H211" i="4"/>
  <c r="H615" i="4"/>
  <c r="H242" i="4"/>
  <c r="H1487" i="4"/>
  <c r="H203" i="4"/>
  <c r="H1789" i="4"/>
  <c r="H1331" i="4"/>
  <c r="H195" i="4"/>
  <c r="H588" i="4"/>
  <c r="H361" i="4"/>
  <c r="H187" i="4"/>
  <c r="H1048" i="4"/>
  <c r="H1689" i="4"/>
  <c r="H1792" i="4"/>
  <c r="H179" i="4"/>
  <c r="H237" i="4"/>
  <c r="H378" i="4"/>
  <c r="H1322" i="4"/>
  <c r="H1380" i="4"/>
  <c r="H171" i="4"/>
  <c r="H190" i="4"/>
  <c r="H1721" i="4"/>
  <c r="H163" i="4"/>
  <c r="H276" i="4"/>
  <c r="H1079" i="4"/>
  <c r="H155" i="4"/>
  <c r="H959" i="4"/>
  <c r="H1172" i="4"/>
  <c r="H1491" i="4"/>
  <c r="H147" i="4"/>
  <c r="H429" i="4"/>
  <c r="H701" i="4"/>
  <c r="H702" i="4"/>
  <c r="H1606" i="4"/>
  <c r="H139" i="4"/>
  <c r="H565" i="4"/>
  <c r="H480" i="4"/>
  <c r="H1919" i="4"/>
  <c r="H659" i="4"/>
  <c r="H123" i="4"/>
  <c r="H304" i="4"/>
  <c r="H1010" i="4"/>
  <c r="H1139" i="4"/>
  <c r="H115" i="4"/>
  <c r="H224" i="4"/>
  <c r="H1485" i="4"/>
  <c r="H1509" i="4"/>
  <c r="H1945" i="4"/>
  <c r="H107" i="4"/>
  <c r="H305" i="4"/>
  <c r="H426" i="4"/>
  <c r="H707" i="4"/>
  <c r="H1043" i="4"/>
  <c r="H1665" i="4"/>
  <c r="H99" i="4"/>
  <c r="H1088" i="4"/>
  <c r="H1436" i="4"/>
  <c r="H1518" i="4"/>
  <c r="H1539" i="4"/>
  <c r="H1419" i="4"/>
  <c r="H91" i="4"/>
  <c r="H393" i="4"/>
  <c r="H1100" i="4"/>
  <c r="H1244" i="4"/>
  <c r="H1365" i="4"/>
  <c r="H1194" i="4"/>
  <c r="H75" i="4"/>
  <c r="H575" i="4"/>
  <c r="H883" i="4"/>
  <c r="H717" i="4"/>
  <c r="H198" i="4"/>
  <c r="H1039" i="4"/>
  <c r="H67" i="4"/>
  <c r="H418" i="4"/>
  <c r="H1364" i="4"/>
  <c r="H1221" i="4"/>
  <c r="H59" i="4"/>
  <c r="H383" i="4"/>
  <c r="H1391" i="4"/>
  <c r="H51" i="4"/>
  <c r="H495" i="4"/>
  <c r="H1086" i="4"/>
  <c r="H43" i="4"/>
  <c r="H317" i="4"/>
  <c r="H375" i="4"/>
  <c r="H856" i="4"/>
  <c r="H893" i="4"/>
  <c r="H35" i="4"/>
  <c r="H119" i="4"/>
  <c r="H860" i="4"/>
  <c r="H1401" i="4"/>
  <c r="H1797" i="4"/>
  <c r="H27" i="4"/>
  <c r="H880" i="4"/>
  <c r="H1508" i="4"/>
  <c r="H1783" i="4"/>
  <c r="H19" i="4"/>
  <c r="H1840" i="4"/>
  <c r="H11" i="4"/>
  <c r="H901" i="4"/>
  <c r="H1349" i="4"/>
  <c r="H1709" i="4"/>
  <c r="H1622" i="4"/>
  <c r="H3" i="4"/>
  <c r="H207" i="4"/>
  <c r="H482" i="4"/>
  <c r="H1755" i="4"/>
  <c r="H1739" i="4"/>
  <c r="H1986" i="4"/>
  <c r="H1942" i="4"/>
  <c r="H1926" i="4"/>
  <c r="H1878" i="4"/>
  <c r="H1862" i="4"/>
  <c r="H1722" i="4"/>
  <c r="H1684" i="4"/>
  <c r="H1619" i="4"/>
  <c r="H1512" i="4"/>
  <c r="H1466" i="4"/>
  <c r="H990" i="4"/>
  <c r="H972" i="4"/>
  <c r="H1589" i="4"/>
  <c r="H852" i="4"/>
  <c r="H981" i="4"/>
  <c r="H1413" i="4"/>
  <c r="H1461" i="4"/>
  <c r="H1362" i="4"/>
  <c r="H833" i="4"/>
  <c r="H788" i="4"/>
  <c r="H1224" i="4"/>
  <c r="H1616" i="4"/>
  <c r="H308" i="4"/>
  <c r="H1328" i="4"/>
  <c r="H260" i="4"/>
  <c r="H556" i="4"/>
  <c r="H1050" i="4"/>
  <c r="H1163" i="4"/>
  <c r="H1103" i="4"/>
  <c r="H1430" i="4"/>
  <c r="H244" i="4"/>
  <c r="H636" i="4"/>
  <c r="H999" i="4"/>
  <c r="H1621" i="4"/>
  <c r="H1706" i="4"/>
  <c r="H499" i="4"/>
  <c r="H196" i="4"/>
  <c r="H391" i="4"/>
  <c r="H792" i="4"/>
  <c r="H1437" i="4"/>
  <c r="H1652" i="4"/>
  <c r="H539" i="4"/>
  <c r="H180" i="4"/>
  <c r="H938" i="4"/>
  <c r="H587" i="4"/>
  <c r="H1275" i="4"/>
  <c r="H371" i="4"/>
  <c r="H140" i="4"/>
  <c r="H1427" i="4"/>
  <c r="H1802" i="4"/>
  <c r="H1514" i="4"/>
  <c r="H1432" i="4"/>
  <c r="H826" i="4"/>
  <c r="H1429" i="4"/>
  <c r="H794" i="4"/>
  <c r="H1561" i="4"/>
  <c r="H1410" i="4"/>
  <c r="H1975" i="4"/>
  <c r="H778" i="4"/>
  <c r="H1003" i="4"/>
  <c r="H1307" i="4"/>
  <c r="H1602" i="4"/>
  <c r="H857" i="4"/>
  <c r="H754" i="4"/>
  <c r="H1083" i="4"/>
  <c r="H805" i="4"/>
  <c r="H1745" i="4"/>
  <c r="H690" i="4"/>
  <c r="H709" i="4"/>
  <c r="H634" i="4"/>
  <c r="H1242" i="4"/>
  <c r="H890" i="4"/>
  <c r="H626" i="4"/>
  <c r="H909" i="4"/>
  <c r="H1096" i="4"/>
  <c r="H586" i="4"/>
  <c r="H1284" i="4"/>
  <c r="H865" i="4"/>
  <c r="H940" i="4"/>
  <c r="H578" i="4"/>
  <c r="H870" i="4"/>
  <c r="H1697" i="4"/>
  <c r="H570" i="4"/>
  <c r="H1053" i="4"/>
  <c r="H1209" i="4"/>
  <c r="H1793" i="4"/>
  <c r="H554" i="4"/>
  <c r="H862" i="4"/>
  <c r="H1142" i="4"/>
  <c r="H522" i="4"/>
  <c r="H818" i="4"/>
  <c r="H1965" i="4"/>
  <c r="H2015" i="4"/>
  <c r="H1631" i="4"/>
  <c r="H506" i="4"/>
  <c r="H779" i="4"/>
  <c r="H1460" i="4"/>
  <c r="H1046" i="4"/>
  <c r="H466" i="4"/>
  <c r="H977" i="4"/>
  <c r="H450" i="4"/>
  <c r="H1199" i="4"/>
  <c r="H434" i="4"/>
  <c r="H1183" i="4"/>
  <c r="H1281" i="4"/>
  <c r="H402" i="4"/>
  <c r="H800" i="4"/>
  <c r="H858" i="4"/>
  <c r="H741" i="4"/>
  <c r="H1206" i="4"/>
  <c r="H394" i="4"/>
  <c r="H622" i="4"/>
  <c r="H1181" i="4"/>
  <c r="H386" i="4"/>
  <c r="H1268" i="4"/>
  <c r="H1577" i="4"/>
  <c r="H362" i="4"/>
  <c r="H370" i="4"/>
  <c r="H921" i="4"/>
  <c r="H1276" i="4"/>
  <c r="H354" i="4"/>
  <c r="H1541" i="4"/>
  <c r="H346" i="4"/>
  <c r="H1678" i="4"/>
  <c r="H607" i="4"/>
  <c r="H338" i="4"/>
  <c r="H1013" i="4"/>
  <c r="H1558" i="4"/>
  <c r="H572" i="4"/>
  <c r="H314" i="4"/>
  <c r="H676" i="4"/>
  <c r="H619" i="4"/>
  <c r="H1120" i="4"/>
  <c r="H1192" i="4"/>
  <c r="H306" i="4"/>
  <c r="H562" i="4"/>
  <c r="H834" i="4"/>
  <c r="H290" i="4"/>
  <c r="H913" i="4"/>
  <c r="H1147" i="4"/>
  <c r="H274" i="4"/>
  <c r="H706" i="4"/>
  <c r="H771" i="4"/>
  <c r="H1821" i="4"/>
  <c r="H266" i="4"/>
  <c r="H606" i="4"/>
  <c r="H930" i="4"/>
  <c r="H923" i="4"/>
  <c r="H1893" i="4"/>
  <c r="H444" i="4"/>
  <c r="H468" i="4"/>
  <c r="H258" i="4"/>
  <c r="H1515" i="4"/>
  <c r="H234" i="4"/>
  <c r="H932" i="4"/>
  <c r="H1235" i="4"/>
  <c r="H1372" i="4"/>
  <c r="H1937" i="4"/>
  <c r="H561" i="4"/>
  <c r="H202" i="4"/>
  <c r="H670" i="4"/>
  <c r="H1155" i="4"/>
  <c r="H194" i="4"/>
  <c r="H674" i="4"/>
  <c r="H895" i="4"/>
  <c r="H1313" i="4"/>
  <c r="H1839" i="4"/>
  <c r="H541" i="4"/>
  <c r="H208" i="4"/>
  <c r="H577" i="4"/>
  <c r="H178" i="4"/>
  <c r="H943" i="4"/>
  <c r="H1909" i="4"/>
  <c r="H379" i="4"/>
  <c r="H389" i="4"/>
  <c r="H170" i="4"/>
  <c r="H1173" i="4"/>
  <c r="H162" i="4"/>
  <c r="H1004" i="4"/>
  <c r="H217" i="4"/>
  <c r="H154" i="4"/>
  <c r="H330" i="4"/>
  <c r="H1029" i="4"/>
  <c r="H146" i="4"/>
  <c r="H621" i="4"/>
  <c r="H1383" i="4"/>
  <c r="H138" i="4"/>
  <c r="H1222" i="4"/>
  <c r="H496" i="4"/>
  <c r="H130" i="4"/>
  <c r="H602" i="4"/>
  <c r="H214" i="4"/>
  <c r="H173" i="4"/>
  <c r="H122" i="4"/>
  <c r="H542" i="4"/>
  <c r="H1202" i="4"/>
  <c r="H1542" i="4"/>
  <c r="H531" i="4"/>
  <c r="H136" i="4"/>
  <c r="H177" i="4"/>
  <c r="H114" i="4"/>
  <c r="H1187" i="4"/>
  <c r="H1303" i="4"/>
  <c r="H1423" i="4"/>
  <c r="H509" i="4"/>
  <c r="H409" i="4"/>
  <c r="H106" i="4"/>
  <c r="H490" i="4"/>
  <c r="H728" i="4"/>
  <c r="H1687" i="4"/>
  <c r="H267" i="4"/>
  <c r="H551" i="4"/>
  <c r="H98" i="4"/>
  <c r="H809" i="4"/>
  <c r="H1123" i="4"/>
  <c r="H948" i="4"/>
  <c r="H90" i="4"/>
  <c r="H986" i="4"/>
  <c r="H1292" i="4"/>
  <c r="H1254" i="4"/>
  <c r="H1398" i="4"/>
  <c r="H82" i="4"/>
  <c r="H892" i="4"/>
  <c r="H982" i="4"/>
  <c r="H74" i="4"/>
  <c r="H1257" i="4"/>
  <c r="H281" i="4"/>
  <c r="H66" i="4"/>
  <c r="H918" i="4"/>
  <c r="H213" i="4"/>
  <c r="H58" i="4"/>
  <c r="H654" i="4"/>
  <c r="H1748" i="4"/>
  <c r="H1379" i="4"/>
  <c r="H50" i="4"/>
  <c r="H1037" i="4"/>
  <c r="H1189" i="4"/>
  <c r="H1495" i="4"/>
  <c r="H559" i="4"/>
  <c r="H42" i="4"/>
  <c r="H1026" i="4"/>
  <c r="H908" i="4"/>
  <c r="H1627" i="4"/>
  <c r="H1153" i="4"/>
  <c r="H469" i="4"/>
  <c r="H34" i="4"/>
  <c r="H745" i="4"/>
  <c r="H746" i="4"/>
  <c r="H1935" i="4"/>
  <c r="H580" i="4"/>
  <c r="H26" i="4"/>
  <c r="H62" i="4"/>
  <c r="H1135" i="4"/>
  <c r="H1545" i="4"/>
  <c r="H18" i="4"/>
  <c r="H714" i="4"/>
  <c r="H1713" i="4"/>
  <c r="H1997" i="4"/>
  <c r="H332" i="4"/>
  <c r="H10" i="4"/>
  <c r="H753" i="4"/>
  <c r="H430" i="4"/>
  <c r="H2008" i="4"/>
  <c r="H1985" i="4"/>
  <c r="H1956" i="4"/>
  <c r="H1908" i="4"/>
  <c r="H1892" i="4"/>
  <c r="H1844" i="4"/>
  <c r="H1812" i="4"/>
  <c r="H1780" i="4"/>
  <c r="H1763" i="4"/>
  <c r="H1743" i="4"/>
  <c r="H1647" i="4"/>
  <c r="H1612" i="4"/>
  <c r="H1580" i="4"/>
  <c r="H1544" i="4"/>
  <c r="H1418" i="4"/>
  <c r="H1376" i="4"/>
  <c r="H1336" i="4"/>
  <c r="H1271" i="4"/>
  <c r="H1176" i="4"/>
  <c r="H961" i="4"/>
  <c r="H1105" i="4"/>
  <c r="H1719" i="4"/>
  <c r="H1195" i="4"/>
  <c r="H1226" i="4"/>
  <c r="H1057" i="4"/>
  <c r="H873" i="4"/>
  <c r="H1227" i="4"/>
  <c r="H894" i="4"/>
  <c r="H928" i="4"/>
  <c r="H721" i="4"/>
  <c r="H1613" i="4"/>
  <c r="H1204" i="4"/>
  <c r="H1585" i="4"/>
  <c r="H976" i="4"/>
  <c r="H689" i="4"/>
  <c r="H1421" i="4"/>
  <c r="H1572" i="4"/>
  <c r="H1611" i="4"/>
  <c r="H641" i="4"/>
  <c r="H889" i="4"/>
  <c r="H1305" i="4"/>
  <c r="H513" i="4"/>
  <c r="H1740" i="4"/>
  <c r="H449" i="4"/>
  <c r="H1220" i="4"/>
  <c r="H953" i="4"/>
  <c r="H501" i="4"/>
  <c r="H385" i="4"/>
  <c r="H692" i="4"/>
  <c r="H1388" i="4"/>
  <c r="H1310" i="4"/>
  <c r="H1535" i="4"/>
  <c r="H353" i="4"/>
  <c r="H630" i="4"/>
  <c r="H1554" i="4"/>
  <c r="H544" i="4"/>
  <c r="H241" i="4"/>
  <c r="H1074" i="4"/>
  <c r="H780" i="4"/>
  <c r="H1984" i="4"/>
  <c r="H129" i="4"/>
  <c r="H398" i="4"/>
  <c r="H168" i="4"/>
  <c r="H121" i="4"/>
  <c r="H313" i="4"/>
  <c r="H1024" i="4"/>
  <c r="H850" i="4"/>
  <c r="H1452" i="4"/>
  <c r="H152" i="4"/>
  <c r="H105" i="4"/>
  <c r="H973" i="4"/>
  <c r="H1598" i="4"/>
  <c r="H1323" i="4"/>
  <c r="H89" i="4"/>
  <c r="H946" i="4"/>
  <c r="H1127" i="4"/>
  <c r="H1166" i="4"/>
  <c r="H1185" i="4"/>
  <c r="H1767" i="4"/>
  <c r="H239" i="4"/>
  <c r="H520" i="4"/>
  <c r="H73" i="4"/>
  <c r="H218" i="4"/>
  <c r="H764" i="4"/>
  <c r="H1517" i="4"/>
  <c r="H552" i="4"/>
  <c r="H57" i="4"/>
  <c r="H687" i="4"/>
  <c r="H1640" i="4"/>
  <c r="H516" i="4"/>
  <c r="H608" i="4"/>
  <c r="H41" i="4"/>
  <c r="H186" i="4"/>
  <c r="H17" i="4"/>
  <c r="H915" i="4"/>
  <c r="H1215" i="4"/>
  <c r="H1970" i="4"/>
  <c r="H1923" i="4"/>
  <c r="H1762" i="4"/>
  <c r="H1711" i="4"/>
  <c r="H1608" i="4"/>
  <c r="H1370" i="4"/>
  <c r="H1327" i="4"/>
  <c r="H1264" i="4"/>
  <c r="H1582" i="4"/>
  <c r="H1369" i="4"/>
  <c r="H1200" i="4"/>
  <c r="H1470" i="4"/>
  <c r="H1112" i="4"/>
  <c r="H1469" i="4"/>
  <c r="H1249" i="4"/>
  <c r="H1056" i="4"/>
  <c r="H1137" i="4"/>
  <c r="H1604" i="4"/>
  <c r="H912" i="4"/>
  <c r="H1510" i="4"/>
  <c r="H1917" i="4"/>
  <c r="H1959" i="4"/>
  <c r="H896" i="4"/>
  <c r="H1132" i="4"/>
  <c r="H1253" i="4"/>
  <c r="H864" i="4"/>
  <c r="H1171" i="4"/>
  <c r="H816" i="4"/>
  <c r="H888" i="4"/>
  <c r="H920" i="4"/>
  <c r="H1020" i="4"/>
  <c r="H1159" i="4"/>
  <c r="H784" i="4"/>
  <c r="H1213" i="4"/>
  <c r="H1957" i="4"/>
  <c r="H1848" i="4"/>
  <c r="H776" i="4"/>
  <c r="H1813" i="4"/>
  <c r="H1925" i="4"/>
  <c r="H752" i="4"/>
  <c r="H1078" i="4"/>
  <c r="H1337" i="4"/>
  <c r="H1223" i="4"/>
  <c r="H1960" i="4"/>
  <c r="H720" i="4"/>
  <c r="H1122" i="4"/>
  <c r="H1306" i="4"/>
  <c r="H1805" i="4"/>
  <c r="H680" i="4"/>
  <c r="H969" i="4"/>
  <c r="H1863" i="4"/>
  <c r="H656" i="4"/>
  <c r="H1052" i="4"/>
  <c r="H1695" i="4"/>
  <c r="H632" i="4"/>
  <c r="H1479" i="4"/>
  <c r="H1953" i="4"/>
  <c r="H576" i="4"/>
  <c r="H1063" i="4"/>
  <c r="H528" i="4"/>
  <c r="H891" i="4"/>
  <c r="H1590" i="4"/>
  <c r="H504" i="4"/>
  <c r="H1059" i="4"/>
  <c r="H472" i="4"/>
  <c r="H1107" i="4"/>
  <c r="H660" i="4"/>
  <c r="H440" i="4"/>
  <c r="H652" i="4"/>
  <c r="H432" i="4"/>
  <c r="H600" i="4"/>
  <c r="H478" i="4"/>
  <c r="H951" i="4"/>
  <c r="H1097" i="4"/>
  <c r="H416" i="4"/>
  <c r="H651" i="4"/>
  <c r="H408" i="4"/>
  <c r="H1121" i="4"/>
  <c r="H1991" i="4"/>
  <c r="H1817" i="4"/>
  <c r="H400" i="4"/>
  <c r="H1503" i="4"/>
  <c r="H1856" i="4"/>
  <c r="H540" i="4"/>
  <c r="H445" i="4"/>
  <c r="H581" i="4"/>
  <c r="H439" i="4"/>
  <c r="H376" i="4"/>
  <c r="H510" i="4"/>
  <c r="H352" i="4"/>
  <c r="H462" i="4"/>
  <c r="H1077" i="4"/>
  <c r="H1111" i="4"/>
  <c r="H1169" i="4"/>
  <c r="H336" i="4"/>
  <c r="H1333" i="4"/>
  <c r="H1446" i="4"/>
  <c r="H1936" i="4"/>
  <c r="H320" i="4"/>
  <c r="H1151" i="4"/>
  <c r="H423" i="4"/>
  <c r="H312" i="4"/>
  <c r="H787" i="4"/>
  <c r="H1133" i="4"/>
  <c r="H2007" i="4"/>
  <c r="H1467" i="4"/>
  <c r="H339" i="4"/>
  <c r="H296" i="4"/>
  <c r="H620" i="4"/>
  <c r="H1286" i="4"/>
  <c r="H1574" i="4"/>
  <c r="H256" i="4"/>
  <c r="H1405" i="4"/>
  <c r="H1374" i="4"/>
  <c r="H216" i="4"/>
  <c r="H698" i="4"/>
  <c r="H200" i="4"/>
  <c r="H1318" i="4"/>
  <c r="H1654" i="4"/>
  <c r="H1885" i="4"/>
  <c r="H192" i="4"/>
  <c r="H715" i="4"/>
  <c r="H1438" i="4"/>
  <c r="H1816" i="4"/>
  <c r="H415" i="4"/>
  <c r="H184" i="4"/>
  <c r="H1131" i="4"/>
  <c r="H1290" i="4"/>
  <c r="H1483" i="4"/>
  <c r="H507" i="4"/>
  <c r="H176" i="4"/>
  <c r="H232" i="4"/>
  <c r="H1581" i="4"/>
  <c r="H1054" i="4"/>
  <c r="H160" i="4"/>
  <c r="H843" i="4"/>
  <c r="H1091" i="4"/>
  <c r="H884" i="4"/>
  <c r="H1069" i="4"/>
  <c r="H128" i="4"/>
  <c r="H104" i="4"/>
  <c r="H142" i="4"/>
  <c r="H879" i="4"/>
  <c r="H1913" i="4"/>
  <c r="H96" i="4"/>
  <c r="H960" i="4"/>
  <c r="H868" i="4"/>
  <c r="H88" i="4"/>
  <c r="H700" i="4"/>
  <c r="H1791" i="4"/>
  <c r="H493" i="4"/>
  <c r="H72" i="4"/>
  <c r="H489" i="4"/>
  <c r="H1901" i="4"/>
  <c r="H64" i="4"/>
  <c r="H869" i="4"/>
  <c r="H1203" i="4"/>
  <c r="H1566" i="4"/>
  <c r="H1702" i="4"/>
  <c r="H348" i="4"/>
  <c r="H56" i="4"/>
  <c r="H1218" i="4"/>
  <c r="H1162" i="4"/>
  <c r="H131" i="4"/>
  <c r="H335" i="4"/>
  <c r="H48" i="4"/>
  <c r="H672" i="4"/>
  <c r="H40" i="4"/>
  <c r="H663" i="4"/>
  <c r="H302" i="4"/>
  <c r="H1493" i="4"/>
  <c r="H1653" i="4"/>
  <c r="H1855" i="4"/>
  <c r="H32" i="4"/>
  <c r="H334" i="4"/>
  <c r="H24" i="4"/>
  <c r="H1021" i="4"/>
  <c r="H1309" i="4"/>
  <c r="H1667" i="4"/>
  <c r="H455" i="4"/>
  <c r="H16" i="4"/>
  <c r="H941" i="4"/>
  <c r="H1358" i="4"/>
  <c r="H83" i="4"/>
  <c r="H8" i="4"/>
  <c r="H1018" i="4"/>
  <c r="H813" i="4"/>
  <c r="H2016" i="4"/>
  <c r="H2004" i="4"/>
  <c r="H1994" i="4"/>
  <c r="H1980" i="4"/>
  <c r="H1969" i="4"/>
  <c r="H1954" i="4"/>
  <c r="H1938" i="4"/>
  <c r="H1922" i="4"/>
  <c r="H1906" i="4"/>
  <c r="H1890" i="4"/>
  <c r="H1874" i="4"/>
  <c r="H1858" i="4"/>
  <c r="H1842" i="4"/>
  <c r="H1826" i="4"/>
  <c r="H1810" i="4"/>
  <c r="H1794" i="4"/>
  <c r="H1778" i="4"/>
  <c r="H1760" i="4"/>
  <c r="H1738" i="4"/>
  <c r="H1708" i="4"/>
  <c r="H1639" i="4"/>
  <c r="H1607" i="4"/>
  <c r="H1570" i="4"/>
  <c r="H1536" i="4"/>
  <c r="H1496" i="4"/>
  <c r="H1408" i="4"/>
  <c r="H1368" i="4"/>
  <c r="H1319" i="4"/>
  <c r="H1248" i="4"/>
  <c r="H1154" i="4"/>
  <c r="H433" i="4"/>
  <c r="H851" i="4"/>
  <c r="H859" i="4"/>
  <c r="H1889" i="4"/>
  <c r="H1489" i="4"/>
  <c r="H1943" i="4"/>
  <c r="H1656" i="4"/>
  <c r="H665" i="4"/>
  <c r="H827" i="4"/>
  <c r="H1076" i="4"/>
  <c r="H649" i="4"/>
  <c r="H1314" i="4"/>
  <c r="H1968" i="4"/>
  <c r="H633" i="4"/>
  <c r="H1118" i="4"/>
  <c r="H1101" i="4"/>
  <c r="H617" i="4"/>
  <c r="H744" i="4"/>
  <c r="H1903" i="4"/>
  <c r="H1523" i="4"/>
  <c r="H585" i="4"/>
  <c r="H691" i="4"/>
  <c r="H1726" i="4"/>
  <c r="H1873" i="4"/>
  <c r="H648" i="4"/>
  <c r="H521" i="4"/>
  <c r="H836" i="4"/>
  <c r="H1625" i="4"/>
  <c r="H1785" i="4"/>
  <c r="H441" i="4"/>
  <c r="H601" i="4"/>
  <c r="H1145" i="4"/>
  <c r="H1217" i="4"/>
  <c r="H1768" i="4"/>
  <c r="H1841" i="4"/>
  <c r="H369" i="4"/>
  <c r="H481" i="4"/>
  <c r="H1717" i="4"/>
  <c r="H1753" i="4"/>
  <c r="H345" i="4"/>
  <c r="H1040" i="4"/>
  <c r="H1661" i="4"/>
  <c r="H1649" i="4"/>
  <c r="H1603" i="4"/>
  <c r="H233" i="4"/>
  <c r="H625" i="4"/>
  <c r="H1243" i="4"/>
  <c r="H830" i="4"/>
  <c r="H1269" i="4"/>
  <c r="H1749" i="4"/>
  <c r="H2" i="4"/>
  <c r="H1875" i="4"/>
  <c r="H1961" i="4"/>
  <c r="H1085" i="4"/>
  <c r="H1055" i="4"/>
  <c r="H1484" i="4"/>
  <c r="H1455" i="4"/>
  <c r="H1035" i="4"/>
  <c r="H1007" i="4"/>
  <c r="H1707" i="4"/>
  <c r="H1921" i="4"/>
  <c r="H988" i="4"/>
  <c r="H975" i="4"/>
  <c r="H1190" i="4"/>
  <c r="H911" i="4"/>
  <c r="H1342" i="4"/>
  <c r="H1911" i="4"/>
  <c r="H900" i="4"/>
  <c r="H871" i="4"/>
  <c r="H1426" i="4"/>
  <c r="H1395" i="4"/>
  <c r="H876" i="4"/>
  <c r="H855" i="4"/>
  <c r="H1716" i="4"/>
  <c r="H831" i="4"/>
  <c r="H1175" i="4"/>
  <c r="H1524" i="4"/>
  <c r="H1533" i="4"/>
  <c r="H823" i="4"/>
  <c r="H1477" i="4"/>
  <c r="H807" i="4"/>
  <c r="H1513" i="4"/>
  <c r="H1823" i="4"/>
  <c r="H791" i="4"/>
  <c r="H1573" i="4"/>
  <c r="H1773" i="4"/>
  <c r="H743" i="4"/>
  <c r="H919" i="4"/>
  <c r="H1229" i="4"/>
  <c r="H1117" i="4"/>
  <c r="H1080" i="4"/>
  <c r="H906" i="4"/>
  <c r="H735" i="4"/>
  <c r="H1624" i="4"/>
  <c r="H993" i="4"/>
  <c r="H722" i="4"/>
  <c r="H1002" i="4"/>
  <c r="H703" i="4"/>
  <c r="H1259" i="4"/>
  <c r="H1022" i="4"/>
  <c r="H2005" i="4"/>
  <c r="H671" i="4"/>
  <c r="H962" i="4"/>
  <c r="H1148" i="4"/>
  <c r="H837" i="4"/>
  <c r="H1693" i="4"/>
  <c r="H1411" i="4"/>
  <c r="H655" i="4"/>
  <c r="H1396" i="4"/>
  <c r="H1784" i="4"/>
  <c r="H647" i="4"/>
  <c r="H758" i="4"/>
  <c r="H1691" i="4"/>
  <c r="H1757" i="4"/>
  <c r="H583" i="4"/>
  <c r="H963" i="4"/>
  <c r="H1108" i="4"/>
  <c r="H1981" i="4"/>
  <c r="H1944" i="4"/>
  <c r="H567" i="4"/>
  <c r="H814" i="4"/>
  <c r="H846" i="4"/>
  <c r="H527" i="4"/>
  <c r="H1106" i="4"/>
  <c r="H623" i="4"/>
  <c r="H1371" i="4"/>
  <c r="H519" i="4"/>
  <c r="H1685" i="4"/>
  <c r="H1609" i="4"/>
  <c r="H1735" i="4"/>
  <c r="H511" i="4"/>
  <c r="H1377" i="4"/>
  <c r="H1490" i="4"/>
  <c r="H487" i="4"/>
  <c r="H1034" i="4"/>
  <c r="H925" i="4"/>
  <c r="H1252" i="4"/>
  <c r="H1260" i="4"/>
  <c r="H604" i="4"/>
  <c r="H479" i="4"/>
  <c r="H872" i="4"/>
  <c r="H828" i="4"/>
  <c r="H1824" i="4"/>
  <c r="H485" i="4"/>
  <c r="H431" i="4"/>
  <c r="H939" i="4"/>
  <c r="H1092" i="4"/>
  <c r="H407" i="4"/>
  <c r="H1650" i="4"/>
  <c r="H1291" i="4"/>
  <c r="H1367" i="4"/>
  <c r="H1741" i="4"/>
  <c r="H1571" i="4"/>
  <c r="H1912" i="4"/>
  <c r="H1186" i="4"/>
  <c r="H1699" i="4"/>
  <c r="H1674" i="4"/>
  <c r="H1643" i="4"/>
  <c r="H1904" i="4"/>
  <c r="H1720" i="4"/>
  <c r="H1335" i="4"/>
  <c r="H2003" i="4"/>
  <c r="H1966" i="4"/>
  <c r="H1950" i="4"/>
  <c r="H1934" i="4"/>
  <c r="H1918" i="4"/>
  <c r="H1886" i="4"/>
  <c r="H1870" i="4"/>
  <c r="H1854" i="4"/>
  <c r="H1838" i="4"/>
  <c r="H1822" i="4"/>
  <c r="H1806" i="4"/>
  <c r="H1790" i="4"/>
  <c r="H1774" i="4"/>
  <c r="H1756" i="4"/>
  <c r="H1703" i="4"/>
  <c r="H1671" i="4"/>
  <c r="H1600" i="4"/>
  <c r="H1530" i="4"/>
  <c r="H1488" i="4"/>
  <c r="H1448" i="4"/>
  <c r="H1402" i="4"/>
  <c r="H1239" i="4"/>
  <c r="H1129" i="4"/>
  <c r="H726" i="4"/>
  <c r="H1527" i="4"/>
  <c r="H351" i="4"/>
  <c r="H739" i="4"/>
  <c r="H1109" i="4"/>
  <c r="H343" i="4"/>
  <c r="H1390" i="4"/>
  <c r="H798" i="4"/>
  <c r="H476" i="4"/>
  <c r="H327" i="4"/>
  <c r="H566" i="4"/>
  <c r="H518" i="4"/>
  <c r="H311" i="4"/>
  <c r="H978" i="4"/>
  <c r="H724" i="4"/>
  <c r="H815" i="4"/>
  <c r="H1681" i="4"/>
  <c r="H303" i="4"/>
  <c r="H1605" i="4"/>
  <c r="H295" i="4"/>
  <c r="H699" i="4"/>
  <c r="H287" i="4"/>
  <c r="H686" i="4"/>
  <c r="H271" i="4"/>
  <c r="H514" i="4"/>
  <c r="H563" i="4"/>
  <c r="H610" i="4"/>
  <c r="H263" i="4"/>
  <c r="H825" i="4"/>
  <c r="H255" i="4"/>
  <c r="H571" i="4"/>
  <c r="H799" i="4"/>
  <c r="H247" i="4"/>
  <c r="H279" i="4"/>
  <c r="H847" i="4"/>
  <c r="H1308" i="4"/>
  <c r="H223" i="4"/>
  <c r="H822" i="4"/>
  <c r="H1501" i="4"/>
  <c r="H215" i="4"/>
  <c r="H970" i="4"/>
  <c r="H573" i="4"/>
  <c r="H597" i="4"/>
  <c r="H183" i="4"/>
  <c r="H697" i="4"/>
  <c r="H1047" i="4"/>
  <c r="H175" i="4"/>
  <c r="H1149" i="4"/>
  <c r="H159" i="4"/>
  <c r="H1250" i="4"/>
  <c r="H1062" i="4"/>
  <c r="H1321" i="4"/>
  <c r="H151" i="4"/>
  <c r="H568" i="4"/>
  <c r="H979" i="4"/>
  <c r="H1068" i="4"/>
  <c r="H143" i="4"/>
  <c r="H1177" i="4"/>
  <c r="H127" i="4"/>
  <c r="H904" i="4"/>
  <c r="H1114" i="4"/>
  <c r="H949" i="4"/>
  <c r="H262" i="4"/>
  <c r="H111" i="4"/>
  <c r="H824" i="4"/>
  <c r="H103" i="4"/>
  <c r="H326" i="4"/>
  <c r="H1565" i="4"/>
  <c r="H1502" i="4"/>
  <c r="H1761" i="4"/>
  <c r="H95" i="4"/>
  <c r="H569" i="4"/>
  <c r="H515" i="4"/>
  <c r="H87" i="4"/>
  <c r="H1058" i="4"/>
  <c r="H645" i="4"/>
  <c r="H79" i="4"/>
  <c r="H543" i="4"/>
  <c r="H210" i="4"/>
  <c r="H1019" i="4"/>
  <c r="H71" i="4"/>
  <c r="H63" i="4"/>
  <c r="H730" i="4"/>
  <c r="H733" i="4"/>
  <c r="H1156" i="4"/>
  <c r="H55" i="4"/>
  <c r="H144" i="4"/>
  <c r="H590" i="4"/>
  <c r="H1445" i="4"/>
  <c r="H477" i="4"/>
  <c r="H47" i="4"/>
  <c r="H987" i="4"/>
  <c r="H39" i="4"/>
  <c r="H191" i="4"/>
  <c r="H695" i="4"/>
  <c r="H1041" i="4"/>
  <c r="H1516" i="4"/>
  <c r="H31" i="4"/>
  <c r="H135" i="4"/>
  <c r="H1234" i="4"/>
  <c r="H595" i="4"/>
  <c r="H1278" i="4"/>
  <c r="H23" i="4"/>
  <c r="H65" i="4"/>
  <c r="H679" i="4"/>
  <c r="H492" i="4"/>
  <c r="H15" i="4"/>
  <c r="H530" i="4"/>
  <c r="H713" i="4"/>
  <c r="H1382" i="4"/>
  <c r="H1130" i="4"/>
  <c r="H7" i="4"/>
  <c r="H250" i="4"/>
  <c r="H954" i="4"/>
  <c r="H955" i="4"/>
  <c r="H727" i="4"/>
  <c r="H1285" i="4"/>
  <c r="H1999" i="4"/>
  <c r="H1799" i="4"/>
  <c r="H1704" i="4"/>
  <c r="H1615" i="4"/>
  <c r="H1287" i="4"/>
  <c r="H37" i="4"/>
  <c r="H280" i="4"/>
  <c r="H538" i="4"/>
  <c r="H164" i="4"/>
  <c r="H29" i="4"/>
  <c r="H21" i="4"/>
  <c r="H639" i="4"/>
  <c r="H1356" i="4"/>
  <c r="H13" i="4"/>
  <c r="H240" i="4"/>
  <c r="H537" i="4"/>
  <c r="H1468" i="4"/>
  <c r="H5" i="4"/>
  <c r="H1949" i="4"/>
  <c r="H1845" i="4"/>
  <c r="H1746" i="4"/>
  <c r="H1727" i="4"/>
  <c r="H1636" i="4"/>
  <c r="H1599" i="4"/>
  <c r="H1471" i="4"/>
  <c r="H1375" i="4"/>
  <c r="H1343" i="4"/>
  <c r="H1247" i="4"/>
  <c r="H112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F1301F-2843-4079-A978-555D0FBDE3F5}" keepAlive="1" name="Query - Batch_level_table" description="Connection to the 'Batch_level_table' query in the workbook." type="5" refreshedVersion="8" background="1" saveData="1">
    <dbPr connection="Provider=Microsoft.Mashup.OleDb.1;Data Source=$Workbook$;Location=Batch_level_table;Extended Properties=&quot;&quot;" command="SELECT * FROM [Batch_level_table]"/>
  </connection>
  <connection id="2" xr16:uid="{758A87F3-C35A-444F-A41D-9EDBCE1B40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5A838DD-AF30-4781-A173-9D30C4D050CF}" name="WorksheetConnection_LIMS_Export_worked!$B$2:$O$2017" type="102" refreshedVersion="8" minRefreshableVersion="5">
    <extLst>
      <ext xmlns:x15="http://schemas.microsoft.com/office/spreadsheetml/2010/11/main" uri="{DE250136-89BD-433C-8126-D09CA5730AF9}">
        <x15:connection id="Range" autoDelete="1">
          <x15:rangePr sourceName="_xlcn.WorksheetConnection_LIMS_Export_workedB2O20171"/>
        </x15:connection>
      </ext>
    </extLst>
  </connection>
</connections>
</file>

<file path=xl/sharedStrings.xml><?xml version="1.0" encoding="utf-8"?>
<sst xmlns="http://schemas.openxmlformats.org/spreadsheetml/2006/main" count="29599" uniqueCount="2967">
  <si>
    <t>Sample_ID</t>
  </si>
  <si>
    <t>Batch_ID</t>
  </si>
  <si>
    <t>Product_Line</t>
  </si>
  <si>
    <t>Site</t>
  </si>
  <si>
    <t>Test_Type</t>
  </si>
  <si>
    <t>Result_Value</t>
  </si>
  <si>
    <t>Unit</t>
  </si>
  <si>
    <t>Spec_Lower</t>
  </si>
  <si>
    <t>Spec_Upper</t>
  </si>
  <si>
    <t>Test_Date</t>
  </si>
  <si>
    <t>Analyst</t>
  </si>
  <si>
    <t>S001578</t>
  </si>
  <si>
    <t>S000141</t>
  </si>
  <si>
    <t>S000111</t>
  </si>
  <si>
    <t>S000260</t>
  </si>
  <si>
    <t>S001392</t>
  </si>
  <si>
    <t>S001745</t>
  </si>
  <si>
    <t>S000515</t>
  </si>
  <si>
    <t>S001518</t>
  </si>
  <si>
    <t>S001387</t>
  </si>
  <si>
    <t>S001059</t>
  </si>
  <si>
    <t>S001922</t>
  </si>
  <si>
    <t>S001737</t>
  </si>
  <si>
    <t>S000472</t>
  </si>
  <si>
    <t>S001274</t>
  </si>
  <si>
    <t>S001927</t>
  </si>
  <si>
    <t>S001545</t>
  </si>
  <si>
    <t>S001090</t>
  </si>
  <si>
    <t>S001355</t>
  </si>
  <si>
    <t>S000359</t>
  </si>
  <si>
    <t>S001328</t>
  </si>
  <si>
    <t>S000197</t>
  </si>
  <si>
    <t>S001683</t>
  </si>
  <si>
    <t>S001692</t>
  </si>
  <si>
    <t>S000611</t>
  </si>
  <si>
    <t>S000362</t>
  </si>
  <si>
    <t>S000003</t>
  </si>
  <si>
    <t>S000667</t>
  </si>
  <si>
    <t>S000528</t>
  </si>
  <si>
    <t>S001118</t>
  </si>
  <si>
    <t>S000703</t>
  </si>
  <si>
    <t>S000603</t>
  </si>
  <si>
    <t>S000659</t>
  </si>
  <si>
    <t>S001918</t>
  </si>
  <si>
    <t>S001825</t>
  </si>
  <si>
    <t>S000763</t>
  </si>
  <si>
    <t>S000375</t>
  </si>
  <si>
    <t>S001960</t>
  </si>
  <si>
    <t>S000673</t>
  </si>
  <si>
    <t>S001038</t>
  </si>
  <si>
    <t>S000946</t>
  </si>
  <si>
    <t>S000545</t>
  </si>
  <si>
    <t>S001697</t>
  </si>
  <si>
    <t>S001670</t>
  </si>
  <si>
    <t>S000607</t>
  </si>
  <si>
    <t>S000502</t>
  </si>
  <si>
    <t>S001496</t>
  </si>
  <si>
    <t>S001818</t>
  </si>
  <si>
    <t>S001245</t>
  </si>
  <si>
    <t>S000242</t>
  </si>
  <si>
    <t>S000877</t>
  </si>
  <si>
    <t>S001375</t>
  </si>
  <si>
    <t>S000695</t>
  </si>
  <si>
    <t>S000285</t>
  </si>
  <si>
    <t>S000413</t>
  </si>
  <si>
    <t>S001305</t>
  </si>
  <si>
    <t>S001412</t>
  </si>
  <si>
    <t>S001982</t>
  </si>
  <si>
    <t>S001842</t>
  </si>
  <si>
    <t>S001443</t>
  </si>
  <si>
    <t>S000340</t>
  </si>
  <si>
    <t>S000364</t>
  </si>
  <si>
    <t>S000904</t>
  </si>
  <si>
    <t>S001012</t>
  </si>
  <si>
    <t>S001679</t>
  </si>
  <si>
    <t>S000736</t>
  </si>
  <si>
    <t>S000387</t>
  </si>
  <si>
    <t>S001509</t>
  </si>
  <si>
    <t>S001150</t>
  </si>
  <si>
    <t>S000838</t>
  </si>
  <si>
    <t>S001664</t>
  </si>
  <si>
    <t>S000639</t>
  </si>
  <si>
    <t>S001171</t>
  </si>
  <si>
    <t>S001638</t>
  </si>
  <si>
    <t>S001446</t>
  </si>
  <si>
    <t>S001280</t>
  </si>
  <si>
    <t>S000300</t>
  </si>
  <si>
    <t>S000977</t>
  </si>
  <si>
    <t>S001859</t>
  </si>
  <si>
    <t>S000109</t>
  </si>
  <si>
    <t>S001472</t>
  </si>
  <si>
    <t>S001583</t>
  </si>
  <si>
    <t>S000518</t>
  </si>
  <si>
    <t>S001017</t>
  </si>
  <si>
    <t>S001016</t>
  </si>
  <si>
    <t>S001184</t>
  </si>
  <si>
    <t>S001230</t>
  </si>
  <si>
    <t>S001973</t>
  </si>
  <si>
    <t>S001532</t>
  </si>
  <si>
    <t>S001606</t>
  </si>
  <si>
    <t>S001466</t>
  </si>
  <si>
    <t>S001498</t>
  </si>
  <si>
    <t>S001331</t>
  </si>
  <si>
    <t>S000331</t>
  </si>
  <si>
    <t>S001432</t>
  </si>
  <si>
    <t>S000230</t>
  </si>
  <si>
    <t>S000173</t>
  </si>
  <si>
    <t>S000451</t>
  </si>
  <si>
    <t>S001525</t>
  </si>
  <si>
    <t>S000128</t>
  </si>
  <si>
    <t>S001065</t>
  </si>
  <si>
    <t>S000038</t>
  </si>
  <si>
    <t>S000427</t>
  </si>
  <si>
    <t>S000205</t>
  </si>
  <si>
    <t>S001250</t>
  </si>
  <si>
    <t>S000186</t>
  </si>
  <si>
    <t>S001269</t>
  </si>
  <si>
    <t>S000059</t>
  </si>
  <si>
    <t>S001507</t>
  </si>
  <si>
    <t>S000863</t>
  </si>
  <si>
    <t>S001877</t>
  </si>
  <si>
    <t>S001333</t>
  </si>
  <si>
    <t>S001165</t>
  </si>
  <si>
    <t>S001316</t>
  </si>
  <si>
    <t>S001415</t>
  </si>
  <si>
    <t>S000612</t>
  </si>
  <si>
    <t>S000035</t>
  </si>
  <si>
    <t>S000831</t>
  </si>
  <si>
    <t>S001827</t>
  </si>
  <si>
    <t>S000361</t>
  </si>
  <si>
    <t>S001050</t>
  </si>
  <si>
    <t>S001649</t>
  </si>
  <si>
    <t>S001900</t>
  </si>
  <si>
    <t>S000596</t>
  </si>
  <si>
    <t>S001279</t>
  </si>
  <si>
    <t>S000591</t>
  </si>
  <si>
    <t>S000654</t>
  </si>
  <si>
    <t>S000916</t>
  </si>
  <si>
    <t>S000770</t>
  </si>
  <si>
    <t>S000453</t>
  </si>
  <si>
    <t>S001817</t>
  </si>
  <si>
    <t>S000588</t>
  </si>
  <si>
    <t>S000008</t>
  </si>
  <si>
    <t>S001767</t>
  </si>
  <si>
    <t>S000706</t>
  </si>
  <si>
    <t>S001319</t>
  </si>
  <si>
    <t>S001354</t>
  </si>
  <si>
    <t>S000021</t>
  </si>
  <si>
    <t>S001154</t>
  </si>
  <si>
    <t>S001191</t>
  </si>
  <si>
    <t>S001076</t>
  </si>
  <si>
    <t>S000207</t>
  </si>
  <si>
    <t>S000817</t>
  </si>
  <si>
    <t>S000416</t>
  </si>
  <si>
    <t>S001626</t>
  </si>
  <si>
    <t>S000928</t>
  </si>
  <si>
    <t>S000721</t>
  </si>
  <si>
    <t>S001632</t>
  </si>
  <si>
    <t>S000732</t>
  </si>
  <si>
    <t>S000218</t>
  </si>
  <si>
    <t>S000420</t>
  </si>
  <si>
    <t>S001252</t>
  </si>
  <si>
    <t>S000987</t>
  </si>
  <si>
    <t>S001636</t>
  </si>
  <si>
    <t>S000922</t>
  </si>
  <si>
    <t>S000971</t>
  </si>
  <si>
    <t>S001313</t>
  </si>
  <si>
    <t>S001718</t>
  </si>
  <si>
    <t>S001565</t>
  </si>
  <si>
    <t>S001847</t>
  </si>
  <si>
    <t>S000798</t>
  </si>
  <si>
    <t>S001261</t>
  </si>
  <si>
    <t>S001795</t>
  </si>
  <si>
    <t>S000529</t>
  </si>
  <si>
    <t>S001754</t>
  </si>
  <si>
    <t>S000052</t>
  </si>
  <si>
    <t>S000037</t>
  </si>
  <si>
    <t>S001047</t>
  </si>
  <si>
    <t>S001281</t>
  </si>
  <si>
    <t>S001484</t>
  </si>
  <si>
    <t>S000563</t>
  </si>
  <si>
    <t>S000397</t>
  </si>
  <si>
    <t>S001648</t>
  </si>
  <si>
    <t>S001126</t>
  </si>
  <si>
    <t>S000752</t>
  </si>
  <si>
    <t>S001139</t>
  </si>
  <si>
    <t>S001318</t>
  </si>
  <si>
    <t>S000351</t>
  </si>
  <si>
    <t>S001026</t>
  </si>
  <si>
    <t>S001905</t>
  </si>
  <si>
    <t>S000526</t>
  </si>
  <si>
    <t>S000821</t>
  </si>
  <si>
    <t>S000442</t>
  </si>
  <si>
    <t>S000147</t>
  </si>
  <si>
    <t>S001619</t>
  </si>
  <si>
    <t>S000947</t>
  </si>
  <si>
    <t>S000864</t>
  </si>
  <si>
    <t>S000238</t>
  </si>
  <si>
    <t>S001873</t>
  </si>
  <si>
    <t>S000562</t>
  </si>
  <si>
    <t>S000670</t>
  </si>
  <si>
    <t>S000929</t>
  </si>
  <si>
    <t>S001716</t>
  </si>
  <si>
    <t>S001641</t>
  </si>
  <si>
    <t>S000755</t>
  </si>
  <si>
    <t>S001969</t>
  </si>
  <si>
    <t>S001324</t>
  </si>
  <si>
    <t>S001447</t>
  </si>
  <si>
    <t>S000501</t>
  </si>
  <si>
    <t>S000439</t>
  </si>
  <si>
    <t>S001935</t>
  </si>
  <si>
    <t>S000664</t>
  </si>
  <si>
    <t>S001977</t>
  </si>
  <si>
    <t>S000726</t>
  </si>
  <si>
    <t>S001288</t>
  </si>
  <si>
    <t>S000263</t>
  </si>
  <si>
    <t>S000142</t>
  </si>
  <si>
    <t>S000352</t>
  </si>
  <si>
    <t>S000368</t>
  </si>
  <si>
    <t>S001862</t>
  </si>
  <si>
    <t>S000312</t>
  </si>
  <si>
    <t>S001128</t>
  </si>
  <si>
    <t>S001986</t>
  </si>
  <si>
    <t>S000455</t>
  </si>
  <si>
    <t>S001294</t>
  </si>
  <si>
    <t>S001684</t>
  </si>
  <si>
    <t>S001635</t>
  </si>
  <si>
    <t>S001173</t>
  </si>
  <si>
    <t>S000342</t>
  </si>
  <si>
    <t>S000684</t>
  </si>
  <si>
    <t>S000962</t>
  </si>
  <si>
    <t>S001792</t>
  </si>
  <si>
    <t>S000856</t>
  </si>
  <si>
    <t>S001418</t>
  </si>
  <si>
    <t>S000180</t>
  </si>
  <si>
    <t>S000978</t>
  </si>
  <si>
    <t>S000807</t>
  </si>
  <si>
    <t>S000398</t>
  </si>
  <si>
    <t>S001314</t>
  </si>
  <si>
    <t>S000341</t>
  </si>
  <si>
    <t>S000597</t>
  </si>
  <si>
    <t>S001134</t>
  </si>
  <si>
    <t>S001950</t>
  </si>
  <si>
    <t>S000480</t>
  </si>
  <si>
    <t>S000805</t>
  </si>
  <si>
    <t>S000730</t>
  </si>
  <si>
    <t>S001028</t>
  </si>
  <si>
    <t>S000072</t>
  </si>
  <si>
    <t>S001170</t>
  </si>
  <si>
    <t>S001734</t>
  </si>
  <si>
    <t>S001724</t>
  </si>
  <si>
    <t>S000309</t>
  </si>
  <si>
    <t>S000572</t>
  </si>
  <si>
    <t>S001889</t>
  </si>
  <si>
    <t>S000299</t>
  </si>
  <si>
    <t>S000201</t>
  </si>
  <si>
    <t>S001906</t>
  </si>
  <si>
    <t>S001510</t>
  </si>
  <si>
    <t>S001123</t>
  </si>
  <si>
    <t>S001742</t>
  </si>
  <si>
    <t>S001335</t>
  </si>
  <si>
    <t>S000505</t>
  </si>
  <si>
    <t>S000780</t>
  </si>
  <si>
    <t>S000621</t>
  </si>
  <si>
    <t>S001601</t>
  </si>
  <si>
    <t>S001140</t>
  </si>
  <si>
    <t>S001021</t>
  </si>
  <si>
    <t>S000117</t>
  </si>
  <si>
    <t>S001672</t>
  </si>
  <si>
    <t>S001780</t>
  </si>
  <si>
    <t>S000005</t>
  </si>
  <si>
    <t>S000652</t>
  </si>
  <si>
    <t>S000047</t>
  </si>
  <si>
    <t>S000329</t>
  </si>
  <si>
    <t>S000279</t>
  </si>
  <si>
    <t>S000456</t>
  </si>
  <si>
    <t>S000448</t>
  </si>
  <si>
    <t>S001436</t>
  </si>
  <si>
    <t>S001489</t>
  </si>
  <si>
    <t>S001611</t>
  </si>
  <si>
    <t>S000745</t>
  </si>
  <si>
    <t>S001078</t>
  </si>
  <si>
    <t>S000573</t>
  </si>
  <si>
    <t>S000475</t>
  </si>
  <si>
    <t>S000195</t>
  </si>
  <si>
    <t>S001797</t>
  </si>
  <si>
    <t>S000790</t>
  </si>
  <si>
    <t>S001521</t>
  </si>
  <si>
    <t>S001908</t>
  </si>
  <si>
    <t>S000376</t>
  </si>
  <si>
    <t>S000738</t>
  </si>
  <si>
    <t>S001794</t>
  </si>
  <si>
    <t>S000393</t>
  </si>
  <si>
    <t>S000870</t>
  </si>
  <si>
    <t>S000432</t>
  </si>
  <si>
    <t>S000326</t>
  </si>
  <si>
    <t>S000411</t>
  </si>
  <si>
    <t>S000869</t>
  </si>
  <si>
    <t>S000110</t>
  </si>
  <si>
    <t>S000801</t>
  </si>
  <si>
    <t>S001587</t>
  </si>
  <si>
    <t>S000861</t>
  </si>
  <si>
    <t>S000471</t>
  </si>
  <si>
    <t>S001702</t>
  </si>
  <si>
    <t>S001540</t>
  </si>
  <si>
    <t>S001809</t>
  </si>
  <si>
    <t>S000096</t>
  </si>
  <si>
    <t>S000594</t>
  </si>
  <si>
    <t>S000862</t>
  </si>
  <si>
    <t>S000020</t>
  </si>
  <si>
    <t>S001556</t>
  </si>
  <si>
    <t>S001039</t>
  </si>
  <si>
    <t>S001868</t>
  </si>
  <si>
    <t>S001898</t>
  </si>
  <si>
    <t>S001267</t>
  </si>
  <si>
    <t>S000354</t>
  </si>
  <si>
    <t>S001833</t>
  </si>
  <si>
    <t>S000373</t>
  </si>
  <si>
    <t>S001776</t>
  </si>
  <si>
    <t>S000223</t>
  </si>
  <si>
    <t>S001296</t>
  </si>
  <si>
    <t>S001211</t>
  </si>
  <si>
    <t>S001048</t>
  </si>
  <si>
    <t>S000699</t>
  </si>
  <si>
    <t>S000112</t>
  </si>
  <si>
    <t>S001863</t>
  </si>
  <si>
    <t>S001698</t>
  </si>
  <si>
    <t>S001043</t>
  </si>
  <si>
    <t>S001125</t>
  </si>
  <si>
    <t>S000314</t>
  </si>
  <si>
    <t>S000288</t>
  </si>
  <si>
    <t>S000796</t>
  </si>
  <si>
    <t>S001085</t>
  </si>
  <si>
    <t>S000508</t>
  </si>
  <si>
    <t>S001196</t>
  </si>
  <si>
    <t>S000431</t>
  </si>
  <si>
    <t>S000743</t>
  </si>
  <si>
    <t>S001287</t>
  </si>
  <si>
    <t>S001774</t>
  </si>
  <si>
    <t>S001637</t>
  </si>
  <si>
    <t>S000682</t>
  </si>
  <si>
    <t>S001390</t>
  </si>
  <si>
    <t>S000018</t>
  </si>
  <si>
    <t>S000604</t>
  </si>
  <si>
    <t>S001816</t>
  </si>
  <si>
    <t>S000579</t>
  </si>
  <si>
    <t>S000493</t>
  </si>
  <si>
    <t>S001378</t>
  </si>
  <si>
    <t>S001810</t>
  </si>
  <si>
    <t>S000846</t>
  </si>
  <si>
    <t>S001753</t>
  </si>
  <si>
    <t>S001129</t>
  </si>
  <si>
    <t>S000055</t>
  </si>
  <si>
    <t>S000264</t>
  </si>
  <si>
    <t>S000102</t>
  </si>
  <si>
    <t>S000276</t>
  </si>
  <si>
    <t>S001867</t>
  </si>
  <si>
    <t>S001303</t>
  </si>
  <si>
    <t>S000250</t>
  </si>
  <si>
    <t>S000834</t>
  </si>
  <si>
    <t>S001930</t>
  </si>
  <si>
    <t>S001806</t>
  </si>
  <si>
    <t>S001361</t>
  </si>
  <si>
    <t>S000345</t>
  </si>
  <si>
    <t>S000641</t>
  </si>
  <si>
    <t>S000378</t>
  </si>
  <si>
    <t>S001406</t>
  </si>
  <si>
    <t>S000424</t>
  </si>
  <si>
    <t>S000061</t>
  </si>
  <si>
    <t>S001921</t>
  </si>
  <si>
    <t>S000757</t>
  </si>
  <si>
    <t>S000985</t>
  </si>
  <si>
    <t>S000211</t>
  </si>
  <si>
    <t>S000282</t>
  </si>
  <si>
    <t>S001666</t>
  </si>
  <si>
    <t>S000650</t>
  </si>
  <si>
    <t>S001121</t>
  </si>
  <si>
    <t>S001625</t>
  </si>
  <si>
    <t>S001237</t>
  </si>
  <si>
    <t>S000984</t>
  </si>
  <si>
    <t>S001193</t>
  </si>
  <si>
    <t>S000900</t>
  </si>
  <si>
    <t>S000325</t>
  </si>
  <si>
    <t>S001107</t>
  </si>
  <si>
    <t>S001699</t>
  </si>
  <si>
    <t>S000029</t>
  </si>
  <si>
    <t>S000833</t>
  </si>
  <si>
    <t>S001029</t>
  </si>
  <si>
    <t>S001485</t>
  </si>
  <si>
    <t>S001003</t>
  </si>
  <si>
    <t>S001790</t>
  </si>
  <si>
    <t>S000225</t>
  </si>
  <si>
    <t>S001843</t>
  </si>
  <si>
    <t>S001183</t>
  </si>
  <si>
    <t>S000839</t>
  </si>
  <si>
    <t>S001410</t>
  </si>
  <si>
    <t>S000934</t>
  </si>
  <si>
    <t>S000873</t>
  </si>
  <si>
    <t>S001482</t>
  </si>
  <si>
    <t>S001103</t>
  </si>
  <si>
    <t>S001966</t>
  </si>
  <si>
    <t>S000620</t>
  </si>
  <si>
    <t>S001467</t>
  </si>
  <si>
    <t>S001095</t>
  </si>
  <si>
    <t>S000152</t>
  </si>
  <si>
    <t>S000216</t>
  </si>
  <si>
    <t>S000099</t>
  </si>
  <si>
    <t>S000769</t>
  </si>
  <si>
    <t>S001500</t>
  </si>
  <si>
    <t>S001765</t>
  </si>
  <si>
    <t>S000811</t>
  </si>
  <si>
    <t>S001481</t>
  </si>
  <si>
    <t>S000013</t>
  </si>
  <si>
    <t>S001595</t>
  </si>
  <si>
    <t>S001398</t>
  </si>
  <si>
    <t>S000168</t>
  </si>
  <si>
    <t>S000644</t>
  </si>
  <si>
    <t>S001099</t>
  </si>
  <si>
    <t>S000189</t>
  </si>
  <si>
    <t>S001089</t>
  </si>
  <si>
    <t>S000044</t>
  </si>
  <si>
    <t>S001990</t>
  </si>
  <si>
    <t>S000010</t>
  </si>
  <si>
    <t>S001349</t>
  </si>
  <si>
    <t>S000148</t>
  </si>
  <si>
    <t>S001593</t>
  </si>
  <si>
    <t>S000014</t>
  </si>
  <si>
    <t>S000390</t>
  </si>
  <si>
    <t>S001286</t>
  </si>
  <si>
    <t>S001671</t>
  </si>
  <si>
    <t>S000675</t>
  </si>
  <si>
    <t>S000979</t>
  </si>
  <si>
    <t>S001207</t>
  </si>
  <si>
    <t>S001523</t>
  </si>
  <si>
    <t>S000976</t>
  </si>
  <si>
    <t>S001270</t>
  </si>
  <si>
    <t>S000595</t>
  </si>
  <si>
    <t>S001332</t>
  </si>
  <si>
    <t>S000718</t>
  </si>
  <si>
    <t>S001391</t>
  </si>
  <si>
    <t>S001386</t>
  </si>
  <si>
    <t>S001801</t>
  </si>
  <si>
    <t>S001581</t>
  </si>
  <si>
    <t>S001760</t>
  </si>
  <si>
    <t>S000464</t>
  </si>
  <si>
    <t>S001119</t>
  </si>
  <si>
    <t>S001228</t>
  </si>
  <si>
    <t>S000541</t>
  </si>
  <si>
    <t>S000026</t>
  </si>
  <si>
    <t>S000631</t>
  </si>
  <si>
    <t>S001464</t>
  </si>
  <si>
    <t>S001347</t>
  </si>
  <si>
    <t>S000849</t>
  </si>
  <si>
    <t>S000116</t>
  </si>
  <si>
    <t>S000025</t>
  </si>
  <si>
    <t>S000371</t>
  </si>
  <si>
    <t>S000587</t>
  </si>
  <si>
    <t>S000097</t>
  </si>
  <si>
    <t>S000566</t>
  </si>
  <si>
    <t>S000973</t>
  </si>
  <si>
    <t>S001454</t>
  </si>
  <si>
    <t>S000100</t>
  </si>
  <si>
    <t>S001514</t>
  </si>
  <si>
    <t>S001501</t>
  </si>
  <si>
    <t>S001928</t>
  </si>
  <si>
    <t>S000358</t>
  </si>
  <si>
    <t>S001352</t>
  </si>
  <si>
    <t>S000818</t>
  </si>
  <si>
    <t>S001624</t>
  </si>
  <si>
    <t>S001147</t>
  </si>
  <si>
    <t>S001748</t>
  </si>
  <si>
    <t>S001807</t>
  </si>
  <si>
    <t>S001588</t>
  </si>
  <si>
    <t>S001717</t>
  </si>
  <si>
    <t>S001227</t>
  </si>
  <si>
    <t>S000271</t>
  </si>
  <si>
    <t>S000119</t>
  </si>
  <si>
    <t>S000118</t>
  </si>
  <si>
    <t>S001915</t>
  </si>
  <si>
    <t>S000557</t>
  </si>
  <si>
    <t>S000685</t>
  </si>
  <si>
    <t>S001242</t>
  </si>
  <si>
    <t>S000507</t>
  </si>
  <si>
    <t>S001703</t>
  </si>
  <si>
    <t>S000165</t>
  </si>
  <si>
    <t>S000741</t>
  </si>
  <si>
    <t>S001494</t>
  </si>
  <si>
    <t>S001803</t>
  </si>
  <si>
    <t>S000466</t>
  </si>
  <si>
    <t>S001158</t>
  </si>
  <si>
    <t>S001234</t>
  </si>
  <si>
    <t>S000143</t>
  </si>
  <si>
    <t>S000114</t>
  </si>
  <si>
    <t>S001073</t>
  </si>
  <si>
    <t>S001385</t>
  </si>
  <si>
    <t>S000379</t>
  </si>
  <si>
    <t>S000064</t>
  </si>
  <si>
    <t>S000489</t>
  </si>
  <si>
    <t>S000638</t>
  </si>
  <si>
    <t>S000187</t>
  </si>
  <si>
    <t>S001346</t>
  </si>
  <si>
    <t>S001276</t>
  </si>
  <si>
    <t>S000636</t>
  </si>
  <si>
    <t>S000295</t>
  </si>
  <si>
    <t>S000876</t>
  </si>
  <si>
    <t>S000454</t>
  </si>
  <si>
    <t>S000287</t>
  </si>
  <si>
    <t>S001874</t>
  </si>
  <si>
    <t>S001967</t>
  </si>
  <si>
    <t>S000301</t>
  </si>
  <si>
    <t>S000842</t>
  </si>
  <si>
    <t>S000316</t>
  </si>
  <si>
    <t>S000896</t>
  </si>
  <si>
    <t>S000708</t>
  </si>
  <si>
    <t>S000360</t>
  </si>
  <si>
    <t>S000131</t>
  </si>
  <si>
    <t>S001138</t>
  </si>
  <si>
    <t>S000729</t>
  </si>
  <si>
    <t>S000190</t>
  </si>
  <si>
    <t>S000028</t>
  </si>
  <si>
    <t>S001568</t>
  </si>
  <si>
    <t>S001924</t>
  </si>
  <si>
    <t>S000919</t>
  </si>
  <si>
    <t>S000747</t>
  </si>
  <si>
    <t>S001229</t>
  </si>
  <si>
    <t>S000948</t>
  </si>
  <si>
    <t>S000758</t>
  </si>
  <si>
    <t>S000739</t>
  </si>
  <si>
    <t>S001572</t>
  </si>
  <si>
    <t>S001172</t>
  </si>
  <si>
    <t>S000267</t>
  </si>
  <si>
    <t>S001224</t>
  </si>
  <si>
    <t>S001505</t>
  </si>
  <si>
    <t>S000076</t>
  </si>
  <si>
    <t>S001444</t>
  </si>
  <si>
    <t>S001309</t>
  </si>
  <si>
    <t>S001708</t>
  </si>
  <si>
    <t>S000949</t>
  </si>
  <si>
    <t>S001195</t>
  </si>
  <si>
    <t>S001278</t>
  </si>
  <si>
    <t>S001317</t>
  </si>
  <si>
    <t>S001334</t>
  </si>
  <si>
    <t>S001052</t>
  </si>
  <si>
    <t>S000181</t>
  </si>
  <si>
    <t>S000759</t>
  </si>
  <si>
    <t>S000658</t>
  </si>
  <si>
    <t>S001735</t>
  </si>
  <si>
    <t>S000377</t>
  </si>
  <si>
    <t>S001901</t>
  </si>
  <si>
    <t>S000024</t>
  </si>
  <si>
    <t>S000347</t>
  </si>
  <si>
    <t>S001646</t>
  </si>
  <si>
    <t>S001858</t>
  </si>
  <si>
    <t>S001725</t>
  </si>
  <si>
    <t>S000009</t>
  </si>
  <si>
    <t>S000229</t>
  </si>
  <si>
    <t>S000490</t>
  </si>
  <si>
    <t>S000214</t>
  </si>
  <si>
    <t>S000836</t>
  </si>
  <si>
    <t>S000689</t>
  </si>
  <si>
    <t>S000450</t>
  </si>
  <si>
    <t>S001413</t>
  </si>
  <si>
    <t>S000016</t>
  </si>
  <si>
    <t>S001574</t>
  </si>
  <si>
    <t>S001784</t>
  </si>
  <si>
    <t>S001783</t>
  </si>
  <si>
    <t>S001458</t>
  </si>
  <si>
    <t>S000958</t>
  </si>
  <si>
    <t>S000547</t>
  </si>
  <si>
    <t>S001163</t>
  </si>
  <si>
    <t>S000661</t>
  </si>
  <si>
    <t>S000355</t>
  </si>
  <si>
    <t>S000749</t>
  </si>
  <si>
    <t>S000208</t>
  </si>
  <si>
    <t>S001157</t>
  </si>
  <si>
    <t>S000740</t>
  </si>
  <si>
    <t>S001084</t>
  </si>
  <si>
    <t>S000417</t>
  </si>
  <si>
    <t>S001433</t>
  </si>
  <si>
    <t>S001068</t>
  </si>
  <si>
    <t>S001599</t>
  </si>
  <si>
    <t>S000702</t>
  </si>
  <si>
    <t>S000443</t>
  </si>
  <si>
    <t>S001427</t>
  </si>
  <si>
    <t>S001450</t>
  </si>
  <si>
    <t>S000537</t>
  </si>
  <si>
    <t>S000349</t>
  </si>
  <si>
    <t>S001421</t>
  </si>
  <si>
    <t>S000404</t>
  </si>
  <si>
    <t>S000363</t>
  </si>
  <si>
    <t>S000027</t>
  </si>
  <si>
    <t>S001117</t>
  </si>
  <si>
    <t>S001178</t>
  </si>
  <si>
    <t>S000178</t>
  </si>
  <si>
    <t>S001938</t>
  </si>
  <si>
    <t>S000880</t>
  </si>
  <si>
    <t>S001902</t>
  </si>
  <si>
    <t>S000756</t>
  </si>
  <si>
    <t>S000253</t>
  </si>
  <si>
    <t>S000415</t>
  </si>
  <si>
    <t>S000559</t>
  </si>
  <si>
    <t>S000554</t>
  </si>
  <si>
    <t>S000194</t>
  </si>
  <si>
    <t>S001503</t>
  </si>
  <si>
    <t>S000705</t>
  </si>
  <si>
    <t>S001492</t>
  </si>
  <si>
    <t>S000446</t>
  </si>
  <si>
    <t>S000789</t>
  </si>
  <si>
    <t>S001937</t>
  </si>
  <si>
    <t>S001800</t>
  </si>
  <si>
    <t>S001465</t>
  </si>
  <si>
    <t>S000452</t>
  </si>
  <si>
    <t>S001400</t>
  </si>
  <si>
    <t>S000465</t>
  </si>
  <si>
    <t>S000688</t>
  </si>
  <si>
    <t>S000459</t>
  </si>
  <si>
    <t>S001377</t>
  </si>
  <si>
    <t>S000944</t>
  </si>
  <si>
    <t>S001618</t>
  </si>
  <si>
    <t>S000748</t>
  </si>
  <si>
    <t>S000370</t>
  </si>
  <si>
    <t>S000485</t>
  </si>
  <si>
    <t>S001353</t>
  </si>
  <si>
    <t>S001188</t>
  </si>
  <si>
    <t>S000308</t>
  </si>
  <si>
    <t>S000286</t>
  </si>
  <si>
    <t>S000624</t>
  </si>
  <si>
    <t>S001474</t>
  </si>
  <si>
    <t>S000701</t>
  </si>
  <si>
    <t>S001811</t>
  </si>
  <si>
    <t>S000926</t>
  </si>
  <si>
    <t>S001096</t>
  </si>
  <si>
    <t>S001710</t>
  </si>
  <si>
    <t>S000954</t>
  </si>
  <si>
    <t>S001947</t>
  </si>
  <si>
    <t>S000716</t>
  </si>
  <si>
    <t>S001913</t>
  </si>
  <si>
    <t>S001258</t>
  </si>
  <si>
    <t>S000098</t>
  </si>
  <si>
    <t>S001362</t>
  </si>
  <si>
    <t>S001074</t>
  </si>
  <si>
    <t>S000766</t>
  </si>
  <si>
    <t>S000140</t>
  </si>
  <si>
    <t>S000803</t>
  </si>
  <si>
    <t>S000937</t>
  </si>
  <si>
    <t>S001893</t>
  </si>
  <si>
    <t>S001439</t>
  </si>
  <si>
    <t>S001490</t>
  </si>
  <si>
    <t>S001330</t>
  </si>
  <si>
    <t>S001667</t>
  </si>
  <si>
    <t>S001654</t>
  </si>
  <si>
    <t>S000129</t>
  </si>
  <si>
    <t>S000692</t>
  </si>
  <si>
    <t>S000886</t>
  </si>
  <si>
    <t>S001232</t>
  </si>
  <si>
    <t>S001771</t>
  </si>
  <si>
    <t>S000523</t>
  </si>
  <si>
    <t>S000265</t>
  </si>
  <si>
    <t>S001160</t>
  </si>
  <si>
    <t>S001437</t>
  </si>
  <si>
    <t>S001592</t>
  </si>
  <si>
    <t>S000632</t>
  </si>
  <si>
    <t>S000499</t>
  </si>
  <si>
    <t>S001981</t>
  </si>
  <si>
    <t>S001364</t>
  </si>
  <si>
    <t>S001661</t>
  </si>
  <si>
    <t>S001153</t>
  </si>
  <si>
    <t>S000433</t>
  </si>
  <si>
    <t>S001159</t>
  </si>
  <si>
    <t>S001241</t>
  </si>
  <si>
    <t>S000069</t>
  </si>
  <si>
    <t>S000936</t>
  </si>
  <si>
    <t>S001040</t>
  </si>
  <si>
    <t>S001200</t>
  </si>
  <si>
    <t>S001854</t>
  </si>
  <si>
    <t>S000574</t>
  </si>
  <si>
    <t>S000335</t>
  </si>
  <si>
    <t>S000339</t>
  </si>
  <si>
    <t>S001344</t>
  </si>
  <si>
    <t>S000665</t>
  </si>
  <si>
    <t>S000384</t>
  </si>
  <si>
    <t>S001815</t>
  </si>
  <si>
    <t>S000056</t>
  </si>
  <si>
    <t>S001644</t>
  </si>
  <si>
    <t>S000972</t>
  </si>
  <si>
    <t>S000700</t>
  </si>
  <si>
    <t>S001536</t>
  </si>
  <si>
    <t>S000722</t>
  </si>
  <si>
    <t>S000171</t>
  </si>
  <si>
    <t>S001151</t>
  </si>
  <si>
    <t>S000957</t>
  </si>
  <si>
    <t>S000327</t>
  </si>
  <si>
    <t>S000504</t>
  </si>
  <si>
    <t>S001837</t>
  </si>
  <si>
    <t>S000410</t>
  </si>
  <si>
    <t>S001414</t>
  </si>
  <si>
    <t>S000298</t>
  </si>
  <si>
    <t>S000893</t>
  </si>
  <si>
    <t>S000830</t>
  </si>
  <si>
    <t>S001941</t>
  </si>
  <si>
    <t>S000841</t>
  </si>
  <si>
    <t>S001088</t>
  </si>
  <si>
    <t>S000735</t>
  </si>
  <si>
    <t>S000672</t>
  </si>
  <si>
    <t>S000649</t>
  </si>
  <si>
    <t>S001685</t>
  </si>
  <si>
    <t>S001543</t>
  </si>
  <si>
    <t>S001972</t>
  </si>
  <si>
    <t>S000717</t>
  </si>
  <si>
    <t>S000719</t>
  </si>
  <si>
    <t>S000532</t>
  </si>
  <si>
    <t>S000408</t>
  </si>
  <si>
    <t>S000200</t>
  </si>
  <si>
    <t>S000474</t>
  </si>
  <si>
    <t>S001268</t>
  </si>
  <si>
    <t>S001206</t>
  </si>
  <si>
    <t>S000829</t>
  </si>
  <si>
    <t>S000217</t>
  </si>
  <si>
    <t>S000254</t>
  </si>
  <si>
    <t>S000153</t>
  </si>
  <si>
    <t>S001277</t>
  </si>
  <si>
    <t>S001091</t>
  </si>
  <si>
    <t>S000931</t>
  </si>
  <si>
    <t>S001257</t>
  </si>
  <si>
    <t>S001445</t>
  </si>
  <si>
    <t>S001339</t>
  </si>
  <si>
    <t>S001768</t>
  </si>
  <si>
    <t>S001615</t>
  </si>
  <si>
    <t>S001886</t>
  </si>
  <si>
    <t>S000531</t>
  </si>
  <si>
    <t>S001404</t>
  </si>
  <si>
    <t>S001299</t>
  </si>
  <si>
    <t>S000241</t>
  </si>
  <si>
    <t>S001011</t>
  </si>
  <si>
    <t>S001744</t>
  </si>
  <si>
    <t>S000188</t>
  </si>
  <si>
    <t>S000247</t>
  </si>
  <si>
    <t>S000906</t>
  </si>
  <si>
    <t>S001821</t>
  </si>
  <si>
    <t>S001045</t>
  </si>
  <si>
    <t>S000902</t>
  </si>
  <si>
    <t>S000693</t>
  </si>
  <si>
    <t>S000303</t>
  </si>
  <si>
    <t>S000284</t>
  </si>
  <si>
    <t>S000899</t>
  </si>
  <si>
    <t>S000506</t>
  </si>
  <si>
    <t>S001932</t>
  </si>
  <si>
    <t>S000322</t>
  </si>
  <si>
    <t>S001479</t>
  </si>
  <si>
    <t>S001262</t>
  </si>
  <si>
    <t>S001168</t>
  </si>
  <si>
    <t>S000622</t>
  </si>
  <si>
    <t>S001914</t>
  </si>
  <si>
    <t>S001917</t>
  </si>
  <si>
    <t>S000123</t>
  </si>
  <si>
    <t>S001989</t>
  </si>
  <si>
    <t>S000511</t>
  </si>
  <si>
    <t>S000281</t>
  </si>
  <si>
    <t>S001751</t>
  </si>
  <si>
    <t>S001732</t>
  </si>
  <si>
    <t>S001389</t>
  </si>
  <si>
    <t>S000994</t>
  </si>
  <si>
    <t>S001034</t>
  </si>
  <si>
    <t>S001187</t>
  </si>
  <si>
    <t>S000678</t>
  </si>
  <si>
    <t>S000519</t>
  </si>
  <si>
    <t>S001351</t>
  </si>
  <si>
    <t>S001512</t>
  </si>
  <si>
    <t>S000068</t>
  </si>
  <si>
    <t>S000333</t>
  </si>
  <si>
    <t>S000569</t>
  </si>
  <si>
    <t>S001174</t>
  </si>
  <si>
    <t>S001199</t>
  </si>
  <si>
    <t>S001434</t>
  </si>
  <si>
    <t>S001075</t>
  </si>
  <si>
    <t>S000473</t>
  </si>
  <si>
    <t>S001511</t>
  </si>
  <si>
    <t>S000512</t>
  </si>
  <si>
    <t>S000478</t>
  </si>
  <si>
    <t>S001428</t>
  </si>
  <si>
    <t>S001402</t>
  </si>
  <si>
    <t>S000319</t>
  </si>
  <si>
    <t>S000956</t>
  </si>
  <si>
    <t>S001720</t>
  </si>
  <si>
    <t>S001202</t>
  </si>
  <si>
    <t>S000582</t>
  </si>
  <si>
    <t>S000133</t>
  </si>
  <si>
    <t>S001726</t>
  </si>
  <si>
    <t>S001006</t>
  </si>
  <si>
    <t>S001940</t>
  </si>
  <si>
    <t>S001791</t>
  </si>
  <si>
    <t>S001953</t>
  </si>
  <si>
    <t>S000369</t>
  </si>
  <si>
    <t>S000733</t>
  </si>
  <si>
    <t>S000126</t>
  </si>
  <si>
    <t>S000858</t>
  </si>
  <si>
    <t>S001042</t>
  </si>
  <si>
    <t>S000257</t>
  </si>
  <si>
    <t>S001970</t>
  </si>
  <si>
    <t>S001549</t>
  </si>
  <si>
    <t>S000290</t>
  </si>
  <si>
    <t>S001284</t>
  </si>
  <si>
    <t>S000778</t>
  </si>
  <si>
    <t>S000082</t>
  </si>
  <si>
    <t>S000054</t>
  </si>
  <si>
    <t>S001600</t>
  </si>
  <si>
    <t>S001480</t>
  </si>
  <si>
    <t>S000558</t>
  </si>
  <si>
    <t>S000041</t>
  </si>
  <si>
    <t>S001715</t>
  </si>
  <si>
    <t>S000262</t>
  </si>
  <si>
    <t>S000993</t>
  </si>
  <si>
    <t>S000913</t>
  </si>
  <si>
    <t>S000084</t>
  </si>
  <si>
    <t>S001122</t>
  </si>
  <si>
    <t>S001554</t>
  </si>
  <si>
    <t>S000825</t>
  </si>
  <si>
    <t>S000031</t>
  </si>
  <si>
    <t>S000514</t>
  </si>
  <si>
    <t>S001082</t>
  </si>
  <si>
    <t>S001298</t>
  </si>
  <si>
    <t>S001676</t>
  </si>
  <si>
    <t>S001023</t>
  </si>
  <si>
    <t>S001222</t>
  </si>
  <si>
    <t>S001306</t>
  </si>
  <si>
    <t>S001594</t>
  </si>
  <si>
    <t>S001589</t>
  </si>
  <si>
    <t>S000857</t>
  </si>
  <si>
    <t>S001835</t>
  </si>
  <si>
    <t>S001875</t>
  </si>
  <si>
    <t>S000049</t>
  </si>
  <si>
    <t>S001997</t>
  </si>
  <si>
    <t>S001856</t>
  </si>
  <si>
    <t>S000468</t>
  </si>
  <si>
    <t>S000154</t>
  </si>
  <si>
    <t>S001951</t>
  </si>
  <si>
    <t>S001962</t>
  </si>
  <si>
    <t>S000395</t>
  </si>
  <si>
    <t>S000124</t>
  </si>
  <si>
    <t>S000356</t>
  </si>
  <si>
    <t>S000135</t>
  </si>
  <si>
    <t>S000269</t>
  </si>
  <si>
    <t>S000386</t>
  </si>
  <si>
    <t>S000610</t>
  </si>
  <si>
    <t>S000221</t>
  </si>
  <si>
    <t>S000042</t>
  </si>
  <si>
    <t>S000220</t>
  </si>
  <si>
    <t>S000598</t>
  </si>
  <si>
    <t>S001845</t>
  </si>
  <si>
    <t>S001248</t>
  </si>
  <si>
    <t>S000681</t>
  </si>
  <si>
    <t>S001083</t>
  </si>
  <si>
    <t>S001909</t>
  </si>
  <si>
    <t>S000859</t>
  </si>
  <si>
    <t>S000542</t>
  </si>
  <si>
    <t>S001051</t>
  </si>
  <si>
    <t>S001582</t>
  </si>
  <si>
    <t>S001369</t>
  </si>
  <si>
    <t>S001883</t>
  </si>
  <si>
    <t>S001079</t>
  </si>
  <si>
    <t>S001132</t>
  </si>
  <si>
    <t>S001700</t>
  </si>
  <si>
    <t>S000998</t>
  </si>
  <si>
    <t>S001476</t>
  </si>
  <si>
    <t>S001579</t>
  </si>
  <si>
    <t>S001824</t>
  </si>
  <si>
    <t>S001788</t>
  </si>
  <si>
    <t>S001576</t>
  </si>
  <si>
    <t>S001823</t>
  </si>
  <si>
    <t>S000982</t>
  </si>
  <si>
    <t>S001420</t>
  </si>
  <si>
    <t>S001455</t>
  </si>
  <si>
    <t>S000337</t>
  </si>
  <si>
    <t>S000233</t>
  </si>
  <si>
    <t>S001009</t>
  </si>
  <si>
    <t>S001424</t>
  </si>
  <si>
    <t>S000159</t>
  </si>
  <si>
    <t>S000469</t>
  </si>
  <si>
    <t>S000883</t>
  </si>
  <si>
    <t>S001620</t>
  </si>
  <si>
    <t>S001035</t>
  </si>
  <si>
    <t>S001133</t>
  </si>
  <si>
    <t>S001127</t>
  </si>
  <si>
    <t>S000586</t>
  </si>
  <si>
    <t>S000206</t>
  </si>
  <si>
    <t>S000004</t>
  </si>
  <si>
    <t>S000888</t>
  </si>
  <si>
    <t>S001786</t>
  </si>
  <si>
    <t>S001448</t>
  </si>
  <si>
    <t>S001846</t>
  </si>
  <si>
    <t>S001110</t>
  </si>
  <si>
    <t>S000694</t>
  </si>
  <si>
    <t>S001674</t>
  </si>
  <si>
    <t>S001655</t>
  </si>
  <si>
    <t>S000715</t>
  </si>
  <si>
    <t>S000952</t>
  </si>
  <si>
    <t>S001584</t>
  </si>
  <si>
    <t>S000884</t>
  </si>
  <si>
    <t>S001645</t>
  </si>
  <si>
    <t>S001621</t>
  </si>
  <si>
    <t>S001114</t>
  </si>
  <si>
    <t>S001204</t>
  </si>
  <si>
    <t>S001063</t>
  </si>
  <si>
    <t>S000158</t>
  </si>
  <si>
    <t>S001057</t>
  </si>
  <si>
    <t>S000524</t>
  </si>
  <si>
    <t>S000463</t>
  </si>
  <si>
    <t>S000653</t>
  </si>
  <si>
    <t>S000161</t>
  </si>
  <si>
    <t>S000306</t>
  </si>
  <si>
    <t>S000657</t>
  </si>
  <si>
    <t>S000548</t>
  </si>
  <si>
    <t>S000714</t>
  </si>
  <si>
    <t>S000396</t>
  </si>
  <si>
    <t>S000784</t>
  </si>
  <si>
    <t>S000400</t>
  </si>
  <si>
    <t>S000799</t>
  </si>
  <si>
    <t>S000619</t>
  </si>
  <si>
    <t>S001544</t>
  </si>
  <si>
    <t>S000509</t>
  </si>
  <si>
    <t>S001376</t>
  </si>
  <si>
    <t>S000737</t>
  </si>
  <si>
    <t>S001169</t>
  </si>
  <si>
    <t>S001677</t>
  </si>
  <si>
    <t>S000986</t>
  </si>
  <si>
    <t>S000868</t>
  </si>
  <si>
    <t>S000460</t>
  </si>
  <si>
    <t>S001337</t>
  </si>
  <si>
    <t>S000063</t>
  </si>
  <si>
    <t>S001832</t>
  </si>
  <si>
    <t>S000872</t>
  </si>
  <si>
    <t>S001885</t>
  </si>
  <si>
    <t>S001711</t>
  </si>
  <si>
    <t>S000458</t>
  </si>
  <si>
    <t>S000955</t>
  </si>
  <si>
    <t>S000479</t>
  </si>
  <si>
    <t>S001348</t>
  </si>
  <si>
    <t>S001488</t>
  </si>
  <si>
    <t>S000871</t>
  </si>
  <si>
    <t>S000791</t>
  </si>
  <si>
    <t>S000618</t>
  </si>
  <si>
    <t>S001903</t>
  </si>
  <si>
    <t>S001383</t>
  </si>
  <si>
    <t>S001422</t>
  </si>
  <si>
    <t>S001926</t>
  </si>
  <si>
    <t>S001627</t>
  </si>
  <si>
    <t>S000348</t>
  </si>
  <si>
    <t>S001019</t>
  </si>
  <si>
    <t>S001201</t>
  </si>
  <si>
    <t>S001535</t>
  </si>
  <si>
    <t>S000761</t>
  </si>
  <si>
    <t>S000447</t>
  </si>
  <si>
    <t>S000651</t>
  </si>
  <si>
    <t>S001239</t>
  </si>
  <si>
    <t>S001799</t>
  </si>
  <si>
    <t>S000380</t>
  </si>
  <si>
    <t>S000565</t>
  </si>
  <si>
    <t>S001740</t>
  </si>
  <si>
    <t>S001743</t>
  </si>
  <si>
    <t>S001830</t>
  </si>
  <si>
    <t>S001923</t>
  </si>
  <si>
    <t>S000968</t>
  </si>
  <si>
    <t>S000921</t>
  </si>
  <si>
    <t>S000232</t>
  </si>
  <si>
    <t>S001975</t>
  </si>
  <si>
    <t>S000383</t>
  </si>
  <si>
    <t>S001179</t>
  </si>
  <si>
    <t>S001216</t>
  </si>
  <si>
    <t>S000073</t>
  </si>
  <si>
    <t>S000071</t>
  </si>
  <si>
    <t>S001343</t>
  </si>
  <si>
    <t>S001086</t>
  </si>
  <si>
    <t>S000172</t>
  </si>
  <si>
    <t>S001295</t>
  </si>
  <si>
    <t>S000169</t>
  </si>
  <si>
    <t>S000494</t>
  </si>
  <si>
    <t>S001253</t>
  </si>
  <si>
    <t>S001668</t>
  </si>
  <si>
    <t>S001944</t>
  </si>
  <si>
    <t>S000894</t>
  </si>
  <si>
    <t>S000273</t>
  </si>
  <si>
    <t>S001297</t>
  </si>
  <si>
    <t>S000421</t>
  </si>
  <si>
    <t>S000095</t>
  </si>
  <si>
    <t>S001370</t>
  </si>
  <si>
    <t>S001585</t>
  </si>
  <si>
    <t>S001596</t>
  </si>
  <si>
    <t>S000043</t>
  </si>
  <si>
    <t>S000057</t>
  </si>
  <si>
    <t>S001602</t>
  </si>
  <si>
    <t>S001495</t>
  </si>
  <si>
    <t>S001943</t>
  </si>
  <si>
    <t>S001634</t>
  </si>
  <si>
    <t>S000889</t>
  </si>
  <si>
    <t>S000575</t>
  </si>
  <si>
    <t>S000039</t>
  </si>
  <si>
    <t>S000307</t>
  </si>
  <si>
    <t>S000669</t>
  </si>
  <si>
    <t>S000007</t>
  </si>
  <si>
    <t>S001197</t>
  </si>
  <si>
    <t>S000783</t>
  </si>
  <si>
    <t>S000409</t>
  </si>
  <si>
    <t>S001891</t>
  </si>
  <si>
    <t>S000782</t>
  </si>
  <si>
    <t>S000167</t>
  </si>
  <si>
    <t>S000535</t>
  </si>
  <si>
    <t>S000584</t>
  </si>
  <si>
    <t>S001260</t>
  </si>
  <si>
    <t>S001911</t>
  </si>
  <si>
    <t>S001430</t>
  </si>
  <si>
    <t>S001995</t>
  </si>
  <si>
    <t>S001775</t>
  </si>
  <si>
    <t>S001264</t>
  </si>
  <si>
    <t>S001899</t>
  </si>
  <si>
    <t>S001115</t>
  </si>
  <si>
    <t>S001124</t>
  </si>
  <si>
    <t>S001381</t>
  </si>
  <si>
    <t>S000814</t>
  </si>
  <si>
    <t>S000317</t>
  </si>
  <si>
    <t>S001289</t>
  </si>
  <si>
    <t>S001959</t>
  </si>
  <si>
    <t>S000517</t>
  </si>
  <si>
    <t>S001861</t>
  </si>
  <si>
    <t>S001675</t>
  </si>
  <si>
    <t>S001694</t>
  </si>
  <si>
    <t>S000534</t>
  </si>
  <si>
    <t>S000174</t>
  </si>
  <si>
    <t>S001049</t>
  </si>
  <si>
    <t>S000272</t>
  </si>
  <si>
    <t>S000549</t>
  </si>
  <si>
    <t>S000965</t>
  </si>
  <si>
    <t>S001704</t>
  </si>
  <si>
    <t>S000599</t>
  </si>
  <si>
    <t>S001610</t>
  </si>
  <si>
    <t>S000571</t>
  </si>
  <si>
    <t>S000075</t>
  </si>
  <si>
    <t>S000062</t>
  </si>
  <si>
    <t>S001993</t>
  </si>
  <si>
    <t>S000810</t>
  </si>
  <si>
    <t>S000245</t>
  </si>
  <si>
    <t>S001105</t>
  </si>
  <si>
    <t>S001449</t>
  </si>
  <si>
    <t>S000106</t>
  </si>
  <si>
    <t>S000674</t>
  </si>
  <si>
    <t>S000643</t>
  </si>
  <si>
    <t>S001272</t>
  </si>
  <si>
    <t>S000666</t>
  </si>
  <si>
    <t>S000510</t>
  </si>
  <si>
    <t>S000132</t>
  </si>
  <si>
    <t>S000445</t>
  </si>
  <si>
    <t>S000867</t>
  </si>
  <si>
    <t>S000809</t>
  </si>
  <si>
    <t>S001779</t>
  </si>
  <si>
    <t>S000058</t>
  </si>
  <si>
    <t>S001660</t>
  </si>
  <si>
    <t>S001071</t>
  </si>
  <si>
    <t>S001135</t>
  </si>
  <si>
    <t>S000087</t>
  </si>
  <si>
    <t>S001853</t>
  </si>
  <si>
    <t>S000772</t>
  </si>
  <si>
    <t>S001233</t>
  </si>
  <si>
    <t>S000709</t>
  </si>
  <si>
    <t>S001559</t>
  </si>
  <si>
    <t>S001341</t>
  </si>
  <si>
    <t>S001564</t>
  </si>
  <si>
    <t>S000539</t>
  </si>
  <si>
    <t>S001881</t>
  </si>
  <si>
    <t>S001181</t>
  </si>
  <si>
    <t>S001555</t>
  </si>
  <si>
    <t>S001308</t>
  </si>
  <si>
    <t>S000419</t>
  </si>
  <si>
    <t>S001848</t>
  </si>
  <si>
    <t>S001705</t>
  </si>
  <si>
    <t>S001282</t>
  </si>
  <si>
    <t>S000852</t>
  </si>
  <si>
    <t>S001750</t>
  </si>
  <si>
    <t>S001727</t>
  </si>
  <si>
    <t>S001691</t>
  </si>
  <si>
    <t>S001855</t>
  </si>
  <si>
    <t>S001804</t>
  </si>
  <si>
    <t>S001730</t>
  </si>
  <si>
    <t>S001796</t>
  </si>
  <si>
    <t>S000305</t>
  </si>
  <si>
    <t>S001517</t>
  </si>
  <si>
    <t>S000336</t>
  </si>
  <si>
    <t>S000996</t>
  </si>
  <si>
    <t>S000570</t>
  </si>
  <si>
    <t>S000089</t>
  </si>
  <si>
    <t>S000875</t>
  </si>
  <si>
    <t>S001152</t>
  </si>
  <si>
    <t>S001524</t>
  </si>
  <si>
    <t>S000713</t>
  </si>
  <si>
    <t>S001747</t>
  </si>
  <si>
    <t>S001850</t>
  </si>
  <si>
    <t>S001382</t>
  </si>
  <si>
    <t>S000222</t>
  </si>
  <si>
    <t>S000320</t>
  </si>
  <si>
    <t>S001756</t>
  </si>
  <si>
    <t>S000879</t>
  </si>
  <si>
    <t>S001802</t>
  </si>
  <si>
    <t>S000826</t>
  </si>
  <si>
    <t>S001987</t>
  </si>
  <si>
    <t>S001468</t>
  </si>
  <si>
    <t>S000139</t>
  </si>
  <si>
    <t>S000164</t>
  </si>
  <si>
    <t>S001782</t>
  </si>
  <si>
    <t>S001451</t>
  </si>
  <si>
    <t>S000961</t>
  </si>
  <si>
    <t>S001709</t>
  </si>
  <si>
    <t>S001243</t>
  </si>
  <si>
    <t>S001180</t>
  </si>
  <si>
    <t>S001931</t>
  </si>
  <si>
    <t>S001680</t>
  </si>
  <si>
    <t>S001805</t>
  </si>
  <si>
    <t>S000634</t>
  </si>
  <si>
    <t>S001189</t>
  </si>
  <si>
    <t>S000656</t>
  </si>
  <si>
    <t>S000017</t>
  </si>
  <si>
    <t>S001689</t>
  </si>
  <si>
    <t>S001166</t>
  </si>
  <si>
    <t>S000138</t>
  </si>
  <si>
    <t>S001226</t>
  </si>
  <si>
    <t>S000698</t>
  </si>
  <si>
    <t>S001098</t>
  </si>
  <si>
    <t>S001616</t>
  </si>
  <si>
    <t>S000449</t>
  </si>
  <si>
    <t>S001896</t>
  </si>
  <si>
    <t>S000328</t>
  </si>
  <si>
    <t>S000318</t>
  </si>
  <si>
    <t>S001530</t>
  </si>
  <si>
    <t>S000527</t>
  </si>
  <si>
    <t>S000088</t>
  </si>
  <si>
    <t>S001275</t>
  </si>
  <si>
    <t>S000149</t>
  </si>
  <si>
    <t>S001623</t>
  </si>
  <si>
    <t>S001209</t>
  </si>
  <si>
    <t>S001840</t>
  </si>
  <si>
    <t>S000366</t>
  </si>
  <si>
    <t>S000590</t>
  </si>
  <si>
    <t>S001852</t>
  </si>
  <si>
    <t>S000199</t>
  </si>
  <si>
    <t>S001897</t>
  </si>
  <si>
    <t>S000193</t>
  </si>
  <si>
    <t>S000405</t>
  </si>
  <si>
    <t>S001575</t>
  </si>
  <si>
    <t>S001988</t>
  </si>
  <si>
    <t>S000484</t>
  </si>
  <si>
    <t>S001462</t>
  </si>
  <si>
    <t>S000792</t>
  </si>
  <si>
    <t>S000800</t>
  </si>
  <si>
    <t>S000385</t>
  </si>
  <si>
    <t>S000751</t>
  </si>
  <si>
    <t>S000423</t>
  </si>
  <si>
    <t>S000315</t>
  </si>
  <si>
    <t>S001022</t>
  </si>
  <si>
    <t>S000544</t>
  </si>
  <si>
    <t>S000914</t>
  </si>
  <si>
    <t>S000663</t>
  </si>
  <si>
    <t>S000903</t>
  </si>
  <si>
    <t>S001957</t>
  </si>
  <si>
    <t>S000686</t>
  </si>
  <si>
    <t>S001678</t>
  </si>
  <si>
    <t>S000160</t>
  </si>
  <si>
    <t>S001000</t>
  </si>
  <si>
    <t>S001302</t>
  </si>
  <si>
    <t>S001778</t>
  </si>
  <si>
    <t>S000203</t>
  </si>
  <si>
    <t>S001024</t>
  </si>
  <si>
    <t>S001534</t>
  </si>
  <si>
    <t>S001190</t>
  </si>
  <si>
    <t>S000113</t>
  </si>
  <si>
    <t>S001808</t>
  </si>
  <si>
    <t>S001752</t>
  </si>
  <si>
    <t>S000981</t>
  </si>
  <si>
    <t>S000923</t>
  </si>
  <si>
    <t>S001486</t>
  </si>
  <si>
    <t>S001590</t>
  </si>
  <si>
    <t>S001965</t>
  </si>
  <si>
    <t>S001359</t>
  </si>
  <si>
    <t>S000816</t>
  </si>
  <si>
    <t>S001550</t>
  </si>
  <si>
    <t>S001539</t>
  </si>
  <si>
    <t>S000680</t>
  </si>
  <si>
    <t>S001094</t>
  </si>
  <si>
    <t>S000081</t>
  </si>
  <si>
    <t>S001761</t>
  </si>
  <si>
    <t>S001345</t>
  </si>
  <si>
    <t>S001533</t>
  </si>
  <si>
    <t>S000753</t>
  </si>
  <si>
    <t>S001320</t>
  </si>
  <si>
    <t>S001055</t>
  </si>
  <si>
    <t>S000243</t>
  </si>
  <si>
    <t>S001945</t>
  </si>
  <si>
    <t>S000642</t>
  </si>
  <si>
    <t>S000697</t>
  </si>
  <si>
    <t>S000210</t>
  </si>
  <si>
    <t>S001469</t>
  </si>
  <si>
    <t>S000771</t>
  </si>
  <si>
    <t>S001755</t>
  </si>
  <si>
    <t>S000436</t>
  </si>
  <si>
    <t>S001064</t>
  </si>
  <si>
    <t>S000975</t>
  </si>
  <si>
    <t>S000552</t>
  </si>
  <si>
    <t>S001396</t>
  </si>
  <si>
    <t>S001650</t>
  </si>
  <si>
    <t>S001014</t>
  </si>
  <si>
    <t>S001887</t>
  </si>
  <si>
    <t>S000467</t>
  </si>
  <si>
    <t>S001477</t>
  </si>
  <si>
    <t>S001307</t>
  </si>
  <si>
    <t>S000278</t>
  </si>
  <si>
    <t>S001070</t>
  </si>
  <si>
    <t>S001018</t>
  </si>
  <si>
    <t>S001758</t>
  </si>
  <si>
    <t>S000723</t>
  </si>
  <si>
    <t>S001954</t>
  </si>
  <si>
    <t>S000787</t>
  </si>
  <si>
    <t>S001546</t>
  </si>
  <si>
    <t>S001310</t>
  </si>
  <si>
    <t>S001460</t>
  </si>
  <si>
    <t>S001304</t>
  </si>
  <si>
    <t>S000907</t>
  </si>
  <si>
    <t>S000564</t>
  </si>
  <si>
    <t>S000389</t>
  </si>
  <si>
    <t>S000023</t>
  </si>
  <si>
    <t>S001731</t>
  </si>
  <si>
    <t>S000125</t>
  </si>
  <si>
    <t>S001247</t>
  </si>
  <si>
    <t>S000774</t>
  </si>
  <si>
    <t>S000881</t>
  </si>
  <si>
    <t>S001145</t>
  </si>
  <si>
    <t>S001167</t>
  </si>
  <si>
    <t>S000051</t>
  </si>
  <si>
    <t>S001397</t>
  </si>
  <si>
    <t>S001459</t>
  </si>
  <si>
    <t>S001106</t>
  </si>
  <si>
    <t>S000704</t>
  </si>
  <si>
    <t>S000483</t>
  </si>
  <si>
    <t>S001146</t>
  </si>
  <si>
    <t>S001912</t>
  </si>
  <si>
    <t>S000067</t>
  </si>
  <si>
    <t>S001721</t>
  </si>
  <si>
    <t>S000734</t>
  </si>
  <si>
    <t>S001785</t>
  </si>
  <si>
    <t>S000802</t>
  </si>
  <si>
    <t>S001949</t>
  </si>
  <si>
    <t>S001471</t>
  </si>
  <si>
    <t>S000908</t>
  </si>
  <si>
    <t>S000032</t>
  </si>
  <si>
    <t>S000418</t>
  </si>
  <si>
    <t>S000882</t>
  </si>
  <si>
    <t>S000633</t>
  </si>
  <si>
    <t>S001562</t>
  </si>
  <si>
    <t>S001919</t>
  </si>
  <si>
    <t>S000065</t>
  </si>
  <si>
    <t>S001622</t>
  </si>
  <si>
    <t>S001607</t>
  </si>
  <si>
    <t>S000078</t>
  </si>
  <si>
    <t>S000492</t>
  </si>
  <si>
    <t>S001639</t>
  </si>
  <si>
    <t>S001538</t>
  </si>
  <si>
    <t>S000533</t>
  </si>
  <si>
    <t>S000066</t>
  </si>
  <si>
    <t>S001777</t>
  </si>
  <si>
    <t>S000297</t>
  </si>
  <si>
    <t>S000592</t>
  </si>
  <si>
    <t>S000768</t>
  </si>
  <si>
    <t>S000725</t>
  </si>
  <si>
    <t>S001426</t>
  </si>
  <si>
    <t>S000627</t>
  </si>
  <si>
    <t>S001409</t>
  </si>
  <si>
    <t>S001948</t>
  </si>
  <si>
    <t>S001213</t>
  </si>
  <si>
    <t>S001612</t>
  </si>
  <si>
    <t>S000252</t>
  </si>
  <si>
    <t>S001820</t>
  </si>
  <si>
    <t>S001991</t>
  </si>
  <si>
    <t>S001904</t>
  </si>
  <si>
    <t>S000983</t>
  </si>
  <si>
    <t>S001773</t>
  </si>
  <si>
    <t>S000707</t>
  </si>
  <si>
    <t>S000488</t>
  </si>
  <si>
    <t>S000274</t>
  </si>
  <si>
    <t>S001762</t>
  </si>
  <si>
    <t>S001669</t>
  </si>
  <si>
    <t>S000964</t>
  </si>
  <si>
    <t>S000878</t>
  </si>
  <si>
    <t>S001741</t>
  </si>
  <si>
    <t>S001813</t>
  </si>
  <si>
    <t>S000412</t>
  </si>
  <si>
    <t>S000668</t>
  </si>
  <si>
    <t>S001263</t>
  </si>
  <si>
    <t>S000150</t>
  </si>
  <si>
    <t>S000645</t>
  </si>
  <si>
    <t>S001605</t>
  </si>
  <si>
    <t>S000219</t>
  </si>
  <si>
    <t>S000240</t>
  </si>
  <si>
    <t>S001217</t>
  </si>
  <si>
    <t>S000793</t>
  </si>
  <si>
    <t>S000192</t>
  </si>
  <si>
    <t>S000334</t>
  </si>
  <si>
    <t>S001322</t>
  </si>
  <si>
    <t>S001325</t>
  </si>
  <si>
    <t>S000963</t>
  </si>
  <si>
    <t>S001321</t>
  </si>
  <si>
    <t>S001956</t>
  </si>
  <si>
    <t>S001652</t>
  </si>
  <si>
    <t>S001617</t>
  </si>
  <si>
    <t>S000583</t>
  </si>
  <si>
    <t>S001910</t>
  </si>
  <si>
    <t>S001693</t>
  </si>
  <si>
    <t>S000840</t>
  </si>
  <si>
    <t>S000628</t>
  </si>
  <si>
    <t>S000324</t>
  </si>
  <si>
    <t>S001643</t>
  </si>
  <si>
    <t>S001161</t>
  </si>
  <si>
    <t>S000779</t>
  </si>
  <si>
    <t>S001077</t>
  </si>
  <si>
    <t>S000940</t>
  </si>
  <si>
    <t>S000438</t>
  </si>
  <si>
    <t>S000120</t>
  </si>
  <si>
    <t>S001553</t>
  </si>
  <si>
    <t>S001563</t>
  </si>
  <si>
    <t>S001027</t>
  </si>
  <si>
    <t>S001254</t>
  </si>
  <si>
    <t>S001557</t>
  </si>
  <si>
    <t>S000077</t>
  </si>
  <si>
    <t>S001054</t>
  </si>
  <si>
    <t>S000901</t>
  </si>
  <si>
    <t>S000372</t>
  </si>
  <si>
    <t>S001864</t>
  </si>
  <si>
    <t>S001442</t>
  </si>
  <si>
    <t>S001978</t>
  </si>
  <si>
    <t>S000942</t>
  </si>
  <si>
    <t>S000578</t>
  </si>
  <si>
    <t>S000820</t>
  </si>
  <si>
    <t>S001497</t>
  </si>
  <si>
    <t>S001491</t>
  </si>
  <si>
    <t>S001733</t>
  </si>
  <si>
    <t>S001380</t>
  </si>
  <si>
    <t>S000887</t>
  </si>
  <si>
    <t>S000969</t>
  </si>
  <si>
    <t>S001597</t>
  </si>
  <si>
    <t>S000786</t>
  </si>
  <si>
    <t>S001929</t>
  </si>
  <si>
    <t>S001681</t>
  </si>
  <si>
    <t>S001283</t>
  </si>
  <si>
    <t>S000302</t>
  </si>
  <si>
    <t>S000690</t>
  </si>
  <si>
    <t>S000813</t>
  </si>
  <si>
    <t>S001062</t>
  </si>
  <si>
    <t>S000237</t>
  </si>
  <si>
    <t>S001116</t>
  </si>
  <si>
    <t>S001356</t>
  </si>
  <si>
    <t>S000500</t>
  </si>
  <si>
    <t>S001657</t>
  </si>
  <si>
    <t>S001080</t>
  </si>
  <si>
    <t>S001327</t>
  </si>
  <si>
    <t>S000795</t>
  </si>
  <si>
    <t>S001925</t>
  </si>
  <si>
    <t>S001766</t>
  </si>
  <si>
    <t>S001933</t>
  </si>
  <si>
    <t>S000991</t>
  </si>
  <si>
    <t>S001372</t>
  </si>
  <si>
    <t>S000935</t>
  </si>
  <si>
    <t>S000388</t>
  </si>
  <si>
    <t>S001470</t>
  </si>
  <si>
    <t>S000391</t>
  </si>
  <si>
    <t>S000744</t>
  </si>
  <si>
    <t>S000353</t>
  </si>
  <si>
    <t>S001218</t>
  </si>
  <si>
    <t>S000236</t>
  </si>
  <si>
    <t>S001707</t>
  </si>
  <si>
    <t>S000481</t>
  </si>
  <si>
    <t>S000568</t>
  </si>
  <si>
    <t>S001141</t>
  </si>
  <si>
    <t>S001682</t>
  </si>
  <si>
    <t>S001865</t>
  </si>
  <si>
    <t>S001566</t>
  </si>
  <si>
    <t>S000121</t>
  </si>
  <si>
    <t>S001983</t>
  </si>
  <si>
    <t>S001025</t>
  </si>
  <si>
    <t>S001087</t>
  </si>
  <si>
    <t>S001273</t>
  </si>
  <si>
    <t>S000927</t>
  </si>
  <si>
    <t>S000516</t>
  </si>
  <si>
    <t>S000224</t>
  </si>
  <si>
    <t>S001478</t>
  </si>
  <si>
    <t>S000614</t>
  </si>
  <si>
    <t>S000844</t>
  </si>
  <si>
    <t>S001246</t>
  </si>
  <si>
    <t>S000053</t>
  </si>
  <si>
    <t>S001844</t>
  </si>
  <si>
    <t>S000486</t>
  </si>
  <si>
    <t>S001934</t>
  </si>
  <si>
    <t>S000819</t>
  </si>
  <si>
    <t>S000156</t>
  </si>
  <si>
    <t>S001367</t>
  </si>
  <si>
    <t>S000601</t>
  </si>
  <si>
    <t>S001603</t>
  </si>
  <si>
    <t>S000249</t>
  </si>
  <si>
    <t>S000762</t>
  </si>
  <si>
    <t>S001828</t>
  </si>
  <si>
    <t>S001131</t>
  </si>
  <si>
    <t>S000543</t>
  </si>
  <si>
    <t>S000794</t>
  </si>
  <si>
    <t>S001142</t>
  </si>
  <si>
    <t>S001456</t>
  </si>
  <si>
    <t>S000629</t>
  </si>
  <si>
    <t>S000151</t>
  </si>
  <si>
    <t>S001838</t>
  </si>
  <si>
    <t>S000292</t>
  </si>
  <si>
    <t>S000382</t>
  </si>
  <si>
    <t>S000687</t>
  </si>
  <si>
    <t>S001368</t>
  </si>
  <si>
    <t>S001225</t>
  </si>
  <si>
    <t>S000898</t>
  </si>
  <si>
    <t>S000855</t>
  </si>
  <si>
    <t>S001072</t>
  </si>
  <si>
    <t>S002000</t>
  </si>
  <si>
    <t>S001528</t>
  </si>
  <si>
    <t>S001688</t>
  </si>
  <si>
    <t>S000892</t>
  </si>
  <si>
    <t>S001757</t>
  </si>
  <si>
    <t>S001365</t>
  </si>
  <si>
    <t>S000616</t>
  </si>
  <si>
    <t>S000155</t>
  </si>
  <si>
    <t>S001194</t>
  </si>
  <si>
    <t>S001714</t>
  </si>
  <si>
    <t>S001998</t>
  </si>
  <si>
    <t>S001781</t>
  </si>
  <si>
    <t>S000323</t>
  </si>
  <si>
    <t>S001548</t>
  </si>
  <si>
    <t>S000083</t>
  </si>
  <si>
    <t>S000513</t>
  </si>
  <si>
    <t>S001527</t>
  </si>
  <si>
    <t>S001971</t>
  </si>
  <si>
    <t>S000930</t>
  </si>
  <si>
    <t>S001633</t>
  </si>
  <si>
    <t>S001358</t>
  </si>
  <si>
    <t>S000011</t>
  </si>
  <si>
    <t>S000832</t>
  </si>
  <si>
    <t>S000033</t>
  </si>
  <si>
    <t>S001516</t>
  </si>
  <si>
    <t>S000414</t>
  </si>
  <si>
    <t>S000581</t>
  </si>
  <si>
    <t>S001407</t>
  </si>
  <si>
    <t>S001551</t>
  </si>
  <si>
    <t>S001629</t>
  </si>
  <si>
    <t>S001907</t>
  </si>
  <si>
    <t>S000615</t>
  </si>
  <si>
    <t>S001046</t>
  </si>
  <si>
    <t>S001403</t>
  </si>
  <si>
    <t>S001015</t>
  </si>
  <si>
    <t>S000090</t>
  </si>
  <si>
    <t>S001701</t>
  </si>
  <si>
    <t>S000602</t>
  </si>
  <si>
    <t>S001238</t>
  </si>
  <si>
    <t>S001839</t>
  </si>
  <si>
    <t>S000134</t>
  </si>
  <si>
    <t>S001371</t>
  </si>
  <si>
    <t>S000556</t>
  </si>
  <si>
    <t>S001032</t>
  </si>
  <si>
    <t>S001567</t>
  </si>
  <si>
    <t>S000321</t>
  </si>
  <si>
    <t>S001772</t>
  </si>
  <si>
    <t>S001212</t>
  </si>
  <si>
    <t>S001739</t>
  </si>
  <si>
    <t>S000635</t>
  </si>
  <si>
    <t>S000553</t>
  </si>
  <si>
    <t>S001329</t>
  </si>
  <si>
    <t>S001056</t>
  </si>
  <si>
    <t>S001560</t>
  </si>
  <si>
    <t>S000797</t>
  </si>
  <si>
    <t>S001719</t>
  </si>
  <si>
    <t>S001265</t>
  </si>
  <si>
    <t>S001834</t>
  </si>
  <si>
    <t>S000175</t>
  </si>
  <si>
    <t>S000767</t>
  </si>
  <si>
    <t>S000246</t>
  </si>
  <si>
    <t>S001081</t>
  </si>
  <si>
    <t>S001738</t>
  </si>
  <si>
    <t>S000146</t>
  </si>
  <si>
    <t>S000091</t>
  </si>
  <si>
    <t>S001417</t>
  </si>
  <si>
    <t>S000683</t>
  </si>
  <si>
    <t>S000311</t>
  </si>
  <si>
    <t>S001384</t>
  </si>
  <si>
    <t>S000094</t>
  </si>
  <si>
    <t>S001569</t>
  </si>
  <si>
    <t>S000925</t>
  </si>
  <si>
    <t>S001687</t>
  </si>
  <si>
    <t>S001036</t>
  </si>
  <si>
    <t>S001401</t>
  </si>
  <si>
    <t>S000244</t>
  </si>
  <si>
    <t>S001112</t>
  </si>
  <si>
    <t>S000215</t>
  </si>
  <si>
    <t>S001985</t>
  </si>
  <si>
    <t>S001198</t>
  </si>
  <si>
    <t>S000999</t>
  </si>
  <si>
    <t>S000854</t>
  </si>
  <si>
    <t>S000426</t>
  </si>
  <si>
    <t>S001764</t>
  </si>
  <si>
    <t>S001143</t>
  </si>
  <si>
    <t>S001144</t>
  </si>
  <si>
    <t>S000227</t>
  </si>
  <si>
    <t>S001628</t>
  </si>
  <si>
    <t>S000001</t>
  </si>
  <si>
    <t>S001419</t>
  </si>
  <si>
    <t>S000402</t>
  </si>
  <si>
    <t>S001429</t>
  </si>
  <si>
    <t>S001104</t>
  </si>
  <si>
    <t>S000085</t>
  </si>
  <si>
    <t>S000163</t>
  </si>
  <si>
    <t>S000115</t>
  </si>
  <si>
    <t>S000671</t>
  </si>
  <si>
    <t>S001175</t>
  </si>
  <si>
    <t>S001529</t>
  </si>
  <si>
    <t>S001519</t>
  </si>
  <si>
    <t>S001393</t>
  </si>
  <si>
    <t>S000890</t>
  </si>
  <si>
    <t>S001502</t>
  </si>
  <si>
    <t>S000626</t>
  </si>
  <si>
    <t>S001963</t>
  </si>
  <si>
    <t>S000953</t>
  </si>
  <si>
    <t>S000808</t>
  </si>
  <si>
    <t>S000259</t>
  </si>
  <si>
    <t>S000625</t>
  </si>
  <si>
    <t>S000827</t>
  </si>
  <si>
    <t>S000235</t>
  </si>
  <si>
    <t>S000136</t>
  </si>
  <si>
    <t>S000617</t>
  </si>
  <si>
    <t>S001964</t>
  </si>
  <si>
    <t>S000837</t>
  </si>
  <si>
    <t>S000843</t>
  </si>
  <si>
    <t>S000960</t>
  </si>
  <si>
    <t>S000593</t>
  </si>
  <si>
    <t>S001315</t>
  </si>
  <si>
    <t>S001526</t>
  </si>
  <si>
    <t>S001292</t>
  </si>
  <si>
    <t>S000344</t>
  </si>
  <si>
    <t>S001651</t>
  </si>
  <si>
    <t>S001577</t>
  </si>
  <si>
    <t>S000294</t>
  </si>
  <si>
    <t>S000365</t>
  </si>
  <si>
    <t>S000179</t>
  </si>
  <si>
    <t>S000660</t>
  </si>
  <si>
    <t>S000997</t>
  </si>
  <si>
    <t>S000015</t>
  </si>
  <si>
    <t>S001111</t>
  </si>
  <si>
    <t>S001395</t>
  </si>
  <si>
    <t>S000166</t>
  </si>
  <si>
    <t>S001882</t>
  </si>
  <si>
    <t>S001360</t>
  </si>
  <si>
    <t>S000060</t>
  </si>
  <si>
    <t>S000710</t>
  </si>
  <si>
    <t>S000677</t>
  </si>
  <si>
    <t>S001379</t>
  </si>
  <si>
    <t>S000781</t>
  </si>
  <si>
    <t>S000425</t>
  </si>
  <si>
    <t>S000293</t>
  </si>
  <si>
    <t>S001066</t>
  </si>
  <si>
    <t>S001793</t>
  </si>
  <si>
    <t>S000330</t>
  </si>
  <si>
    <t>S000430</t>
  </si>
  <si>
    <t>S001013</t>
  </si>
  <si>
    <t>S000080</t>
  </si>
  <si>
    <t>S001053</t>
  </si>
  <si>
    <t>S000938</t>
  </si>
  <si>
    <t>S000835</t>
  </si>
  <si>
    <t>S000750</t>
  </si>
  <si>
    <t>S000891</t>
  </si>
  <si>
    <t>S000255</t>
  </si>
  <si>
    <t>S001814</t>
  </si>
  <si>
    <t>S001483</t>
  </si>
  <si>
    <t>S001961</t>
  </si>
  <si>
    <t>S001408</t>
  </si>
  <si>
    <t>S001338</t>
  </si>
  <si>
    <t>S001109</t>
  </si>
  <si>
    <t>S000137</t>
  </si>
  <si>
    <t>S001136</t>
  </si>
  <si>
    <t>S001219</t>
  </si>
  <si>
    <t>S000853</t>
  </si>
  <si>
    <t>S001203</t>
  </si>
  <si>
    <t>S001888</t>
  </si>
  <si>
    <t>S000724</t>
  </si>
  <si>
    <t>S000860</t>
  </si>
  <si>
    <t>S000970</t>
  </si>
  <si>
    <t>S000497</t>
  </si>
  <si>
    <t>S000951</t>
  </si>
  <si>
    <t>S000806</t>
  </si>
  <si>
    <t>S000130</t>
  </si>
  <si>
    <t>S000338</t>
  </si>
  <si>
    <t>S001999</t>
  </si>
  <si>
    <t>S000609</t>
  </si>
  <si>
    <t>S001149</t>
  </si>
  <si>
    <t>S000196</t>
  </si>
  <si>
    <t>S001251</t>
  </si>
  <si>
    <t>S001293</t>
  </si>
  <si>
    <t>S001980</t>
  </si>
  <si>
    <t>S000910</t>
  </si>
  <si>
    <t>S000585</t>
  </si>
  <si>
    <t>S000104</t>
  </si>
  <si>
    <t>S001851</t>
  </si>
  <si>
    <t>S001870</t>
  </si>
  <si>
    <t>S000720</t>
  </si>
  <si>
    <t>S000885</t>
  </si>
  <si>
    <t>S000777</t>
  </si>
  <si>
    <t>S001570</t>
  </si>
  <si>
    <t>S000850</t>
  </si>
  <si>
    <t>S000895</t>
  </si>
  <si>
    <t>S000228</t>
  </si>
  <si>
    <t>S001884</t>
  </si>
  <si>
    <t>S001326</t>
  </si>
  <si>
    <t>S001300</t>
  </si>
  <si>
    <t>S000127</t>
  </si>
  <si>
    <t>S000406</t>
  </si>
  <si>
    <t>S000776</t>
  </si>
  <si>
    <t>S000822</t>
  </si>
  <si>
    <t>S000712</t>
  </si>
  <si>
    <t>S001892</t>
  </si>
  <si>
    <t>S001061</t>
  </si>
  <si>
    <t>S001164</t>
  </si>
  <si>
    <t>S000304</t>
  </si>
  <si>
    <t>S000268</t>
  </si>
  <si>
    <t>S001558</t>
  </si>
  <si>
    <t>S000546</t>
  </si>
  <si>
    <t>S000213</t>
  </si>
  <si>
    <t>S000897</t>
  </si>
  <si>
    <t>S001493</t>
  </si>
  <si>
    <t>S001223</t>
  </si>
  <si>
    <t>S000917</t>
  </si>
  <si>
    <t>S001552</t>
  </si>
  <si>
    <t>S000676</t>
  </si>
  <si>
    <t>S001290</t>
  </si>
  <si>
    <t>S000815</t>
  </si>
  <si>
    <t>S001266</t>
  </si>
  <si>
    <t>S000343</t>
  </si>
  <si>
    <t>S000550</t>
  </si>
  <si>
    <t>S001411</t>
  </si>
  <si>
    <t>S001215</t>
  </si>
  <si>
    <t>S000967</t>
  </si>
  <si>
    <t>S001231</t>
  </si>
  <si>
    <t>S000296</t>
  </si>
  <si>
    <t>S000696</t>
  </si>
  <si>
    <t>S001453</t>
  </si>
  <si>
    <t>S000074</t>
  </si>
  <si>
    <t>S000606</t>
  </si>
  <si>
    <t>S000105</t>
  </si>
  <si>
    <t>S000646</t>
  </si>
  <si>
    <t>S001405</t>
  </si>
  <si>
    <t>S001968</t>
  </si>
  <si>
    <t>S001041</t>
  </si>
  <si>
    <t>S000440</t>
  </si>
  <si>
    <t>S001020</t>
  </si>
  <si>
    <t>S000092</t>
  </si>
  <si>
    <t>S001113</t>
  </si>
  <si>
    <t>S001759</t>
  </si>
  <si>
    <t>S000909</t>
  </si>
  <si>
    <t>S001475</t>
  </si>
  <si>
    <t>S000103</t>
  </si>
  <si>
    <t>S000239</t>
  </si>
  <si>
    <t>S001706</t>
  </si>
  <si>
    <t>S000943</t>
  </si>
  <si>
    <t>S001271</t>
  </si>
  <si>
    <t>S000939</t>
  </si>
  <si>
    <t>S001696</t>
  </si>
  <si>
    <t>S001182</t>
  </si>
  <si>
    <t>S001504</t>
  </si>
  <si>
    <t>S000006</t>
  </si>
  <si>
    <t>S001819</t>
  </si>
  <si>
    <t>S000966</t>
  </si>
  <si>
    <t>S000019</t>
  </si>
  <si>
    <t>S001431</t>
  </si>
  <si>
    <t>S000122</t>
  </si>
  <si>
    <t>S000662</t>
  </si>
  <si>
    <t>S001831</t>
  </si>
  <si>
    <t>S000275</t>
  </si>
  <si>
    <t>S000434</t>
  </si>
  <si>
    <t>S000812</t>
  </si>
  <si>
    <t>S001301</t>
  </si>
  <si>
    <t>S001336</t>
  </si>
  <si>
    <t>S001871</t>
  </si>
  <si>
    <t>S001894</t>
  </si>
  <si>
    <t>S001571</t>
  </si>
  <si>
    <t>S000182</t>
  </si>
  <si>
    <t>S000185</t>
  </si>
  <si>
    <t>S000407</t>
  </si>
  <si>
    <t>S000866</t>
  </si>
  <si>
    <t>S001631</t>
  </si>
  <si>
    <t>S000521</t>
  </si>
  <si>
    <t>S001004</t>
  </si>
  <si>
    <t>S000381</t>
  </si>
  <si>
    <t>S001435</t>
  </si>
  <si>
    <t>S001659</t>
  </si>
  <si>
    <t>S001394</t>
  </si>
  <si>
    <t>S001425</t>
  </si>
  <si>
    <t>S001613</t>
  </si>
  <si>
    <t>S000428</t>
  </si>
  <si>
    <t>S000079</t>
  </si>
  <si>
    <t>S001598</t>
  </si>
  <si>
    <t>S001010</t>
  </si>
  <si>
    <t>S001976</t>
  </si>
  <si>
    <t>S001662</t>
  </si>
  <si>
    <t>S000608</t>
  </si>
  <si>
    <t>S001890</t>
  </si>
  <si>
    <t>S001996</t>
  </si>
  <si>
    <t>S001826</t>
  </si>
  <si>
    <t>S001058</t>
  </si>
  <si>
    <t>S001441</t>
  </si>
  <si>
    <t>S001515</t>
  </si>
  <si>
    <t>S001586</t>
  </si>
  <si>
    <t>S001092</t>
  </si>
  <si>
    <t>S001561</t>
  </si>
  <si>
    <t>S001102</t>
  </si>
  <si>
    <t>S001130</t>
  </si>
  <si>
    <t>S001236</t>
  </si>
  <si>
    <t>S001769</t>
  </si>
  <si>
    <t>S000959</t>
  </si>
  <si>
    <t>S001663</t>
  </si>
  <si>
    <t>S000560</t>
  </si>
  <si>
    <t>S000847</t>
  </si>
  <si>
    <t>S001749</t>
  </si>
  <si>
    <t>S000691</t>
  </si>
  <si>
    <t>S001520</t>
  </si>
  <si>
    <t>S001942</t>
  </si>
  <si>
    <t>S001869</t>
  </si>
  <si>
    <t>S000437</t>
  </si>
  <si>
    <t>S000491</t>
  </si>
  <si>
    <t>S001895</t>
  </si>
  <si>
    <t>S001630</t>
  </si>
  <si>
    <t>S001388</t>
  </si>
  <si>
    <t>S000070</t>
  </si>
  <si>
    <t>S001573</t>
  </si>
  <si>
    <t>S001185</t>
  </si>
  <si>
    <t>S000012</t>
  </si>
  <si>
    <t>S000145</t>
  </si>
  <si>
    <t>S000918</t>
  </si>
  <si>
    <t>S001542</t>
  </si>
  <si>
    <t>S001452</t>
  </si>
  <si>
    <t>S000640</t>
  </si>
  <si>
    <t>S000177</t>
  </si>
  <si>
    <t>S000995</t>
  </si>
  <si>
    <t>S000441</t>
  </si>
  <si>
    <t>S000522</t>
  </si>
  <si>
    <t>S001984</t>
  </si>
  <si>
    <t>S001946</t>
  </si>
  <si>
    <t>S001713</t>
  </si>
  <si>
    <t>S001005</t>
  </si>
  <si>
    <t>S001256</t>
  </si>
  <si>
    <t>S001235</t>
  </si>
  <si>
    <t>S001665</t>
  </si>
  <si>
    <t>S000144</t>
  </si>
  <si>
    <t>S000754</t>
  </si>
  <si>
    <t>S000520</t>
  </si>
  <si>
    <t>S001323</t>
  </si>
  <si>
    <t>S000823</t>
  </si>
  <si>
    <t>S000429</t>
  </si>
  <si>
    <t>S000613</t>
  </si>
  <si>
    <t>S001506</t>
  </si>
  <si>
    <t>S001033</t>
  </si>
  <si>
    <t>S000157</t>
  </si>
  <si>
    <t>S000540</t>
  </si>
  <si>
    <t>S001531</t>
  </si>
  <si>
    <t>S001461</t>
  </si>
  <si>
    <t>S001291</t>
  </si>
  <si>
    <t>S000462</t>
  </si>
  <si>
    <t>S000577</t>
  </si>
  <si>
    <t>S001363</t>
  </si>
  <si>
    <t>S000256</t>
  </si>
  <si>
    <t>S000980</t>
  </si>
  <si>
    <t>S001186</t>
  </si>
  <si>
    <t>S001007</t>
  </si>
  <si>
    <t>S001522</t>
  </si>
  <si>
    <t>S001690</t>
  </si>
  <si>
    <t>S000561</t>
  </si>
  <si>
    <t>S000209</t>
  </si>
  <si>
    <t>S000911</t>
  </si>
  <si>
    <t>S001312</t>
  </si>
  <si>
    <t>S000002</t>
  </si>
  <si>
    <t>S001366</t>
  </si>
  <si>
    <t>S000270</t>
  </si>
  <si>
    <t>S000266</t>
  </si>
  <si>
    <t>S000915</t>
  </si>
  <si>
    <t>S000231</t>
  </si>
  <si>
    <t>S001979</t>
  </si>
  <si>
    <t>S001120</t>
  </si>
  <si>
    <t>S001974</t>
  </si>
  <si>
    <t>S000865</t>
  </si>
  <si>
    <t>S001067</t>
  </si>
  <si>
    <t>S000874</t>
  </si>
  <si>
    <t>S001798</t>
  </si>
  <si>
    <t>S000399</t>
  </si>
  <si>
    <t>S001829</t>
  </si>
  <si>
    <t>S001653</t>
  </si>
  <si>
    <t>S000046</t>
  </si>
  <si>
    <t>S000162</t>
  </si>
  <si>
    <t>S000992</t>
  </si>
  <si>
    <t>S000728</t>
  </si>
  <si>
    <t>S000630</t>
  </si>
  <si>
    <t>S000289</t>
  </si>
  <si>
    <t>S001614</t>
  </si>
  <si>
    <t>S001060</t>
  </si>
  <si>
    <t>S001958</t>
  </si>
  <si>
    <t>S000576</t>
  </si>
  <si>
    <t>S000851</t>
  </si>
  <si>
    <t>S001340</t>
  </si>
  <si>
    <t>S000912</t>
  </si>
  <si>
    <t>S001255</t>
  </si>
  <si>
    <t>S001723</t>
  </si>
  <si>
    <t>S001878</t>
  </si>
  <si>
    <t>S001736</t>
  </si>
  <si>
    <t>S000933</t>
  </si>
  <si>
    <t>S001101</t>
  </si>
  <si>
    <t>S001658</t>
  </si>
  <si>
    <t>S001208</t>
  </si>
  <si>
    <t>S000248</t>
  </si>
  <si>
    <t>S000477</t>
  </si>
  <si>
    <t>S001695</t>
  </si>
  <si>
    <t>S000086</t>
  </si>
  <si>
    <t>S000470</t>
  </si>
  <si>
    <t>S000226</t>
  </si>
  <si>
    <t>S000775</t>
  </si>
  <si>
    <t>S000332</t>
  </si>
  <si>
    <t>S000234</t>
  </si>
  <si>
    <t>S000589</t>
  </si>
  <si>
    <t>S000476</t>
  </si>
  <si>
    <t>S001285</t>
  </si>
  <si>
    <t>S001872</t>
  </si>
  <si>
    <t>S000600</t>
  </si>
  <si>
    <t>S000422</t>
  </si>
  <si>
    <t>S001712</t>
  </si>
  <si>
    <t>S000183</t>
  </si>
  <si>
    <t>S000989</t>
  </si>
  <si>
    <t>S001001</t>
  </si>
  <si>
    <t>S001642</t>
  </si>
  <si>
    <t>S001357</t>
  </si>
  <si>
    <t>S001463</t>
  </si>
  <si>
    <t>S000050</t>
  </si>
  <si>
    <t>S001879</t>
  </si>
  <si>
    <t>S001030</t>
  </si>
  <si>
    <t>S000530</t>
  </si>
  <si>
    <t>S001259</t>
  </si>
  <si>
    <t>S000487</t>
  </si>
  <si>
    <t>S001955</t>
  </si>
  <si>
    <t>S000498</t>
  </si>
  <si>
    <t>S001647</t>
  </si>
  <si>
    <t>S000107</t>
  </si>
  <si>
    <t>S000444</t>
  </si>
  <si>
    <t>S001513</t>
  </si>
  <si>
    <t>S000647</t>
  </si>
  <si>
    <t>S001037</t>
  </si>
  <si>
    <t>S001763</t>
  </si>
  <si>
    <t>S000727</t>
  </si>
  <si>
    <t>S000191</t>
  </si>
  <si>
    <t>S001789</t>
  </si>
  <si>
    <t>S001857</t>
  </si>
  <si>
    <t>S000283</t>
  </si>
  <si>
    <t>S000030</t>
  </si>
  <si>
    <t>S000170</t>
  </si>
  <si>
    <t>S001002</t>
  </si>
  <si>
    <t>S001205</t>
  </si>
  <si>
    <t>S000101</t>
  </si>
  <si>
    <t>S000198</t>
  </si>
  <si>
    <t>S000496</t>
  </si>
  <si>
    <t>S001746</t>
  </si>
  <si>
    <t>S000648</t>
  </si>
  <si>
    <t>S000988</t>
  </si>
  <si>
    <t>S000045</t>
  </si>
  <si>
    <t>S001939</t>
  </si>
  <si>
    <t>S000711</t>
  </si>
  <si>
    <t>S000374</t>
  </si>
  <si>
    <t>S000679</t>
  </si>
  <si>
    <t>S000567</t>
  </si>
  <si>
    <t>S001673</t>
  </si>
  <si>
    <t>S001822</t>
  </si>
  <si>
    <t>S000848</t>
  </si>
  <si>
    <t>S000461</t>
  </si>
  <si>
    <t>S001438</t>
  </si>
  <si>
    <t>S001156</t>
  </si>
  <si>
    <t>S000040</t>
  </si>
  <si>
    <t>S000435</t>
  </si>
  <si>
    <t>S000974</t>
  </si>
  <si>
    <t>S001240</t>
  </si>
  <si>
    <t>S001008</t>
  </si>
  <si>
    <t>S001580</t>
  </si>
  <si>
    <t>S001591</t>
  </si>
  <si>
    <t>S001787</t>
  </si>
  <si>
    <t>S001499</t>
  </si>
  <si>
    <t>S000457</t>
  </si>
  <si>
    <t>S001836</t>
  </si>
  <si>
    <t>S000261</t>
  </si>
  <si>
    <t>S001841</t>
  </si>
  <si>
    <t>S000036</t>
  </si>
  <si>
    <t>S000828</t>
  </si>
  <si>
    <t>S000310</t>
  </si>
  <si>
    <t>S000277</t>
  </si>
  <si>
    <t>S000637</t>
  </si>
  <si>
    <t>S000655</t>
  </si>
  <si>
    <t>S000623</t>
  </si>
  <si>
    <t>S001860</t>
  </si>
  <si>
    <t>S000845</t>
  </si>
  <si>
    <t>S000394</t>
  </si>
  <si>
    <t>S001770</t>
  </si>
  <si>
    <t>S000108</t>
  </si>
  <si>
    <t>S000350</t>
  </si>
  <si>
    <t>S000525</t>
  </si>
  <si>
    <t>S000785</t>
  </si>
  <si>
    <t>S000048</t>
  </si>
  <si>
    <t>S000204</t>
  </si>
  <si>
    <t>S001656</t>
  </si>
  <si>
    <t>S000022</t>
  </si>
  <si>
    <t>S000403</t>
  </si>
  <si>
    <t>S001108</t>
  </si>
  <si>
    <t>S001155</t>
  </si>
  <si>
    <t>S001440</t>
  </si>
  <si>
    <t>S001994</t>
  </si>
  <si>
    <t>S000990</t>
  </si>
  <si>
    <t>S001866</t>
  </si>
  <si>
    <t>S000742</t>
  </si>
  <si>
    <t>S001722</t>
  </si>
  <si>
    <t>S001311</t>
  </si>
  <si>
    <t>S001148</t>
  </si>
  <si>
    <t>S000034</t>
  </si>
  <si>
    <t>S000788</t>
  </si>
  <si>
    <t>S001541</t>
  </si>
  <si>
    <t>S000924</t>
  </si>
  <si>
    <t>S001044</t>
  </si>
  <si>
    <t>S001936</t>
  </si>
  <si>
    <t>S001244</t>
  </si>
  <si>
    <t>S001916</t>
  </si>
  <si>
    <t>S000580</t>
  </si>
  <si>
    <t>S000482</t>
  </si>
  <si>
    <t>S000932</t>
  </si>
  <si>
    <t>S000357</t>
  </si>
  <si>
    <t>S001686</t>
  </si>
  <si>
    <t>S001249</t>
  </si>
  <si>
    <t>S000760</t>
  </si>
  <si>
    <t>S000093</t>
  </si>
  <si>
    <t>S001176</t>
  </si>
  <si>
    <t>S001416</t>
  </si>
  <si>
    <t>S001342</t>
  </si>
  <si>
    <t>S001473</t>
  </si>
  <si>
    <t>S000804</t>
  </si>
  <si>
    <t>S000746</t>
  </si>
  <si>
    <t>S001547</t>
  </si>
  <si>
    <t>S000280</t>
  </si>
  <si>
    <t>S001608</t>
  </si>
  <si>
    <t>S000765</t>
  </si>
  <si>
    <t>S000605</t>
  </si>
  <si>
    <t>S001992</t>
  </si>
  <si>
    <t>S001374</t>
  </si>
  <si>
    <t>S001952</t>
  </si>
  <si>
    <t>S001399</t>
  </si>
  <si>
    <t>S000401</t>
  </si>
  <si>
    <t>S001729</t>
  </si>
  <si>
    <t>S000258</t>
  </si>
  <si>
    <t>S000945</t>
  </si>
  <si>
    <t>S001876</t>
  </si>
  <si>
    <t>S001097</t>
  </si>
  <si>
    <t>S001220</t>
  </si>
  <si>
    <t>S001508</t>
  </si>
  <si>
    <t>S001880</t>
  </si>
  <si>
    <t>S001162</t>
  </si>
  <si>
    <t>S000495</t>
  </si>
  <si>
    <t>S000773</t>
  </si>
  <si>
    <t>S000551</t>
  </si>
  <si>
    <t>S001487</t>
  </si>
  <si>
    <t>S000202</t>
  </si>
  <si>
    <t>S000313</t>
  </si>
  <si>
    <t>S000291</t>
  </si>
  <si>
    <t>S001214</t>
  </si>
  <si>
    <t>S000764</t>
  </si>
  <si>
    <t>S001137</t>
  </si>
  <si>
    <t>S000950</t>
  </si>
  <si>
    <t>S000184</t>
  </si>
  <si>
    <t>S001177</t>
  </si>
  <si>
    <t>S001849</t>
  </si>
  <si>
    <t>S001350</t>
  </si>
  <si>
    <t>S001728</t>
  </si>
  <si>
    <t>S001069</t>
  </si>
  <si>
    <t>S001812</t>
  </si>
  <si>
    <t>S001031</t>
  </si>
  <si>
    <t>S000251</t>
  </si>
  <si>
    <t>S000824</t>
  </si>
  <si>
    <t>S001100</t>
  </si>
  <si>
    <t>S001537</t>
  </si>
  <si>
    <t>S000941</t>
  </si>
  <si>
    <t>S000392</t>
  </si>
  <si>
    <t>S001920</t>
  </si>
  <si>
    <t>S001457</t>
  </si>
  <si>
    <t>S001093</t>
  </si>
  <si>
    <t>S001192</t>
  </si>
  <si>
    <t>S000905</t>
  </si>
  <si>
    <t>S000731</t>
  </si>
  <si>
    <t>S000555</t>
  </si>
  <si>
    <t>S000367</t>
  </si>
  <si>
    <t>S000346</t>
  </si>
  <si>
    <t>S001609</t>
  </si>
  <si>
    <t>S000536</t>
  </si>
  <si>
    <t>S001423</t>
  </si>
  <si>
    <t>S001210</t>
  </si>
  <si>
    <t>S001373</t>
  </si>
  <si>
    <t>S001640</t>
  </si>
  <si>
    <t>S000920</t>
  </si>
  <si>
    <t>S000212</t>
  </si>
  <si>
    <t>S001604</t>
  </si>
  <si>
    <t>S000503</t>
  </si>
  <si>
    <t>S000538</t>
  </si>
  <si>
    <t>S001221</t>
  </si>
  <si>
    <t>S000176</t>
  </si>
  <si>
    <t>ARO-2024-00352</t>
  </si>
  <si>
    <t>FOO-2024-00034</t>
  </si>
  <si>
    <t>ARO-2025-00025</t>
  </si>
  <si>
    <t>ESS-2025-00059</t>
  </si>
  <si>
    <t>ARO-2024-00311</t>
  </si>
  <si>
    <t>FOO-2024-00389</t>
  </si>
  <si>
    <t>FOO-2025-00116</t>
  </si>
  <si>
    <t>FRA-2024-00338</t>
  </si>
  <si>
    <t>FLA-2025-00310</t>
  </si>
  <si>
    <t>FOO-2024-00237</t>
  </si>
  <si>
    <t>ARO-2024-00430</t>
  </si>
  <si>
    <t>ARO-2024-00388</t>
  </si>
  <si>
    <t>FRA-2025-00106</t>
  </si>
  <si>
    <t>ARO-2024-00285</t>
  </si>
  <si>
    <t>FOO-2024-00431</t>
  </si>
  <si>
    <t>FLA-2024-00344</t>
  </si>
  <si>
    <t>FOO-2025-00245</t>
  </si>
  <si>
    <t>ESS-2024-00303</t>
  </si>
  <si>
    <t>ESS-2025-00081</t>
  </si>
  <si>
    <t>ARO-2024-00296</t>
  </si>
  <si>
    <t>ESS-2025-00045</t>
  </si>
  <si>
    <t>FRA-2024-00376</t>
  </si>
  <si>
    <t>ESS-2024-00379</t>
  </si>
  <si>
    <t>FLA-2024-00138</t>
  </si>
  <si>
    <t>FLA-2025-00082</t>
  </si>
  <si>
    <t>ESS-2025-00001</t>
  </si>
  <si>
    <t>FLA-2024-00152</t>
  </si>
  <si>
    <t>ARO-2024-00119</t>
  </si>
  <si>
    <t>FOO-2025-00251</t>
  </si>
  <si>
    <t>FRA-2024-00160</t>
  </si>
  <si>
    <t>FRA-2025-00136</t>
  </si>
  <si>
    <t>FRA-2025-00150</t>
  </si>
  <si>
    <t>FLA-2024-00429</t>
  </si>
  <si>
    <t>ESS-2024-00408</t>
  </si>
  <si>
    <t>ARO-2024-00172</t>
  </si>
  <si>
    <t>ARO-2025-00085</t>
  </si>
  <si>
    <t>FRA-2024-00438</t>
  </si>
  <si>
    <t>FOO-2025-00153</t>
  </si>
  <si>
    <t>FOO-2024-00233</t>
  </si>
  <si>
    <t>FLA-2024-00214</t>
  </si>
  <si>
    <t>FLA-2024-00123</t>
  </si>
  <si>
    <t>FRA-2024-00380</t>
  </si>
  <si>
    <t>FRA-2025-00374</t>
  </si>
  <si>
    <t>ARO-2024-00137</t>
  </si>
  <si>
    <t>FLA-2025-00112</t>
  </si>
  <si>
    <t>ESS-2025-00333</t>
  </si>
  <si>
    <t>FLA-2025-00406</t>
  </si>
  <si>
    <t>FRA-2025-00279</t>
  </si>
  <si>
    <t>ESS-2025-00055</t>
  </si>
  <si>
    <t>FOO-2025-00198</t>
  </si>
  <si>
    <t>ARO-2025-00307</t>
  </si>
  <si>
    <t>FOO-2025-00158</t>
  </si>
  <si>
    <t>FLA-2025-00065</t>
  </si>
  <si>
    <t>FOO-2025-00094</t>
  </si>
  <si>
    <t>ESS-2025-00291</t>
  </si>
  <si>
    <t>ESS-2024-00315</t>
  </si>
  <si>
    <t>ESS-2025-00443</t>
  </si>
  <si>
    <t>ESS-2025-00412</t>
  </si>
  <si>
    <t>FOO-2025-00322</t>
  </si>
  <si>
    <t>FRA-2024-00077</t>
  </si>
  <si>
    <t>ARO-2025-00204</t>
  </si>
  <si>
    <t>FRA-2024-00228</t>
  </si>
  <si>
    <t>ARO-2024-00167</t>
  </si>
  <si>
    <t>ARO-2024-00088</t>
  </si>
  <si>
    <t>FLA-2025-00336</t>
  </si>
  <si>
    <t>FOO-2025-00258</t>
  </si>
  <si>
    <t>FLA-2025-00190</t>
  </si>
  <si>
    <t>FRA-2025-00372</t>
  </si>
  <si>
    <t>ESS-2025-00145</t>
  </si>
  <si>
    <t>ARO-2024-00263</t>
  </si>
  <si>
    <t>FOO-2024-00367</t>
  </si>
  <si>
    <t>FLA-2024-00323</t>
  </si>
  <si>
    <t>ESS-2025-00286</t>
  </si>
  <si>
    <t>FOO-2025-00068</t>
  </si>
  <si>
    <t>FLA-2025-00221</t>
  </si>
  <si>
    <t>ESS-2025-00416</t>
  </si>
  <si>
    <t>ESS-2024-00328</t>
  </si>
  <si>
    <t>FLA-2025-00353</t>
  </si>
  <si>
    <t>FRA-2025-00229</t>
  </si>
  <si>
    <t>ARO-2024-00265</t>
  </si>
  <si>
    <t>FRA-2024-00275</t>
  </si>
  <si>
    <t>ESS-2025-00441</t>
  </si>
  <si>
    <t>ESS-2024-00341</t>
  </si>
  <si>
    <t>FRA-2024-00358</t>
  </si>
  <si>
    <t>ESS-2025-00327</t>
  </si>
  <si>
    <t>FRA-2024-00334</t>
  </si>
  <si>
    <t>ARO-2025-00297</t>
  </si>
  <si>
    <t>FRA-2024-00075</t>
  </si>
  <si>
    <t>ARO-2025-00319</t>
  </si>
  <si>
    <t>FLA-2024-00053</t>
  </si>
  <si>
    <t>FOO-2025-00041</t>
  </si>
  <si>
    <t>FLA-2025-00101</t>
  </si>
  <si>
    <t>FRA-2024-00340</t>
  </si>
  <si>
    <t>FOO-2025-00030</t>
  </si>
  <si>
    <t>ARO-2024-00238</t>
  </si>
  <si>
    <t>FLA-2024-00009</t>
  </si>
  <si>
    <t>ESS-2024-00097</t>
  </si>
  <si>
    <t>FOO-2024-00047</t>
  </si>
  <si>
    <t>FLA-2024-00280</t>
  </si>
  <si>
    <t>FRA-2025-00043</t>
  </si>
  <si>
    <t>FLA-2024-00284</t>
  </si>
  <si>
    <t>ARO-2025-00014</t>
  </si>
  <si>
    <t>FOO-2024-00195</t>
  </si>
  <si>
    <t>FRA-2024-00420</t>
  </si>
  <si>
    <t>ARO-2025-00261</t>
  </si>
  <si>
    <t>FLA-2024-00294</t>
  </si>
  <si>
    <t>ARO-2025-00316</t>
  </si>
  <si>
    <t>ARO-2024-00008</t>
  </si>
  <si>
    <t>ESS-2024-00189</t>
  </si>
  <si>
    <t>ESS-2024-00235</t>
  </si>
  <si>
    <t>ARO-2025-00369</t>
  </si>
  <si>
    <t>ARO-2025-00425</t>
  </si>
  <si>
    <t>ARO-2025-00134</t>
  </si>
  <si>
    <t>ARO-2025-00133</t>
  </si>
  <si>
    <t>FRA-2024-00149</t>
  </si>
  <si>
    <t>FLA-2024-00207</t>
  </si>
  <si>
    <t>ESS-2025-00174</t>
  </si>
  <si>
    <t>FOO-2024-00102</t>
  </si>
  <si>
    <t>FLA-2024-00132</t>
  </si>
  <si>
    <t>ARO-2025-00002</t>
  </si>
  <si>
    <t>ESS-2024-00395</t>
  </si>
  <si>
    <t>ARO-2024-00302</t>
  </si>
  <si>
    <t>ARO-2025-00005</t>
  </si>
  <si>
    <t>ESS-2025-00259</t>
  </si>
  <si>
    <t>FLA-2025-00267</t>
  </si>
  <si>
    <t>FOO-2024-00241</t>
  </si>
  <si>
    <t>FRA-2025-00185</t>
  </si>
  <si>
    <t>ARO-2025-00363</t>
  </si>
  <si>
    <t>FRA-2024-00210</t>
  </si>
  <si>
    <t>FRA-2025-00163</t>
  </si>
  <si>
    <t>FOO-2025-00365</t>
  </si>
  <si>
    <t>FOO-2025-00166</t>
  </si>
  <si>
    <t>FRA-2024-00050</t>
  </si>
  <si>
    <t>FLA-2024-00095</t>
  </si>
  <si>
    <t>FOO-2025-00224</t>
  </si>
  <si>
    <t>ESS-2024-00366</t>
  </si>
  <si>
    <t>FOO-2024-00209</t>
  </si>
  <si>
    <t>FRA-2025-00219</t>
  </si>
  <si>
    <t>FOO-2025-00293</t>
  </si>
  <si>
    <t>ESS-2025-00384</t>
  </si>
  <si>
    <t>FOO-2024-00348</t>
  </si>
  <si>
    <t>FLA-2025-00413</t>
  </si>
  <si>
    <t>FLA-2024-00180</t>
  </si>
  <si>
    <t>FLA-2024-00282</t>
  </si>
  <si>
    <t>FLA-2024-00402</t>
  </si>
  <si>
    <t>FRA-2024-00392</t>
  </si>
  <si>
    <t>FOO-2024-00012</t>
  </si>
  <si>
    <t>ESS-2024-00330</t>
  </si>
  <si>
    <t>ARO-2024-00126</t>
  </si>
  <si>
    <t>FOO-2024-00090</t>
  </si>
  <si>
    <t>ESS-2025-00253</t>
  </si>
  <si>
    <t>ESS-2025-00170</t>
  </si>
  <si>
    <t>FRA-2025-00255</t>
  </si>
  <si>
    <t>FRA-2025-00079</t>
  </si>
  <si>
    <t>FOO-2025-00231</t>
  </si>
  <si>
    <t>ESS-2025-00426</t>
  </si>
  <si>
    <t>FRA-2024-00118</t>
  </si>
  <si>
    <t>ESS-2024-00186</t>
  </si>
  <si>
    <t>FOO-2024-00100</t>
  </si>
  <si>
    <t>ESS-2025-00035</t>
  </si>
  <si>
    <t>ESS-2024-00361</t>
  </si>
  <si>
    <t>ESS-2024-00196</t>
  </si>
  <si>
    <t>FRA-2024-00054</t>
  </si>
  <si>
    <t>ESS-2024-00419</t>
  </si>
  <si>
    <t>ARO-2025-00211</t>
  </si>
  <si>
    <t>FLA-2024-00383</t>
  </si>
  <si>
    <t>ARO-2024-00368</t>
  </si>
  <si>
    <t>ARO-2025-00171</t>
  </si>
  <si>
    <t>FRA-2025-00440</t>
  </si>
  <si>
    <t>FLA-2024-00295</t>
  </si>
  <si>
    <t>ESS-2024-00099</t>
  </si>
  <si>
    <t>ARO-2025-00433</t>
  </si>
  <si>
    <t>ARO-2025-00151</t>
  </si>
  <si>
    <t>FLA-2025-00442</t>
  </si>
  <si>
    <t>FLA-2025-00164</t>
  </si>
  <si>
    <t>ARO-2024-00288</t>
  </si>
  <si>
    <t>ARO-2025-00060</t>
  </si>
  <si>
    <t>ARO-2025-00083</t>
  </si>
  <si>
    <t>FLA-2025-00070</t>
  </si>
  <si>
    <t>FOO-2024-00289</t>
  </si>
  <si>
    <t>FRA-2024-00377</t>
  </si>
  <si>
    <t>ARO-2025-00156</t>
  </si>
  <si>
    <t>FRA-2024-00218</t>
  </si>
  <si>
    <t>ARO-2024-00401</t>
  </si>
  <si>
    <t>ARO-2024-00194</t>
  </si>
  <si>
    <t>ARO-2025-00042</t>
  </si>
  <si>
    <t>ESS-2025-00183</t>
  </si>
  <si>
    <t>ESS-2025-00436</t>
  </si>
  <si>
    <t>FRA-2024-00108</t>
  </si>
  <si>
    <t>ESS-2024-00017</t>
  </si>
  <si>
    <t>FRA-2025-00386</t>
  </si>
  <si>
    <t>FRA-2024-00129</t>
  </si>
  <si>
    <t>FOO-2025-00423</t>
  </si>
  <si>
    <t>FRA-2024-00067</t>
  </si>
  <si>
    <t>ARO-2025-00046</t>
  </si>
  <si>
    <t>FOO-2025-00427</t>
  </si>
  <si>
    <t>FRA-2025-00252</t>
  </si>
  <si>
    <t>FRA-2024-00298</t>
  </si>
  <si>
    <t>FOO-2025-00113</t>
  </si>
  <si>
    <t>ARO-2025-00177</t>
  </si>
  <si>
    <t>ARO-2024-00140</t>
  </si>
  <si>
    <t>FRA-2024-00357</t>
  </si>
  <si>
    <t>ARO-2025-00256</t>
  </si>
  <si>
    <t>ARO-2025-00230</t>
  </si>
  <si>
    <t>ESS-2025-00027</t>
  </si>
  <si>
    <t>FOO-2025-00398</t>
  </si>
  <si>
    <t>FOO-2024-00011</t>
  </si>
  <si>
    <t>ARO-2024-00064</t>
  </si>
  <si>
    <t>FRA-2024-00103</t>
  </si>
  <si>
    <t>ARO-2025-00320</t>
  </si>
  <si>
    <t>FOO-2024-00331</t>
  </si>
  <si>
    <t>ESS-2024-00359</t>
  </si>
  <si>
    <t>FOO-2024-00169</t>
  </si>
  <si>
    <t>FRA-2025-00107</t>
  </si>
  <si>
    <t>FOO-2024-00179</t>
  </si>
  <si>
    <t>ARO-2024-00339</t>
  </si>
  <si>
    <t>ARO-2024-00089</t>
  </si>
  <si>
    <t>FOO-2025-00197</t>
  </si>
  <si>
    <t>FRA-2025-00098</t>
  </si>
  <si>
    <t>ARO-2025-00074</t>
  </si>
  <si>
    <t>FLA-2024-00093</t>
  </si>
  <si>
    <t>FRA-2024-00181</t>
  </si>
  <si>
    <t>ESS-2025-00354</t>
  </si>
  <si>
    <t>ARO-2025-00381</t>
  </si>
  <si>
    <t>ESS-2025-00343</t>
  </si>
  <si>
    <t>ARO-2024-00405</t>
  </si>
  <si>
    <t>FOO-2025-00023</t>
  </si>
  <si>
    <t>FRA-2025-00004</t>
  </si>
  <si>
    <t>ESS-2024-00346</t>
  </si>
  <si>
    <t>ARO-2025-00418</t>
  </si>
  <si>
    <t>FRA-2025-00080</t>
  </si>
  <si>
    <t>FRA-2025-00409</t>
  </si>
  <si>
    <t>FLA-2025-00084</t>
  </si>
  <si>
    <t>FOO-2025-00397</t>
  </si>
  <si>
    <t>ARO-2024-00051</t>
  </si>
  <si>
    <t>FRA-2025-00290</t>
  </si>
  <si>
    <t>FLA-2024-00270</t>
  </si>
  <si>
    <t>FRA-2025-00159</t>
  </si>
  <si>
    <t>FLA-2025-00026</t>
  </si>
  <si>
    <t>FRA-2025-00417</t>
  </si>
  <si>
    <t>FLA-2024-00234</t>
  </si>
  <si>
    <t>FLA-2024-00071</t>
  </si>
  <si>
    <t>FLA-2024-00244</t>
  </si>
  <si>
    <t>ARO-2025-00114</t>
  </si>
  <si>
    <t>ARO-2024-00268</t>
  </si>
  <si>
    <t>FLA-2025-00168</t>
  </si>
  <si>
    <t>ARO-2024-00155</t>
  </si>
  <si>
    <t>FRA-2025-00130</t>
  </si>
  <si>
    <t>ARO-2025-00110</t>
  </si>
  <si>
    <t>FLA-2024-00308</t>
  </si>
  <si>
    <t>ARO-2024-00192</t>
  </si>
  <si>
    <t>ESS-2025-00391</t>
  </si>
  <si>
    <t>ESS-2024-00013</t>
  </si>
  <si>
    <t>ESS-2025-00024</t>
  </si>
  <si>
    <t>FRA-2024-00063</t>
  </si>
  <si>
    <t>FRA-2025-00056</t>
  </si>
  <si>
    <t>FRA-2025-00432</t>
  </si>
  <si>
    <t>ESS-2024-00404</t>
  </si>
  <si>
    <t>FOO-2024-00304</t>
  </si>
  <si>
    <t>ESS-2025-00078</t>
  </si>
  <si>
    <t>ESS-2024-00146</t>
  </si>
  <si>
    <t>ESS-2025-00086</t>
  </si>
  <si>
    <t>ESS-2024-00313</t>
  </si>
  <si>
    <t>FOO-2025-00096</t>
  </si>
  <si>
    <t>FOO-2024-00223</t>
  </si>
  <si>
    <t>ARO-2025-00048</t>
  </si>
  <si>
    <t>ARO-2024-00373</t>
  </si>
  <si>
    <t>FRA-2025-00148</t>
  </si>
  <si>
    <t>ARO-2024-00276</t>
  </si>
  <si>
    <t>FRA-2025-00203</t>
  </si>
  <si>
    <t>FOO-2025-00249</t>
  </si>
  <si>
    <t>ESS-2024-00006</t>
  </si>
  <si>
    <t>FLA-2024-00226</t>
  </si>
  <si>
    <t>FLA-2024-00400</t>
  </si>
  <si>
    <t>ARO-2025-00052</t>
  </si>
  <si>
    <t>FOO-2025-00191</t>
  </si>
  <si>
    <t>FRA-2024-00314</t>
  </si>
  <si>
    <t>ARO-2025-00212</t>
  </si>
  <si>
    <t>ARO-2024-00248</t>
  </si>
  <si>
    <t>FLA-2025-00246</t>
  </si>
  <si>
    <t>FOO-2025-00036</t>
  </si>
  <si>
    <t>FLA-2024-00049</t>
  </si>
  <si>
    <t>ESS-2025-00394</t>
  </si>
  <si>
    <t>FRA-2024-00184</t>
  </si>
  <si>
    <t>ESS-2025-00329</t>
  </si>
  <si>
    <t>ESS-2025-00003</t>
  </si>
  <si>
    <t>FOO-2025-00356</t>
  </si>
  <si>
    <t>FOO-2024-00312</t>
  </si>
  <si>
    <t>ESS-2024-00039</t>
  </si>
  <si>
    <t>ESS-2024-00147</t>
  </si>
  <si>
    <t>FRA-2024-00247</t>
  </si>
  <si>
    <t>FRA-2025-00010</t>
  </si>
  <si>
    <t>FRA-2025-00444</t>
  </si>
  <si>
    <t>FRA-2024-00301</t>
  </si>
  <si>
    <t>FOO-2025-00355</t>
  </si>
  <si>
    <t>FLA-2025-00287</t>
  </si>
  <si>
    <t>FRA-2024-00154</t>
  </si>
  <si>
    <t>ARO-2025-00309</t>
  </si>
  <si>
    <t>ARO-2025-00403</t>
  </si>
  <si>
    <t>FLA-2024-00393</t>
  </si>
  <si>
    <t>ESS-2025-00104</t>
  </si>
  <si>
    <t>FLA-2024-00274</t>
  </si>
  <si>
    <t>ESS-2025-00122</t>
  </si>
  <si>
    <t>FRA-2025-00143</t>
  </si>
  <si>
    <t>FRA-2025-00326</t>
  </si>
  <si>
    <t>FRA-2024-00193</t>
  </si>
  <si>
    <t>ARO-2025-00127</t>
  </si>
  <si>
    <t>FLA-2024-00220</t>
  </si>
  <si>
    <t>FOO-2024-00324</t>
  </si>
  <si>
    <t>ARO-2024-00337</t>
  </si>
  <si>
    <t>ARO-2024-00257</t>
  </si>
  <si>
    <t>FLA-2025-00390</t>
  </si>
  <si>
    <t>FLA-2024-00062</t>
  </si>
  <si>
    <t>ESS-2025-00028</t>
  </si>
  <si>
    <t>FOO-2024-00125</t>
  </si>
  <si>
    <t>ESS-2025-00278</t>
  </si>
  <si>
    <t>FOO-2025-00105</t>
  </si>
  <si>
    <t>FLA-2025-00240</t>
  </si>
  <si>
    <t>ESS-2025-00015</t>
  </si>
  <si>
    <t>FLA-2024-00072</t>
  </si>
  <si>
    <t>ARO-2025-00161</t>
  </si>
  <si>
    <t>FLA-2024-00031</t>
  </si>
  <si>
    <t>FRA-2024-00165</t>
  </si>
  <si>
    <t>FLA-2024-00349</t>
  </si>
  <si>
    <t>ESS-2024-00208</t>
  </si>
  <si>
    <t>FRA-2025-00350</t>
  </si>
  <si>
    <t>FLA-2024-00061</t>
  </si>
  <si>
    <t>FOO-2024-00273</t>
  </si>
  <si>
    <t>ESS-2025-00335</t>
  </si>
  <si>
    <t>FRA-2025-00018</t>
  </si>
  <si>
    <t>ESS-2025-00292</t>
  </si>
  <si>
    <t>FOO-2025-00382</t>
  </si>
  <si>
    <t>ARO-2024-00215</t>
  </si>
  <si>
    <t>FLA-2024-00236</t>
  </si>
  <si>
    <t>FOO-2024-00157</t>
  </si>
  <si>
    <t>ARO-2024-00351</t>
  </si>
  <si>
    <t>FRA-2024-00399</t>
  </si>
  <si>
    <t>ESS-2024-00325</t>
  </si>
  <si>
    <t>FLA-2024-00216</t>
  </si>
  <si>
    <t>ESS-2024-00243</t>
  </si>
  <si>
    <t>ESS-2025-00239</t>
  </si>
  <si>
    <t>ARO-2024-00318</t>
  </si>
  <si>
    <t>FLA-2024-00121</t>
  </si>
  <si>
    <t>FOO-2024-00317</t>
  </si>
  <si>
    <t>ARO-2024-00092</t>
  </si>
  <si>
    <t>FOO-2025-00264</t>
  </si>
  <si>
    <t>ESS-2024-00434</t>
  </si>
  <si>
    <t>FOO-2025-00199</t>
  </si>
  <si>
    <t>FOO-2024-00057</t>
  </si>
  <si>
    <t>FOO-2024-00332</t>
  </si>
  <si>
    <t>FLA-2025-00109</t>
  </si>
  <si>
    <t>ARO-2024-00266</t>
  </si>
  <si>
    <t>ESS-2025-00141</t>
  </si>
  <si>
    <t>FLA-2025-00162</t>
  </si>
  <si>
    <t>ESS-2024-00428</t>
  </si>
  <si>
    <t>FLA-2024-00281</t>
  </si>
  <si>
    <t>FLA-2025-00173</t>
  </si>
  <si>
    <t>FRA-2024-00033</t>
  </si>
  <si>
    <t>FOO-2025-00182</t>
  </si>
  <si>
    <t>ESS-2024-00321</t>
  </si>
  <si>
    <t>ESS-2024-00370</t>
  </si>
  <si>
    <t>FLA-2025-00201</t>
  </si>
  <si>
    <t>FOO-2025-00396</t>
  </si>
  <si>
    <t>FRA-2024-00117</t>
  </si>
  <si>
    <t>FOO-2024-00260</t>
  </si>
  <si>
    <t>ESS-2025-00305</t>
  </si>
  <si>
    <t>FRA-2024-00371</t>
  </si>
  <si>
    <t>ARO-2024-00016</t>
  </si>
  <si>
    <t>FLA-2024-00415</t>
  </si>
  <si>
    <t>ARO-2025-00076</t>
  </si>
  <si>
    <t>ARO-2024-00300</t>
  </si>
  <si>
    <t>ESS-2025-00087</t>
  </si>
  <si>
    <t>FOO-2024-00342</t>
  </si>
  <si>
    <t>FRA-2024-00040</t>
  </si>
  <si>
    <t>ARO-2025-00411</t>
  </si>
  <si>
    <t>ESS-2024-00202</t>
  </si>
  <si>
    <t>ARO-2024-00188</t>
  </si>
  <si>
    <t>ARO-2024-00120</t>
  </si>
  <si>
    <t>FRA-2024-00269</t>
  </si>
  <si>
    <t>ESS-2024-00299</t>
  </si>
  <si>
    <t>FOO-2025-00360</t>
  </si>
  <si>
    <t>FLA-2025-00422</t>
  </si>
  <si>
    <t>FRA-2025-00407</t>
  </si>
  <si>
    <t>FRA-2024-00069</t>
  </si>
  <si>
    <t>ARO-2025-00073</t>
  </si>
  <si>
    <t>FLA-2025-00283</t>
  </si>
  <si>
    <t>ESS-2024-00262</t>
  </si>
  <si>
    <t>FLA-2025-00115</t>
  </si>
  <si>
    <t>ESS-2025-00387</t>
  </si>
  <si>
    <t>ARO-2025-00225</t>
  </si>
  <si>
    <t>ARO-2025-00232</t>
  </si>
  <si>
    <t>FLA-2024-00128</t>
  </si>
  <si>
    <t>FRA-2024-00385</t>
  </si>
  <si>
    <t>FOO-2024-00131</t>
  </si>
  <si>
    <t>ARO-2025-00227</t>
  </si>
  <si>
    <t>ESS-2024-00437</t>
  </si>
  <si>
    <t>FLA-2024-00029</t>
  </si>
  <si>
    <t>FLA-2025-00058</t>
  </si>
  <si>
    <t>ESS-2024-00345</t>
  </si>
  <si>
    <t>ARO-2025-00066</t>
  </si>
  <si>
    <t>ARO-2024-00176</t>
  </si>
  <si>
    <t>FLA-2025-00019</t>
  </si>
  <si>
    <t>FOO-2024-00206</t>
  </si>
  <si>
    <t>FRA-2025-00020</t>
  </si>
  <si>
    <t>FRA-2024-00187</t>
  </si>
  <si>
    <t>FOO-2025-00007</t>
  </si>
  <si>
    <t>ESS-2025-00375</t>
  </si>
  <si>
    <t>FOO-2025-00410</t>
  </si>
  <si>
    <t>FOO-2025-00446</t>
  </si>
  <si>
    <t>FRA-2025-00439</t>
  </si>
  <si>
    <t>FRA-2024-00032</t>
  </si>
  <si>
    <t>FLA-2024-00306</t>
  </si>
  <si>
    <t>FLA-2025-00421</t>
  </si>
  <si>
    <t>ARO-2024-00242</t>
  </si>
  <si>
    <t>FLA-2024-00254</t>
  </si>
  <si>
    <t>FLA-2025-00222</t>
  </si>
  <si>
    <t>FLA-2024-00037</t>
  </si>
  <si>
    <t>FOO-2024-00200</t>
  </si>
  <si>
    <t>FRA-2024-00250</t>
  </si>
  <si>
    <t>FOO-2025-00362</t>
  </si>
  <si>
    <t>FRA-2024-00038</t>
  </si>
  <si>
    <t>ESS-2024-00178</t>
  </si>
  <si>
    <t>FLA-2024-00091</t>
  </si>
  <si>
    <t>FLA-2024-00364</t>
  </si>
  <si>
    <t>FRA-2025-00277</t>
  </si>
  <si>
    <t>FLA-2024-00271</t>
  </si>
  <si>
    <t>ARO-2024-00111</t>
  </si>
  <si>
    <t>ARO-2025-00435</t>
  </si>
  <si>
    <t>FOO-2024-00445</t>
  </si>
  <si>
    <t>FRA-2024-00021</t>
  </si>
  <si>
    <t>FLA-2025-00414</t>
  </si>
  <si>
    <t>FOO-2024-00175</t>
  </si>
  <si>
    <t>FRA-2024-00347</t>
  </si>
  <si>
    <t>ESS-2025-00378</t>
  </si>
  <si>
    <t>FLA-2025-00217</t>
  </si>
  <si>
    <t>ESS-2025-00144</t>
  </si>
  <si>
    <t>ARO-2025-00424</t>
  </si>
  <si>
    <t>FLA-2025-00044</t>
  </si>
  <si>
    <t>FRA-2024-00124</t>
  </si>
  <si>
    <t>FOO-2024-00205</t>
  </si>
  <si>
    <t>ESS-2025-00142</t>
  </si>
  <si>
    <t>FLA-2024-00272</t>
  </si>
  <si>
    <t>ESS-2025-00213</t>
  </si>
  <si>
    <t>FLA-2024-00139</t>
  </si>
  <si>
    <t>FLA-2025-00135</t>
  </si>
  <si>
    <t>ESS-2025-00022</t>
  </si>
  <si>
    <t>Aroma Chemical</t>
  </si>
  <si>
    <t>Food Ingredient Extract</t>
  </si>
  <si>
    <t>Essential Oil Blend</t>
  </si>
  <si>
    <t>Fragrance Oil</t>
  </si>
  <si>
    <t>Flavor Compound</t>
  </si>
  <si>
    <t>Ashford UK</t>
  </si>
  <si>
    <t>VERNIER</t>
  </si>
  <si>
    <t>East Hanover</t>
  </si>
  <si>
    <t>vernier</t>
  </si>
  <si>
    <t>EAST HANOVER</t>
  </si>
  <si>
    <t>ashford</t>
  </si>
  <si>
    <t>Vernier CH</t>
  </si>
  <si>
    <t>dortmund</t>
  </si>
  <si>
    <t>E. Hanover</t>
  </si>
  <si>
    <t>Budapest</t>
  </si>
  <si>
    <t>Vernier</t>
  </si>
  <si>
    <t>Dortmund</t>
  </si>
  <si>
    <t>Dortmund DE</t>
  </si>
  <si>
    <t>Ashford</t>
  </si>
  <si>
    <t>Budapest Site</t>
  </si>
  <si>
    <t>budapest</t>
  </si>
  <si>
    <t>BUD</t>
  </si>
  <si>
    <t>Residual_Solvent_ppm</t>
  </si>
  <si>
    <t>Density_g_ml</t>
  </si>
  <si>
    <t>Particle_Size_um</t>
  </si>
  <si>
    <t>Purity_Pct</t>
  </si>
  <si>
    <t>Moisture_Pct</t>
  </si>
  <si>
    <t>pH</t>
  </si>
  <si>
    <t>Microbial_Count_CFU_g</t>
  </si>
  <si>
    <t>ppm</t>
  </si>
  <si>
    <t>g/ml</t>
  </si>
  <si>
    <t>um</t>
  </si>
  <si>
    <t>%</t>
  </si>
  <si>
    <t>CFU/g</t>
  </si>
  <si>
    <t>28/02/2024</t>
  </si>
  <si>
    <t>2024-04-17</t>
  </si>
  <si>
    <t>24/09/2025</t>
  </si>
  <si>
    <t>2025-11-21</t>
  </si>
  <si>
    <t>2024-07-15</t>
  </si>
  <si>
    <t>2024-06-03</t>
  </si>
  <si>
    <t>2025-12-17</t>
  </si>
  <si>
    <t>2024-07-28</t>
  </si>
  <si>
    <t>2025-08-12</t>
  </si>
  <si>
    <t>2024-12-29</t>
  </si>
  <si>
    <t>2024-10-12</t>
  </si>
  <si>
    <t>2024-08-26</t>
  </si>
  <si>
    <t>2025-12-25</t>
  </si>
  <si>
    <t>2024-08-25</t>
  </si>
  <si>
    <t>2024-02-29</t>
  </si>
  <si>
    <t>2024-01-03</t>
  </si>
  <si>
    <t>19/06/2025</t>
  </si>
  <si>
    <t>2024-12-28</t>
  </si>
  <si>
    <t>2025-03-24</t>
  </si>
  <si>
    <t>2024-11-17</t>
  </si>
  <si>
    <t>2025-08-18</t>
  </si>
  <si>
    <t>2024-04-27</t>
  </si>
  <si>
    <t>2024-02-08</t>
  </si>
  <si>
    <t>19/11/2024</t>
  </si>
  <si>
    <t>2025-07-15</t>
  </si>
  <si>
    <t>2025-04-22</t>
  </si>
  <si>
    <t>2024-12-17</t>
  </si>
  <si>
    <t>2024-03-23</t>
  </si>
  <si>
    <t>2025-11-08</t>
  </si>
  <si>
    <t>2024-04-04</t>
  </si>
  <si>
    <t>2025-06-16</t>
  </si>
  <si>
    <t>2025-04-27</t>
  </si>
  <si>
    <t>2024-05-19</t>
  </si>
  <si>
    <t>2024-02-28</t>
  </si>
  <si>
    <t>2025-03-23</t>
  </si>
  <si>
    <t>2024-09-08</t>
  </si>
  <si>
    <t>07/07/2025</t>
  </si>
  <si>
    <t>2024-06-09</t>
  </si>
  <si>
    <t>2024-04-16</t>
  </si>
  <si>
    <t>2024-09-29</t>
  </si>
  <si>
    <t>2024-06-18</t>
  </si>
  <si>
    <t>2025-02-15</t>
  </si>
  <si>
    <t>2024-08-06</t>
  </si>
  <si>
    <t>2025-12-29</t>
  </si>
  <si>
    <t>2025-12-06</t>
  </si>
  <si>
    <t>2025-07-31</t>
  </si>
  <si>
    <t>2025-02-07</t>
  </si>
  <si>
    <t>2025-03-27</t>
  </si>
  <si>
    <t>2025-04-04</t>
  </si>
  <si>
    <t>2025-06-23</t>
  </si>
  <si>
    <t>2025-07-07</t>
  </si>
  <si>
    <t>2025-08-15</t>
  </si>
  <si>
    <t>2025-02-27</t>
  </si>
  <si>
    <t>2025-10-20</t>
  </si>
  <si>
    <t>01/10/2024</t>
  </si>
  <si>
    <t>2025-07-06</t>
  </si>
  <si>
    <t>2025-12-08</t>
  </si>
  <si>
    <t>2025-04-19</t>
  </si>
  <si>
    <t>2024-01-09</t>
  </si>
  <si>
    <t>2025-07-26</t>
  </si>
  <si>
    <t>2024-09-09</t>
  </si>
  <si>
    <t>2024-12-12</t>
  </si>
  <si>
    <t>2024-05-04</t>
  </si>
  <si>
    <t>2025-01-29</t>
  </si>
  <si>
    <t>25/10/2025</t>
  </si>
  <si>
    <t>2025-08-16</t>
  </si>
  <si>
    <t>2025-04-30</t>
  </si>
  <si>
    <t>2025-07-22</t>
  </si>
  <si>
    <t>2024-01-13</t>
  </si>
  <si>
    <t>2024-11-14</t>
  </si>
  <si>
    <t>2024-04-10</t>
  </si>
  <si>
    <t>18/11/2025</t>
  </si>
  <si>
    <t>2025-08-05</t>
  </si>
  <si>
    <t>2025-01-11</t>
  </si>
  <si>
    <t>2025-09-24</t>
  </si>
  <si>
    <t>2025-11-12</t>
  </si>
  <si>
    <t>2025-05-12</t>
  </si>
  <si>
    <t>2024-08-30</t>
  </si>
  <si>
    <t>2024-08-13</t>
  </si>
  <si>
    <t>2025-08-20</t>
  </si>
  <si>
    <t>2024-09-07</t>
  </si>
  <si>
    <t>2024-01-25</t>
  </si>
  <si>
    <t>2025-06-17</t>
  </si>
  <si>
    <t>2024-04-03</t>
  </si>
  <si>
    <t>2025-06-18</t>
  </si>
  <si>
    <t>2024-06-17</t>
  </si>
  <si>
    <t>2025-09-15</t>
  </si>
  <si>
    <t>2024-05-01</t>
  </si>
  <si>
    <t>2025-12-22</t>
  </si>
  <si>
    <t>2025-10-29</t>
  </si>
  <si>
    <t>2024-10-08</t>
  </si>
  <si>
    <t>2024-03-07</t>
  </si>
  <si>
    <t>2024-04-06</t>
  </si>
  <si>
    <t>2024-12-07</t>
  </si>
  <si>
    <t>2024-03-11</t>
  </si>
  <si>
    <t>2024-10-31</t>
  </si>
  <si>
    <t>2024-09-12</t>
  </si>
  <si>
    <t>2025-12-02</t>
  </si>
  <si>
    <t>2024-02-23</t>
  </si>
  <si>
    <t>2025-10-01</t>
  </si>
  <si>
    <t>2024-03-25</t>
  </si>
  <si>
    <t>2025-10-21</t>
  </si>
  <si>
    <t>2024-11-19</t>
  </si>
  <si>
    <t>2024-12-08</t>
  </si>
  <si>
    <t>2024-02-26</t>
  </si>
  <si>
    <t>11/04/2024</t>
  </si>
  <si>
    <t>2025-02-02</t>
  </si>
  <si>
    <t>2025-01-14</t>
  </si>
  <si>
    <t>2025-11-13</t>
  </si>
  <si>
    <t>2025-11-18</t>
  </si>
  <si>
    <t>2025-03-17</t>
  </si>
  <si>
    <t>15/03/2024</t>
  </si>
  <si>
    <t>2025-05-11</t>
  </si>
  <si>
    <t>2024-09-30</t>
  </si>
  <si>
    <t>2024-11-21</t>
  </si>
  <si>
    <t>2025-10-13</t>
  </si>
  <si>
    <t>2024-09-26</t>
  </si>
  <si>
    <t>20/07/2024</t>
  </si>
  <si>
    <t>2025-05-28</t>
  </si>
  <si>
    <t>2025-03-05</t>
  </si>
  <si>
    <t>2025-09-04</t>
  </si>
  <si>
    <t>2025-01-04</t>
  </si>
  <si>
    <t>2025-03-31</t>
  </si>
  <si>
    <t>2024-01-04</t>
  </si>
  <si>
    <t>2025-08-22</t>
  </si>
  <si>
    <t>2025-10-06</t>
  </si>
  <si>
    <t>2025-10-12</t>
  </si>
  <si>
    <t>2024-09-05</t>
  </si>
  <si>
    <t>2024-12-09</t>
  </si>
  <si>
    <t>2025-06-11</t>
  </si>
  <si>
    <t>2024-07-03</t>
  </si>
  <si>
    <t>2024-03-20</t>
  </si>
  <si>
    <t>2025-07-02</t>
  </si>
  <si>
    <t>2025-09-16</t>
  </si>
  <si>
    <t>2025-05-10</t>
  </si>
  <si>
    <t>2024-02-12</t>
  </si>
  <si>
    <t>2025-10-28</t>
  </si>
  <si>
    <t>2024-06-02</t>
  </si>
  <si>
    <t>2024-02-27</t>
  </si>
  <si>
    <t>2024-04-22</t>
  </si>
  <si>
    <t>2024-10-30</t>
  </si>
  <si>
    <t>2024-04-11</t>
  </si>
  <si>
    <t>2024-08-07</t>
  </si>
  <si>
    <t>2025-11-02</t>
  </si>
  <si>
    <t>2025-10-10</t>
  </si>
  <si>
    <t>2025-02-10</t>
  </si>
  <si>
    <t>2025-09-12</t>
  </si>
  <si>
    <t>2025-08-17</t>
  </si>
  <si>
    <t>2025-11-09</t>
  </si>
  <si>
    <t>2024-08-24</t>
  </si>
  <si>
    <t>2024-09-23</t>
  </si>
  <si>
    <t>06/10/2024</t>
  </si>
  <si>
    <t>2025-03-21</t>
  </si>
  <si>
    <t>2024-12-03</t>
  </si>
  <si>
    <t>2024-06-10</t>
  </si>
  <si>
    <t>2024-11-13</t>
  </si>
  <si>
    <t>2025-09-21</t>
  </si>
  <si>
    <t>2024-01-21</t>
  </si>
  <si>
    <t>2024-08-16</t>
  </si>
  <si>
    <t>2025-06-08</t>
  </si>
  <si>
    <t>2025-02-05</t>
  </si>
  <si>
    <t>2024-12-23</t>
  </si>
  <si>
    <t>2024-07-27</t>
  </si>
  <si>
    <t>2025-01-24</t>
  </si>
  <si>
    <t>2025-06-02</t>
  </si>
  <si>
    <t>2025-01-05</t>
  </si>
  <si>
    <t>2025-06-22</t>
  </si>
  <si>
    <t>14/10/2024</t>
  </si>
  <si>
    <t>2025-12-11</t>
  </si>
  <si>
    <t>2025-02-03</t>
  </si>
  <si>
    <t>30/09/2024</t>
  </si>
  <si>
    <t>2024-05-16</t>
  </si>
  <si>
    <t>2024-07-10</t>
  </si>
  <si>
    <t>2024-09-17</t>
  </si>
  <si>
    <t>2024-12-19</t>
  </si>
  <si>
    <t>2024-10-23</t>
  </si>
  <si>
    <t>2025-07-16</t>
  </si>
  <si>
    <t>09/01/2024</t>
  </si>
  <si>
    <t>2025-02-16</t>
  </si>
  <si>
    <t>16/07/2025</t>
  </si>
  <si>
    <t>2024-07-26</t>
  </si>
  <si>
    <t>2025-10-17</t>
  </si>
  <si>
    <t>2025-09-11</t>
  </si>
  <si>
    <t>2025-06-06</t>
  </si>
  <si>
    <t>2025-03-20</t>
  </si>
  <si>
    <t>2024-08-01</t>
  </si>
  <si>
    <t>2025-01-16</t>
  </si>
  <si>
    <t>2025-10-30</t>
  </si>
  <si>
    <t>2024-06-06</t>
  </si>
  <si>
    <t>2025-03-08</t>
  </si>
  <si>
    <t>2025-05-14</t>
  </si>
  <si>
    <t>2025-10-15</t>
  </si>
  <si>
    <t>2025-08-04</t>
  </si>
  <si>
    <t>2024-03-17</t>
  </si>
  <si>
    <t>2024-11-25</t>
  </si>
  <si>
    <t>2024-11-30</t>
  </si>
  <si>
    <t>2024-01-26</t>
  </si>
  <si>
    <t>2024-07-23</t>
  </si>
  <si>
    <t>2024-08-12</t>
  </si>
  <si>
    <t>2025-06-05</t>
  </si>
  <si>
    <t>2025-11-29</t>
  </si>
  <si>
    <t>2024-09-18</t>
  </si>
  <si>
    <t>2024-09-01</t>
  </si>
  <si>
    <t>2025-02-09</t>
  </si>
  <si>
    <t>2024-02-18</t>
  </si>
  <si>
    <t>2025-05-04</t>
  </si>
  <si>
    <t>2025-06-25</t>
  </si>
  <si>
    <t>2025-06-13</t>
  </si>
  <si>
    <t>2024-05-29</t>
  </si>
  <si>
    <t>2024-01-16</t>
  </si>
  <si>
    <t>2025-10-26</t>
  </si>
  <si>
    <t>26/11/2025</t>
  </si>
  <si>
    <t>2025-01-13</t>
  </si>
  <si>
    <t>18/06/2024</t>
  </si>
  <si>
    <t>2024-02-22</t>
  </si>
  <si>
    <t>2024-06-08</t>
  </si>
  <si>
    <t>2025-01-19</t>
  </si>
  <si>
    <t>2024-10-14</t>
  </si>
  <si>
    <t>31/07/2025</t>
  </si>
  <si>
    <t>2025-08-14</t>
  </si>
  <si>
    <t>2025-07-25</t>
  </si>
  <si>
    <t>2024-11-27</t>
  </si>
  <si>
    <t>02/01/2025</t>
  </si>
  <si>
    <t>18/05/2025</t>
  </si>
  <si>
    <t>2024-08-17</t>
  </si>
  <si>
    <t>2025-12-04</t>
  </si>
  <si>
    <t>2024-03-16</t>
  </si>
  <si>
    <t>2025-05-22</t>
  </si>
  <si>
    <t>2024-10-18</t>
  </si>
  <si>
    <t>2025-01-23</t>
  </si>
  <si>
    <t>2024-12-31</t>
  </si>
  <si>
    <t>2025-09-10</t>
  </si>
  <si>
    <t>2024-08-09</t>
  </si>
  <si>
    <t>2025-01-28</t>
  </si>
  <si>
    <t>2024-10-22</t>
  </si>
  <si>
    <t>2025-01-01</t>
  </si>
  <si>
    <t>2024-07-12</t>
  </si>
  <si>
    <t>2025-04-12</t>
  </si>
  <si>
    <t>2024-07-14</t>
  </si>
  <si>
    <t>2024-06-05</t>
  </si>
  <si>
    <t>2025-08-25</t>
  </si>
  <si>
    <t>2024-02-04</t>
  </si>
  <si>
    <t>16/04/2025</t>
  </si>
  <si>
    <t>2024-12-20</t>
  </si>
  <si>
    <t>2024-09-25</t>
  </si>
  <si>
    <t>2025-11-16</t>
  </si>
  <si>
    <t>2025-05-23</t>
  </si>
  <si>
    <t>2024-02-01</t>
  </si>
  <si>
    <t>2024-08-04</t>
  </si>
  <si>
    <t>2025-04-29</t>
  </si>
  <si>
    <t>01/08/2025</t>
  </si>
  <si>
    <t>09/09/2025</t>
  </si>
  <si>
    <t>2024-11-26</t>
  </si>
  <si>
    <t>2025-05-20</t>
  </si>
  <si>
    <t>08/04/2024</t>
  </si>
  <si>
    <t>2025-03-26</t>
  </si>
  <si>
    <t>2025-12-20</t>
  </si>
  <si>
    <t>2024-08-20</t>
  </si>
  <si>
    <t>2025-05-09</t>
  </si>
  <si>
    <t>2024-06-15</t>
  </si>
  <si>
    <t>2024-07-04</t>
  </si>
  <si>
    <t>2024-07-20</t>
  </si>
  <si>
    <t>2024-07-18</t>
  </si>
  <si>
    <t>2024-10-06</t>
  </si>
  <si>
    <t>2025-06-20</t>
  </si>
  <si>
    <t>2025-02-11</t>
  </si>
  <si>
    <t>2025-11-26</t>
  </si>
  <si>
    <t>2025-02-22</t>
  </si>
  <si>
    <t>2025-07-11</t>
  </si>
  <si>
    <t>22/07/2025</t>
  </si>
  <si>
    <t>25/08/2024</t>
  </si>
  <si>
    <t>2024-11-04</t>
  </si>
  <si>
    <t>2025-12-28</t>
  </si>
  <si>
    <t>10/02/2025</t>
  </si>
  <si>
    <t>2024-05-07</t>
  </si>
  <si>
    <t>04/01/2025</t>
  </si>
  <si>
    <t>2024-09-10</t>
  </si>
  <si>
    <t>2024-01-20</t>
  </si>
  <si>
    <t>2025-08-21</t>
  </si>
  <si>
    <t>2025-06-04</t>
  </si>
  <si>
    <t>2024-08-27</t>
  </si>
  <si>
    <t>2024-03-28</t>
  </si>
  <si>
    <t>2024-01-27</t>
  </si>
  <si>
    <t>2024-04-19</t>
  </si>
  <si>
    <t>23/07/2024</t>
  </si>
  <si>
    <t>2024-11-09</t>
  </si>
  <si>
    <t>23/11/2025</t>
  </si>
  <si>
    <t>2024-11-02</t>
  </si>
  <si>
    <t>2025-04-18</t>
  </si>
  <si>
    <t>2025-04-02</t>
  </si>
  <si>
    <t>2024-10-09</t>
  </si>
  <si>
    <t>18/07/2024</t>
  </si>
  <si>
    <t>2024-08-05</t>
  </si>
  <si>
    <t>12/08/2024</t>
  </si>
  <si>
    <t>2025-05-02</t>
  </si>
  <si>
    <t>2024-01-29</t>
  </si>
  <si>
    <t>22/02/2024</t>
  </si>
  <si>
    <t>2025-05-17</t>
  </si>
  <si>
    <t>2024-09-20</t>
  </si>
  <si>
    <t>2025-12-12</t>
  </si>
  <si>
    <t>2024-08-15</t>
  </si>
  <si>
    <t>2025-10-23</t>
  </si>
  <si>
    <t>2024-07-21</t>
  </si>
  <si>
    <t>2024-05-15</t>
  </si>
  <si>
    <t>29/10/2025</t>
  </si>
  <si>
    <t>2025-05-03</t>
  </si>
  <si>
    <t>2024-04-12</t>
  </si>
  <si>
    <t>2024-02-20</t>
  </si>
  <si>
    <t>2024-03-04</t>
  </si>
  <si>
    <t>2024-02-25</t>
  </si>
  <si>
    <t>2024-09-19</t>
  </si>
  <si>
    <t>2025-10-25</t>
  </si>
  <si>
    <t>2025-05-13</t>
  </si>
  <si>
    <t>2024-10-01</t>
  </si>
  <si>
    <t>2024-02-14</t>
  </si>
  <si>
    <t>2024-09-11</t>
  </si>
  <si>
    <t>2025-04-16</t>
  </si>
  <si>
    <t>2025-06-19</t>
  </si>
  <si>
    <t>2025-09-23</t>
  </si>
  <si>
    <t>29/05/2024</t>
  </si>
  <si>
    <t>2025-04-20</t>
  </si>
  <si>
    <t>2024-05-24</t>
  </si>
  <si>
    <t>2025-08-01</t>
  </si>
  <si>
    <t>2025-11-04</t>
  </si>
  <si>
    <t>2025-01-02</t>
  </si>
  <si>
    <t>2025-01-12</t>
  </si>
  <si>
    <t>2025-01-03</t>
  </si>
  <si>
    <t>2024-07-06</t>
  </si>
  <si>
    <t>04/11/2025</t>
  </si>
  <si>
    <t>2024-10-02</t>
  </si>
  <si>
    <t>23/12/2024</t>
  </si>
  <si>
    <t>2025-09-26</t>
  </si>
  <si>
    <t>12/10/2025</t>
  </si>
  <si>
    <t>2024-08-23</t>
  </si>
  <si>
    <t>2025-02-14</t>
  </si>
  <si>
    <t>2025-06-24</t>
  </si>
  <si>
    <t>2025-09-09</t>
  </si>
  <si>
    <t>2024-11-16</t>
  </si>
  <si>
    <t>2025-10-07</t>
  </si>
  <si>
    <t>2025-11-22</t>
  </si>
  <si>
    <t>2024-11-22</t>
  </si>
  <si>
    <t>2025-11-01</t>
  </si>
  <si>
    <t>28/10/2025</t>
  </si>
  <si>
    <t>2024-09-04</t>
  </si>
  <si>
    <t>2024-09-21</t>
  </si>
  <si>
    <t>2025-06-26</t>
  </si>
  <si>
    <t>2024-10-25</t>
  </si>
  <si>
    <t>2024-02-21</t>
  </si>
  <si>
    <t>24/11/2024</t>
  </si>
  <si>
    <t>16/08/2024</t>
  </si>
  <si>
    <t>2025-02-26</t>
  </si>
  <si>
    <t>2024-11-24</t>
  </si>
  <si>
    <t>25/10/2024</t>
  </si>
  <si>
    <t>2024-06-19</t>
  </si>
  <si>
    <t>2024-06-14</t>
  </si>
  <si>
    <t>2024-07-30</t>
  </si>
  <si>
    <t>23/06/2025</t>
  </si>
  <si>
    <t>08/06/2024</t>
  </si>
  <si>
    <t>2024-08-02</t>
  </si>
  <si>
    <t>2025-05-29</t>
  </si>
  <si>
    <t>23/01/2025</t>
  </si>
  <si>
    <t>2024-02-10</t>
  </si>
  <si>
    <t>26/07/2024</t>
  </si>
  <si>
    <t>04/03/2024</t>
  </si>
  <si>
    <t>2024-03-15</t>
  </si>
  <si>
    <t>24/01/2025</t>
  </si>
  <si>
    <t>06/10/2025</t>
  </si>
  <si>
    <t>2024-09-14</t>
  </si>
  <si>
    <t>13/06/2025</t>
  </si>
  <si>
    <t>29/09/2024</t>
  </si>
  <si>
    <t>27/03/2025</t>
  </si>
  <si>
    <t>2025-05-18</t>
  </si>
  <si>
    <t>27/04/2025</t>
  </si>
  <si>
    <t>2025-11-23</t>
  </si>
  <si>
    <t>2024-11-10</t>
  </si>
  <si>
    <t>2024-08-29</t>
  </si>
  <si>
    <t>2025-10-16</t>
  </si>
  <si>
    <t>10/05/2025</t>
  </si>
  <si>
    <t>2025-03-09</t>
  </si>
  <si>
    <t>2025-12-30</t>
  </si>
  <si>
    <t>2025-08-19</t>
  </si>
  <si>
    <t>26/02/2025</t>
  </si>
  <si>
    <t>16/01/2024</t>
  </si>
  <si>
    <t>2025-08-13</t>
  </si>
  <si>
    <t>02/11/2024</t>
  </si>
  <si>
    <t>10/09/2025</t>
  </si>
  <si>
    <t>2024-04-08</t>
  </si>
  <si>
    <t>25/03/2024</t>
  </si>
  <si>
    <t>2024-08-22</t>
  </si>
  <si>
    <t>2024-03-01</t>
  </si>
  <si>
    <t>21/08/2025</t>
  </si>
  <si>
    <t>2025-03-19</t>
  </si>
  <si>
    <t>09/06/2024</t>
  </si>
  <si>
    <t>30/08/2024</t>
  </si>
  <si>
    <t>15/06/2024</t>
  </si>
  <si>
    <t>22/12/2025</t>
  </si>
  <si>
    <t>02/07/2025</t>
  </si>
  <si>
    <t>14/06/2024</t>
  </si>
  <si>
    <t>2024-07-29</t>
  </si>
  <si>
    <t>2025-11-27</t>
  </si>
  <si>
    <t>22/02/2025</t>
  </si>
  <si>
    <t>04/09/2025</t>
  </si>
  <si>
    <t>10/11/2024</t>
  </si>
  <si>
    <t>12/04/2025</t>
  </si>
  <si>
    <t>21/03/2025</t>
  </si>
  <si>
    <t>20/12/2024</t>
  </si>
  <si>
    <t>30/07/2024</t>
  </si>
  <si>
    <t>12/05/2025</t>
  </si>
  <si>
    <t>05/09/2024</t>
  </si>
  <si>
    <t>02/06/2025</t>
  </si>
  <si>
    <t>15/07/2024</t>
  </si>
  <si>
    <t>23/08/2024</t>
  </si>
  <si>
    <t>29/08/2024</t>
  </si>
  <si>
    <t>04/07/2024</t>
  </si>
  <si>
    <t>15/09/2025</t>
  </si>
  <si>
    <t>23/05/2025</t>
  </si>
  <si>
    <t>26/09/2025</t>
  </si>
  <si>
    <t>30/04/2025</t>
  </si>
  <si>
    <t>17/04/2024</t>
  </si>
  <si>
    <t>22/11/2024</t>
  </si>
  <si>
    <t>11/06/2025</t>
  </si>
  <si>
    <t>29/12/2025</t>
  </si>
  <si>
    <t>19/09/2024</t>
  </si>
  <si>
    <t>06/07/2024</t>
  </si>
  <si>
    <t>05/03/2025</t>
  </si>
  <si>
    <t>13/05/2025</t>
  </si>
  <si>
    <t>19/01/2025</t>
  </si>
  <si>
    <t>04/05/2025</t>
  </si>
  <si>
    <t>26/07/2025</t>
  </si>
  <si>
    <t>18/04/2025</t>
  </si>
  <si>
    <t>14/11/2024</t>
  </si>
  <si>
    <t>16/01/2025</t>
  </si>
  <si>
    <t>A. Kovacs</t>
  </si>
  <si>
    <t>J NAGY</t>
  </si>
  <si>
    <t>S. Fischer</t>
  </si>
  <si>
    <t>M. Toth</t>
  </si>
  <si>
    <t>K. Varga</t>
  </si>
  <si>
    <t>m. toth</t>
  </si>
  <si>
    <t>P. Meier</t>
  </si>
  <si>
    <t>T. Weber</t>
  </si>
  <si>
    <t>J. Nagy</t>
  </si>
  <si>
    <t>L. Rossi</t>
  </si>
  <si>
    <t>Row Labels</t>
  </si>
  <si>
    <t>(blank)</t>
  </si>
  <si>
    <t>Grand Total</t>
  </si>
  <si>
    <t>Count of Product_Line</t>
  </si>
  <si>
    <t>Count of Site</t>
  </si>
  <si>
    <t>Count of Test_Type</t>
  </si>
  <si>
    <t>Count of Analyst</t>
  </si>
  <si>
    <t>original value</t>
  </si>
  <si>
    <t>standardized value</t>
  </si>
  <si>
    <t>Site_Helper</t>
  </si>
  <si>
    <t>ASHFORD</t>
  </si>
  <si>
    <t>ASHFORD UK</t>
  </si>
  <si>
    <t>BUDAPEST</t>
  </si>
  <si>
    <t>BUDAPEST SITE</t>
  </si>
  <si>
    <t>DORTMUND</t>
  </si>
  <si>
    <t>DORTMUND DE</t>
  </si>
  <si>
    <t>E. HANOVER</t>
  </si>
  <si>
    <t>VERNIER CH</t>
  </si>
  <si>
    <t>Helper_Date</t>
  </si>
  <si>
    <t>Result_Exists</t>
  </si>
  <si>
    <t>Result_Pass</t>
  </si>
  <si>
    <t>Batch_Result</t>
  </si>
  <si>
    <t>Column Labels</t>
  </si>
  <si>
    <t>Fail</t>
  </si>
  <si>
    <t>Pass</t>
  </si>
  <si>
    <t>Pending</t>
  </si>
  <si>
    <t>Distinct Count of Batch_ID</t>
  </si>
  <si>
    <t xml:space="preserve"> </t>
  </si>
  <si>
    <t>Missing</t>
  </si>
  <si>
    <t>Count of Sample_ID</t>
  </si>
  <si>
    <t>Pass Rate</t>
  </si>
  <si>
    <t>Aggregated_Batch_Result</t>
  </si>
  <si>
    <t>Earliest_Test_Date</t>
  </si>
  <si>
    <t>Product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</si>
</sst>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0" tint="-0.34998626667073579"/>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theme="4" tint="0.3999755851924192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2" fillId="0" borderId="0" applyFont="0" applyFill="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0" fontId="0" fillId="0" borderId="5" xfId="0" applyBorder="1" applyAlignment="1">
      <alignment horizontal="left"/>
    </xf>
    <xf numFmtId="0" fontId="0" fillId="0" borderId="7" xfId="0" applyBorder="1" applyAlignment="1">
      <alignment horizontal="left"/>
    </xf>
    <xf numFmtId="0" fontId="1" fillId="2" borderId="2" xfId="0" applyFont="1" applyFill="1" applyBorder="1"/>
    <xf numFmtId="0" fontId="1" fillId="2" borderId="3" xfId="0" applyFont="1" applyFill="1" applyBorder="1"/>
    <xf numFmtId="0" fontId="0" fillId="0" borderId="4" xfId="0" applyBorder="1"/>
    <xf numFmtId="0" fontId="0" fillId="0" borderId="6" xfId="0" applyBorder="1"/>
    <xf numFmtId="17" fontId="0" fillId="0" borderId="0" xfId="0" applyNumberFormat="1"/>
    <xf numFmtId="10" fontId="0" fillId="0" borderId="0" xfId="0" applyNumberFormat="1"/>
    <xf numFmtId="0" fontId="1" fillId="3" borderId="0" xfId="0" applyFont="1" applyFill="1"/>
    <xf numFmtId="0" fontId="1" fillId="3" borderId="8" xfId="0" applyFont="1" applyFill="1" applyBorder="1"/>
    <xf numFmtId="0" fontId="0" fillId="4" borderId="11" xfId="0" applyFill="1" applyBorder="1"/>
    <xf numFmtId="0" fontId="0" fillId="4" borderId="12" xfId="0" applyFill="1" applyBorder="1"/>
    <xf numFmtId="0" fontId="0" fillId="4" borderId="13" xfId="0" applyFill="1" applyBorder="1"/>
    <xf numFmtId="0" fontId="0" fillId="5" borderId="9" xfId="0" applyFill="1" applyBorder="1"/>
    <xf numFmtId="0" fontId="0" fillId="5" borderId="1" xfId="0" applyFill="1" applyBorder="1"/>
    <xf numFmtId="17" fontId="0" fillId="5" borderId="1" xfId="0" applyNumberFormat="1" applyFill="1" applyBorder="1"/>
    <xf numFmtId="0" fontId="0" fillId="5" borderId="10" xfId="0" applyFill="1" applyBorder="1"/>
    <xf numFmtId="0" fontId="0" fillId="5" borderId="14" xfId="0" applyFill="1" applyBorder="1"/>
    <xf numFmtId="0" fontId="0" fillId="5" borderId="15" xfId="0" applyFill="1" applyBorder="1"/>
    <xf numFmtId="17" fontId="0" fillId="5" borderId="15" xfId="0" applyNumberFormat="1" applyFill="1" applyBorder="1"/>
    <xf numFmtId="0" fontId="0" fillId="5" borderId="16" xfId="0" applyFill="1" applyBorder="1"/>
    <xf numFmtId="9" fontId="0" fillId="0" borderId="0" xfId="1" applyFont="1"/>
    <xf numFmtId="9" fontId="1" fillId="3" borderId="0" xfId="1" applyFont="1" applyFill="1"/>
    <xf numFmtId="0" fontId="0" fillId="0" borderId="0" xfId="0" applyNumberFormat="1"/>
    <xf numFmtId="14" fontId="0" fillId="0" borderId="0" xfId="0" applyNumberFormat="1"/>
  </cellXfs>
  <cellStyles count="2">
    <cellStyle name="Normal" xfId="0" builtinId="0"/>
    <cellStyle name="Percent" xfId="1" builtinId="5"/>
  </cellStyles>
  <dxfs count="23">
    <dxf>
      <numFmt numFmtId="0" formatCode="General"/>
    </dxf>
    <dxf>
      <numFmt numFmtId="0" formatCode="General"/>
    </dxf>
    <dxf>
      <numFmt numFmtId="19" formatCode="dd/mm/yyyy"/>
    </dxf>
    <dxf>
      <numFmt numFmtId="0" formatCode="General"/>
    </dxf>
    <dxf>
      <fill>
        <patternFill patternType="solid">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numFmt numFmtId="22" formatCode="mmm\-yy"/>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ill>
        <patternFill patternType="solid">
          <fgColor indexed="64"/>
          <bgColor theme="0"/>
        </patternFill>
      </fill>
    </dxf>
    <dxf>
      <border>
        <bottom style="thin">
          <color indexed="64"/>
        </bottom>
      </border>
    </dxf>
    <dxf>
      <fill>
        <patternFill patternType="solid">
          <fgColor indexed="64"/>
          <bgColor theme="0" tint="-0.34998626667073579"/>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6</xdr:col>
      <xdr:colOff>25400</xdr:colOff>
      <xdr:row>3</xdr:row>
      <xdr:rowOff>177800</xdr:rowOff>
    </xdr:from>
    <xdr:to>
      <xdr:col>9</xdr:col>
      <xdr:colOff>25400</xdr:colOff>
      <xdr:row>17</xdr:row>
      <xdr:rowOff>123825</xdr:rowOff>
    </xdr:to>
    <mc:AlternateContent xmlns:mc="http://schemas.openxmlformats.org/markup-compatibility/2006" xmlns:a14="http://schemas.microsoft.com/office/drawing/2010/main">
      <mc:Choice Requires="a14">
        <xdr:graphicFrame macro="">
          <xdr:nvGraphicFramePr>
            <xdr:cNvPr id="2" name="Product_Line">
              <a:extLst>
                <a:ext uri="{FF2B5EF4-FFF2-40B4-BE49-F238E27FC236}">
                  <a16:creationId xmlns:a16="http://schemas.microsoft.com/office/drawing/2014/main" id="{9171DF49-DBFF-03A8-49D7-BD20F12C281D}"/>
                </a:ext>
              </a:extLst>
            </xdr:cNvPr>
            <xdr:cNvGraphicFramePr/>
          </xdr:nvGraphicFramePr>
          <xdr:xfrm>
            <a:off x="0" y="0"/>
            <a:ext cx="0" cy="0"/>
          </xdr:xfrm>
          <a:graphic>
            <a:graphicData uri="http://schemas.microsoft.com/office/drawing/2010/slicer">
              <sle:slicer xmlns:sle="http://schemas.microsoft.com/office/drawing/2010/slicer" name="Product_Line"/>
            </a:graphicData>
          </a:graphic>
        </xdr:graphicFrame>
      </mc:Choice>
      <mc:Fallback xmlns="">
        <xdr:sp macro="" textlink="">
          <xdr:nvSpPr>
            <xdr:cNvPr id="0" name=""/>
            <xdr:cNvSpPr>
              <a:spLocks noTextEdit="1"/>
            </xdr:cNvSpPr>
          </xdr:nvSpPr>
          <xdr:spPr>
            <a:xfrm>
              <a:off x="5073650" y="7302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146050</xdr:colOff>
      <xdr:row>4</xdr:row>
      <xdr:rowOff>6350</xdr:rowOff>
    </xdr:from>
    <xdr:to>
      <xdr:col>12</xdr:col>
      <xdr:colOff>146050</xdr:colOff>
      <xdr:row>17</xdr:row>
      <xdr:rowOff>136525</xdr:rowOff>
    </xdr:to>
    <mc:AlternateContent xmlns:mc="http://schemas.openxmlformats.org/markup-compatibility/2006" xmlns:a14="http://schemas.microsoft.com/office/drawing/2010/main">
      <mc:Choice Requires="a14">
        <xdr:graphicFrame macro="">
          <xdr:nvGraphicFramePr>
            <xdr:cNvPr id="3" name="Test_Type">
              <a:extLst>
                <a:ext uri="{FF2B5EF4-FFF2-40B4-BE49-F238E27FC236}">
                  <a16:creationId xmlns:a16="http://schemas.microsoft.com/office/drawing/2014/main" id="{6C4352A6-91AC-0FCC-879D-AE344D68523E}"/>
                </a:ext>
              </a:extLst>
            </xdr:cNvPr>
            <xdr:cNvGraphicFramePr/>
          </xdr:nvGraphicFramePr>
          <xdr:xfrm>
            <a:off x="0" y="0"/>
            <a:ext cx="0" cy="0"/>
          </xdr:xfrm>
          <a:graphic>
            <a:graphicData uri="http://schemas.microsoft.com/office/drawing/2010/slicer">
              <sle:slicer xmlns:sle="http://schemas.microsoft.com/office/drawing/2010/slicer" name="Test_Type"/>
            </a:graphicData>
          </a:graphic>
        </xdr:graphicFrame>
      </mc:Choice>
      <mc:Fallback xmlns="">
        <xdr:sp macro="" textlink="">
          <xdr:nvSpPr>
            <xdr:cNvPr id="0" name=""/>
            <xdr:cNvSpPr>
              <a:spLocks noTextEdit="1"/>
            </xdr:cNvSpPr>
          </xdr:nvSpPr>
          <xdr:spPr>
            <a:xfrm>
              <a:off x="7023100" y="7429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itaRos" refreshedDate="46237.743466666667" createdVersion="8" refreshedVersion="8" minRefreshableVersion="3" recordCount="2016" xr:uid="{5DA2F1A0-CF69-4B61-9EDE-4D3D3C75C8A3}">
  <cacheSource type="worksheet">
    <worksheetSource ref="A1:M1048576" sheet="Raw_LIMS_Export"/>
  </cacheSource>
  <cacheFields count="11">
    <cacheField name="Sample_ID" numFmtId="0">
      <sharedItems containsBlank="1"/>
    </cacheField>
    <cacheField name="Batch_ID" numFmtId="0">
      <sharedItems containsBlank="1"/>
    </cacheField>
    <cacheField name="Product_Line" numFmtId="0">
      <sharedItems containsBlank="1" count="6">
        <s v="Aroma Chemical"/>
        <s v="Food Ingredient Extract"/>
        <s v="Essential Oil Blend"/>
        <s v="Fragrance Oil"/>
        <s v="Flavor Compound"/>
        <m/>
      </sharedItems>
    </cacheField>
    <cacheField name="Site" numFmtId="0">
      <sharedItems containsBlank="1" count="12">
        <s v="Ashford UK"/>
        <s v="VERNIER"/>
        <s v="East Hanover"/>
        <s v="ashford"/>
        <s v="Vernier CH"/>
        <s v="dortmund"/>
        <s v="E. Hanover"/>
        <s v="Budapest"/>
        <s v="Dortmund DE"/>
        <s v="Budapest Site"/>
        <s v="BUD"/>
        <m/>
      </sharedItems>
    </cacheField>
    <cacheField name="Test_Type" numFmtId="0">
      <sharedItems containsBlank="1" count="8">
        <s v="Residual_Solvent_ppm"/>
        <s v="Density_g_ml"/>
        <s v="Particle_Size_um"/>
        <s v="Purity_Pct"/>
        <s v="Moisture_Pct"/>
        <s v="pH"/>
        <s v="Microbial_Count_CFU_g"/>
        <m/>
      </sharedItems>
    </cacheField>
    <cacheField name="Result_Value" numFmtId="0">
      <sharedItems containsString="0" containsBlank="1" containsNumber="1" minValue="-75" maxValue="520" count="1195">
        <n v="18.09"/>
        <n v="0.92"/>
        <n v="224.54"/>
        <n v="97.98"/>
        <n v="95.2"/>
        <n v="227.62"/>
        <n v="0.38"/>
        <n v="318.47000000000003"/>
        <n v="98.21"/>
        <n v="33.35"/>
        <n v="97.78"/>
        <n v="0.37"/>
        <n v="34.119999999999997"/>
        <n v="48.04"/>
        <n v="6.7"/>
        <n v="101.8"/>
        <n v="184.37"/>
        <n v="0.9"/>
        <n v="239.92"/>
        <n v="0.34"/>
        <n v="41.98"/>
        <n v="4.6900000000000004"/>
        <n v="-25"/>
        <n v="0.31"/>
        <m/>
        <n v="215.63"/>
        <n v="253.19"/>
        <n v="45.4"/>
        <n v="97.88"/>
        <n v="0.4"/>
        <n v="50.68"/>
        <n v="244.91"/>
        <n v="6.76"/>
        <n v="0.89"/>
        <n v="98.67"/>
        <n v="0.79"/>
        <n v="0.21"/>
        <n v="98.78"/>
        <n v="-27.76"/>
        <n v="30.04"/>
        <n v="231.5"/>
        <n v="14.22"/>
        <n v="45.13"/>
        <n v="98.61"/>
        <n v="0.11"/>
        <n v="4.34"/>
        <n v="0.86"/>
        <n v="325.49"/>
        <n v="520"/>
        <n v="0.54"/>
        <n v="0.2"/>
        <n v="98.92"/>
        <n v="0.36"/>
        <n v="246.32"/>
        <n v="-50.75"/>
        <n v="23.3"/>
        <n v="-21.13"/>
        <n v="0.46"/>
        <n v="7.06"/>
        <n v="0.44"/>
        <n v="18.95"/>
        <n v="52.51"/>
        <n v="0.41"/>
        <n v="34.86"/>
        <n v="65.31"/>
        <n v="6.37"/>
        <n v="237.51"/>
        <n v="54.35"/>
        <n v="242.7"/>
        <n v="98.76"/>
        <n v="-13.42"/>
        <n v="40.64"/>
        <n v="239.96"/>
        <n v="7.19"/>
        <n v="308.02999999999997"/>
        <n v="0.93"/>
        <n v="-1.3"/>
        <n v="13.81"/>
        <n v="28.51"/>
        <n v="6.05"/>
        <n v="0.94"/>
        <n v="0.56999999999999995"/>
        <n v="0.45"/>
        <n v="0.57999999999999996"/>
        <n v="98.9"/>
        <n v="0.96"/>
        <n v="99.01"/>
        <n v="98.96"/>
        <n v="-75"/>
        <n v="99.97"/>
        <n v="7"/>
        <n v="74.599999999999994"/>
        <n v="99.56"/>
        <n v="0.18"/>
        <n v="275.5"/>
        <n v="42.8"/>
        <n v="0.88"/>
        <n v="0.99"/>
        <n v="16.61"/>
        <n v="6.63"/>
        <n v="26.67"/>
        <n v="0.28999999999999998"/>
        <n v="6.56"/>
        <n v="6.26"/>
        <n v="6.07"/>
        <n v="7.02"/>
        <n v="0.3"/>
        <n v="175"/>
        <n v="17.82"/>
        <n v="0.52"/>
        <n v="38.25"/>
        <n v="0.47"/>
        <n v="20.11"/>
        <n v="0.53"/>
        <n v="99.78"/>
        <n v="97.81"/>
        <n v="220.97"/>
        <n v="332.82"/>
        <n v="244.96"/>
        <n v="0.25"/>
        <n v="6.73"/>
        <n v="262.94"/>
        <n v="0.27"/>
        <n v="0.03"/>
        <n v="0.32"/>
        <n v="-0.45"/>
        <n v="98.07"/>
        <n v="0.19"/>
        <n v="7.26"/>
        <n v="208.78"/>
        <n v="272.8"/>
        <n v="6.57"/>
        <n v="97.64"/>
        <n v="180"/>
        <n v="4.59"/>
        <n v="220.05"/>
        <n v="-15.7"/>
        <n v="274.44"/>
        <n v="1.31"/>
        <n v="62.2"/>
        <n v="98.86"/>
        <n v="286.64"/>
        <n v="98.6"/>
        <n v="39.93"/>
        <n v="31.26"/>
        <n v="0.55000000000000004"/>
        <n v="6.87"/>
        <n v="12.06"/>
        <n v="30.03"/>
        <n v="0.33"/>
        <n v="-13.67"/>
        <n v="42.98"/>
        <n v="-14.05"/>
        <n v="6.69"/>
        <n v="224.47"/>
        <n v="39.22"/>
        <n v="98.94"/>
        <n v="0.22"/>
        <n v="265.68"/>
        <n v="298.23"/>
        <n v="99.24"/>
        <n v="98.18"/>
        <n v="287.5"/>
        <n v="23.76"/>
        <n v="46.63"/>
        <n v="211.86"/>
        <n v="98.8"/>
        <n v="99.3"/>
        <n v="99.25"/>
        <n v="6.83"/>
        <n v="98.7"/>
        <n v="7.25"/>
        <n v="15.37"/>
        <n v="279.37"/>
        <n v="65.23"/>
        <n v="6.13"/>
        <n v="236.98"/>
        <n v="250.46"/>
        <n v="5.08"/>
        <n v="0.43"/>
        <n v="7.04"/>
        <n v="306.43"/>
        <n v="7.05"/>
        <n v="80.27"/>
        <n v="6"/>
        <n v="6.97"/>
        <n v="54.84"/>
        <n v="200.64"/>
        <n v="25.66"/>
        <n v="7.14"/>
        <n v="80.89"/>
        <n v="6.09"/>
        <n v="1.84"/>
        <n v="98.37"/>
        <n v="33.119999999999997"/>
        <n v="6.71"/>
        <n v="196.59"/>
        <n v="6.95"/>
        <n v="224.25"/>
        <n v="33.9"/>
        <n v="57.87"/>
        <n v="231.86"/>
        <n v="8.41"/>
        <n v="-4.79"/>
        <n v="12.02"/>
        <n v="98.81"/>
        <n v="287.08"/>
        <n v="65.19"/>
        <n v="57.12"/>
        <n v="-1.53"/>
        <n v="66.290000000000006"/>
        <n v="279.74"/>
        <n v="15.11"/>
        <n v="281.07"/>
        <n v="233.74"/>
        <n v="288.73"/>
        <n v="7.17"/>
        <n v="98.64"/>
        <n v="-27.79"/>
        <n v="98.05"/>
        <n v="0.85"/>
        <n v="271.87"/>
        <n v="98.09"/>
        <n v="214.25"/>
        <n v="0.91"/>
        <n v="28.63"/>
        <n v="41.59"/>
        <n v="12.08"/>
        <n v="23.45"/>
        <n v="98.71"/>
        <n v="42.04"/>
        <n v="275.25"/>
        <n v="279.32"/>
        <n v="27.89"/>
        <n v="6.77"/>
        <n v="7.3"/>
        <n v="278.41000000000003"/>
        <n v="6.25"/>
        <n v="36.03"/>
        <n v="98.3"/>
        <n v="6.43"/>
        <n v="6.4"/>
        <n v="5.94"/>
        <n v="328.77"/>
        <n v="98.14"/>
        <n v="8.17"/>
        <n v="97.96"/>
        <n v="1.05"/>
        <n v="-30.26"/>
        <n v="14.25"/>
        <n v="-5.16"/>
        <n v="99.26"/>
        <n v="1"/>
        <n v="-18.16"/>
        <n v="248.77"/>
        <n v="-1.89"/>
        <n v="-18.11"/>
        <n v="-0.02"/>
        <n v="98.35"/>
        <n v="281.61"/>
        <n v="32.299999999999997"/>
        <n v="199.13"/>
        <n v="0.15"/>
        <n v="253.45"/>
        <n v="7.08"/>
        <n v="7.07"/>
        <n v="0.1"/>
        <n v="99.28"/>
        <n v="74.34"/>
        <n v="-4.1399999999999997"/>
        <n v="246.76"/>
        <n v="52.29"/>
        <n v="99.27"/>
        <n v="198.92"/>
        <n v="0.35"/>
        <n v="282.47000000000003"/>
        <n v="99.19"/>
        <n v="-21.65"/>
        <n v="6.93"/>
        <n v="16.649999999999999"/>
        <n v="62.27"/>
        <n v="97.94"/>
        <n v="10.19"/>
        <n v="97.22"/>
        <n v="7.48"/>
        <n v="237.02"/>
        <n v="99.47"/>
        <n v="60.22"/>
        <n v="236.87"/>
        <n v="98.79"/>
        <n v="19.16"/>
        <n v="0.64"/>
        <n v="0.97"/>
        <n v="6.32"/>
        <n v="33.82"/>
        <n v="-33.4"/>
        <n v="0.65"/>
        <n v="86.04"/>
        <n v="6.59"/>
        <n v="99.23"/>
        <n v="271.75"/>
        <n v="-19.41"/>
        <n v="6.42"/>
        <n v="30.18"/>
        <n v="0.61"/>
        <n v="98.82"/>
        <n v="41.46"/>
        <n v="0.48"/>
        <n v="98.19"/>
        <n v="68.59"/>
        <n v="-6.68"/>
        <n v="8.68"/>
        <n v="240.64"/>
        <n v="39.65"/>
        <n v="1.06"/>
        <n v="98.54"/>
        <n v="199.45"/>
        <n v="-7.99"/>
        <n v="274.04000000000002"/>
        <n v="44.53"/>
        <n v="259.14"/>
        <n v="18.53"/>
        <n v="97.87"/>
        <n v="7.38"/>
        <n v="-25.47"/>
        <n v="6.35"/>
        <n v="276.92"/>
        <n v="6.5"/>
        <n v="174.65"/>
        <n v="24.68"/>
        <n v="252.9"/>
        <n v="29.03"/>
        <n v="230.04"/>
        <n v="70.540000000000006"/>
        <n v="84.93"/>
        <n v="228.45"/>
        <n v="8.6999999999999993"/>
        <n v="14.67"/>
        <n v="97.38"/>
        <n v="55.82"/>
        <n v="260.11"/>
        <n v="63.2"/>
        <n v="-3.63"/>
        <n v="22.64"/>
        <n v="231.43"/>
        <n v="53.5"/>
        <n v="8.7799999999999994"/>
        <n v="14.61"/>
        <n v="51.46"/>
        <n v="29.68"/>
        <n v="6.67"/>
        <n v="98.5"/>
        <n v="232.02"/>
        <n v="9.33"/>
        <n v="16.95"/>
        <n v="270.91000000000003"/>
        <n v="98.88"/>
        <n v="97.9"/>
        <n v="59.89"/>
        <n v="97.85"/>
        <n v="260.76"/>
        <n v="6.74"/>
        <n v="35.799999999999997"/>
        <n v="99.02"/>
        <n v="6.91"/>
        <n v="38.86"/>
        <n v="98.51"/>
        <n v="44.91"/>
        <n v="0.26"/>
        <n v="20.6"/>
        <n v="269.38"/>
        <n v="98.83"/>
        <n v="246.33"/>
        <n v="175.71"/>
        <n v="345.48"/>
        <n v="4.8"/>
        <n v="-4.37"/>
        <n v="229.14"/>
        <n v="6.15"/>
        <n v="43.2"/>
        <n v="99.53"/>
        <n v="11.03"/>
        <n v="6.81"/>
        <n v="97.23"/>
        <n v="0.23"/>
        <n v="99.33"/>
        <n v="6.96"/>
        <n v="97.77"/>
        <n v="310.32"/>
        <n v="6.72"/>
        <n v="180.92"/>
        <n v="10.5"/>
        <n v="46.84"/>
        <n v="70.56"/>
        <n v="215.54"/>
        <n v="6.51"/>
        <n v="38.78"/>
        <n v="298.18"/>
        <n v="232.28"/>
        <n v="22.45"/>
        <n v="6.21"/>
        <n v="7.21"/>
        <n v="268.32"/>
        <n v="238.78"/>
        <n v="6.89"/>
        <n v="6.55"/>
        <n v="215.52"/>
        <n v="98.95"/>
        <n v="13.75"/>
        <n v="20.81"/>
        <n v="98.29"/>
        <n v="25.1"/>
        <n v="98.57"/>
        <n v="24.44"/>
        <n v="99.32"/>
        <n v="224.38"/>
        <n v="-10"/>
        <n v="37.090000000000003"/>
        <n v="47.67"/>
        <n v="15.18"/>
        <n v="271.25"/>
        <n v="59.65"/>
        <n v="58.46"/>
        <n v="-7.56"/>
        <n v="68.78"/>
        <n v="225.52"/>
        <n v="59.09"/>
        <n v="24.17"/>
        <n v="55.49"/>
        <n v="7.16"/>
        <n v="0.95"/>
        <n v="7.11"/>
        <n v="6.82"/>
        <n v="19.22"/>
        <n v="173.34"/>
        <n v="98.45"/>
        <n v="-54.31"/>
        <n v="99.83"/>
        <n v="98.25"/>
        <n v="41.58"/>
        <n v="98.17"/>
        <n v="48.61"/>
        <n v="5.79"/>
        <n v="221.74"/>
        <n v="58.2"/>
        <n v="73.72"/>
        <n v="0.56000000000000005"/>
        <n v="0.02"/>
        <n v="251.86"/>
        <n v="6.61"/>
        <n v="0.17"/>
        <n v="25.01"/>
        <n v="274.35000000000002"/>
        <n v="13.45"/>
        <n v="97.6"/>
        <n v="0.28000000000000003"/>
        <n v="257.91000000000003"/>
        <n v="240.52"/>
        <n v="-18.3"/>
        <n v="42.6"/>
        <n v="0.16"/>
        <n v="24.18"/>
        <n v="23.01"/>
        <n v="54.18"/>
        <n v="52.36"/>
        <n v="15.47"/>
        <n v="52.38"/>
        <n v="0.51"/>
        <n v="99.44"/>
        <n v="6.28"/>
        <n v="-29.67"/>
        <n v="34.26"/>
        <n v="27.1"/>
        <n v="97.56"/>
        <n v="62.49"/>
        <n v="291.95999999999998"/>
        <n v="6.45"/>
        <n v="87.41"/>
        <n v="240.54"/>
        <n v="97.54"/>
        <n v="257.07"/>
        <n v="38.28"/>
        <n v="24.84"/>
        <n v="58.44"/>
        <n v="32.68"/>
        <n v="52.64"/>
        <n v="41.62"/>
        <n v="98.62"/>
        <n v="12.61"/>
        <n v="60.65"/>
        <n v="98.26"/>
        <n v="278.60000000000002"/>
        <n v="240.06"/>
        <n v="4"/>
        <n v="98.77"/>
        <n v="22.08"/>
        <n v="7.0000000000000007E-2"/>
        <n v="41.3"/>
        <n v="5.83"/>
        <n v="55.02"/>
        <n v="-13.09"/>
        <n v="49.48"/>
        <n v="275.8"/>
        <n v="193.38"/>
        <n v="16.04"/>
        <n v="302.38"/>
        <n v="36.74"/>
        <n v="67.599999999999994"/>
        <n v="14.81"/>
        <n v="31.1"/>
        <n v="98.42"/>
        <n v="274.11"/>
        <n v="326.2"/>
        <n v="309.66000000000003"/>
        <n v="98.91"/>
        <n v="99.73"/>
        <n v="36.19"/>
        <n v="6.9"/>
        <n v="97.89"/>
        <n v="261.07"/>
        <n v="53.7"/>
        <n v="68.81"/>
        <n v="54.81"/>
        <n v="98.2"/>
        <n v="6.6"/>
        <n v="214.09"/>
        <n v="13.41"/>
        <n v="-25.38"/>
        <n v="15.63"/>
        <n v="46.89"/>
        <n v="5.68"/>
        <n v="98.68"/>
        <n v="98.47"/>
        <n v="6.84"/>
        <n v="293.68"/>
        <n v="250.29"/>
        <n v="59.55"/>
        <n v="98.89"/>
        <n v="5.86"/>
        <n v="7.36"/>
        <n v="31.54"/>
        <n v="210.78"/>
        <n v="55.88"/>
        <n v="47.16"/>
        <n v="266.58"/>
        <n v="7.23"/>
        <n v="18.23"/>
        <n v="98.13"/>
        <n v="44.47"/>
        <n v="6.78"/>
        <n v="-11.03"/>
        <n v="55.99"/>
        <n v="231.78"/>
        <n v="57.09"/>
        <n v="16.03"/>
        <n v="289.41000000000003"/>
        <n v="272.42"/>
        <n v="217.55"/>
        <n v="6.65"/>
        <n v="0.5"/>
        <n v="-2.33"/>
        <n v="11.75"/>
        <n v="49.2"/>
        <n v="193.13"/>
        <n v="0.49"/>
        <n v="98.27"/>
        <n v="97.31"/>
        <n v="8.91"/>
        <n v="13.93"/>
        <n v="0.7"/>
        <n v="30.92"/>
        <n v="41.6"/>
        <n v="35.83"/>
        <n v="-31.57"/>
        <n v="98.48"/>
        <n v="-9.89"/>
        <n v="247.64"/>
        <n v="58.84"/>
        <n v="99.11"/>
        <n v="56.6"/>
        <n v="232.3"/>
        <n v="226.66"/>
        <n v="287.51"/>
        <n v="251.74"/>
        <n v="30"/>
        <n v="47.62"/>
        <n v="27.51"/>
        <n v="6.92"/>
        <n v="11.95"/>
        <n v="243.32"/>
        <n v="17.86"/>
        <n v="262.95999999999998"/>
        <n v="-17.05"/>
        <n v="8.7899999999999991"/>
        <n v="-6.33"/>
        <n v="214.82"/>
        <n v="311.05"/>
        <n v="99.85"/>
        <n v="98.66"/>
        <n v="43.12"/>
        <n v="190.07"/>
        <n v="241.6"/>
        <n v="220.41"/>
        <n v="7.37"/>
        <n v="63.86"/>
        <n v="11.29"/>
        <n v="7.22"/>
        <n v="98.87"/>
        <n v="51.8"/>
        <n v="46.73"/>
        <n v="81.17"/>
        <n v="216.66"/>
        <n v="277.19"/>
        <n v="0.59"/>
        <n v="40.07"/>
        <n v="84.97"/>
        <n v="-3.02"/>
        <n v="6.12"/>
        <n v="-0.14000000000000001"/>
        <n v="207.65"/>
        <n v="-26.98"/>
        <n v="16.75"/>
        <n v="7.61"/>
        <n v="49.17"/>
        <n v="59.52"/>
        <n v="14.28"/>
        <n v="215.34"/>
        <n v="46.32"/>
        <n v="-12.65"/>
        <n v="6.54"/>
        <n v="46.05"/>
        <n v="98.38"/>
        <n v="279.11"/>
        <n v="0.98"/>
        <n v="47.91"/>
        <n v="165.05"/>
        <n v="61.28"/>
        <n v="14.64"/>
        <n v="32.29"/>
        <n v="284.89999999999998"/>
        <n v="6.27"/>
        <n v="36.479999999999997"/>
        <n v="41.01"/>
        <n v="249.31"/>
        <n v="66.73"/>
        <n v="0.87"/>
        <n v="232.07"/>
        <n v="202.3"/>
        <n v="150"/>
        <n v="-60"/>
        <n v="4.17"/>
        <n v="50.13"/>
        <n v="6.8"/>
        <n v="0.24"/>
        <n v="269.06"/>
        <n v="59.21"/>
        <n v="15.58"/>
        <n v="59.38"/>
        <n v="39.64"/>
        <n v="255.53"/>
        <n v="12.73"/>
        <n v="69.010000000000005"/>
        <n v="43.87"/>
        <n v="7.55"/>
        <n v="-28.37"/>
        <n v="37.51"/>
        <n v="4.7699999999999996"/>
        <n v="98.52"/>
        <n v="16.7"/>
        <n v="9.7100000000000009"/>
        <n v="283.70999999999998"/>
        <n v="-40.49"/>
        <n v="21.46"/>
        <n v="8.0500000000000007"/>
        <n v="97.58"/>
        <n v="232.04"/>
        <n v="-11.56"/>
        <n v="33.770000000000003"/>
        <n v="-13.7"/>
        <n v="49.96"/>
        <n v="221.08"/>
        <n v="70.099999999999994"/>
        <n v="55.76"/>
        <n v="13.55"/>
        <n v="58.01"/>
        <n v="283.77999999999997"/>
        <n v="15.01"/>
        <n v="99.15"/>
        <n v="0.39"/>
        <n v="99.16"/>
        <n v="55.59"/>
        <n v="98.32"/>
        <n v="339.36"/>
        <n v="97.8"/>
        <n v="43.81"/>
        <n v="100.07"/>
        <n v="56.21"/>
        <n v="30.53"/>
        <n v="5.98"/>
        <n v="7.49"/>
        <n v="229.34"/>
        <n v="62.86"/>
        <n v="45.99"/>
        <n v="24.09"/>
        <n v="6.24"/>
        <n v="257.23"/>
        <n v="7.51"/>
        <n v="15.54"/>
        <n v="98.24"/>
        <n v="52.45"/>
        <n v="98.04"/>
        <n v="99.39"/>
        <n v="13.67"/>
        <n v="98.97"/>
        <n v="60.28"/>
        <n v="-4.54"/>
        <n v="32.020000000000003"/>
        <n v="98.55"/>
        <n v="64.34"/>
        <n v="254.35"/>
        <n v="28.97"/>
        <n v="43.86"/>
        <n v="74.31"/>
        <n v="41.29"/>
        <n v="15.71"/>
        <n v="98.73"/>
        <n v="99.48"/>
        <n v="339.38"/>
        <n v="328.59"/>
        <n v="-17.079999999999998"/>
        <n v="98.22"/>
        <n v="249.17"/>
        <n v="57.71"/>
        <n v="61.76"/>
        <n v="-4.21"/>
        <n v="100.32"/>
        <n v="3.22"/>
        <n v="5.35"/>
        <n v="33.450000000000003"/>
        <n v="212.29"/>
        <n v="13.89"/>
        <n v="362.38"/>
        <n v="6.41"/>
        <n v="40.9"/>
        <n v="38.69"/>
        <n v="54.21"/>
        <n v="72.66"/>
        <n v="98.56"/>
        <n v="-9.24"/>
        <n v="237.27"/>
        <n v="6.06"/>
        <n v="4.42"/>
        <n v="69.989999999999995"/>
        <n v="56.82"/>
        <n v="57.42"/>
        <n v="39.4"/>
        <n v="16.16"/>
        <n v="228.52"/>
        <n v="6.48"/>
        <n v="-13.49"/>
        <n v="82.71"/>
        <n v="7.43"/>
        <n v="6.85"/>
        <n v="56.84"/>
        <n v="239.14"/>
        <n v="-10.68"/>
        <n v="7.35"/>
        <n v="7.39"/>
        <n v="63.29"/>
        <n v="24.1"/>
        <n v="32.19"/>
        <n v="240.69"/>
        <n v="255.93"/>
        <n v="48.34"/>
        <n v="203.91"/>
        <n v="6.19"/>
        <n v="32.72"/>
        <n v="98.12"/>
        <n v="-13.48"/>
        <n v="20.079999999999998"/>
        <n v="-0.8"/>
        <n v="0.13"/>
        <n v="37.39"/>
        <n v="7.27"/>
        <n v="54.37"/>
        <n v="31.23"/>
        <n v="264.08"/>
        <n v="12.65"/>
        <n v="264.24"/>
        <n v="302.99"/>
        <n v="246.16"/>
        <n v="6.49"/>
        <n v="0.82"/>
        <n v="33.590000000000003"/>
        <n v="212.79"/>
        <n v="78.48"/>
        <n v="12.43"/>
        <n v="0.42"/>
        <n v="217.76"/>
        <n v="15.67"/>
        <n v="7.24"/>
        <n v="98.53"/>
        <n v="45.89"/>
        <n v="59.63"/>
        <n v="20.5"/>
        <n v="54.57"/>
        <n v="-1.0900000000000001"/>
        <n v="39.770000000000003"/>
        <n v="248.56"/>
        <n v="64.819999999999993"/>
        <n v="99.34"/>
        <n v="260.73"/>
        <n v="9.76"/>
        <n v="241.79"/>
        <n v="44.37"/>
        <n v="25.28"/>
        <n v="273.81"/>
        <n v="20.09"/>
        <n v="50.23"/>
        <n v="96.78"/>
        <n v="0.84"/>
        <n v="309.26"/>
        <n v="216.19"/>
        <n v="314.48"/>
        <n v="182.3"/>
        <n v="51.97"/>
        <n v="29.13"/>
        <n v="98.02"/>
        <n v="1.45"/>
        <n v="0.12"/>
        <n v="-11.41"/>
        <n v="24.36"/>
        <n v="182.71"/>
        <n v="18.02"/>
        <n v="97.73"/>
        <n v="51.36"/>
        <n v="6.47"/>
        <n v="323.45"/>
        <n v="35.04"/>
        <n v="98.39"/>
        <n v="17.45"/>
        <n v="168.49"/>
        <n v="6.39"/>
        <n v="5.09"/>
        <n v="280.36"/>
        <n v="98.75"/>
        <n v="26.71"/>
        <n v="285.55"/>
        <n v="188"/>
        <n v="0.14000000000000001"/>
        <n v="25.33"/>
        <n v="30.25"/>
        <n v="66.86"/>
        <n v="266.55"/>
        <n v="7.29"/>
        <n v="201.66"/>
        <n v="-12.54"/>
        <n v="29.31"/>
        <n v="30.66"/>
        <n v="252.15"/>
        <n v="7.12"/>
        <n v="0.09"/>
        <n v="17.28"/>
        <n v="6.33"/>
        <n v="6.38"/>
        <n v="211.72"/>
        <n v="15.09"/>
        <n v="0.63"/>
        <n v="98.16"/>
        <n v="44.78"/>
        <n v="262.04000000000002"/>
        <n v="7.15"/>
        <n v="11.14"/>
        <n v="254.56"/>
        <n v="-0.61"/>
        <n v="225.36"/>
        <n v="256.56"/>
        <n v="305.3"/>
        <n v="96.98"/>
        <n v="3.04"/>
        <n v="-37.93"/>
        <n v="277.64999999999998"/>
        <n v="275.33999999999997"/>
        <n v="272.08"/>
        <n v="92.85"/>
        <n v="7.03"/>
        <n v="27.09"/>
        <n v="33.32"/>
        <n v="76.72"/>
        <n v="-21.37"/>
        <n v="60.91"/>
        <n v="99.41"/>
        <n v="-11.84"/>
        <n v="263.12"/>
        <n v="100.12"/>
        <n v="52.93"/>
        <n v="34.78"/>
        <n v="275.89999999999998"/>
        <n v="7.13"/>
        <n v="56.53"/>
        <n v="24.47"/>
        <n v="22.05"/>
        <n v="200.94"/>
        <n v="-32.4"/>
        <n v="97.82"/>
        <n v="221.28"/>
        <n v="99.43"/>
        <n v="29.87"/>
        <n v="61.88"/>
        <n v="72.33"/>
        <n v="105.6"/>
        <n v="40.75"/>
        <n v="97.46"/>
        <n v="31.2"/>
        <n v="30.02"/>
        <n v="97.39"/>
        <n v="15.35"/>
        <n v="96.48"/>
        <n v="51.56"/>
        <n v="74.739999999999995"/>
        <n v="6.98"/>
        <n v="255.96"/>
        <n v="97.49"/>
        <n v="264.5"/>
        <n v="53.93"/>
        <n v="97.27"/>
        <n v="294.42"/>
        <n v="241.3"/>
        <n v="7.28"/>
        <n v="-24.21"/>
        <n v="3.45"/>
        <n v="48.98"/>
        <n v="246.1"/>
        <n v="30.9"/>
        <n v="98.43"/>
        <n v="205.89"/>
        <n v="31.16"/>
        <n v="318.92"/>
        <n v="97.95"/>
        <n v="200.23"/>
        <n v="288.81"/>
        <n v="38.19"/>
        <n v="-14.9"/>
        <n v="214.89"/>
        <n v="4.76"/>
        <n v="-7.62"/>
        <n v="62.09"/>
        <n v="99.12"/>
        <n v="24.58"/>
        <n v="307.02"/>
        <n v="97.41"/>
        <n v="57.89"/>
        <n v="-30.19"/>
        <n v="12.16"/>
        <n v="98.31"/>
        <n v="211.52"/>
        <n v="237.53"/>
        <n v="220.36"/>
        <n v="58.11"/>
        <n v="227.25"/>
        <n v="268.38"/>
        <n v="92.94"/>
        <n v="237.85"/>
        <n v="44.54"/>
        <n v="7.01"/>
        <n v="124.25"/>
        <n v="220.39"/>
        <n v="14.03"/>
        <n v="-13.07"/>
        <n v="6.86"/>
        <n v="263.79000000000002"/>
        <n v="232"/>
        <n v="5.58"/>
        <n v="-4"/>
        <n v="18.98"/>
        <n v="71.73"/>
        <n v="21.08"/>
        <n v="98.33"/>
        <n v="289.5"/>
        <n v="254.72"/>
        <n v="6.31"/>
        <n v="35.49"/>
        <n v="99.4"/>
        <n v="42.76"/>
        <n v="6.52"/>
        <n v="52.24"/>
        <n v="6.94"/>
        <n v="98.65"/>
        <n v="248.74"/>
        <n v="229.68"/>
        <n v="227.14"/>
        <n v="-18.13"/>
        <n v="6.53"/>
        <n v="99.22"/>
        <n v="379.65"/>
        <n v="191.82"/>
        <n v="5.72"/>
        <n v="100.19"/>
        <n v="233.23"/>
        <n v="97.5"/>
        <n v="247.28"/>
        <n v="35.33"/>
        <n v="227.08"/>
        <n v="265.75"/>
        <n v="309.83"/>
        <n v="75.34"/>
        <n v="80.510000000000005"/>
        <n v="99.05"/>
        <n v="272.79000000000002"/>
        <n v="250.96"/>
        <n v="37.19"/>
        <n v="55.8"/>
        <n v="59.79"/>
        <n v="60.04"/>
        <n v="283.47000000000003"/>
        <n v="0.6"/>
        <n v="187.55"/>
        <n v="21.82"/>
        <n v="29.5"/>
        <n v="86.42"/>
        <n v="307.24"/>
        <n v="34.549999999999997"/>
        <n v="6.22"/>
        <n v="243.21"/>
        <n v="52.67"/>
        <n v="25.79"/>
        <n v="0.08"/>
        <n v="0.62"/>
        <n v="69.58"/>
        <n v="33.81"/>
        <n v="11.97"/>
        <n v="280.20999999999998"/>
        <n v="31.94"/>
        <n v="35.11"/>
        <n v="58.92"/>
        <n v="369.85"/>
        <n v="362"/>
        <n v="53.14"/>
        <n v="234.87"/>
        <n v="185.37"/>
        <n v="266.64"/>
        <n v="224.23"/>
        <n v="28.31"/>
        <n v="45.72"/>
        <n v="247.63"/>
        <n v="263.60000000000002"/>
        <n v="7.54"/>
        <n v="19.96"/>
        <n v="228.95"/>
        <n v="6.88"/>
        <n v="41.55"/>
        <n v="34.72"/>
        <n v="223.83"/>
        <n v="231.02"/>
        <n v="197.96"/>
        <n v="53.41"/>
        <n v="278.67"/>
        <n v="20.170000000000002"/>
        <n v="38.159999999999997"/>
        <n v="285.93"/>
        <n v="7.1"/>
        <n v="187.38"/>
        <n v="-30.75"/>
        <n v="6.66"/>
        <n v="7.18"/>
        <n v="26.29"/>
        <n v="5.66"/>
        <n v="278.45"/>
        <n v="7.2"/>
        <n v="23.8"/>
        <n v="12.35"/>
        <n v="264.10000000000002"/>
        <n v="11.76"/>
        <n v="-32.380000000000003"/>
        <n v="38.81"/>
        <n v="27.78"/>
        <n v="216.45"/>
        <n v="199.7"/>
        <n v="259.02999999999997"/>
        <n v="20.38"/>
        <n v="5.93"/>
        <n v="52.52"/>
        <n v="45.55"/>
        <n v="313.58999999999997"/>
        <n v="98.59"/>
        <n v="254.38"/>
        <n v="307.97000000000003"/>
        <n v="84.65"/>
        <n v="58.4"/>
        <n v="-22.45"/>
        <n v="98.72"/>
        <n v="191.79"/>
        <n v="34.76"/>
        <n v="6.04"/>
        <n v="209.63"/>
        <n v="28.34"/>
        <n v="23.78"/>
        <n v="44.16"/>
        <n v="40.69"/>
        <n v="32.54"/>
        <n v="277.47000000000003"/>
        <n v="-11.08"/>
        <n v="43.42"/>
        <n v="63.23"/>
        <n v="7.46"/>
        <n v="23.84"/>
        <n v="303.14999999999998"/>
        <n v="98.4"/>
        <n v="19.63"/>
        <n v="50.25"/>
        <n v="228.76"/>
        <n v="99.17"/>
        <n v="40.47"/>
        <n v="260.33"/>
        <n v="33.96"/>
        <n v="32.6"/>
        <n v="100.35"/>
        <n v="-11.85"/>
        <n v="34.74"/>
        <n v="35.520000000000003"/>
        <n v="6.64"/>
        <n v="97.79"/>
        <n v="6.68"/>
        <n v="-16.04"/>
        <n v="2.5499999999999998"/>
        <n v="55.19"/>
        <n v="97.97"/>
        <n v="4.79"/>
        <n v="51.79"/>
        <n v="0.67"/>
        <n v="237.35"/>
        <n v="-27.71"/>
        <n v="48.06"/>
        <n v="99.03"/>
        <n v="38.590000000000003"/>
        <n v="44.6"/>
        <n v="41.89"/>
        <n v="228.57"/>
        <n v="239.97"/>
        <n v="7.45"/>
        <n v="241.13"/>
        <n v="99.29"/>
        <n v="44.96"/>
        <n v="33.409999999999997"/>
        <n v="17.5"/>
        <n v="98.15"/>
        <n v="175.5"/>
        <n v="36.520000000000003"/>
        <n v="212.09"/>
        <n v="314.07"/>
        <n v="48.02"/>
        <n v="22.69"/>
        <n v="0.06"/>
        <n v="309.13"/>
        <n v="67.540000000000006"/>
        <n v="26.58"/>
        <n v="242.47"/>
        <n v="211.63"/>
        <n v="18.96"/>
        <n v="-0.08"/>
        <n v="60.93"/>
        <n v="256.55"/>
        <n v="-7.46"/>
        <n v="59.69"/>
        <n v="16.57"/>
        <n v="-29.52"/>
        <n v="34.020000000000003"/>
        <n v="252.88"/>
        <n v="241.04"/>
        <n v="98.11"/>
        <n v="-16.37"/>
        <n v="48.63"/>
        <n v="29.36"/>
        <n v="221.97"/>
        <n v="213.81"/>
        <n v="-30.91"/>
        <n v="52.14"/>
        <n v="48.91"/>
        <n v="347.39"/>
        <n v="250.35"/>
        <n v="45.25"/>
        <n v="33.909999999999997"/>
        <n v="297.48"/>
        <n v="257.58999999999997"/>
        <n v="81.23"/>
        <n v="51.84"/>
        <n v="52.33"/>
        <n v="98.41"/>
        <n v="-20.97"/>
        <n v="7.09"/>
        <n v="53.45"/>
        <n v="297.67"/>
        <n v="33.83"/>
        <n v="189.71"/>
        <n v="331.9"/>
      </sharedItems>
    </cacheField>
    <cacheField name="Unit" numFmtId="0">
      <sharedItems containsBlank="1"/>
    </cacheField>
    <cacheField name="Spec_Lower" numFmtId="0">
      <sharedItems containsString="0" containsBlank="1" containsNumber="1" minValue="0" maxValue="150"/>
    </cacheField>
    <cacheField name="Spec_Upper" numFmtId="0">
      <sharedItems containsString="0" containsBlank="1" containsNumber="1" minValue="0.97" maxValue="400"/>
    </cacheField>
    <cacheField name="Test_Date" numFmtId="0">
      <sharedItems containsBlank="1" count="433">
        <s v="28/02/2024"/>
        <s v="2024-04-17"/>
        <s v="24/09/2025"/>
        <s v="2025-11-21"/>
        <s v="2024-07-15"/>
        <s v="2024-06-03"/>
        <s v="2025-12-17"/>
        <s v="2024-07-28"/>
        <s v="2025-08-12"/>
        <s v="2024-12-29"/>
        <s v="2024-10-12"/>
        <s v="2024-08-26"/>
        <s v="2025-12-25"/>
        <s v="2024-08-25"/>
        <s v="2024-02-29"/>
        <s v="2024-01-03"/>
        <s v="19/06/2025"/>
        <s v="2024-12-28"/>
        <s v="2025-03-24"/>
        <s v="2024-11-17"/>
        <s v="2025-08-18"/>
        <s v="2024-04-27"/>
        <s v="2024-02-08"/>
        <s v="19/11/2024"/>
        <s v="2025-07-15"/>
        <s v="2025-04-22"/>
        <s v="2024-12-17"/>
        <s v="2024-03-23"/>
        <s v="2025-11-08"/>
        <s v="2024-04-04"/>
        <s v="2025-06-16"/>
        <s v="2025-04-27"/>
        <s v="2024-05-19"/>
        <s v="2024-02-28"/>
        <s v="2025-03-23"/>
        <s v="2024-09-08"/>
        <s v="07/07/2025"/>
        <s v="2024-06-09"/>
        <s v="2024-04-16"/>
        <s v="2024-09-29"/>
        <s v="2024-06-18"/>
        <s v="2025-02-15"/>
        <s v="2024-08-06"/>
        <s v="2025-12-29"/>
        <s v="2025-12-06"/>
        <s v="2025-07-31"/>
        <s v="2025-02-07"/>
        <s v="2025-03-27"/>
        <s v="2025-04-04"/>
        <s v="2025-06-23"/>
        <s v="2025-07-07"/>
        <s v="2025-08-15"/>
        <s v="2025-02-27"/>
        <s v="2025-10-20"/>
        <s v="01/10/2024"/>
        <s v="2025-07-06"/>
        <s v="2025-12-08"/>
        <s v="2025-04-19"/>
        <s v="2024-01-09"/>
        <s v="2025-07-26"/>
        <s v="2024-09-09"/>
        <s v="2024-12-12"/>
        <s v="2024-05-04"/>
        <s v="2025-01-29"/>
        <s v="25/10/2025"/>
        <s v="2025-08-16"/>
        <s v="2025-04-30"/>
        <s v="2025-07-22"/>
        <s v="2024-01-13"/>
        <s v="2024-11-14"/>
        <s v="2024-04-10"/>
        <s v="18/11/2025"/>
        <s v="2025-08-05"/>
        <s v="2025-01-11"/>
        <s v="2025-09-24"/>
        <s v="2025-11-12"/>
        <s v="2025-05-12"/>
        <s v="2024-08-30"/>
        <s v="2024-08-13"/>
        <s v="2025-08-20"/>
        <s v="2024-09-07"/>
        <s v="2024-01-25"/>
        <s v="2025-06-17"/>
        <s v="2024-04-03"/>
        <s v="2025-06-18"/>
        <s v="2024-06-17"/>
        <s v="2025-09-15"/>
        <s v="2024-05-01"/>
        <s v="2025-12-22"/>
        <s v="2025-10-29"/>
        <s v="2024-10-08"/>
        <s v="2024-03-07"/>
        <s v="2024-04-06"/>
        <s v="2024-12-07"/>
        <s v="2024-03-11"/>
        <s v="2024-10-31"/>
        <s v="2024-09-12"/>
        <s v="2025-12-02"/>
        <s v="2024-02-23"/>
        <s v="2025-10-01"/>
        <s v="2024-03-25"/>
        <s v="2025-10-21"/>
        <s v="2024-11-19"/>
        <s v="2024-12-08"/>
        <s v="2024-02-26"/>
        <s v="11/04/2024"/>
        <s v="2025-02-02"/>
        <s v="2025-01-14"/>
        <s v="2025-11-13"/>
        <s v="2025-11-18"/>
        <s v="2025-03-17"/>
        <s v="15/03/2024"/>
        <s v="2025-05-11"/>
        <s v="2024-09-30"/>
        <s v="2024-11-21"/>
        <s v="2025-10-13"/>
        <s v="2024-09-26"/>
        <s v="20/07/2024"/>
        <s v="2025-05-28"/>
        <s v="2025-03-05"/>
        <s v="2025-09-04"/>
        <s v="2025-01-04"/>
        <s v="2025-03-31"/>
        <s v="2024-01-04"/>
        <s v="2025-08-22"/>
        <s v="2025-10-06"/>
        <s v="2025-10-12"/>
        <s v="2024-09-05"/>
        <s v="2024-12-09"/>
        <s v="2025-06-11"/>
        <s v="2024-07-03"/>
        <s v="2024-03-20"/>
        <s v="2025-07-02"/>
        <s v="2025-09-16"/>
        <s v="2025-05-10"/>
        <s v="2024-02-12"/>
        <s v="2025-10-28"/>
        <s v="2024-06-02"/>
        <s v="2024-02-27"/>
        <s v="2024-04-22"/>
        <s v="2024-10-30"/>
        <s v="2024-04-11"/>
        <s v="2024-08-07"/>
        <s v="2025-11-02"/>
        <s v="2025-10-10"/>
        <s v="2025-02-10"/>
        <s v="2025-09-12"/>
        <s v="2025-08-17"/>
        <s v="2025-11-09"/>
        <s v="2024-08-24"/>
        <s v="2024-09-23"/>
        <s v="06/10/2024"/>
        <s v="2025-03-21"/>
        <s v="2024-12-03"/>
        <s v="2024-06-10"/>
        <s v="2024-11-13"/>
        <s v="2025-09-21"/>
        <s v="2024-01-21"/>
        <s v="2024-08-16"/>
        <s v="2025-06-08"/>
        <s v="2025-02-05"/>
        <s v="2024-12-23"/>
        <s v="2024-07-27"/>
        <s v="2025-01-24"/>
        <s v="2025-06-02"/>
        <s v="2025-01-05"/>
        <s v="2025-06-22"/>
        <s v="14/10/2024"/>
        <s v="2025-12-11"/>
        <s v="2025-02-03"/>
        <s v="30/09/2024"/>
        <s v="2024-05-16"/>
        <s v="2024-07-10"/>
        <s v="2024-09-17"/>
        <s v="2024-12-19"/>
        <s v="2024-10-23"/>
        <s v="2025-07-16"/>
        <s v="09/01/2024"/>
        <s v="2025-02-16"/>
        <s v="16/07/2025"/>
        <s v="2024-07-26"/>
        <s v="2025-10-17"/>
        <s v="2025-09-11"/>
        <s v="2025-06-06"/>
        <s v="2025-03-20"/>
        <s v="2024-08-01"/>
        <s v="2025-01-16"/>
        <s v="2025-10-30"/>
        <s v="2024-06-06"/>
        <s v="2025-03-08"/>
        <s v="2025-05-14"/>
        <s v="2025-10-15"/>
        <s v="2025-08-04"/>
        <s v="2024-03-17"/>
        <s v="2024-11-25"/>
        <s v="2024-11-30"/>
        <s v="2024-01-26"/>
        <s v="2024-07-23"/>
        <s v="2024-08-12"/>
        <s v="2025-06-05"/>
        <s v="2025-11-29"/>
        <s v="2024-09-18"/>
        <s v="2024-09-01"/>
        <s v="2025-02-09"/>
        <s v="2024-02-18"/>
        <s v="2025-05-04"/>
        <s v="2025-06-25"/>
        <s v="2025-06-13"/>
        <s v="2024-05-29"/>
        <s v="2024-01-16"/>
        <s v="2025-10-26"/>
        <s v="26/11/2025"/>
        <s v="2025-01-13"/>
        <s v="18/06/2024"/>
        <s v="2024-02-22"/>
        <s v="2024-06-08"/>
        <s v="2025-01-19"/>
        <s v="2024-10-14"/>
        <s v="31/07/2025"/>
        <s v="2025-08-14"/>
        <s v="2025-07-25"/>
        <s v="2024-11-27"/>
        <s v="02/01/2025"/>
        <s v="18/05/2025"/>
        <s v="2024-08-17"/>
        <s v="2025-12-04"/>
        <s v="2024-03-16"/>
        <s v="2025-05-22"/>
        <s v="2024-10-18"/>
        <s v="2025-01-23"/>
        <s v="2024-12-31"/>
        <s v="2025-09-10"/>
        <s v="2024-08-09"/>
        <s v="2025-01-28"/>
        <s v="2024-10-22"/>
        <s v="2025-01-01"/>
        <s v="2024-07-12"/>
        <s v="2025-04-12"/>
        <s v="2024-07-14"/>
        <s v="2024-06-05"/>
        <s v="2025-08-25"/>
        <s v="2024-02-04"/>
        <s v="16/04/2025"/>
        <s v="2024-12-20"/>
        <s v="2024-09-25"/>
        <s v="2025-11-16"/>
        <s v="2025-05-23"/>
        <s v="2024-02-01"/>
        <s v="2024-08-04"/>
        <s v="2025-04-29"/>
        <s v="01/08/2025"/>
        <s v="09/09/2025"/>
        <s v="2024-11-26"/>
        <s v="2025-05-20"/>
        <s v="08/04/2024"/>
        <s v="2025-03-26"/>
        <s v="2025-12-20"/>
        <s v="2024-08-20"/>
        <s v="2025-05-09"/>
        <s v="2024-06-15"/>
        <s v="2024-07-04"/>
        <s v="2024-07-20"/>
        <s v="2024-07-18"/>
        <s v="2024-10-06"/>
        <s v="2025-06-20"/>
        <s v="2025-02-11"/>
        <s v="2025-11-26"/>
        <s v="2025-02-22"/>
        <s v="2025-07-11"/>
        <s v="22/07/2025"/>
        <s v="25/08/2024"/>
        <s v="2024-11-04"/>
        <s v="2025-12-28"/>
        <s v="10/02/2025"/>
        <s v="2024-05-07"/>
        <s v="04/01/2025"/>
        <s v="2024-09-10"/>
        <s v="2024-01-20"/>
        <s v="2025-08-21"/>
        <s v="2025-06-04"/>
        <s v="2024-08-27"/>
        <s v="2024-03-28"/>
        <s v="2024-01-27"/>
        <s v="2024-04-19"/>
        <s v="23/07/2024"/>
        <s v="2024-11-09"/>
        <s v="23/11/2025"/>
        <s v="2024-11-02"/>
        <s v="2025-04-18"/>
        <s v="2025-04-02"/>
        <s v="2024-10-09"/>
        <s v="18/07/2024"/>
        <s v="2024-08-05"/>
        <s v="12/08/2024"/>
        <s v="2025-05-02"/>
        <s v="2024-01-29"/>
        <s v="22/02/2024"/>
        <s v="2025-05-17"/>
        <s v="2024-09-20"/>
        <s v="2025-12-12"/>
        <s v="2024-08-15"/>
        <s v="2025-10-23"/>
        <s v="2024-07-21"/>
        <s v="2024-05-15"/>
        <s v="29/10/2025"/>
        <s v="2025-05-03"/>
        <s v="2024-04-12"/>
        <s v="2024-02-20"/>
        <s v="2024-03-04"/>
        <s v="2024-02-25"/>
        <s v="2024-09-19"/>
        <s v="2025-10-25"/>
        <s v="2025-05-13"/>
        <s v="2024-10-01"/>
        <s v="2024-02-14"/>
        <s v="2024-09-11"/>
        <s v="2025-04-16"/>
        <s v="2025-06-19"/>
        <s v="2025-09-23"/>
        <s v="29/05/2024"/>
        <s v="2025-04-20"/>
        <s v="2024-05-24"/>
        <s v="2025-08-01"/>
        <s v="2025-11-04"/>
        <s v="2025-01-02"/>
        <s v="2025-01-12"/>
        <s v="2025-01-03"/>
        <s v="2024-07-06"/>
        <s v="04/11/2025"/>
        <s v="2024-10-02"/>
        <s v="23/12/2024"/>
        <s v="2025-09-26"/>
        <s v="12/10/2025"/>
        <s v="2024-08-23"/>
        <s v="2025-02-14"/>
        <s v="2025-06-24"/>
        <s v="2025-09-09"/>
        <s v="2024-11-16"/>
        <s v="2025-10-07"/>
        <s v="2025-11-22"/>
        <s v="2024-11-22"/>
        <s v="2025-11-01"/>
        <s v="28/10/2025"/>
        <s v="2024-09-04"/>
        <s v="2024-09-21"/>
        <s v="2025-06-26"/>
        <s v="2024-10-25"/>
        <s v="2024-02-21"/>
        <s v="24/11/2024"/>
        <s v="16/08/2024"/>
        <s v="2025-02-26"/>
        <s v="2024-11-24"/>
        <s v="25/10/2024"/>
        <s v="2024-06-19"/>
        <s v="2024-06-14"/>
        <s v="2024-07-30"/>
        <s v="23/06/2025"/>
        <s v="08/06/2024"/>
        <s v="2024-08-02"/>
        <s v="2025-05-29"/>
        <s v="23/01/2025"/>
        <s v="2024-02-10"/>
        <s v="26/07/2024"/>
        <s v="04/03/2024"/>
        <s v="2024-03-15"/>
        <s v="24/01/2025"/>
        <s v="06/10/2025"/>
        <s v="2024-09-14"/>
        <s v="13/06/2025"/>
        <s v="29/09/2024"/>
        <s v="27/03/2025"/>
        <s v="2025-05-18"/>
        <s v="27/04/2025"/>
        <s v="2025-11-23"/>
        <s v="2024-11-10"/>
        <s v="2024-08-29"/>
        <s v="2025-10-16"/>
        <s v="10/05/2025"/>
        <s v="2025-03-09"/>
        <s v="2025-12-30"/>
        <s v="2025-08-19"/>
        <s v="26/02/2025"/>
        <s v="16/01/2024"/>
        <s v="2025-08-13"/>
        <s v="02/11/2024"/>
        <s v="10/09/2025"/>
        <s v="2024-04-08"/>
        <s v="25/03/2024"/>
        <s v="2024-08-22"/>
        <s v="2024-03-01"/>
        <s v="21/08/2025"/>
        <s v="2025-03-19"/>
        <s v="09/06/2024"/>
        <s v="30/08/2024"/>
        <s v="15/06/2024"/>
        <s v="22/12/2025"/>
        <s v="02/07/2025"/>
        <s v="14/06/2024"/>
        <s v="2024-07-29"/>
        <s v="2025-11-27"/>
        <s v="22/02/2025"/>
        <s v="04/09/2025"/>
        <s v="10/11/2024"/>
        <s v="12/04/2025"/>
        <s v="21/03/2025"/>
        <s v="20/12/2024"/>
        <s v="30/07/2024"/>
        <s v="12/05/2025"/>
        <s v="05/09/2024"/>
        <s v="02/06/2025"/>
        <s v="15/07/2024"/>
        <s v="23/08/2024"/>
        <s v="29/08/2024"/>
        <s v="04/07/2024"/>
        <s v="15/09/2025"/>
        <s v="23/05/2025"/>
        <s v="26/09/2025"/>
        <s v="30/04/2025"/>
        <s v="17/04/2024"/>
        <s v="22/11/2024"/>
        <s v="11/06/2025"/>
        <s v="29/12/2025"/>
        <s v="19/09/2024"/>
        <s v="06/07/2024"/>
        <s v="05/03/2025"/>
        <s v="13/05/2025"/>
        <s v="19/01/2025"/>
        <s v="04/05/2025"/>
        <s v="26/07/2025"/>
        <s v="18/04/2025"/>
        <s v="14/11/2024"/>
        <s v="16/01/2025"/>
        <m/>
      </sharedItems>
    </cacheField>
    <cacheField name="Analyst" numFmtId="0">
      <sharedItems containsBlank="1" count="10">
        <s v="A. Kovacs"/>
        <s v="J NAGY"/>
        <s v="S. Fischer"/>
        <s v="M. Toth"/>
        <s v="K. Varga"/>
        <s v="P. Meier"/>
        <s v="T. Weber"/>
        <s v="J. Nagy"/>
        <s v="L. Rossi"/>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itaRos" refreshedDate="46239.803561111112" createdVersion="8" refreshedVersion="8" minRefreshableVersion="3" recordCount="2015" xr:uid="{FE45E739-BE68-4AEA-B457-B76F936B1F05}">
  <cacheSource type="worksheet">
    <worksheetSource ref="A1:N2016" sheet="LIMS_Export_worked"/>
  </cacheSource>
  <cacheFields count="17">
    <cacheField name="Sample_ID" numFmtId="0">
      <sharedItems/>
    </cacheField>
    <cacheField name="Batch_ID" numFmtId="0">
      <sharedItems/>
    </cacheField>
    <cacheField name="Product_Line" numFmtId="0">
      <sharedItems/>
    </cacheField>
    <cacheField name="Site" numFmtId="0">
      <sharedItems/>
    </cacheField>
    <cacheField name="Test_Type" numFmtId="0">
      <sharedItems count="7">
        <s v="Residual_Solvent_ppm"/>
        <s v="Density_g_ml"/>
        <s v="Particle_Size_um"/>
        <s v="Purity_Pct"/>
        <s v="Moisture_Pct"/>
        <s v="pH"/>
        <s v="Microbial_Count_CFU_g"/>
      </sharedItems>
    </cacheField>
    <cacheField name="Result_Exists" numFmtId="0">
      <sharedItems containsSemiMixedTypes="0" containsString="0" containsNumber="1" containsInteger="1" minValue="0" maxValue="1"/>
    </cacheField>
    <cacheField name="Result_Pass" numFmtId="0">
      <sharedItems count="3">
        <s v="Pass"/>
        <s v="Fail"/>
        <s v="Missing"/>
      </sharedItems>
    </cacheField>
    <cacheField name="Batch_Result" numFmtId="0">
      <sharedItems/>
    </cacheField>
    <cacheField name="Result_Value" numFmtId="0">
      <sharedItems containsString="0" containsBlank="1" containsNumber="1" minValue="-75" maxValue="520"/>
    </cacheField>
    <cacheField name="Unit" numFmtId="0">
      <sharedItems containsBlank="1"/>
    </cacheField>
    <cacheField name="Spec_Lower" numFmtId="0">
      <sharedItems containsSemiMixedTypes="0" containsString="0" containsNumber="1" minValue="0" maxValue="150"/>
    </cacheField>
    <cacheField name="Spec_Upper" numFmtId="0">
      <sharedItems containsSemiMixedTypes="0" containsString="0" containsNumber="1" minValue="0.97" maxValue="400"/>
    </cacheField>
    <cacheField name="Test_Date" numFmtId="17">
      <sharedItems containsSemiMixedTypes="0" containsNonDate="0" containsDate="1" containsString="0" minDate="2024-01-03T00:00:00" maxDate="2025-12-31T00:00:00" count="333">
        <d v="2024-02-28T00:00:00"/>
        <d v="2024-04-17T00:00:00"/>
        <d v="2025-09-24T00:00:00"/>
        <d v="2025-11-21T00:00:00"/>
        <d v="2024-07-15T00:00:00"/>
        <d v="2024-06-03T00:00:00"/>
        <d v="2025-12-17T00:00:00"/>
        <d v="2024-07-28T00:00:00"/>
        <d v="2025-08-12T00:00:00"/>
        <d v="2024-12-29T00:00:00"/>
        <d v="2024-10-12T00:00:00"/>
        <d v="2024-08-26T00:00:00"/>
        <d v="2025-12-25T00:00:00"/>
        <d v="2024-08-25T00:00:00"/>
        <d v="2024-02-29T00:00:00"/>
        <d v="2024-01-03T00:00:00"/>
        <d v="2025-06-19T00:00:00"/>
        <d v="2024-12-28T00:00:00"/>
        <d v="2025-03-24T00:00:00"/>
        <d v="2024-11-17T00:00:00"/>
        <d v="2025-08-18T00:00:00"/>
        <d v="2024-04-27T00:00:00"/>
        <d v="2024-02-08T00:00:00"/>
        <d v="2024-11-19T00:00:00"/>
        <d v="2025-07-15T00:00:00"/>
        <d v="2025-04-22T00:00:00"/>
        <d v="2024-12-17T00:00:00"/>
        <d v="2024-03-23T00:00:00"/>
        <d v="2025-11-08T00:00:00"/>
        <d v="2024-04-04T00:00:00"/>
        <d v="2025-06-16T00:00:00"/>
        <d v="2025-04-27T00:00:00"/>
        <d v="2024-05-19T00:00:00"/>
        <d v="2025-03-23T00:00:00"/>
        <d v="2024-09-08T00:00:00"/>
        <d v="2025-07-07T00:00:00"/>
        <d v="2024-06-09T00:00:00"/>
        <d v="2024-04-16T00:00:00"/>
        <d v="2024-09-29T00:00:00"/>
        <d v="2024-06-18T00:00:00"/>
        <d v="2025-02-15T00:00:00"/>
        <d v="2024-08-06T00:00:00"/>
        <d v="2025-12-29T00:00:00"/>
        <d v="2025-12-06T00:00:00"/>
        <d v="2025-07-31T00:00:00"/>
        <d v="2025-02-07T00:00:00"/>
        <d v="2025-03-27T00:00:00"/>
        <d v="2025-04-04T00:00:00"/>
        <d v="2025-06-23T00:00:00"/>
        <d v="2025-08-15T00:00:00"/>
        <d v="2025-02-27T00:00:00"/>
        <d v="2025-10-20T00:00:00"/>
        <d v="2024-10-01T00:00:00"/>
        <d v="2025-07-06T00:00:00"/>
        <d v="2025-12-08T00:00:00"/>
        <d v="2025-04-19T00:00:00"/>
        <d v="2024-01-09T00:00:00"/>
        <d v="2025-07-26T00:00:00"/>
        <d v="2024-09-09T00:00:00"/>
        <d v="2024-12-12T00:00:00"/>
        <d v="2024-05-04T00:00:00"/>
        <d v="2025-01-29T00:00:00"/>
        <d v="2025-10-25T00:00:00"/>
        <d v="2025-08-16T00:00:00"/>
        <d v="2025-04-30T00:00:00"/>
        <d v="2025-07-22T00:00:00"/>
        <d v="2024-01-13T00:00:00"/>
        <d v="2024-11-14T00:00:00"/>
        <d v="2024-04-10T00:00:00"/>
        <d v="2025-11-18T00:00:00"/>
        <d v="2025-08-05T00:00:00"/>
        <d v="2025-01-11T00:00:00"/>
        <d v="2025-11-12T00:00:00"/>
        <d v="2025-05-12T00:00:00"/>
        <d v="2024-08-30T00:00:00"/>
        <d v="2024-08-13T00:00:00"/>
        <d v="2025-08-20T00:00:00"/>
        <d v="2024-09-07T00:00:00"/>
        <d v="2024-01-25T00:00:00"/>
        <d v="2025-06-17T00:00:00"/>
        <d v="2024-04-03T00:00:00"/>
        <d v="2025-06-18T00:00:00"/>
        <d v="2024-06-17T00:00:00"/>
        <d v="2025-09-15T00:00:00"/>
        <d v="2024-05-01T00:00:00"/>
        <d v="2025-12-22T00:00:00"/>
        <d v="2025-10-29T00:00:00"/>
        <d v="2024-10-08T00:00:00"/>
        <d v="2024-03-07T00:00:00"/>
        <d v="2024-04-06T00:00:00"/>
        <d v="2024-12-07T00:00:00"/>
        <d v="2024-03-11T00:00:00"/>
        <d v="2024-10-31T00:00:00"/>
        <d v="2024-09-12T00:00:00"/>
        <d v="2025-12-02T00:00:00"/>
        <d v="2024-02-23T00:00:00"/>
        <d v="2025-10-01T00:00:00"/>
        <d v="2024-03-25T00:00:00"/>
        <d v="2025-10-21T00:00:00"/>
        <d v="2024-12-08T00:00:00"/>
        <d v="2024-02-26T00:00:00"/>
        <d v="2024-04-11T00:00:00"/>
        <d v="2025-02-02T00:00:00"/>
        <d v="2025-01-14T00:00:00"/>
        <d v="2025-11-13T00:00:00"/>
        <d v="2025-03-17T00:00:00"/>
        <d v="2024-03-15T00:00:00"/>
        <d v="2025-05-11T00:00:00"/>
        <d v="2024-09-30T00:00:00"/>
        <d v="2024-11-21T00:00:00"/>
        <d v="2025-10-13T00:00:00"/>
        <d v="2024-09-26T00:00:00"/>
        <d v="2024-07-20T00:00:00"/>
        <d v="2025-05-28T00:00:00"/>
        <d v="2025-03-05T00:00:00"/>
        <d v="2025-09-04T00:00:00"/>
        <d v="2025-01-04T00:00:00"/>
        <d v="2025-03-31T00:00:00"/>
        <d v="2024-01-04T00:00:00"/>
        <d v="2025-08-22T00:00:00"/>
        <d v="2025-10-06T00:00:00"/>
        <d v="2025-10-12T00:00:00"/>
        <d v="2024-09-05T00:00:00"/>
        <d v="2024-12-09T00:00:00"/>
        <d v="2025-06-11T00:00:00"/>
        <d v="2024-07-03T00:00:00"/>
        <d v="2024-03-20T00:00:00"/>
        <d v="2025-07-02T00:00:00"/>
        <d v="2025-09-16T00:00:00"/>
        <d v="2025-05-10T00:00:00"/>
        <d v="2024-02-12T00:00:00"/>
        <d v="2025-10-28T00:00:00"/>
        <d v="2024-06-02T00:00:00"/>
        <d v="2024-02-27T00:00:00"/>
        <d v="2024-04-22T00:00:00"/>
        <d v="2024-10-30T00:00:00"/>
        <d v="2024-08-07T00:00:00"/>
        <d v="2025-11-02T00:00:00"/>
        <d v="2025-10-10T00:00:00"/>
        <d v="2025-02-10T00:00:00"/>
        <d v="2025-09-12T00:00:00"/>
        <d v="2025-08-17T00:00:00"/>
        <d v="2025-11-09T00:00:00"/>
        <d v="2024-08-24T00:00:00"/>
        <d v="2024-09-23T00:00:00"/>
        <d v="2024-10-06T00:00:00"/>
        <d v="2025-03-21T00:00:00"/>
        <d v="2024-12-03T00:00:00"/>
        <d v="2024-06-10T00:00:00"/>
        <d v="2024-11-13T00:00:00"/>
        <d v="2025-09-21T00:00:00"/>
        <d v="2024-01-21T00:00:00"/>
        <d v="2024-08-16T00:00:00"/>
        <d v="2025-06-08T00:00:00"/>
        <d v="2025-02-05T00:00:00"/>
        <d v="2024-12-23T00:00:00"/>
        <d v="2024-07-27T00:00:00"/>
        <d v="2025-01-24T00:00:00"/>
        <d v="2025-06-02T00:00:00"/>
        <d v="2025-01-05T00:00:00"/>
        <d v="2025-06-22T00:00:00"/>
        <d v="2024-10-14T00:00:00"/>
        <d v="2025-12-11T00:00:00"/>
        <d v="2025-02-03T00:00:00"/>
        <d v="2024-05-16T00:00:00"/>
        <d v="2024-07-10T00:00:00"/>
        <d v="2024-09-17T00:00:00"/>
        <d v="2024-12-19T00:00:00"/>
        <d v="2024-10-23T00:00:00"/>
        <d v="2025-07-16T00:00:00"/>
        <d v="2025-02-16T00:00:00"/>
        <d v="2024-07-26T00:00:00"/>
        <d v="2025-10-17T00:00:00"/>
        <d v="2025-09-11T00:00:00"/>
        <d v="2025-06-06T00:00:00"/>
        <d v="2025-03-20T00:00:00"/>
        <d v="2024-08-01T00:00:00"/>
        <d v="2025-01-16T00:00:00"/>
        <d v="2025-10-30T00:00:00"/>
        <d v="2024-06-06T00:00:00"/>
        <d v="2025-03-08T00:00:00"/>
        <d v="2025-05-14T00:00:00"/>
        <d v="2025-10-15T00:00:00"/>
        <d v="2025-08-04T00:00:00"/>
        <d v="2024-03-17T00:00:00"/>
        <d v="2024-11-25T00:00:00"/>
        <d v="2024-11-30T00:00:00"/>
        <d v="2024-01-26T00:00:00"/>
        <d v="2024-07-23T00:00:00"/>
        <d v="2024-08-12T00:00:00"/>
        <d v="2025-06-05T00:00:00"/>
        <d v="2025-11-29T00:00:00"/>
        <d v="2024-09-18T00:00:00"/>
        <d v="2024-09-01T00:00:00"/>
        <d v="2025-02-09T00:00:00"/>
        <d v="2024-02-18T00:00:00"/>
        <d v="2025-05-04T00:00:00"/>
        <d v="2025-06-25T00:00:00"/>
        <d v="2025-06-13T00:00:00"/>
        <d v="2024-05-29T00:00:00"/>
        <d v="2024-01-16T00:00:00"/>
        <d v="2025-10-26T00:00:00"/>
        <d v="2025-11-26T00:00:00"/>
        <d v="2025-01-13T00:00:00"/>
        <d v="2024-02-22T00:00:00"/>
        <d v="2024-06-08T00:00:00"/>
        <d v="2025-01-19T00:00:00"/>
        <d v="2025-08-14T00:00:00"/>
        <d v="2025-07-25T00:00:00"/>
        <d v="2024-11-27T00:00:00"/>
        <d v="2025-01-02T00:00:00"/>
        <d v="2025-05-18T00:00:00"/>
        <d v="2024-08-17T00:00:00"/>
        <d v="2025-12-04T00:00:00"/>
        <d v="2024-03-16T00:00:00"/>
        <d v="2025-05-22T00:00:00"/>
        <d v="2024-10-18T00:00:00"/>
        <d v="2025-01-23T00:00:00"/>
        <d v="2024-12-31T00:00:00"/>
        <d v="2025-09-10T00:00:00"/>
        <d v="2024-08-09T00:00:00"/>
        <d v="2025-01-28T00:00:00"/>
        <d v="2024-10-22T00:00:00"/>
        <d v="2025-01-01T00:00:00"/>
        <d v="2024-07-12T00:00:00"/>
        <d v="2025-04-12T00:00:00"/>
        <d v="2024-07-14T00:00:00"/>
        <d v="2024-06-05T00:00:00"/>
        <d v="2025-08-25T00:00:00"/>
        <d v="2024-02-04T00:00:00"/>
        <d v="2025-04-16T00:00:00"/>
        <d v="2024-12-20T00:00:00"/>
        <d v="2024-09-25T00:00:00"/>
        <d v="2025-11-16T00:00:00"/>
        <d v="2025-05-23T00:00:00"/>
        <d v="2024-02-01T00:00:00"/>
        <d v="2024-08-04T00:00:00"/>
        <d v="2025-04-29T00:00:00"/>
        <d v="2025-08-01T00:00:00"/>
        <d v="2025-09-09T00:00:00"/>
        <d v="2024-11-26T00:00:00"/>
        <d v="2025-05-20T00:00:00"/>
        <d v="2024-04-08T00:00:00"/>
        <d v="2025-03-26T00:00:00"/>
        <d v="2025-12-20T00:00:00"/>
        <d v="2024-08-20T00:00:00"/>
        <d v="2025-05-09T00:00:00"/>
        <d v="2024-06-15T00:00:00"/>
        <d v="2024-07-04T00:00:00"/>
        <d v="2024-07-18T00:00:00"/>
        <d v="2025-06-20T00:00:00"/>
        <d v="2025-02-11T00:00:00"/>
        <d v="2025-02-22T00:00:00"/>
        <d v="2025-07-11T00:00:00"/>
        <d v="2024-11-04T00:00:00"/>
        <d v="2025-12-28T00:00:00"/>
        <d v="2024-05-07T00:00:00"/>
        <d v="2024-09-10T00:00:00"/>
        <d v="2024-01-20T00:00:00"/>
        <d v="2025-08-21T00:00:00"/>
        <d v="2025-06-04T00:00:00"/>
        <d v="2024-08-27T00:00:00"/>
        <d v="2024-03-28T00:00:00"/>
        <d v="2024-01-27T00:00:00"/>
        <d v="2024-04-19T00:00:00"/>
        <d v="2024-11-09T00:00:00"/>
        <d v="2025-11-23T00:00:00"/>
        <d v="2024-11-02T00:00:00"/>
        <d v="2025-04-18T00:00:00"/>
        <d v="2025-04-02T00:00:00"/>
        <d v="2024-10-09T00:00:00"/>
        <d v="2024-08-05T00:00:00"/>
        <d v="2025-05-02T00:00:00"/>
        <d v="2024-01-29T00:00:00"/>
        <d v="2025-05-17T00:00:00"/>
        <d v="2024-09-20T00:00:00"/>
        <d v="2025-12-12T00:00:00"/>
        <d v="2024-08-15T00:00:00"/>
        <d v="2025-10-23T00:00:00"/>
        <d v="2024-07-21T00:00:00"/>
        <d v="2024-05-15T00:00:00"/>
        <d v="2025-05-03T00:00:00"/>
        <d v="2024-04-12T00:00:00"/>
        <d v="2024-02-20T00:00:00"/>
        <d v="2024-03-04T00:00:00"/>
        <d v="2024-02-25T00:00:00"/>
        <d v="2024-09-19T00:00:00"/>
        <d v="2025-05-13T00:00:00"/>
        <d v="2024-02-14T00:00:00"/>
        <d v="2024-09-11T00:00:00"/>
        <d v="2025-09-23T00:00:00"/>
        <d v="2025-04-20T00:00:00"/>
        <d v="2024-05-24T00:00:00"/>
        <d v="2025-11-04T00:00:00"/>
        <d v="2025-01-12T00:00:00"/>
        <d v="2025-01-03T00:00:00"/>
        <d v="2024-07-06T00:00:00"/>
        <d v="2024-10-02T00:00:00"/>
        <d v="2025-09-26T00:00:00"/>
        <d v="2024-08-23T00:00:00"/>
        <d v="2025-02-14T00:00:00"/>
        <d v="2025-06-24T00:00:00"/>
        <d v="2024-11-16T00:00:00"/>
        <d v="2025-10-07T00:00:00"/>
        <d v="2025-11-22T00:00:00"/>
        <d v="2024-11-22T00:00:00"/>
        <d v="2025-11-01T00:00:00"/>
        <d v="2024-09-04T00:00:00"/>
        <d v="2024-09-21T00:00:00"/>
        <d v="2025-06-26T00:00:00"/>
        <d v="2024-10-25T00:00:00"/>
        <d v="2024-02-21T00:00:00"/>
        <d v="2024-11-24T00:00:00"/>
        <d v="2025-02-26T00:00:00"/>
        <d v="2024-06-19T00:00:00"/>
        <d v="2024-06-14T00:00:00"/>
        <d v="2024-07-30T00:00:00"/>
        <d v="2024-08-02T00:00:00"/>
        <d v="2025-05-29T00:00:00"/>
        <d v="2024-02-10T00:00:00"/>
        <d v="2024-09-14T00:00:00"/>
        <d v="2024-11-10T00:00:00"/>
        <d v="2024-08-29T00:00:00"/>
        <d v="2025-10-16T00:00:00"/>
        <d v="2025-03-09T00:00:00"/>
        <d v="2025-12-30T00:00:00"/>
        <d v="2025-08-19T00:00:00"/>
        <d v="2025-08-13T00:00:00"/>
        <d v="2024-08-22T00:00:00"/>
        <d v="2024-03-01T00:00:00"/>
        <d v="2025-03-19T00:00:00"/>
        <d v="2024-07-29T00:00:00"/>
        <d v="2025-11-27T00:00:00"/>
      </sharedItems>
      <fieldGroup par="16"/>
    </cacheField>
    <cacheField name="Analyst" numFmtId="0">
      <sharedItems/>
    </cacheField>
    <cacheField name="Months (Test_Date)" numFmtId="0" databaseField="0">
      <fieldGroup base="12">
        <rangePr groupBy="months" startDate="2024-01-03T00:00:00" endDate="2025-12-31T00:00:00"/>
        <groupItems count="14">
          <s v="&lt;03/01/2024"/>
          <s v="Jan"/>
          <s v="Feb"/>
          <s v="Mar"/>
          <s v="Apr"/>
          <s v="May"/>
          <s v="Jun"/>
          <s v="Jul"/>
          <s v="Aug"/>
          <s v="Sep"/>
          <s v="Oct"/>
          <s v="Nov"/>
          <s v="Dec"/>
          <s v="&gt;31/12/2025"/>
        </groupItems>
      </fieldGroup>
    </cacheField>
    <cacheField name="Quarters (Test_Date)" numFmtId="0" databaseField="0">
      <fieldGroup base="12">
        <rangePr groupBy="quarters" startDate="2024-01-03T00:00:00" endDate="2025-12-31T00:00:00"/>
        <groupItems count="6">
          <s v="&lt;03/01/2024"/>
          <s v="Qtr1"/>
          <s v="Qtr2"/>
          <s v="Qtr3"/>
          <s v="Qtr4"/>
          <s v="&gt;31/12/2025"/>
        </groupItems>
      </fieldGroup>
    </cacheField>
    <cacheField name="Years (Test_Date)" numFmtId="0" databaseField="0">
      <fieldGroup base="12">
        <rangePr groupBy="years" startDate="2024-01-03T00:00:00" endDate="2025-12-31T00:00:00"/>
        <groupItems count="4">
          <s v="&lt;03/01/2024"/>
          <s v="2024"/>
          <s v="2025"/>
          <s v="&gt;31/12/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sitaRos" refreshedDate="46239.826158912037" backgroundQuery="1" createdVersion="8" refreshedVersion="8" minRefreshableVersion="3" recordCount="0" supportSubquery="1" supportAdvancedDrill="1" xr:uid="{73E0085F-1867-46A0-BAF5-EA335F25D17E}">
  <cacheSource type="external" connectionId="2"/>
  <cacheFields count="4">
    <cacheField name="[Measures].[Distinct Count of Batch_ID]" caption="Distinct Count of Batch_ID" numFmtId="0" hierarchy="17" level="32767"/>
    <cacheField name="[Range].[Site].[Site]" caption="Site" numFmtId="0" hierarchy="3" level="1">
      <sharedItems count="5">
        <s v="Ashford UK"/>
        <s v="Budapest"/>
        <s v="Dortmund DE"/>
        <s v="East Hanover"/>
        <s v="Vernier CH"/>
      </sharedItems>
    </cacheField>
    <cacheField name="[Range].[Batch_Result].[Batch_Result]" caption="Batch_Result" numFmtId="0" hierarchy="7" level="1">
      <sharedItems count="3">
        <s v="Fail"/>
        <s v="Pass"/>
        <s v="Pending"/>
      </sharedItems>
    </cacheField>
    <cacheField name="[Range].[Test_Type].[Test_Type]" caption="Test_Type" numFmtId="0" hierarchy="4" level="1">
      <sharedItems containsSemiMixedTypes="0" containsNonDate="0" containsString="0"/>
    </cacheField>
  </cacheFields>
  <cacheHierarchies count="18">
    <cacheHierarchy uniqueName="[Range].[Sample_ID]" caption="Sample_ID" attribute="1" defaultMemberUniqueName="[Range].[Sample_ID].[All]" allUniqueName="[Range].[Sample_ID].[All]" dimensionUniqueName="[Range]" displayFolder="" count="2" memberValueDatatype="130" unbalanced="0"/>
    <cacheHierarchy uniqueName="[Range].[Batch_ID]" caption="Batch_ID" attribute="1" defaultMemberUniqueName="[Range].[Batch_ID].[All]" allUniqueName="[Range].[Batch_ID].[All]" dimensionUniqueName="[Range]" displayFolder="" count="2" memberValueDatatype="130" unbalanced="0"/>
    <cacheHierarchy uniqueName="[Range].[Product_Line]" caption="Product_Line" attribute="1" defaultMemberUniqueName="[Range].[Product_Line].[All]" allUniqueName="[Range].[Product_Line].[All]" dimensionUniqueName="[Range]" displayFolder="" count="2" memberValueDatatype="130" unbalanced="0"/>
    <cacheHierarchy uniqueName="[Range].[Site]" caption="Site" attribute="1" defaultMemberUniqueName="[Range].[Site].[All]" allUniqueName="[Range].[Site].[All]" dimensionUniqueName="[Range]" displayFolder="" count="2" memberValueDatatype="130" unbalanced="0">
      <fieldsUsage count="2">
        <fieldUsage x="-1"/>
        <fieldUsage x="1"/>
      </fieldsUsage>
    </cacheHierarchy>
    <cacheHierarchy uniqueName="[Range].[Test_Type]" caption="Test_Type" attribute="1" defaultMemberUniqueName="[Range].[Test_Type].[All]" allUniqueName="[Range].[Test_Type].[All]" dimensionUniqueName="[Range]" displayFolder="" count="2" memberValueDatatype="130" unbalanced="0">
      <fieldsUsage count="2">
        <fieldUsage x="-1"/>
        <fieldUsage x="3"/>
      </fieldsUsage>
    </cacheHierarchy>
    <cacheHierarchy uniqueName="[Range].[Result_Exists]" caption="Result_Exists" attribute="1" defaultMemberUniqueName="[Range].[Result_Exists].[All]" allUniqueName="[Range].[Result_Exists].[All]" dimensionUniqueName="[Range]" displayFolder="" count="2" memberValueDatatype="20" unbalanced="0"/>
    <cacheHierarchy uniqueName="[Range].[Result_Pass]" caption="Result_Pass" attribute="1" defaultMemberUniqueName="[Range].[Result_Pass].[All]" allUniqueName="[Range].[Result_Pass].[All]" dimensionUniqueName="[Range]" displayFolder="" count="2" memberValueDatatype="130" unbalanced="0"/>
    <cacheHierarchy uniqueName="[Range].[Batch_Result]" caption="Batch_Result" attribute="1" defaultMemberUniqueName="[Range].[Batch_Result].[All]" allUniqueName="[Range].[Batch_Result].[All]" dimensionUniqueName="[Range]" displayFolder="" count="2" memberValueDatatype="130" unbalanced="0">
      <fieldsUsage count="2">
        <fieldUsage x="-1"/>
        <fieldUsage x="2"/>
      </fieldsUsage>
    </cacheHierarchy>
    <cacheHierarchy uniqueName="[Range].[Result_Value]" caption="Result_Value" attribute="1" defaultMemberUniqueName="[Range].[Result_Value].[All]" allUniqueName="[Range].[Result_Value].[All]" dimensionUniqueName="[Range]" displayFolder="" count="2" memberValueDatatype="5" unbalanced="0"/>
    <cacheHierarchy uniqueName="[Range].[Unit]" caption="Unit" attribute="1" defaultMemberUniqueName="[Range].[Unit].[All]" allUniqueName="[Range].[Unit].[All]" dimensionUniqueName="[Range]" displayFolder="" count="2" memberValueDatatype="130" unbalanced="0"/>
    <cacheHierarchy uniqueName="[Range].[Spec_Lower]" caption="Spec_Lower" attribute="1" defaultMemberUniqueName="[Range].[Spec_Lower].[All]" allUniqueName="[Range].[Spec_Lower].[All]" dimensionUniqueName="[Range]" displayFolder="" count="2" memberValueDatatype="5" unbalanced="0"/>
    <cacheHierarchy uniqueName="[Range].[Spec_Upper]" caption="Spec_Upper" attribute="1" defaultMemberUniqueName="[Range].[Spec_Upper].[All]" allUniqueName="[Range].[Spec_Upper].[All]" dimensionUniqueName="[Range]" displayFolder="" count="2" memberValueDatatype="5" unbalanced="0"/>
    <cacheHierarchy uniqueName="[Range].[Test_Date]" caption="Test_Date" attribute="1" time="1" defaultMemberUniqueName="[Range].[Test_Date].[All]" allUniqueName="[Range].[Test_Date].[All]" dimensionUniqueName="[Range]" displayFolder="" count="2" memberValueDatatype="7" unbalanced="0"/>
    <cacheHierarchy uniqueName="[Range].[Analyst]" caption="Analyst" attribute="1" defaultMemberUniqueName="[Range].[Analyst].[All]" allUniqueName="[Range].[Analyst].[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atch_ID]" caption="Count of Batch_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Batch_ID]" caption="Distinct Count of Batch_ID"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sitaRos" refreshedDate="46239.543693634259" backgroundQuery="1" createdVersion="3" refreshedVersion="8" minRefreshableVersion="3" recordCount="0" supportSubquery="1" supportAdvancedDrill="1" xr:uid="{5A242135-93EE-4FFE-A4CA-23DA6240560A}">
  <cacheSource type="external" connectionId="2">
    <extLst>
      <ext xmlns:x14="http://schemas.microsoft.com/office/spreadsheetml/2009/9/main" uri="{F057638F-6D5F-4e77-A914-E7F072B9BCA8}">
        <x14:sourceConnection name="ThisWorkbookDataModel"/>
      </ext>
    </extLst>
  </cacheSource>
  <cacheFields count="0"/>
  <cacheHierarchies count="18">
    <cacheHierarchy uniqueName="[Range].[Sample_ID]" caption="Sample_ID" attribute="1" defaultMemberUniqueName="[Range].[Sample_ID].[All]" allUniqueName="[Range].[Sample_ID].[All]" dimensionUniqueName="[Range]" displayFolder="" count="0" memberValueDatatype="130" unbalanced="0"/>
    <cacheHierarchy uniqueName="[Range].[Batch_ID]" caption="Batch_ID" attribute="1" defaultMemberUniqueName="[Range].[Batch_ID].[All]" allUniqueName="[Range].[Batch_ID].[All]" dimensionUniqueName="[Range]" displayFolder="" count="0" memberValueDatatype="130" unbalanced="0"/>
    <cacheHierarchy uniqueName="[Range].[Product_Line]" caption="Product_Line" attribute="1" defaultMemberUniqueName="[Range].[Product_Line].[All]" allUniqueName="[Range].[Product_Line].[All]" dimensionUniqueName="[Range]" displayFolder="" count="2" memberValueDatatype="130" unbalanced="0"/>
    <cacheHierarchy uniqueName="[Range].[Site]" caption="Site" attribute="1" defaultMemberUniqueName="[Range].[Site].[All]" allUniqueName="[Range].[Site].[All]" dimensionUniqueName="[Range]" displayFolder="" count="0" memberValueDatatype="130" unbalanced="0"/>
    <cacheHierarchy uniqueName="[Range].[Test_Type]" caption="Test_Type" attribute="1" defaultMemberUniqueName="[Range].[Test_Type].[All]" allUniqueName="[Range].[Test_Type].[All]" dimensionUniqueName="[Range]" displayFolder="" count="2" memberValueDatatype="130" unbalanced="0"/>
    <cacheHierarchy uniqueName="[Range].[Result_Exists]" caption="Result_Exists" attribute="1" defaultMemberUniqueName="[Range].[Result_Exists].[All]" allUniqueName="[Range].[Result_Exists].[All]" dimensionUniqueName="[Range]" displayFolder="" count="0" memberValueDatatype="20" unbalanced="0"/>
    <cacheHierarchy uniqueName="[Range].[Result_Pass]" caption="Result_Pass" attribute="1" defaultMemberUniqueName="[Range].[Result_Pass].[All]" allUniqueName="[Range].[Result_Pass].[All]" dimensionUniqueName="[Range]" displayFolder="" count="0" memberValueDatatype="130" unbalanced="0"/>
    <cacheHierarchy uniqueName="[Range].[Batch_Result]" caption="Batch_Result" attribute="1" defaultMemberUniqueName="[Range].[Batch_Result].[All]" allUniqueName="[Range].[Batch_Result].[All]" dimensionUniqueName="[Range]" displayFolder="" count="0" memberValueDatatype="130" unbalanced="0"/>
    <cacheHierarchy uniqueName="[Range].[Result_Value]" caption="Result_Value" attribute="1" defaultMemberUniqueName="[Range].[Result_Value].[All]" allUniqueName="[Range].[Result_Value].[All]" dimensionUniqueName="[Range]" displayFolder="" count="0" memberValueDatatype="5" unbalanced="0"/>
    <cacheHierarchy uniqueName="[Range].[Unit]" caption="Unit" attribute="1" defaultMemberUniqueName="[Range].[Unit].[All]" allUniqueName="[Range].[Unit].[All]" dimensionUniqueName="[Range]" displayFolder="" count="0" memberValueDatatype="130" unbalanced="0"/>
    <cacheHierarchy uniqueName="[Range].[Spec_Lower]" caption="Spec_Lower" attribute="1" defaultMemberUniqueName="[Range].[Spec_Lower].[All]" allUniqueName="[Range].[Spec_Lower].[All]" dimensionUniqueName="[Range]" displayFolder="" count="0" memberValueDatatype="5" unbalanced="0"/>
    <cacheHierarchy uniqueName="[Range].[Spec_Upper]" caption="Spec_Upper" attribute="1" defaultMemberUniqueName="[Range].[Spec_Upper].[All]" allUniqueName="[Range].[Spec_Upper].[All]" dimensionUniqueName="[Range]" displayFolder="" count="0" memberValueDatatype="5" unbalanced="0"/>
    <cacheHierarchy uniqueName="[Range].[Test_Date]" caption="Test_Date" attribute="1" time="1" defaultMemberUniqueName="[Range].[Test_Date].[All]" allUniqueName="[Range].[Test_Date].[All]" dimensionUniqueName="[Range]" displayFolder="" count="0" memberValueDatatype="7" unbalanced="0"/>
    <cacheHierarchy uniqueName="[Range].[Analyst]" caption="Analyst" attribute="1" defaultMemberUniqueName="[Range].[Analyst].[All]" allUniqueName="[Range].[Analys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atch_ID]" caption="Count of Batch_ID" measure="1" displayFolder="" measureGroup="Range" count="0" hidden="1">
      <extLst>
        <ext xmlns:x15="http://schemas.microsoft.com/office/spreadsheetml/2010/11/main" uri="{B97F6D7D-B522-45F9-BDA1-12C45D357490}">
          <x15:cacheHierarchy aggregatedColumn="1"/>
        </ext>
      </extLst>
    </cacheHierarchy>
    <cacheHierarchy uniqueName="[Measures].[Distinct Count of Batch_ID]" caption="Distinct Count of Batch_ID"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58430021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6">
  <r>
    <s v="S001578"/>
    <s v="ARO-2024-00352"/>
    <x v="0"/>
    <x v="0"/>
    <x v="0"/>
    <x v="0"/>
    <s v="ppm"/>
    <n v="0"/>
    <n v="120"/>
    <x v="0"/>
    <x v="0"/>
  </r>
  <r>
    <s v="S000141"/>
    <s v="FOO-2024-00034"/>
    <x v="1"/>
    <x v="1"/>
    <x v="1"/>
    <x v="1"/>
    <s v="g/ml"/>
    <n v="0.88"/>
    <n v="0.97"/>
    <x v="1"/>
    <x v="1"/>
  </r>
  <r>
    <s v="S000111"/>
    <s v="ARO-2025-00025"/>
    <x v="0"/>
    <x v="2"/>
    <x v="2"/>
    <x v="2"/>
    <s v="um"/>
    <n v="150"/>
    <n v="400"/>
    <x v="2"/>
    <x v="1"/>
  </r>
  <r>
    <s v="S000260"/>
    <s v="ESS-2025-00059"/>
    <x v="2"/>
    <x v="1"/>
    <x v="3"/>
    <x v="3"/>
    <s v="%"/>
    <n v="97"/>
    <n v="100"/>
    <x v="3"/>
    <x v="0"/>
  </r>
  <r>
    <s v="S001392"/>
    <s v="ARO-2024-00311"/>
    <x v="0"/>
    <x v="2"/>
    <x v="3"/>
    <x v="4"/>
    <s v="%"/>
    <n v="97"/>
    <n v="100"/>
    <x v="4"/>
    <x v="2"/>
  </r>
  <r>
    <s v="S001745"/>
    <s v="FOO-2024-00389"/>
    <x v="1"/>
    <x v="3"/>
    <x v="2"/>
    <x v="5"/>
    <s v="um"/>
    <n v="150"/>
    <n v="400"/>
    <x v="5"/>
    <x v="3"/>
  </r>
  <r>
    <s v="S000515"/>
    <s v="FOO-2025-00116"/>
    <x v="1"/>
    <x v="4"/>
    <x v="4"/>
    <x v="6"/>
    <s v="%"/>
    <n v="0"/>
    <n v="1"/>
    <x v="6"/>
    <x v="1"/>
  </r>
  <r>
    <s v="S001518"/>
    <s v="FRA-2024-00338"/>
    <x v="3"/>
    <x v="5"/>
    <x v="2"/>
    <x v="7"/>
    <s v="um"/>
    <n v="150"/>
    <n v="400"/>
    <x v="7"/>
    <x v="0"/>
  </r>
  <r>
    <s v="S001387"/>
    <s v="FLA-2025-00310"/>
    <x v="4"/>
    <x v="6"/>
    <x v="3"/>
    <x v="8"/>
    <s v="%"/>
    <n v="97"/>
    <n v="100"/>
    <x v="8"/>
    <x v="1"/>
  </r>
  <r>
    <s v="S001059"/>
    <s v="FOO-2024-00237"/>
    <x v="1"/>
    <x v="7"/>
    <x v="0"/>
    <x v="9"/>
    <s v="ppm"/>
    <n v="0"/>
    <n v="120"/>
    <x v="9"/>
    <x v="4"/>
  </r>
  <r>
    <s v="S001922"/>
    <s v="ARO-2024-00430"/>
    <x v="0"/>
    <x v="2"/>
    <x v="3"/>
    <x v="10"/>
    <s v="%"/>
    <n v="97"/>
    <n v="100"/>
    <x v="10"/>
    <x v="3"/>
  </r>
  <r>
    <s v="S001737"/>
    <s v="ARO-2024-00388"/>
    <x v="0"/>
    <x v="1"/>
    <x v="4"/>
    <x v="11"/>
    <s v="%"/>
    <n v="0"/>
    <n v="1"/>
    <x v="11"/>
    <x v="2"/>
  </r>
  <r>
    <s v="S000472"/>
    <s v="FRA-2025-00106"/>
    <x v="3"/>
    <x v="2"/>
    <x v="0"/>
    <x v="12"/>
    <s v="ppm"/>
    <n v="0"/>
    <n v="120"/>
    <x v="12"/>
    <x v="3"/>
  </r>
  <r>
    <s v="S001274"/>
    <s v="ARO-2024-00285"/>
    <x v="0"/>
    <x v="1"/>
    <x v="0"/>
    <x v="13"/>
    <s v="ppm"/>
    <n v="0"/>
    <n v="120"/>
    <x v="13"/>
    <x v="5"/>
  </r>
  <r>
    <s v="S001927"/>
    <s v="FOO-2024-00431"/>
    <x v="1"/>
    <x v="2"/>
    <x v="5"/>
    <x v="14"/>
    <m/>
    <n v="6"/>
    <n v="7.5"/>
    <x v="14"/>
    <x v="6"/>
  </r>
  <r>
    <s v="S001545"/>
    <s v="FLA-2024-00344"/>
    <x v="4"/>
    <x v="1"/>
    <x v="3"/>
    <x v="15"/>
    <s v="%"/>
    <n v="97"/>
    <n v="100"/>
    <x v="15"/>
    <x v="7"/>
  </r>
  <r>
    <s v="S001090"/>
    <s v="FOO-2025-00245"/>
    <x v="1"/>
    <x v="6"/>
    <x v="2"/>
    <x v="16"/>
    <s v="um"/>
    <n v="150"/>
    <n v="400"/>
    <x v="16"/>
    <x v="0"/>
  </r>
  <r>
    <s v="S001355"/>
    <s v="ESS-2024-00303"/>
    <x v="2"/>
    <x v="5"/>
    <x v="1"/>
    <x v="17"/>
    <s v="g/ml"/>
    <n v="0.88"/>
    <n v="0.97"/>
    <x v="17"/>
    <x v="4"/>
  </r>
  <r>
    <s v="S000359"/>
    <s v="ESS-2025-00081"/>
    <x v="2"/>
    <x v="5"/>
    <x v="2"/>
    <x v="18"/>
    <s v="um"/>
    <n v="150"/>
    <n v="400"/>
    <x v="18"/>
    <x v="5"/>
  </r>
  <r>
    <s v="S001328"/>
    <s v="ARO-2024-00296"/>
    <x v="0"/>
    <x v="4"/>
    <x v="4"/>
    <x v="19"/>
    <s v="%"/>
    <n v="0"/>
    <n v="1"/>
    <x v="19"/>
    <x v="0"/>
  </r>
  <r>
    <s v="S000197"/>
    <s v="ESS-2025-00045"/>
    <x v="2"/>
    <x v="8"/>
    <x v="0"/>
    <x v="20"/>
    <s v="ppm"/>
    <n v="0"/>
    <n v="120"/>
    <x v="20"/>
    <x v="6"/>
  </r>
  <r>
    <s v="S001683"/>
    <s v="FRA-2024-00376"/>
    <x v="3"/>
    <x v="0"/>
    <x v="6"/>
    <x v="21"/>
    <s v="CFU/g"/>
    <n v="0"/>
    <n v="100"/>
    <x v="21"/>
    <x v="7"/>
  </r>
  <r>
    <s v="S001692"/>
    <s v="ESS-2024-00379"/>
    <x v="2"/>
    <x v="2"/>
    <x v="6"/>
    <x v="22"/>
    <s v="CFU/g"/>
    <n v="0"/>
    <n v="100"/>
    <x v="22"/>
    <x v="2"/>
  </r>
  <r>
    <s v="S000611"/>
    <s v="FLA-2024-00138"/>
    <x v="4"/>
    <x v="0"/>
    <x v="4"/>
    <x v="23"/>
    <s v="%"/>
    <n v="0"/>
    <n v="1"/>
    <x v="23"/>
    <x v="3"/>
  </r>
  <r>
    <s v="S000362"/>
    <s v="FLA-2025-00082"/>
    <x v="4"/>
    <x v="3"/>
    <x v="3"/>
    <x v="24"/>
    <s v="%"/>
    <n v="97"/>
    <n v="100"/>
    <x v="24"/>
    <x v="3"/>
  </r>
  <r>
    <s v="S000003"/>
    <s v="ESS-2025-00001"/>
    <x v="2"/>
    <x v="1"/>
    <x v="2"/>
    <x v="25"/>
    <s v="um"/>
    <n v="150"/>
    <n v="400"/>
    <x v="25"/>
    <x v="3"/>
  </r>
  <r>
    <s v="S000667"/>
    <s v="FLA-2024-00152"/>
    <x v="4"/>
    <x v="7"/>
    <x v="2"/>
    <x v="26"/>
    <s v="um"/>
    <n v="150"/>
    <n v="400"/>
    <x v="26"/>
    <x v="2"/>
  </r>
  <r>
    <s v="S000528"/>
    <s v="ARO-2024-00119"/>
    <x v="0"/>
    <x v="6"/>
    <x v="0"/>
    <x v="27"/>
    <s v="ppm"/>
    <n v="0"/>
    <n v="120"/>
    <x v="27"/>
    <x v="0"/>
  </r>
  <r>
    <s v="S001118"/>
    <s v="FOO-2025-00251"/>
    <x v="1"/>
    <x v="7"/>
    <x v="3"/>
    <x v="28"/>
    <s v="%"/>
    <n v="97"/>
    <n v="100"/>
    <x v="28"/>
    <x v="1"/>
  </r>
  <r>
    <s v="S000703"/>
    <s v="FRA-2024-00160"/>
    <x v="3"/>
    <x v="8"/>
    <x v="4"/>
    <x v="29"/>
    <s v="%"/>
    <n v="0"/>
    <n v="1"/>
    <x v="29"/>
    <x v="4"/>
  </r>
  <r>
    <s v="S000603"/>
    <s v="FRA-2025-00136"/>
    <x v="3"/>
    <x v="3"/>
    <x v="0"/>
    <x v="30"/>
    <s v="ppm"/>
    <n v="0"/>
    <n v="120"/>
    <x v="30"/>
    <x v="0"/>
  </r>
  <r>
    <s v="S000659"/>
    <s v="FRA-2025-00150"/>
    <x v="3"/>
    <x v="1"/>
    <x v="2"/>
    <x v="31"/>
    <s v="um"/>
    <n v="150"/>
    <n v="400"/>
    <x v="31"/>
    <x v="5"/>
  </r>
  <r>
    <s v="S001918"/>
    <s v="FLA-2024-00429"/>
    <x v="4"/>
    <x v="1"/>
    <x v="5"/>
    <x v="32"/>
    <m/>
    <n v="6"/>
    <n v="7.5"/>
    <x v="32"/>
    <x v="7"/>
  </r>
  <r>
    <s v="S001825"/>
    <s v="ESS-2024-00408"/>
    <x v="2"/>
    <x v="7"/>
    <x v="1"/>
    <x v="33"/>
    <s v="g/ml"/>
    <n v="0.88"/>
    <n v="0.97"/>
    <x v="33"/>
    <x v="0"/>
  </r>
  <r>
    <s v="S000763"/>
    <s v="ARO-2024-00172"/>
    <x v="0"/>
    <x v="7"/>
    <x v="3"/>
    <x v="34"/>
    <s v="%"/>
    <n v="97"/>
    <n v="100"/>
    <x v="9"/>
    <x v="2"/>
  </r>
  <r>
    <s v="S000375"/>
    <s v="ARO-2025-00085"/>
    <x v="0"/>
    <x v="5"/>
    <x v="1"/>
    <x v="35"/>
    <s v="g/ml"/>
    <n v="0.88"/>
    <n v="0.97"/>
    <x v="34"/>
    <x v="3"/>
  </r>
  <r>
    <s v="S001960"/>
    <s v="FRA-2024-00438"/>
    <x v="3"/>
    <x v="9"/>
    <x v="4"/>
    <x v="36"/>
    <s v="%"/>
    <n v="0"/>
    <n v="1"/>
    <x v="35"/>
    <x v="5"/>
  </r>
  <r>
    <s v="S000673"/>
    <s v="FOO-2025-00153"/>
    <x v="1"/>
    <x v="8"/>
    <x v="3"/>
    <x v="37"/>
    <s v="%"/>
    <n v="97"/>
    <n v="100"/>
    <x v="36"/>
    <x v="0"/>
  </r>
  <r>
    <s v="S001038"/>
    <s v="FOO-2024-00233"/>
    <x v="1"/>
    <x v="5"/>
    <x v="6"/>
    <x v="38"/>
    <s v="CFU/g"/>
    <n v="0"/>
    <n v="100"/>
    <x v="37"/>
    <x v="4"/>
  </r>
  <r>
    <s v="S000946"/>
    <s v="FLA-2024-00214"/>
    <x v="4"/>
    <x v="6"/>
    <x v="6"/>
    <x v="39"/>
    <s v="CFU/g"/>
    <n v="0"/>
    <n v="100"/>
    <x v="38"/>
    <x v="3"/>
  </r>
  <r>
    <s v="S000545"/>
    <s v="FLA-2024-00123"/>
    <x v="4"/>
    <x v="5"/>
    <x v="2"/>
    <x v="40"/>
    <s v="um"/>
    <n v="150"/>
    <n v="400"/>
    <x v="39"/>
    <x v="4"/>
  </r>
  <r>
    <s v="S001697"/>
    <s v="FRA-2024-00380"/>
    <x v="3"/>
    <x v="2"/>
    <x v="0"/>
    <x v="41"/>
    <s v="ppm"/>
    <n v="0"/>
    <n v="120"/>
    <x v="40"/>
    <x v="4"/>
  </r>
  <r>
    <s v="S001670"/>
    <s v="FRA-2025-00374"/>
    <x v="3"/>
    <x v="6"/>
    <x v="0"/>
    <x v="42"/>
    <s v="ppm"/>
    <n v="0"/>
    <n v="120"/>
    <x v="41"/>
    <x v="3"/>
  </r>
  <r>
    <s v="S000607"/>
    <s v="ARO-2024-00137"/>
    <x v="0"/>
    <x v="4"/>
    <x v="3"/>
    <x v="43"/>
    <s v="%"/>
    <n v="97"/>
    <n v="100"/>
    <x v="42"/>
    <x v="5"/>
  </r>
  <r>
    <s v="S000502"/>
    <s v="FLA-2025-00112"/>
    <x v="4"/>
    <x v="7"/>
    <x v="4"/>
    <x v="44"/>
    <s v="%"/>
    <n v="0"/>
    <n v="1"/>
    <x v="43"/>
    <x v="6"/>
  </r>
  <r>
    <s v="S001496"/>
    <s v="ESS-2025-00333"/>
    <x v="2"/>
    <x v="10"/>
    <x v="6"/>
    <x v="45"/>
    <s v="CFU/g"/>
    <n v="0"/>
    <n v="100"/>
    <x v="44"/>
    <x v="1"/>
  </r>
  <r>
    <s v="S001818"/>
    <s v="FLA-2025-00406"/>
    <x v="4"/>
    <x v="3"/>
    <x v="1"/>
    <x v="46"/>
    <s v="g/ml"/>
    <n v="0.88"/>
    <n v="0.97"/>
    <x v="45"/>
    <x v="4"/>
  </r>
  <r>
    <s v="S001245"/>
    <s v="FRA-2025-00279"/>
    <x v="3"/>
    <x v="7"/>
    <x v="2"/>
    <x v="47"/>
    <s v="um"/>
    <n v="150"/>
    <n v="400"/>
    <x v="46"/>
    <x v="2"/>
  </r>
  <r>
    <s v="S000242"/>
    <s v="ESS-2025-00055"/>
    <x v="2"/>
    <x v="1"/>
    <x v="2"/>
    <x v="48"/>
    <s v="um"/>
    <n v="150"/>
    <n v="400"/>
    <x v="47"/>
    <x v="7"/>
  </r>
  <r>
    <s v="S000877"/>
    <s v="FOO-2025-00198"/>
    <x v="1"/>
    <x v="6"/>
    <x v="4"/>
    <x v="49"/>
    <s v="%"/>
    <n v="0"/>
    <n v="1"/>
    <x v="48"/>
    <x v="2"/>
  </r>
  <r>
    <s v="S001375"/>
    <s v="ARO-2025-00307"/>
    <x v="0"/>
    <x v="7"/>
    <x v="1"/>
    <x v="17"/>
    <s v="g/ml"/>
    <n v="0.88"/>
    <n v="0.97"/>
    <x v="49"/>
    <x v="2"/>
  </r>
  <r>
    <s v="S000695"/>
    <s v="FOO-2025-00158"/>
    <x v="1"/>
    <x v="6"/>
    <x v="4"/>
    <x v="50"/>
    <s v="%"/>
    <n v="0"/>
    <n v="1"/>
    <x v="50"/>
    <x v="7"/>
  </r>
  <r>
    <s v="S000285"/>
    <s v="FLA-2025-00065"/>
    <x v="4"/>
    <x v="2"/>
    <x v="2"/>
    <x v="24"/>
    <s v="um"/>
    <n v="150"/>
    <n v="400"/>
    <x v="51"/>
    <x v="2"/>
  </r>
  <r>
    <s v="S000413"/>
    <s v="FOO-2025-00094"/>
    <x v="1"/>
    <x v="1"/>
    <x v="3"/>
    <x v="51"/>
    <s v="%"/>
    <n v="97"/>
    <n v="100"/>
    <x v="52"/>
    <x v="8"/>
  </r>
  <r>
    <s v="S001305"/>
    <s v="ESS-2025-00291"/>
    <x v="2"/>
    <x v="2"/>
    <x v="4"/>
    <x v="52"/>
    <s v="%"/>
    <n v="0"/>
    <n v="1"/>
    <x v="53"/>
    <x v="2"/>
  </r>
  <r>
    <s v="S001412"/>
    <s v="ESS-2024-00315"/>
    <x v="2"/>
    <x v="3"/>
    <x v="2"/>
    <x v="53"/>
    <s v="um"/>
    <n v="150"/>
    <n v="400"/>
    <x v="54"/>
    <x v="5"/>
  </r>
  <r>
    <s v="S001982"/>
    <s v="ESS-2025-00443"/>
    <x v="2"/>
    <x v="0"/>
    <x v="6"/>
    <x v="54"/>
    <s v="CFU/g"/>
    <n v="0"/>
    <n v="100"/>
    <x v="55"/>
    <x v="8"/>
  </r>
  <r>
    <s v="S001842"/>
    <s v="ESS-2025-00412"/>
    <x v="2"/>
    <x v="9"/>
    <x v="6"/>
    <x v="55"/>
    <s v="CFU/g"/>
    <n v="0"/>
    <n v="100"/>
    <x v="56"/>
    <x v="0"/>
  </r>
  <r>
    <s v="S001443"/>
    <s v="FOO-2025-00322"/>
    <x v="1"/>
    <x v="2"/>
    <x v="6"/>
    <x v="56"/>
    <s v="CFU/g"/>
    <n v="0"/>
    <n v="100"/>
    <x v="57"/>
    <x v="2"/>
  </r>
  <r>
    <s v="S000340"/>
    <s v="FRA-2024-00077"/>
    <x v="3"/>
    <x v="1"/>
    <x v="4"/>
    <x v="57"/>
    <s v="%"/>
    <n v="0"/>
    <n v="1"/>
    <x v="58"/>
    <x v="0"/>
  </r>
  <r>
    <s v="S000364"/>
    <s v="FLA-2025-00082"/>
    <x v="4"/>
    <x v="3"/>
    <x v="5"/>
    <x v="58"/>
    <m/>
    <n v="6"/>
    <n v="7.5"/>
    <x v="24"/>
    <x v="3"/>
  </r>
  <r>
    <s v="S000904"/>
    <s v="ARO-2025-00204"/>
    <x v="0"/>
    <x v="1"/>
    <x v="4"/>
    <x v="59"/>
    <s v="%"/>
    <n v="0"/>
    <n v="1"/>
    <x v="59"/>
    <x v="3"/>
  </r>
  <r>
    <s v="S001012"/>
    <s v="FRA-2024-00228"/>
    <x v="3"/>
    <x v="5"/>
    <x v="6"/>
    <x v="60"/>
    <s v="CFU/g"/>
    <n v="0"/>
    <n v="100"/>
    <x v="60"/>
    <x v="8"/>
  </r>
  <r>
    <s v="S001679"/>
    <s v="FRA-2024-00376"/>
    <x v="3"/>
    <x v="0"/>
    <x v="3"/>
    <x v="15"/>
    <s v="%"/>
    <n v="97"/>
    <n v="100"/>
    <x v="21"/>
    <x v="3"/>
  </r>
  <r>
    <s v="S000736"/>
    <s v="ARO-2024-00167"/>
    <x v="0"/>
    <x v="5"/>
    <x v="0"/>
    <x v="61"/>
    <s v="ppm"/>
    <n v="0"/>
    <n v="120"/>
    <x v="61"/>
    <x v="2"/>
  </r>
  <r>
    <s v="S000387"/>
    <s v="ARO-2024-00088"/>
    <x v="0"/>
    <x v="0"/>
    <x v="4"/>
    <x v="62"/>
    <s v="%"/>
    <n v="0"/>
    <n v="1"/>
    <x v="62"/>
    <x v="6"/>
  </r>
  <r>
    <s v="S001509"/>
    <s v="FLA-2025-00336"/>
    <x v="4"/>
    <x v="7"/>
    <x v="0"/>
    <x v="63"/>
    <s v="ppm"/>
    <n v="0"/>
    <n v="120"/>
    <x v="63"/>
    <x v="6"/>
  </r>
  <r>
    <s v="S001150"/>
    <s v="FOO-2025-00258"/>
    <x v="1"/>
    <x v="6"/>
    <x v="0"/>
    <x v="64"/>
    <s v="ppm"/>
    <n v="0"/>
    <n v="120"/>
    <x v="64"/>
    <x v="5"/>
  </r>
  <r>
    <s v="S000838"/>
    <s v="FLA-2025-00190"/>
    <x v="4"/>
    <x v="0"/>
    <x v="4"/>
    <x v="19"/>
    <s v="%"/>
    <n v="0"/>
    <n v="1"/>
    <x v="65"/>
    <x v="0"/>
  </r>
  <r>
    <s v="S001664"/>
    <s v="FRA-2025-00372"/>
    <x v="3"/>
    <x v="3"/>
    <x v="5"/>
    <x v="65"/>
    <m/>
    <n v="6"/>
    <n v="7.5"/>
    <x v="66"/>
    <x v="5"/>
  </r>
  <r>
    <s v="S000639"/>
    <s v="ESS-2025-00145"/>
    <x v="2"/>
    <x v="3"/>
    <x v="2"/>
    <x v="66"/>
    <s v="um"/>
    <n v="150"/>
    <n v="400"/>
    <x v="67"/>
    <x v="2"/>
  </r>
  <r>
    <s v="S001171"/>
    <s v="ARO-2024-00263"/>
    <x v="0"/>
    <x v="7"/>
    <x v="1"/>
    <x v="1"/>
    <s v="g/ml"/>
    <n v="0.88"/>
    <n v="0.97"/>
    <x v="68"/>
    <x v="7"/>
  </r>
  <r>
    <s v="S001638"/>
    <s v="FOO-2024-00367"/>
    <x v="1"/>
    <x v="5"/>
    <x v="0"/>
    <x v="67"/>
    <s v="ppm"/>
    <n v="0"/>
    <n v="120"/>
    <x v="69"/>
    <x v="6"/>
  </r>
  <r>
    <s v="S001446"/>
    <s v="FLA-2024-00323"/>
    <x v="4"/>
    <x v="3"/>
    <x v="2"/>
    <x v="68"/>
    <s v="um"/>
    <n v="150"/>
    <n v="400"/>
    <x v="70"/>
    <x v="5"/>
  </r>
  <r>
    <s v="S001280"/>
    <s v="ESS-2025-00286"/>
    <x v="2"/>
    <x v="3"/>
    <x v="1"/>
    <x v="1"/>
    <s v="g/ml"/>
    <n v="0.88"/>
    <n v="0.97"/>
    <x v="71"/>
    <x v="5"/>
  </r>
  <r>
    <s v="S000300"/>
    <s v="FOO-2025-00068"/>
    <x v="1"/>
    <x v="3"/>
    <x v="4"/>
    <x v="62"/>
    <s v="%"/>
    <n v="0"/>
    <n v="1"/>
    <x v="72"/>
    <x v="0"/>
  </r>
  <r>
    <s v="S000977"/>
    <s v="FLA-2025-00221"/>
    <x v="4"/>
    <x v="5"/>
    <x v="3"/>
    <x v="69"/>
    <s v="%"/>
    <n v="97"/>
    <n v="100"/>
    <x v="6"/>
    <x v="7"/>
  </r>
  <r>
    <s v="S001859"/>
    <s v="ESS-2025-00416"/>
    <x v="2"/>
    <x v="0"/>
    <x v="0"/>
    <x v="70"/>
    <s v="ppm"/>
    <n v="0"/>
    <n v="120"/>
    <x v="73"/>
    <x v="6"/>
  </r>
  <r>
    <s v="S000109"/>
    <s v="ARO-2025-00025"/>
    <x v="0"/>
    <x v="2"/>
    <x v="1"/>
    <x v="17"/>
    <s v="g/ml"/>
    <n v="0.88"/>
    <n v="0.97"/>
    <x v="74"/>
    <x v="1"/>
  </r>
  <r>
    <s v="S001472"/>
    <s v="ESS-2024-00328"/>
    <x v="2"/>
    <x v="3"/>
    <x v="6"/>
    <x v="71"/>
    <s v="CFU/g"/>
    <n v="0"/>
    <n v="100"/>
    <x v="1"/>
    <x v="4"/>
  </r>
  <r>
    <s v="S001583"/>
    <s v="FLA-2025-00353"/>
    <x v="4"/>
    <x v="10"/>
    <x v="2"/>
    <x v="72"/>
    <s v="um"/>
    <n v="150"/>
    <n v="400"/>
    <x v="75"/>
    <x v="4"/>
  </r>
  <r>
    <s v="S000518"/>
    <s v="FOO-2025-00116"/>
    <x v="1"/>
    <x v="4"/>
    <x v="5"/>
    <x v="73"/>
    <m/>
    <n v="6"/>
    <n v="7.5"/>
    <x v="6"/>
    <x v="7"/>
  </r>
  <r>
    <s v="S001017"/>
    <s v="FRA-2025-00229"/>
    <x v="3"/>
    <x v="7"/>
    <x v="2"/>
    <x v="74"/>
    <s v="um"/>
    <n v="150"/>
    <n v="400"/>
    <x v="76"/>
    <x v="1"/>
  </r>
  <r>
    <s v="S001016"/>
    <s v="FRA-2025-00229"/>
    <x v="3"/>
    <x v="9"/>
    <x v="1"/>
    <x v="75"/>
    <s v="g/ml"/>
    <n v="0.88"/>
    <n v="0.97"/>
    <x v="76"/>
    <x v="3"/>
  </r>
  <r>
    <s v="S001184"/>
    <s v="ARO-2024-00265"/>
    <x v="0"/>
    <x v="3"/>
    <x v="6"/>
    <x v="76"/>
    <s v="CFU/g"/>
    <n v="0"/>
    <n v="100"/>
    <x v="77"/>
    <x v="0"/>
  </r>
  <r>
    <s v="S001230"/>
    <s v="FRA-2024-00275"/>
    <x v="3"/>
    <x v="4"/>
    <x v="6"/>
    <x v="77"/>
    <s v="CFU/g"/>
    <n v="0"/>
    <n v="100"/>
    <x v="78"/>
    <x v="6"/>
  </r>
  <r>
    <s v="S001973"/>
    <s v="ESS-2025-00441"/>
    <x v="2"/>
    <x v="2"/>
    <x v="0"/>
    <x v="78"/>
    <s v="ppm"/>
    <n v="0"/>
    <n v="120"/>
    <x v="79"/>
    <x v="3"/>
  </r>
  <r>
    <s v="S001532"/>
    <s v="ESS-2024-00341"/>
    <x v="2"/>
    <x v="2"/>
    <x v="3"/>
    <x v="4"/>
    <s v="%"/>
    <n v="97"/>
    <n v="100"/>
    <x v="80"/>
    <x v="1"/>
  </r>
  <r>
    <s v="S001606"/>
    <s v="FRA-2024-00358"/>
    <x v="3"/>
    <x v="3"/>
    <x v="5"/>
    <x v="79"/>
    <m/>
    <n v="6"/>
    <n v="7.5"/>
    <x v="81"/>
    <x v="2"/>
  </r>
  <r>
    <s v="S001466"/>
    <s v="ESS-2025-00327"/>
    <x v="2"/>
    <x v="3"/>
    <x v="1"/>
    <x v="80"/>
    <s v="g/ml"/>
    <n v="0.88"/>
    <n v="0.97"/>
    <x v="82"/>
    <x v="6"/>
  </r>
  <r>
    <s v="S001498"/>
    <s v="FRA-2024-00334"/>
    <x v="3"/>
    <x v="2"/>
    <x v="4"/>
    <x v="6"/>
    <s v="%"/>
    <n v="0"/>
    <n v="1"/>
    <x v="83"/>
    <x v="2"/>
  </r>
  <r>
    <s v="S001331"/>
    <s v="ARO-2025-00297"/>
    <x v="0"/>
    <x v="2"/>
    <x v="4"/>
    <x v="81"/>
    <s v="%"/>
    <n v="0"/>
    <n v="1"/>
    <x v="84"/>
    <x v="4"/>
  </r>
  <r>
    <s v="S000331"/>
    <s v="FRA-2024-00075"/>
    <x v="3"/>
    <x v="2"/>
    <x v="4"/>
    <x v="82"/>
    <s v="%"/>
    <n v="0"/>
    <n v="1"/>
    <x v="85"/>
    <x v="0"/>
  </r>
  <r>
    <s v="S001432"/>
    <s v="ARO-2025-00319"/>
    <x v="0"/>
    <x v="5"/>
    <x v="4"/>
    <x v="83"/>
    <s v="%"/>
    <n v="0"/>
    <n v="1"/>
    <x v="86"/>
    <x v="5"/>
  </r>
  <r>
    <s v="S000230"/>
    <s v="FLA-2024-00053"/>
    <x v="4"/>
    <x v="7"/>
    <x v="3"/>
    <x v="84"/>
    <s v="%"/>
    <n v="97"/>
    <n v="100"/>
    <x v="87"/>
    <x v="5"/>
  </r>
  <r>
    <s v="S000173"/>
    <s v="FOO-2025-00041"/>
    <x v="1"/>
    <x v="5"/>
    <x v="1"/>
    <x v="85"/>
    <s v="g/ml"/>
    <n v="0.88"/>
    <n v="0.97"/>
    <x v="88"/>
    <x v="6"/>
  </r>
  <r>
    <s v="S000451"/>
    <s v="FLA-2025-00101"/>
    <x v="4"/>
    <x v="1"/>
    <x v="3"/>
    <x v="86"/>
    <s v="%"/>
    <n v="97"/>
    <n v="100"/>
    <x v="89"/>
    <x v="5"/>
  </r>
  <r>
    <s v="S001525"/>
    <s v="FRA-2024-00340"/>
    <x v="3"/>
    <x v="5"/>
    <x v="3"/>
    <x v="87"/>
    <s v="%"/>
    <n v="97"/>
    <n v="100"/>
    <x v="90"/>
    <x v="4"/>
  </r>
  <r>
    <s v="S000128"/>
    <s v="FOO-2025-00030"/>
    <x v="1"/>
    <x v="3"/>
    <x v="6"/>
    <x v="88"/>
    <s v="CFU/g"/>
    <n v="0"/>
    <n v="100"/>
    <x v="49"/>
    <x v="3"/>
  </r>
  <r>
    <s v="S001065"/>
    <s v="ARO-2024-00238"/>
    <x v="0"/>
    <x v="3"/>
    <x v="3"/>
    <x v="89"/>
    <s v="%"/>
    <n v="97"/>
    <n v="100"/>
    <x v="91"/>
    <x v="1"/>
  </r>
  <r>
    <s v="S000038"/>
    <s v="FLA-2024-00009"/>
    <x v="4"/>
    <x v="1"/>
    <x v="5"/>
    <x v="90"/>
    <m/>
    <n v="6"/>
    <n v="7.5"/>
    <x v="92"/>
    <x v="8"/>
  </r>
  <r>
    <s v="S000427"/>
    <s v="ESS-2024-00097"/>
    <x v="2"/>
    <x v="6"/>
    <x v="0"/>
    <x v="91"/>
    <s v="ppm"/>
    <n v="0"/>
    <n v="120"/>
    <x v="93"/>
    <x v="8"/>
  </r>
  <r>
    <s v="S000205"/>
    <s v="FOO-2024-00047"/>
    <x v="1"/>
    <x v="0"/>
    <x v="3"/>
    <x v="92"/>
    <s v="%"/>
    <n v="97"/>
    <n v="100"/>
    <x v="94"/>
    <x v="7"/>
  </r>
  <r>
    <s v="S001250"/>
    <s v="FLA-2024-00280"/>
    <x v="4"/>
    <x v="7"/>
    <x v="4"/>
    <x v="11"/>
    <s v="%"/>
    <n v="0"/>
    <n v="1"/>
    <x v="95"/>
    <x v="8"/>
  </r>
  <r>
    <s v="S000186"/>
    <s v="FRA-2025-00043"/>
    <x v="3"/>
    <x v="1"/>
    <x v="1"/>
    <x v="46"/>
    <s v="g/ml"/>
    <n v="0.88"/>
    <n v="0.97"/>
    <x v="67"/>
    <x v="1"/>
  </r>
  <r>
    <s v="S001269"/>
    <s v="FLA-2024-00284"/>
    <x v="4"/>
    <x v="1"/>
    <x v="4"/>
    <x v="93"/>
    <s v="%"/>
    <n v="0"/>
    <n v="1"/>
    <x v="96"/>
    <x v="3"/>
  </r>
  <r>
    <s v="S000059"/>
    <s v="ARO-2025-00014"/>
    <x v="0"/>
    <x v="5"/>
    <x v="2"/>
    <x v="94"/>
    <s v="um"/>
    <n v="150"/>
    <n v="400"/>
    <x v="97"/>
    <x v="1"/>
  </r>
  <r>
    <s v="S001507"/>
    <s v="FLA-2025-00336"/>
    <x v="4"/>
    <x v="7"/>
    <x v="6"/>
    <x v="95"/>
    <s v="CFU/g"/>
    <n v="0"/>
    <n v="100"/>
    <x v="63"/>
    <x v="0"/>
  </r>
  <r>
    <s v="S000863"/>
    <s v="FOO-2024-00195"/>
    <x v="1"/>
    <x v="6"/>
    <x v="1"/>
    <x v="96"/>
    <s v="g/ml"/>
    <n v="0.88"/>
    <n v="0.97"/>
    <x v="98"/>
    <x v="2"/>
  </r>
  <r>
    <s v="S001877"/>
    <s v="FRA-2024-00420"/>
    <x v="3"/>
    <x v="2"/>
    <x v="1"/>
    <x v="97"/>
    <s v="g/ml"/>
    <n v="0.88"/>
    <n v="0.97"/>
    <x v="17"/>
    <x v="4"/>
  </r>
  <r>
    <s v="S001333"/>
    <s v="ARO-2025-00297"/>
    <x v="0"/>
    <x v="2"/>
    <x v="6"/>
    <x v="98"/>
    <s v="CFU/g"/>
    <n v="0"/>
    <n v="100"/>
    <x v="84"/>
    <x v="3"/>
  </r>
  <r>
    <s v="S001165"/>
    <s v="ARO-2025-00261"/>
    <x v="0"/>
    <x v="7"/>
    <x v="5"/>
    <x v="99"/>
    <m/>
    <n v="6"/>
    <n v="7.5"/>
    <x v="99"/>
    <x v="4"/>
  </r>
  <r>
    <s v="S001316"/>
    <s v="FLA-2024-00294"/>
    <x v="4"/>
    <x v="5"/>
    <x v="6"/>
    <x v="100"/>
    <s v="CFU/g"/>
    <n v="0"/>
    <n v="100"/>
    <x v="100"/>
    <x v="4"/>
  </r>
  <r>
    <s v="S001415"/>
    <s v="ARO-2025-00316"/>
    <x v="0"/>
    <x v="3"/>
    <x v="4"/>
    <x v="101"/>
    <s v="%"/>
    <n v="0"/>
    <n v="1"/>
    <x v="101"/>
    <x v="1"/>
  </r>
  <r>
    <s v="S000612"/>
    <s v="FLA-2024-00138"/>
    <x v="4"/>
    <x v="3"/>
    <x v="5"/>
    <x v="102"/>
    <m/>
    <n v="6"/>
    <n v="7.5"/>
    <x v="102"/>
    <x v="4"/>
  </r>
  <r>
    <s v="S000035"/>
    <s v="ARO-2024-00008"/>
    <x v="0"/>
    <x v="1"/>
    <x v="4"/>
    <x v="93"/>
    <s v="%"/>
    <n v="0"/>
    <n v="1"/>
    <x v="103"/>
    <x v="2"/>
  </r>
  <r>
    <s v="S000831"/>
    <s v="ESS-2024-00189"/>
    <x v="2"/>
    <x v="1"/>
    <x v="5"/>
    <x v="103"/>
    <m/>
    <n v="6"/>
    <n v="7.5"/>
    <x v="104"/>
    <x v="2"/>
  </r>
  <r>
    <s v="S001827"/>
    <s v="ESS-2024-00408"/>
    <x v="2"/>
    <x v="9"/>
    <x v="6"/>
    <x v="104"/>
    <s v="CFU/g"/>
    <n v="0"/>
    <n v="100"/>
    <x v="33"/>
    <x v="5"/>
  </r>
  <r>
    <s v="S000361"/>
    <s v="ESS-2025-00081"/>
    <x v="2"/>
    <x v="5"/>
    <x v="5"/>
    <x v="105"/>
    <m/>
    <n v="6"/>
    <n v="7.5"/>
    <x v="18"/>
    <x v="3"/>
  </r>
  <r>
    <s v="S001050"/>
    <s v="ESS-2024-00235"/>
    <x v="2"/>
    <x v="1"/>
    <x v="1"/>
    <x v="85"/>
    <s v="g/ml"/>
    <n v="0.88"/>
    <n v="0.97"/>
    <x v="105"/>
    <x v="3"/>
  </r>
  <r>
    <s v="S001649"/>
    <s v="ARO-2025-00369"/>
    <x v="0"/>
    <x v="2"/>
    <x v="4"/>
    <x v="106"/>
    <s v="%"/>
    <n v="0"/>
    <n v="1"/>
    <x v="106"/>
    <x v="1"/>
  </r>
  <r>
    <s v="S001900"/>
    <s v="ARO-2025-00425"/>
    <x v="0"/>
    <x v="6"/>
    <x v="6"/>
    <x v="107"/>
    <s v="CFU/g"/>
    <n v="0"/>
    <n v="100"/>
    <x v="107"/>
    <x v="5"/>
  </r>
  <r>
    <s v="S000596"/>
    <s v="ARO-2025-00134"/>
    <x v="0"/>
    <x v="8"/>
    <x v="0"/>
    <x v="108"/>
    <s v="ppm"/>
    <n v="0"/>
    <n v="120"/>
    <x v="108"/>
    <x v="7"/>
  </r>
  <r>
    <s v="S001279"/>
    <s v="ESS-2025-00286"/>
    <x v="2"/>
    <x v="3"/>
    <x v="4"/>
    <x v="109"/>
    <s v="%"/>
    <n v="0"/>
    <n v="1"/>
    <x v="109"/>
    <x v="2"/>
  </r>
  <r>
    <s v="S000591"/>
    <s v="ARO-2025-00133"/>
    <x v="0"/>
    <x v="8"/>
    <x v="0"/>
    <x v="110"/>
    <s v="ppm"/>
    <n v="0"/>
    <n v="120"/>
    <x v="110"/>
    <x v="3"/>
  </r>
  <r>
    <s v="S000654"/>
    <s v="FRA-2024-00149"/>
    <x v="3"/>
    <x v="7"/>
    <x v="4"/>
    <x v="111"/>
    <s v="%"/>
    <n v="0"/>
    <n v="1"/>
    <x v="60"/>
    <x v="6"/>
  </r>
  <r>
    <s v="S000916"/>
    <s v="FLA-2024-00207"/>
    <x v="4"/>
    <x v="6"/>
    <x v="4"/>
    <x v="50"/>
    <s v="%"/>
    <n v="0"/>
    <n v="1"/>
    <x v="111"/>
    <x v="3"/>
  </r>
  <r>
    <s v="S000770"/>
    <s v="ESS-2025-00174"/>
    <x v="2"/>
    <x v="4"/>
    <x v="6"/>
    <x v="112"/>
    <s v="CFU/g"/>
    <n v="0"/>
    <n v="100"/>
    <x v="112"/>
    <x v="1"/>
  </r>
  <r>
    <s v="S000453"/>
    <s v="FOO-2024-00102"/>
    <x v="1"/>
    <x v="7"/>
    <x v="4"/>
    <x v="113"/>
    <s v="%"/>
    <n v="0"/>
    <n v="1"/>
    <x v="113"/>
    <x v="3"/>
  </r>
  <r>
    <s v="S001817"/>
    <s v="FLA-2025-00406"/>
    <x v="4"/>
    <x v="3"/>
    <x v="3"/>
    <x v="114"/>
    <s v="%"/>
    <n v="97"/>
    <n v="100"/>
    <x v="45"/>
    <x v="4"/>
  </r>
  <r>
    <s v="S000588"/>
    <s v="FLA-2024-00132"/>
    <x v="4"/>
    <x v="8"/>
    <x v="3"/>
    <x v="115"/>
    <s v="%"/>
    <n v="97"/>
    <n v="100"/>
    <x v="114"/>
    <x v="3"/>
  </r>
  <r>
    <s v="S000008"/>
    <s v="ARO-2025-00002"/>
    <x v="0"/>
    <x v="2"/>
    <x v="1"/>
    <x v="80"/>
    <s v="g/ml"/>
    <n v="0.88"/>
    <n v="0.97"/>
    <x v="115"/>
    <x v="3"/>
  </r>
  <r>
    <s v="S001767"/>
    <s v="ESS-2024-00395"/>
    <x v="2"/>
    <x v="10"/>
    <x v="4"/>
    <x v="113"/>
    <s v="%"/>
    <n v="0"/>
    <n v="1"/>
    <x v="116"/>
    <x v="3"/>
  </r>
  <r>
    <s v="S000706"/>
    <s v="FRA-2024-00160"/>
    <x v="3"/>
    <x v="8"/>
    <x v="2"/>
    <x v="116"/>
    <s v="um"/>
    <n v="150"/>
    <n v="400"/>
    <x v="29"/>
    <x v="3"/>
  </r>
  <r>
    <s v="S001319"/>
    <s v="FLA-2024-00294"/>
    <x v="4"/>
    <x v="5"/>
    <x v="1"/>
    <x v="17"/>
    <s v="g/ml"/>
    <n v="0.88"/>
    <n v="0.97"/>
    <x v="100"/>
    <x v="3"/>
  </r>
  <r>
    <s v="S001354"/>
    <s v="ARO-2024-00302"/>
    <x v="0"/>
    <x v="7"/>
    <x v="4"/>
    <x v="6"/>
    <s v="%"/>
    <n v="0"/>
    <n v="1"/>
    <x v="117"/>
    <x v="4"/>
  </r>
  <r>
    <s v="S000021"/>
    <s v="ARO-2025-00005"/>
    <x v="0"/>
    <x v="1"/>
    <x v="1"/>
    <x v="1"/>
    <s v="g/ml"/>
    <n v="0.88"/>
    <n v="0.97"/>
    <x v="118"/>
    <x v="0"/>
  </r>
  <r>
    <s v="S001154"/>
    <s v="ESS-2025-00259"/>
    <x v="2"/>
    <x v="1"/>
    <x v="2"/>
    <x v="117"/>
    <s v="um"/>
    <n v="150"/>
    <n v="400"/>
    <x v="119"/>
    <x v="4"/>
  </r>
  <r>
    <s v="S001191"/>
    <s v="FLA-2025-00267"/>
    <x v="4"/>
    <x v="10"/>
    <x v="2"/>
    <x v="118"/>
    <s v="um"/>
    <n v="150"/>
    <n v="400"/>
    <x v="120"/>
    <x v="0"/>
  </r>
  <r>
    <s v="S001076"/>
    <s v="FOO-2024-00241"/>
    <x v="1"/>
    <x v="5"/>
    <x v="4"/>
    <x v="119"/>
    <s v="%"/>
    <n v="0"/>
    <n v="1"/>
    <x v="77"/>
    <x v="5"/>
  </r>
  <r>
    <s v="S000207"/>
    <s v="FOO-2024-00047"/>
    <x v="1"/>
    <x v="0"/>
    <x v="5"/>
    <x v="120"/>
    <m/>
    <n v="6"/>
    <n v="7.5"/>
    <x v="94"/>
    <x v="6"/>
  </r>
  <r>
    <s v="S000817"/>
    <s v="FRA-2025-00185"/>
    <x v="3"/>
    <x v="0"/>
    <x v="2"/>
    <x v="121"/>
    <s v="um"/>
    <n v="150"/>
    <n v="400"/>
    <x v="121"/>
    <x v="4"/>
  </r>
  <r>
    <s v="S000416"/>
    <s v="FOO-2025-00094"/>
    <x v="1"/>
    <x v="4"/>
    <x v="4"/>
    <x v="122"/>
    <s v="%"/>
    <n v="0"/>
    <n v="1"/>
    <x v="52"/>
    <x v="3"/>
  </r>
  <r>
    <s v="S001626"/>
    <s v="ARO-2025-00363"/>
    <x v="0"/>
    <x v="5"/>
    <x v="4"/>
    <x v="123"/>
    <s v="%"/>
    <n v="0"/>
    <n v="1"/>
    <x v="122"/>
    <x v="2"/>
  </r>
  <r>
    <s v="S000928"/>
    <s v="FRA-2024-00210"/>
    <x v="3"/>
    <x v="5"/>
    <x v="4"/>
    <x v="124"/>
    <s v="%"/>
    <n v="0"/>
    <n v="1"/>
    <x v="123"/>
    <x v="2"/>
  </r>
  <r>
    <s v="S000721"/>
    <s v="FRA-2025-00163"/>
    <x v="3"/>
    <x v="10"/>
    <x v="6"/>
    <x v="125"/>
    <s v="CFU/g"/>
    <n v="0"/>
    <n v="100"/>
    <x v="124"/>
    <x v="5"/>
  </r>
  <r>
    <s v="S001632"/>
    <s v="FOO-2025-00365"/>
    <x v="1"/>
    <x v="1"/>
    <x v="1"/>
    <x v="17"/>
    <s v="g/ml"/>
    <n v="0.88"/>
    <n v="0.97"/>
    <x v="125"/>
    <x v="6"/>
  </r>
  <r>
    <s v="S000732"/>
    <s v="FOO-2025-00166"/>
    <x v="1"/>
    <x v="2"/>
    <x v="3"/>
    <x v="126"/>
    <s v="%"/>
    <n v="97"/>
    <n v="100"/>
    <x v="126"/>
    <x v="5"/>
  </r>
  <r>
    <s v="S000218"/>
    <s v="FRA-2024-00050"/>
    <x v="3"/>
    <x v="5"/>
    <x v="4"/>
    <x v="127"/>
    <s v="%"/>
    <n v="0"/>
    <n v="1"/>
    <x v="127"/>
    <x v="0"/>
  </r>
  <r>
    <s v="S000420"/>
    <s v="FLA-2024-00095"/>
    <x v="4"/>
    <x v="6"/>
    <x v="5"/>
    <x v="128"/>
    <m/>
    <n v="6"/>
    <n v="7.5"/>
    <x v="128"/>
    <x v="6"/>
  </r>
  <r>
    <s v="S001252"/>
    <s v="FLA-2024-00280"/>
    <x v="4"/>
    <x v="7"/>
    <x v="2"/>
    <x v="129"/>
    <s v="um"/>
    <n v="150"/>
    <n v="400"/>
    <x v="95"/>
    <x v="8"/>
  </r>
  <r>
    <s v="S000987"/>
    <s v="FOO-2025-00224"/>
    <x v="1"/>
    <x v="9"/>
    <x v="2"/>
    <x v="130"/>
    <s v="um"/>
    <n v="150"/>
    <n v="400"/>
    <x v="129"/>
    <x v="5"/>
  </r>
  <r>
    <s v="S001636"/>
    <s v="ESS-2024-00366"/>
    <x v="2"/>
    <x v="7"/>
    <x v="5"/>
    <x v="131"/>
    <m/>
    <n v="6"/>
    <n v="7.5"/>
    <x v="130"/>
    <x v="6"/>
  </r>
  <r>
    <s v="S000922"/>
    <s v="FOO-2024-00209"/>
    <x v="1"/>
    <x v="1"/>
    <x v="3"/>
    <x v="132"/>
    <s v="%"/>
    <n v="97"/>
    <n v="100"/>
    <x v="131"/>
    <x v="7"/>
  </r>
  <r>
    <s v="S000971"/>
    <s v="FRA-2025-00219"/>
    <x v="3"/>
    <x v="4"/>
    <x v="0"/>
    <x v="133"/>
    <s v="ppm"/>
    <n v="0"/>
    <n v="120"/>
    <x v="132"/>
    <x v="4"/>
  </r>
  <r>
    <s v="S001313"/>
    <s v="FOO-2025-00293"/>
    <x v="1"/>
    <x v="1"/>
    <x v="1"/>
    <x v="17"/>
    <s v="g/ml"/>
    <n v="0.88"/>
    <n v="0.97"/>
    <x v="133"/>
    <x v="3"/>
  </r>
  <r>
    <s v="S001718"/>
    <s v="ESS-2025-00384"/>
    <x v="2"/>
    <x v="5"/>
    <x v="0"/>
    <x v="134"/>
    <s v="ppm"/>
    <n v="0"/>
    <n v="120"/>
    <x v="134"/>
    <x v="8"/>
  </r>
  <r>
    <s v="S001565"/>
    <s v="FOO-2024-00348"/>
    <x v="1"/>
    <x v="2"/>
    <x v="2"/>
    <x v="135"/>
    <s v="um"/>
    <n v="150"/>
    <n v="400"/>
    <x v="135"/>
    <x v="5"/>
  </r>
  <r>
    <s v="S001847"/>
    <s v="FLA-2025-00413"/>
    <x v="4"/>
    <x v="7"/>
    <x v="6"/>
    <x v="136"/>
    <s v="CFU/g"/>
    <n v="0"/>
    <n v="100"/>
    <x v="136"/>
    <x v="8"/>
  </r>
  <r>
    <s v="S000798"/>
    <s v="FLA-2024-00180"/>
    <x v="4"/>
    <x v="10"/>
    <x v="2"/>
    <x v="137"/>
    <s v="um"/>
    <n v="150"/>
    <n v="400"/>
    <x v="137"/>
    <x v="2"/>
  </r>
  <r>
    <s v="S001261"/>
    <s v="FLA-2024-00282"/>
    <x v="4"/>
    <x v="9"/>
    <x v="6"/>
    <x v="138"/>
    <s v="CFU/g"/>
    <n v="0"/>
    <n v="100"/>
    <x v="138"/>
    <x v="5"/>
  </r>
  <r>
    <s v="S001795"/>
    <s v="FLA-2024-00402"/>
    <x v="4"/>
    <x v="5"/>
    <x v="1"/>
    <x v="85"/>
    <s v="g/ml"/>
    <n v="0.88"/>
    <n v="0.97"/>
    <x v="91"/>
    <x v="8"/>
  </r>
  <r>
    <s v="S000529"/>
    <s v="ARO-2024-00119"/>
    <x v="0"/>
    <x v="2"/>
    <x v="6"/>
    <x v="139"/>
    <s v="CFU/g"/>
    <n v="0"/>
    <n v="100"/>
    <x v="27"/>
    <x v="4"/>
  </r>
  <r>
    <s v="S001754"/>
    <s v="FRA-2024-00392"/>
    <x v="3"/>
    <x v="4"/>
    <x v="3"/>
    <x v="140"/>
    <s v="%"/>
    <n v="97"/>
    <n v="100"/>
    <x v="139"/>
    <x v="2"/>
  </r>
  <r>
    <s v="S000052"/>
    <s v="FOO-2024-00012"/>
    <x v="1"/>
    <x v="7"/>
    <x v="1"/>
    <x v="1"/>
    <s v="g/ml"/>
    <n v="0.88"/>
    <n v="0.97"/>
    <x v="140"/>
    <x v="8"/>
  </r>
  <r>
    <s v="S000037"/>
    <s v="FLA-2024-00009"/>
    <x v="4"/>
    <x v="1"/>
    <x v="2"/>
    <x v="141"/>
    <s v="um"/>
    <n v="150"/>
    <n v="400"/>
    <x v="92"/>
    <x v="6"/>
  </r>
  <r>
    <s v="S001047"/>
    <s v="ESS-2024-00235"/>
    <x v="2"/>
    <x v="1"/>
    <x v="3"/>
    <x v="142"/>
    <s v="%"/>
    <n v="97"/>
    <n v="100"/>
    <x v="141"/>
    <x v="5"/>
  </r>
  <r>
    <s v="S001281"/>
    <s v="ESS-2025-00286"/>
    <x v="2"/>
    <x v="0"/>
    <x v="6"/>
    <x v="143"/>
    <s v="CFU/g"/>
    <n v="0"/>
    <n v="100"/>
    <x v="109"/>
    <x v="3"/>
  </r>
  <r>
    <s v="S001484"/>
    <s v="ESS-2024-00330"/>
    <x v="2"/>
    <x v="6"/>
    <x v="0"/>
    <x v="144"/>
    <s v="ppm"/>
    <n v="0"/>
    <n v="120"/>
    <x v="27"/>
    <x v="2"/>
  </r>
  <r>
    <s v="S000563"/>
    <s v="ARO-2024-00126"/>
    <x v="0"/>
    <x v="1"/>
    <x v="4"/>
    <x v="145"/>
    <s v="%"/>
    <n v="0"/>
    <n v="1"/>
    <x v="142"/>
    <x v="4"/>
  </r>
  <r>
    <s v="S000397"/>
    <s v="FOO-2024-00090"/>
    <x v="1"/>
    <x v="5"/>
    <x v="5"/>
    <x v="146"/>
    <m/>
    <n v="6"/>
    <n v="7.5"/>
    <x v="130"/>
    <x v="7"/>
  </r>
  <r>
    <s v="S001648"/>
    <s v="ARO-2025-00369"/>
    <x v="0"/>
    <x v="2"/>
    <x v="6"/>
    <x v="147"/>
    <s v="CFU/g"/>
    <n v="0"/>
    <n v="100"/>
    <x v="106"/>
    <x v="8"/>
  </r>
  <r>
    <s v="S001126"/>
    <s v="ESS-2025-00253"/>
    <x v="2"/>
    <x v="5"/>
    <x v="0"/>
    <x v="148"/>
    <s v="ppm"/>
    <n v="0"/>
    <n v="120"/>
    <x v="143"/>
    <x v="5"/>
  </r>
  <r>
    <s v="S000752"/>
    <s v="ESS-2025-00170"/>
    <x v="2"/>
    <x v="2"/>
    <x v="4"/>
    <x v="149"/>
    <s v="%"/>
    <n v="0"/>
    <n v="1"/>
    <x v="144"/>
    <x v="3"/>
  </r>
  <r>
    <s v="S001139"/>
    <s v="FRA-2025-00255"/>
    <x v="3"/>
    <x v="2"/>
    <x v="6"/>
    <x v="150"/>
    <s v="CFU/g"/>
    <n v="0"/>
    <n v="100"/>
    <x v="145"/>
    <x v="8"/>
  </r>
  <r>
    <s v="S001318"/>
    <s v="FLA-2024-00294"/>
    <x v="4"/>
    <x v="5"/>
    <x v="0"/>
    <x v="151"/>
    <s v="ppm"/>
    <n v="0"/>
    <n v="120"/>
    <x v="100"/>
    <x v="3"/>
  </r>
  <r>
    <s v="S000351"/>
    <s v="FRA-2025-00079"/>
    <x v="3"/>
    <x v="3"/>
    <x v="6"/>
    <x v="152"/>
    <s v="CFU/g"/>
    <n v="0"/>
    <n v="100"/>
    <x v="146"/>
    <x v="2"/>
  </r>
  <r>
    <s v="S001026"/>
    <s v="FOO-2025-00231"/>
    <x v="1"/>
    <x v="7"/>
    <x v="5"/>
    <x v="153"/>
    <m/>
    <n v="6"/>
    <n v="7.5"/>
    <x v="147"/>
    <x v="0"/>
  </r>
  <r>
    <s v="S001905"/>
    <s v="ESS-2025-00426"/>
    <x v="2"/>
    <x v="8"/>
    <x v="4"/>
    <x v="123"/>
    <s v="%"/>
    <n v="0"/>
    <n v="1"/>
    <x v="148"/>
    <x v="2"/>
  </r>
  <r>
    <s v="S000526"/>
    <s v="FRA-2024-00118"/>
    <x v="3"/>
    <x v="1"/>
    <x v="2"/>
    <x v="154"/>
    <s v="um"/>
    <n v="150"/>
    <n v="400"/>
    <x v="149"/>
    <x v="6"/>
  </r>
  <r>
    <s v="S000821"/>
    <s v="ESS-2024-00186"/>
    <x v="2"/>
    <x v="7"/>
    <x v="0"/>
    <x v="155"/>
    <s v="ppm"/>
    <n v="0"/>
    <n v="120"/>
    <x v="150"/>
    <x v="5"/>
  </r>
  <r>
    <s v="S000442"/>
    <s v="FOO-2024-00100"/>
    <x v="1"/>
    <x v="1"/>
    <x v="3"/>
    <x v="156"/>
    <s v="%"/>
    <n v="97"/>
    <n v="100"/>
    <x v="151"/>
    <x v="3"/>
  </r>
  <r>
    <s v="S000147"/>
    <s v="ESS-2025-00035"/>
    <x v="2"/>
    <x v="10"/>
    <x v="1"/>
    <x v="17"/>
    <s v="g/ml"/>
    <n v="0.88"/>
    <n v="0.97"/>
    <x v="152"/>
    <x v="5"/>
  </r>
  <r>
    <s v="S001619"/>
    <s v="ESS-2024-00361"/>
    <x v="2"/>
    <x v="0"/>
    <x v="4"/>
    <x v="157"/>
    <s v="%"/>
    <n v="0"/>
    <n v="1"/>
    <x v="153"/>
    <x v="6"/>
  </r>
  <r>
    <s v="S000947"/>
    <s v="FLA-2024-00214"/>
    <x v="4"/>
    <x v="2"/>
    <x v="2"/>
    <x v="158"/>
    <s v="um"/>
    <n v="150"/>
    <n v="400"/>
    <x v="38"/>
    <x v="2"/>
  </r>
  <r>
    <s v="S000864"/>
    <s v="ESS-2024-00196"/>
    <x v="2"/>
    <x v="8"/>
    <x v="2"/>
    <x v="159"/>
    <s v="um"/>
    <n v="150"/>
    <n v="400"/>
    <x v="154"/>
    <x v="8"/>
  </r>
  <r>
    <s v="S000238"/>
    <s v="FRA-2024-00054"/>
    <x v="3"/>
    <x v="6"/>
    <x v="3"/>
    <x v="160"/>
    <s v="%"/>
    <n v="97"/>
    <n v="100"/>
    <x v="155"/>
    <x v="1"/>
  </r>
  <r>
    <s v="S001873"/>
    <s v="ESS-2024-00419"/>
    <x v="2"/>
    <x v="2"/>
    <x v="3"/>
    <x v="161"/>
    <s v="%"/>
    <n v="97"/>
    <n v="100"/>
    <x v="103"/>
    <x v="3"/>
  </r>
  <r>
    <s v="S000562"/>
    <s v="ARO-2024-00126"/>
    <x v="0"/>
    <x v="1"/>
    <x v="2"/>
    <x v="162"/>
    <s v="um"/>
    <n v="150"/>
    <n v="400"/>
    <x v="142"/>
    <x v="3"/>
  </r>
  <r>
    <s v="S000670"/>
    <s v="FOO-2025-00153"/>
    <x v="1"/>
    <x v="5"/>
    <x v="0"/>
    <x v="163"/>
    <s v="ppm"/>
    <n v="0"/>
    <n v="120"/>
    <x v="50"/>
    <x v="1"/>
  </r>
  <r>
    <s v="S000929"/>
    <s v="ARO-2025-00211"/>
    <x v="0"/>
    <x v="3"/>
    <x v="0"/>
    <x v="164"/>
    <s v="ppm"/>
    <n v="0"/>
    <n v="120"/>
    <x v="156"/>
    <x v="3"/>
  </r>
  <r>
    <s v="S001716"/>
    <s v="FLA-2024-00383"/>
    <x v="4"/>
    <x v="8"/>
    <x v="2"/>
    <x v="165"/>
    <s v="um"/>
    <n v="150"/>
    <n v="400"/>
    <x v="157"/>
    <x v="3"/>
  </r>
  <r>
    <s v="S001641"/>
    <s v="ARO-2024-00368"/>
    <x v="0"/>
    <x v="1"/>
    <x v="3"/>
    <x v="166"/>
    <s v="%"/>
    <n v="97"/>
    <n v="100"/>
    <x v="158"/>
    <x v="3"/>
  </r>
  <r>
    <s v="S000755"/>
    <s v="ARO-2025-00171"/>
    <x v="0"/>
    <x v="3"/>
    <x v="3"/>
    <x v="167"/>
    <s v="%"/>
    <n v="97"/>
    <n v="100"/>
    <x v="159"/>
    <x v="3"/>
  </r>
  <r>
    <s v="S001969"/>
    <s v="FRA-2025-00440"/>
    <x v="3"/>
    <x v="8"/>
    <x v="4"/>
    <x v="57"/>
    <s v="%"/>
    <n v="0"/>
    <n v="1"/>
    <x v="160"/>
    <x v="6"/>
  </r>
  <r>
    <s v="S001324"/>
    <s v="FLA-2024-00295"/>
    <x v="4"/>
    <x v="6"/>
    <x v="3"/>
    <x v="168"/>
    <s v="%"/>
    <n v="97"/>
    <n v="100"/>
    <x v="161"/>
    <x v="3"/>
  </r>
  <r>
    <s v="S001447"/>
    <s v="FLA-2024-00323"/>
    <x v="4"/>
    <x v="0"/>
    <x v="5"/>
    <x v="169"/>
    <m/>
    <n v="6"/>
    <n v="7.5"/>
    <x v="70"/>
    <x v="0"/>
  </r>
  <r>
    <s v="S000501"/>
    <s v="FLA-2025-00112"/>
    <x v="4"/>
    <x v="9"/>
    <x v="3"/>
    <x v="170"/>
    <s v="%"/>
    <n v="97"/>
    <n v="100"/>
    <x v="43"/>
    <x v="4"/>
  </r>
  <r>
    <s v="S000439"/>
    <s v="ESS-2024-00099"/>
    <x v="2"/>
    <x v="4"/>
    <x v="5"/>
    <x v="171"/>
    <m/>
    <n v="6"/>
    <n v="7.5"/>
    <x v="162"/>
    <x v="7"/>
  </r>
  <r>
    <s v="S001935"/>
    <s v="ARO-2025-00433"/>
    <x v="0"/>
    <x v="0"/>
    <x v="4"/>
    <x v="11"/>
    <s v="%"/>
    <n v="0"/>
    <n v="1"/>
    <x v="163"/>
    <x v="3"/>
  </r>
  <r>
    <s v="S000664"/>
    <s v="ARO-2025-00151"/>
    <x v="0"/>
    <x v="2"/>
    <x v="6"/>
    <x v="172"/>
    <s v="CFU/g"/>
    <n v="0"/>
    <n v="100"/>
    <x v="164"/>
    <x v="8"/>
  </r>
  <r>
    <s v="S001977"/>
    <s v="FLA-2025-00442"/>
    <x v="4"/>
    <x v="3"/>
    <x v="2"/>
    <x v="173"/>
    <s v="um"/>
    <n v="150"/>
    <n v="400"/>
    <x v="165"/>
    <x v="4"/>
  </r>
  <r>
    <s v="S000726"/>
    <s v="FLA-2025-00164"/>
    <x v="4"/>
    <x v="6"/>
    <x v="0"/>
    <x v="174"/>
    <s v="ppm"/>
    <n v="0"/>
    <n v="120"/>
    <x v="166"/>
    <x v="6"/>
  </r>
  <r>
    <s v="S001288"/>
    <s v="ARO-2024-00288"/>
    <x v="0"/>
    <x v="10"/>
    <x v="5"/>
    <x v="175"/>
    <m/>
    <n v="6"/>
    <n v="7.5"/>
    <x v="167"/>
    <x v="2"/>
  </r>
  <r>
    <s v="S000263"/>
    <s v="ARO-2025-00060"/>
    <x v="0"/>
    <x v="0"/>
    <x v="2"/>
    <x v="176"/>
    <s v="um"/>
    <n v="150"/>
    <n v="400"/>
    <x v="168"/>
    <x v="3"/>
  </r>
  <r>
    <s v="S000142"/>
    <s v="FOO-2024-00034"/>
    <x v="1"/>
    <x v="1"/>
    <x v="2"/>
    <x v="177"/>
    <s v="um"/>
    <n v="150"/>
    <n v="400"/>
    <x v="1"/>
    <x v="5"/>
  </r>
  <r>
    <s v="S000352"/>
    <s v="FRA-2025-00079"/>
    <x v="3"/>
    <x v="3"/>
    <x v="4"/>
    <x v="52"/>
    <s v="%"/>
    <n v="0"/>
    <n v="1"/>
    <x v="146"/>
    <x v="4"/>
  </r>
  <r>
    <s v="S000368"/>
    <s v="ARO-2025-00083"/>
    <x v="0"/>
    <x v="0"/>
    <x v="6"/>
    <x v="178"/>
    <s v="CFU/g"/>
    <n v="0"/>
    <n v="100"/>
    <x v="133"/>
    <x v="8"/>
  </r>
  <r>
    <s v="S001862"/>
    <s v="ESS-2025-00416"/>
    <x v="2"/>
    <x v="3"/>
    <x v="4"/>
    <x v="179"/>
    <s v="%"/>
    <n v="0"/>
    <n v="1"/>
    <x v="73"/>
    <x v="1"/>
  </r>
  <r>
    <s v="S000312"/>
    <s v="FLA-2025-00070"/>
    <x v="4"/>
    <x v="7"/>
    <x v="5"/>
    <x v="180"/>
    <m/>
    <n v="6"/>
    <n v="7.5"/>
    <x v="169"/>
    <x v="2"/>
  </r>
  <r>
    <s v="S001128"/>
    <s v="ESS-2025-00253"/>
    <x v="2"/>
    <x v="8"/>
    <x v="2"/>
    <x v="181"/>
    <s v="um"/>
    <n v="150"/>
    <n v="400"/>
    <x v="143"/>
    <x v="0"/>
  </r>
  <r>
    <s v="S001986"/>
    <s v="ESS-2025-00443"/>
    <x v="2"/>
    <x v="3"/>
    <x v="1"/>
    <x v="85"/>
    <s v="g/ml"/>
    <n v="0.88"/>
    <n v="0.97"/>
    <x v="55"/>
    <x v="3"/>
  </r>
  <r>
    <s v="S000455"/>
    <s v="FOO-2024-00102"/>
    <x v="1"/>
    <x v="9"/>
    <x v="1"/>
    <x v="75"/>
    <s v="g/ml"/>
    <n v="0.88"/>
    <n v="0.97"/>
    <x v="170"/>
    <x v="4"/>
  </r>
  <r>
    <s v="S001294"/>
    <s v="FOO-2024-00289"/>
    <x v="1"/>
    <x v="6"/>
    <x v="4"/>
    <x v="59"/>
    <s v="%"/>
    <n v="0"/>
    <n v="1"/>
    <x v="171"/>
    <x v="4"/>
  </r>
  <r>
    <s v="S001684"/>
    <s v="FRA-2024-00377"/>
    <x v="3"/>
    <x v="5"/>
    <x v="5"/>
    <x v="182"/>
    <m/>
    <n v="6"/>
    <n v="7.5"/>
    <x v="172"/>
    <x v="8"/>
  </r>
  <r>
    <s v="S001635"/>
    <s v="ESS-2024-00366"/>
    <x v="2"/>
    <x v="7"/>
    <x v="0"/>
    <x v="183"/>
    <s v="ppm"/>
    <n v="0"/>
    <n v="120"/>
    <x v="130"/>
    <x v="3"/>
  </r>
  <r>
    <s v="S001173"/>
    <s v="ARO-2024-00263"/>
    <x v="0"/>
    <x v="10"/>
    <x v="0"/>
    <x v="24"/>
    <s v="ppm"/>
    <n v="0"/>
    <n v="120"/>
    <x v="68"/>
    <x v="2"/>
  </r>
  <r>
    <s v="S000342"/>
    <s v="FRA-2024-00077"/>
    <x v="3"/>
    <x v="1"/>
    <x v="5"/>
    <x v="184"/>
    <m/>
    <n v="6"/>
    <n v="7.5"/>
    <x v="58"/>
    <x v="4"/>
  </r>
  <r>
    <s v="S000684"/>
    <s v="ARO-2025-00156"/>
    <x v="0"/>
    <x v="5"/>
    <x v="5"/>
    <x v="185"/>
    <m/>
    <n v="6"/>
    <n v="7.5"/>
    <x v="121"/>
    <x v="3"/>
  </r>
  <r>
    <s v="S000962"/>
    <s v="FRA-2024-00218"/>
    <x v="3"/>
    <x v="3"/>
    <x v="0"/>
    <x v="186"/>
    <s v="ppm"/>
    <n v="0"/>
    <n v="120"/>
    <x v="173"/>
    <x v="7"/>
  </r>
  <r>
    <s v="S001792"/>
    <s v="ARO-2024-00401"/>
    <x v="0"/>
    <x v="7"/>
    <x v="2"/>
    <x v="187"/>
    <s v="um"/>
    <n v="150"/>
    <n v="400"/>
    <x v="174"/>
    <x v="7"/>
  </r>
  <r>
    <s v="S000856"/>
    <s v="ARO-2024-00194"/>
    <x v="0"/>
    <x v="8"/>
    <x v="6"/>
    <x v="188"/>
    <s v="CFU/g"/>
    <n v="0"/>
    <n v="100"/>
    <x v="175"/>
    <x v="6"/>
  </r>
  <r>
    <s v="S001418"/>
    <s v="ARO-2025-00316"/>
    <x v="0"/>
    <x v="3"/>
    <x v="5"/>
    <x v="189"/>
    <m/>
    <n v="6"/>
    <n v="7.5"/>
    <x v="101"/>
    <x v="5"/>
  </r>
  <r>
    <s v="S000180"/>
    <s v="ARO-2025-00042"/>
    <x v="0"/>
    <x v="1"/>
    <x v="0"/>
    <x v="190"/>
    <s v="ppm"/>
    <n v="0"/>
    <n v="120"/>
    <x v="18"/>
    <x v="6"/>
  </r>
  <r>
    <s v="S000978"/>
    <s v="FLA-2025-00221"/>
    <x v="4"/>
    <x v="8"/>
    <x v="5"/>
    <x v="191"/>
    <m/>
    <n v="6"/>
    <n v="7.5"/>
    <x v="6"/>
    <x v="3"/>
  </r>
  <r>
    <s v="S000807"/>
    <s v="ESS-2025-00183"/>
    <x v="2"/>
    <x v="2"/>
    <x v="0"/>
    <x v="192"/>
    <s v="ppm"/>
    <n v="0"/>
    <n v="120"/>
    <x v="176"/>
    <x v="2"/>
  </r>
  <r>
    <s v="S000398"/>
    <s v="FOO-2024-00090"/>
    <x v="1"/>
    <x v="5"/>
    <x v="3"/>
    <x v="193"/>
    <s v="%"/>
    <n v="97"/>
    <n v="100"/>
    <x v="130"/>
    <x v="8"/>
  </r>
  <r>
    <s v="S001314"/>
    <s v="FOO-2025-00293"/>
    <x v="1"/>
    <x v="1"/>
    <x v="4"/>
    <x v="36"/>
    <s v="%"/>
    <n v="0"/>
    <n v="1"/>
    <x v="133"/>
    <x v="2"/>
  </r>
  <r>
    <s v="S000341"/>
    <s v="FRA-2024-00077"/>
    <x v="3"/>
    <x v="1"/>
    <x v="6"/>
    <x v="194"/>
    <s v="CFU/g"/>
    <n v="0"/>
    <n v="100"/>
    <x v="177"/>
    <x v="8"/>
  </r>
  <r>
    <s v="S000597"/>
    <s v="ARO-2025-00134"/>
    <x v="0"/>
    <x v="5"/>
    <x v="5"/>
    <x v="195"/>
    <m/>
    <n v="6"/>
    <n v="7.5"/>
    <x v="108"/>
    <x v="8"/>
  </r>
  <r>
    <s v="S001134"/>
    <s v="FRA-2025-00255"/>
    <x v="3"/>
    <x v="2"/>
    <x v="1"/>
    <x v="85"/>
    <s v="g/ml"/>
    <n v="0.88"/>
    <n v="0.97"/>
    <x v="145"/>
    <x v="2"/>
  </r>
  <r>
    <s v="S001950"/>
    <s v="ESS-2025-00436"/>
    <x v="2"/>
    <x v="2"/>
    <x v="2"/>
    <x v="196"/>
    <s v="um"/>
    <n v="150"/>
    <n v="400"/>
    <x v="178"/>
    <x v="1"/>
  </r>
  <r>
    <s v="S000480"/>
    <s v="FRA-2024-00108"/>
    <x v="3"/>
    <x v="3"/>
    <x v="1"/>
    <x v="1"/>
    <s v="g/ml"/>
    <n v="0.88"/>
    <n v="0.97"/>
    <x v="87"/>
    <x v="2"/>
  </r>
  <r>
    <s v="S000805"/>
    <s v="ESS-2025-00183"/>
    <x v="2"/>
    <x v="2"/>
    <x v="5"/>
    <x v="197"/>
    <m/>
    <n v="6"/>
    <n v="7.5"/>
    <x v="179"/>
    <x v="8"/>
  </r>
  <r>
    <s v="S000730"/>
    <s v="FOO-2025-00166"/>
    <x v="1"/>
    <x v="6"/>
    <x v="2"/>
    <x v="198"/>
    <s v="um"/>
    <n v="150"/>
    <n v="400"/>
    <x v="126"/>
    <x v="5"/>
  </r>
  <r>
    <s v="S001028"/>
    <s v="FOO-2025-00231"/>
    <x v="1"/>
    <x v="10"/>
    <x v="0"/>
    <x v="199"/>
    <s v="ppm"/>
    <n v="0"/>
    <n v="120"/>
    <x v="147"/>
    <x v="3"/>
  </r>
  <r>
    <s v="S000072"/>
    <s v="ESS-2024-00017"/>
    <x v="2"/>
    <x v="4"/>
    <x v="1"/>
    <x v="17"/>
    <s v="g/ml"/>
    <n v="0.88"/>
    <n v="0.97"/>
    <x v="180"/>
    <x v="7"/>
  </r>
  <r>
    <s v="S001170"/>
    <s v="ARO-2024-00263"/>
    <x v="0"/>
    <x v="10"/>
    <x v="4"/>
    <x v="59"/>
    <s v="%"/>
    <n v="0"/>
    <n v="1"/>
    <x v="68"/>
    <x v="3"/>
  </r>
  <r>
    <s v="S001734"/>
    <s v="ARO-2024-00388"/>
    <x v="0"/>
    <x v="1"/>
    <x v="1"/>
    <x v="1"/>
    <s v="g/ml"/>
    <n v="0.88"/>
    <n v="0.97"/>
    <x v="11"/>
    <x v="5"/>
  </r>
  <r>
    <s v="S001724"/>
    <s v="FRA-2025-00386"/>
    <x v="3"/>
    <x v="3"/>
    <x v="0"/>
    <x v="200"/>
    <s v="ppm"/>
    <n v="0"/>
    <n v="120"/>
    <x v="181"/>
    <x v="3"/>
  </r>
  <r>
    <s v="S000309"/>
    <s v="FLA-2025-00070"/>
    <x v="4"/>
    <x v="9"/>
    <x v="2"/>
    <x v="201"/>
    <s v="um"/>
    <n v="150"/>
    <n v="400"/>
    <x v="169"/>
    <x v="3"/>
  </r>
  <r>
    <s v="S000572"/>
    <s v="FRA-2024-00129"/>
    <x v="3"/>
    <x v="0"/>
    <x v="6"/>
    <x v="202"/>
    <s v="CFU/g"/>
    <n v="0"/>
    <n v="100"/>
    <x v="141"/>
    <x v="3"/>
  </r>
  <r>
    <s v="S001889"/>
    <s v="FOO-2025-00423"/>
    <x v="1"/>
    <x v="5"/>
    <x v="6"/>
    <x v="203"/>
    <s v="CFU/g"/>
    <n v="0"/>
    <n v="100"/>
    <x v="182"/>
    <x v="2"/>
  </r>
  <r>
    <s v="S000299"/>
    <s v="FRA-2024-00067"/>
    <x v="3"/>
    <x v="1"/>
    <x v="6"/>
    <x v="204"/>
    <s v="CFU/g"/>
    <n v="0"/>
    <n v="100"/>
    <x v="137"/>
    <x v="5"/>
  </r>
  <r>
    <s v="S000201"/>
    <s v="ARO-2025-00046"/>
    <x v="0"/>
    <x v="4"/>
    <x v="1"/>
    <x v="33"/>
    <s v="g/ml"/>
    <n v="0.88"/>
    <n v="0.97"/>
    <x v="121"/>
    <x v="8"/>
  </r>
  <r>
    <s v="S001906"/>
    <s v="FOO-2025-00427"/>
    <x v="1"/>
    <x v="8"/>
    <x v="3"/>
    <x v="205"/>
    <s v="%"/>
    <n v="97"/>
    <n v="100"/>
    <x v="183"/>
    <x v="7"/>
  </r>
  <r>
    <s v="S001510"/>
    <s v="FLA-2025-00336"/>
    <x v="4"/>
    <x v="9"/>
    <x v="2"/>
    <x v="206"/>
    <s v="um"/>
    <n v="150"/>
    <n v="400"/>
    <x v="63"/>
    <x v="4"/>
  </r>
  <r>
    <s v="S001123"/>
    <s v="FRA-2025-00252"/>
    <x v="3"/>
    <x v="10"/>
    <x v="0"/>
    <x v="207"/>
    <s v="ppm"/>
    <n v="0"/>
    <n v="120"/>
    <x v="184"/>
    <x v="5"/>
  </r>
  <r>
    <s v="S001742"/>
    <s v="FOO-2024-00389"/>
    <x v="1"/>
    <x v="0"/>
    <x v="6"/>
    <x v="208"/>
    <s v="CFU/g"/>
    <n v="0"/>
    <n v="100"/>
    <x v="5"/>
    <x v="5"/>
  </r>
  <r>
    <s v="S001335"/>
    <s v="FRA-2024-00298"/>
    <x v="3"/>
    <x v="0"/>
    <x v="5"/>
    <x v="105"/>
    <m/>
    <n v="6"/>
    <n v="7.5"/>
    <x v="185"/>
    <x v="4"/>
  </r>
  <r>
    <s v="S000505"/>
    <s v="FOO-2025-00113"/>
    <x v="1"/>
    <x v="0"/>
    <x v="6"/>
    <x v="209"/>
    <s v="CFU/g"/>
    <n v="0"/>
    <n v="100"/>
    <x v="186"/>
    <x v="8"/>
  </r>
  <r>
    <s v="S000780"/>
    <s v="ARO-2025-00177"/>
    <x v="0"/>
    <x v="10"/>
    <x v="1"/>
    <x v="85"/>
    <s v="g/ml"/>
    <n v="0.88"/>
    <n v="0.97"/>
    <x v="187"/>
    <x v="6"/>
  </r>
  <r>
    <s v="S000621"/>
    <s v="ARO-2024-00140"/>
    <x v="0"/>
    <x v="9"/>
    <x v="0"/>
    <x v="210"/>
    <s v="ppm"/>
    <n v="0"/>
    <n v="120"/>
    <x v="127"/>
    <x v="3"/>
  </r>
  <r>
    <s v="S001601"/>
    <s v="FRA-2024-00357"/>
    <x v="3"/>
    <x v="0"/>
    <x v="1"/>
    <x v="85"/>
    <s v="g/ml"/>
    <n v="0.88"/>
    <n v="0.97"/>
    <x v="188"/>
    <x v="8"/>
  </r>
  <r>
    <s v="S001140"/>
    <s v="ARO-2025-00256"/>
    <x v="0"/>
    <x v="0"/>
    <x v="2"/>
    <x v="211"/>
    <s v="um"/>
    <n v="150"/>
    <n v="400"/>
    <x v="189"/>
    <x v="3"/>
  </r>
  <r>
    <s v="S001021"/>
    <s v="ARO-2025-00230"/>
    <x v="0"/>
    <x v="3"/>
    <x v="1"/>
    <x v="1"/>
    <s v="g/ml"/>
    <n v="0.88"/>
    <n v="0.97"/>
    <x v="190"/>
    <x v="3"/>
  </r>
  <r>
    <s v="S000117"/>
    <s v="ESS-2025-00027"/>
    <x v="2"/>
    <x v="6"/>
    <x v="0"/>
    <x v="212"/>
    <s v="ppm"/>
    <n v="0"/>
    <n v="120"/>
    <x v="191"/>
    <x v="3"/>
  </r>
  <r>
    <s v="S001672"/>
    <s v="FRA-2025-00374"/>
    <x v="3"/>
    <x v="6"/>
    <x v="2"/>
    <x v="213"/>
    <s v="um"/>
    <n v="150"/>
    <n v="400"/>
    <x v="41"/>
    <x v="3"/>
  </r>
  <r>
    <s v="S001780"/>
    <s v="FOO-2025-00398"/>
    <x v="1"/>
    <x v="5"/>
    <x v="5"/>
    <x v="105"/>
    <m/>
    <n v="6"/>
    <n v="7.5"/>
    <x v="192"/>
    <x v="5"/>
  </r>
  <r>
    <s v="S000005"/>
    <s v="ARO-2025-00002"/>
    <x v="0"/>
    <x v="6"/>
    <x v="2"/>
    <x v="214"/>
    <s v="um"/>
    <n v="150"/>
    <n v="400"/>
    <x v="115"/>
    <x v="8"/>
  </r>
  <r>
    <s v="S000652"/>
    <s v="FRA-2024-00149"/>
    <x v="3"/>
    <x v="9"/>
    <x v="2"/>
    <x v="215"/>
    <s v="um"/>
    <n v="150"/>
    <n v="400"/>
    <x v="60"/>
    <x v="8"/>
  </r>
  <r>
    <s v="S000047"/>
    <s v="FOO-2024-00011"/>
    <x v="1"/>
    <x v="7"/>
    <x v="3"/>
    <x v="15"/>
    <s v="%"/>
    <n v="97"/>
    <n v="100"/>
    <x v="193"/>
    <x v="7"/>
  </r>
  <r>
    <s v="S000329"/>
    <s v="FRA-2024-00075"/>
    <x v="3"/>
    <x v="2"/>
    <x v="5"/>
    <x v="216"/>
    <m/>
    <n v="6"/>
    <n v="7.5"/>
    <x v="85"/>
    <x v="5"/>
  </r>
  <r>
    <s v="S000279"/>
    <s v="ARO-2024-00064"/>
    <x v="0"/>
    <x v="5"/>
    <x v="3"/>
    <x v="217"/>
    <s v="%"/>
    <n v="97"/>
    <n v="100"/>
    <x v="194"/>
    <x v="6"/>
  </r>
  <r>
    <s v="S000456"/>
    <s v="FRA-2024-00103"/>
    <x v="3"/>
    <x v="6"/>
    <x v="6"/>
    <x v="218"/>
    <s v="CFU/g"/>
    <n v="0"/>
    <n v="100"/>
    <x v="195"/>
    <x v="2"/>
  </r>
  <r>
    <s v="S000448"/>
    <s v="FLA-2025-00101"/>
    <x v="4"/>
    <x v="1"/>
    <x v="4"/>
    <x v="52"/>
    <s v="%"/>
    <n v="0"/>
    <n v="1"/>
    <x v="89"/>
    <x v="5"/>
  </r>
  <r>
    <s v="S001436"/>
    <s v="ARO-2025-00320"/>
    <x v="0"/>
    <x v="1"/>
    <x v="3"/>
    <x v="219"/>
    <s v="%"/>
    <n v="97"/>
    <n v="100"/>
    <x v="79"/>
    <x v="1"/>
  </r>
  <r>
    <s v="S001489"/>
    <s v="FOO-2024-00331"/>
    <x v="1"/>
    <x v="5"/>
    <x v="3"/>
    <x v="142"/>
    <s v="%"/>
    <n v="97"/>
    <n v="100"/>
    <x v="158"/>
    <x v="1"/>
  </r>
  <r>
    <s v="S001611"/>
    <s v="ESS-2024-00359"/>
    <x v="2"/>
    <x v="0"/>
    <x v="4"/>
    <x v="157"/>
    <s v="%"/>
    <n v="0"/>
    <n v="1"/>
    <x v="196"/>
    <x v="3"/>
  </r>
  <r>
    <s v="S000745"/>
    <s v="FOO-2024-00169"/>
    <x v="1"/>
    <x v="2"/>
    <x v="1"/>
    <x v="220"/>
    <s v="g/ml"/>
    <n v="0.88"/>
    <n v="0.97"/>
    <x v="197"/>
    <x v="4"/>
  </r>
  <r>
    <s v="S001078"/>
    <s v="FOO-2024-00241"/>
    <x v="1"/>
    <x v="8"/>
    <x v="1"/>
    <x v="80"/>
    <s v="g/ml"/>
    <n v="0.88"/>
    <n v="0.97"/>
    <x v="77"/>
    <x v="3"/>
  </r>
  <r>
    <s v="S000573"/>
    <s v="FRA-2024-00129"/>
    <x v="3"/>
    <x v="3"/>
    <x v="2"/>
    <x v="221"/>
    <s v="um"/>
    <n v="150"/>
    <n v="400"/>
    <x v="141"/>
    <x v="2"/>
  </r>
  <r>
    <s v="S000475"/>
    <s v="FRA-2025-00107"/>
    <x v="3"/>
    <x v="6"/>
    <x v="3"/>
    <x v="222"/>
    <s v="%"/>
    <n v="97"/>
    <n v="100"/>
    <x v="49"/>
    <x v="4"/>
  </r>
  <r>
    <s v="S000195"/>
    <s v="ESS-2025-00045"/>
    <x v="2"/>
    <x v="5"/>
    <x v="4"/>
    <x v="44"/>
    <s v="%"/>
    <n v="0"/>
    <n v="1"/>
    <x v="20"/>
    <x v="7"/>
  </r>
  <r>
    <s v="S001797"/>
    <s v="FLA-2024-00402"/>
    <x v="4"/>
    <x v="5"/>
    <x v="5"/>
    <x v="146"/>
    <m/>
    <n v="6"/>
    <n v="7.5"/>
    <x v="91"/>
    <x v="0"/>
  </r>
  <r>
    <s v="S000790"/>
    <s v="FOO-2024-00179"/>
    <x v="1"/>
    <x v="1"/>
    <x v="2"/>
    <x v="223"/>
    <s v="um"/>
    <n v="150"/>
    <n v="400"/>
    <x v="198"/>
    <x v="1"/>
  </r>
  <r>
    <s v="S001521"/>
    <s v="ARO-2024-00339"/>
    <x v="0"/>
    <x v="10"/>
    <x v="1"/>
    <x v="224"/>
    <s v="g/ml"/>
    <n v="0.88"/>
    <n v="0.97"/>
    <x v="140"/>
    <x v="5"/>
  </r>
  <r>
    <s v="S001908"/>
    <s v="FOO-2025-00427"/>
    <x v="1"/>
    <x v="5"/>
    <x v="6"/>
    <x v="225"/>
    <s v="CFU/g"/>
    <n v="0"/>
    <n v="100"/>
    <x v="183"/>
    <x v="0"/>
  </r>
  <r>
    <s v="S000376"/>
    <s v="ARO-2025-00085"/>
    <x v="0"/>
    <x v="5"/>
    <x v="4"/>
    <x v="125"/>
    <s v="%"/>
    <n v="0"/>
    <n v="1"/>
    <x v="34"/>
    <x v="8"/>
  </r>
  <r>
    <s v="S000738"/>
    <s v="ARO-2024-00167"/>
    <x v="0"/>
    <x v="5"/>
    <x v="6"/>
    <x v="226"/>
    <s v="CFU/g"/>
    <n v="0"/>
    <n v="100"/>
    <x v="61"/>
    <x v="0"/>
  </r>
  <r>
    <s v="S001794"/>
    <s v="ARO-2024-00401"/>
    <x v="0"/>
    <x v="7"/>
    <x v="0"/>
    <x v="227"/>
    <s v="ppm"/>
    <n v="0"/>
    <n v="120"/>
    <x v="174"/>
    <x v="3"/>
  </r>
  <r>
    <s v="S000393"/>
    <s v="ARO-2024-00089"/>
    <x v="0"/>
    <x v="5"/>
    <x v="0"/>
    <x v="228"/>
    <s v="ppm"/>
    <n v="0"/>
    <n v="120"/>
    <x v="128"/>
    <x v="6"/>
  </r>
  <r>
    <s v="S000870"/>
    <s v="FOO-2025-00197"/>
    <x v="1"/>
    <x v="6"/>
    <x v="3"/>
    <x v="229"/>
    <s v="%"/>
    <n v="97"/>
    <n v="100"/>
    <x v="199"/>
    <x v="8"/>
  </r>
  <r>
    <s v="S000432"/>
    <s v="FRA-2025-00098"/>
    <x v="3"/>
    <x v="8"/>
    <x v="1"/>
    <x v="46"/>
    <s v="g/ml"/>
    <n v="0.88"/>
    <n v="0.97"/>
    <x v="200"/>
    <x v="7"/>
  </r>
  <r>
    <s v="S000326"/>
    <s v="ARO-2025-00074"/>
    <x v="0"/>
    <x v="5"/>
    <x v="0"/>
    <x v="230"/>
    <s v="ppm"/>
    <n v="0"/>
    <n v="120"/>
    <x v="119"/>
    <x v="7"/>
  </r>
  <r>
    <s v="S000411"/>
    <s v="FLA-2024-00093"/>
    <x v="4"/>
    <x v="7"/>
    <x v="2"/>
    <x v="231"/>
    <s v="um"/>
    <n v="150"/>
    <n v="400"/>
    <x v="15"/>
    <x v="6"/>
  </r>
  <r>
    <s v="S000869"/>
    <s v="FOO-2025-00197"/>
    <x v="1"/>
    <x v="2"/>
    <x v="2"/>
    <x v="232"/>
    <s v="um"/>
    <n v="150"/>
    <n v="400"/>
    <x v="199"/>
    <x v="3"/>
  </r>
  <r>
    <s v="S000110"/>
    <s v="ARO-2025-00025"/>
    <x v="0"/>
    <x v="2"/>
    <x v="6"/>
    <x v="233"/>
    <s v="CFU/g"/>
    <n v="0"/>
    <n v="100"/>
    <x v="74"/>
    <x v="6"/>
  </r>
  <r>
    <s v="S000801"/>
    <s v="FRA-2024-00181"/>
    <x v="3"/>
    <x v="3"/>
    <x v="5"/>
    <x v="234"/>
    <m/>
    <n v="6"/>
    <n v="7.5"/>
    <x v="201"/>
    <x v="8"/>
  </r>
  <r>
    <s v="S001587"/>
    <s v="ESS-2025-00354"/>
    <x v="2"/>
    <x v="7"/>
    <x v="4"/>
    <x v="119"/>
    <s v="%"/>
    <n v="0"/>
    <n v="1"/>
    <x v="176"/>
    <x v="8"/>
  </r>
  <r>
    <s v="S000861"/>
    <s v="FOO-2024-00195"/>
    <x v="1"/>
    <x v="2"/>
    <x v="5"/>
    <x v="32"/>
    <m/>
    <n v="6"/>
    <n v="7.5"/>
    <x v="98"/>
    <x v="2"/>
  </r>
  <r>
    <s v="S000471"/>
    <s v="FRA-2025-00106"/>
    <x v="3"/>
    <x v="2"/>
    <x v="5"/>
    <x v="235"/>
    <m/>
    <n v="6"/>
    <n v="7.5"/>
    <x v="12"/>
    <x v="8"/>
  </r>
  <r>
    <s v="S001702"/>
    <s v="ARO-2025-00381"/>
    <x v="0"/>
    <x v="7"/>
    <x v="2"/>
    <x v="236"/>
    <s v="um"/>
    <n v="150"/>
    <n v="400"/>
    <x v="31"/>
    <x v="2"/>
  </r>
  <r>
    <s v="S001540"/>
    <s v="ESS-2025-00343"/>
    <x v="2"/>
    <x v="5"/>
    <x v="6"/>
    <x v="237"/>
    <s v="CFU/g"/>
    <n v="0"/>
    <n v="100"/>
    <x v="176"/>
    <x v="5"/>
  </r>
  <r>
    <s v="S001809"/>
    <s v="ARO-2024-00405"/>
    <x v="0"/>
    <x v="10"/>
    <x v="1"/>
    <x v="80"/>
    <s v="g/ml"/>
    <n v="0.88"/>
    <n v="0.97"/>
    <x v="202"/>
    <x v="3"/>
  </r>
  <r>
    <s v="S000096"/>
    <s v="FOO-2025-00023"/>
    <x v="1"/>
    <x v="1"/>
    <x v="0"/>
    <x v="238"/>
    <s v="ppm"/>
    <n v="0"/>
    <n v="120"/>
    <x v="203"/>
    <x v="3"/>
  </r>
  <r>
    <s v="S000594"/>
    <s v="ARO-2025-00133"/>
    <x v="0"/>
    <x v="5"/>
    <x v="3"/>
    <x v="239"/>
    <s v="%"/>
    <n v="97"/>
    <n v="100"/>
    <x v="110"/>
    <x v="8"/>
  </r>
  <r>
    <s v="S000862"/>
    <s v="FOO-2024-00195"/>
    <x v="1"/>
    <x v="2"/>
    <x v="6"/>
    <x v="88"/>
    <s v="CFU/g"/>
    <n v="0"/>
    <n v="100"/>
    <x v="98"/>
    <x v="2"/>
  </r>
  <r>
    <s v="S000020"/>
    <s v="FRA-2025-00004"/>
    <x v="3"/>
    <x v="9"/>
    <x v="5"/>
    <x v="240"/>
    <m/>
    <n v="6"/>
    <n v="7.5"/>
    <x v="145"/>
    <x v="2"/>
  </r>
  <r>
    <s v="S001556"/>
    <s v="ESS-2024-00346"/>
    <x v="2"/>
    <x v="1"/>
    <x v="5"/>
    <x v="241"/>
    <m/>
    <n v="6"/>
    <n v="7.5"/>
    <x v="204"/>
    <x v="3"/>
  </r>
  <r>
    <s v="S001039"/>
    <s v="FOO-2024-00233"/>
    <x v="1"/>
    <x v="5"/>
    <x v="5"/>
    <x v="242"/>
    <m/>
    <n v="6"/>
    <n v="7.5"/>
    <x v="37"/>
    <x v="7"/>
  </r>
  <r>
    <s v="S001868"/>
    <s v="ARO-2025-00418"/>
    <x v="0"/>
    <x v="9"/>
    <x v="4"/>
    <x v="106"/>
    <s v="%"/>
    <n v="0"/>
    <n v="1"/>
    <x v="120"/>
    <x v="4"/>
  </r>
  <r>
    <s v="S001898"/>
    <s v="ARO-2025-00425"/>
    <x v="0"/>
    <x v="6"/>
    <x v="5"/>
    <x v="180"/>
    <m/>
    <n v="6"/>
    <n v="7.5"/>
    <x v="107"/>
    <x v="3"/>
  </r>
  <r>
    <s v="S001267"/>
    <s v="FLA-2024-00284"/>
    <x v="4"/>
    <x v="1"/>
    <x v="2"/>
    <x v="243"/>
    <s v="um"/>
    <n v="150"/>
    <n v="400"/>
    <x v="96"/>
    <x v="8"/>
  </r>
  <r>
    <s v="S000354"/>
    <s v="FRA-2025-00080"/>
    <x v="3"/>
    <x v="8"/>
    <x v="1"/>
    <x v="96"/>
    <s v="g/ml"/>
    <n v="0.88"/>
    <n v="0.97"/>
    <x v="205"/>
    <x v="2"/>
  </r>
  <r>
    <s v="S001833"/>
    <s v="FRA-2025-00409"/>
    <x v="3"/>
    <x v="7"/>
    <x v="5"/>
    <x v="103"/>
    <m/>
    <n v="6"/>
    <n v="7.5"/>
    <x v="178"/>
    <x v="6"/>
  </r>
  <r>
    <s v="S000373"/>
    <s v="FLA-2025-00084"/>
    <x v="4"/>
    <x v="5"/>
    <x v="3"/>
    <x v="244"/>
    <s v="%"/>
    <n v="97"/>
    <n v="100"/>
    <x v="206"/>
    <x v="0"/>
  </r>
  <r>
    <s v="S001776"/>
    <s v="FOO-2025-00397"/>
    <x v="1"/>
    <x v="2"/>
    <x v="6"/>
    <x v="245"/>
    <s v="CFU/g"/>
    <n v="0"/>
    <n v="100"/>
    <x v="207"/>
    <x v="4"/>
  </r>
  <r>
    <s v="S000223"/>
    <s v="ARO-2024-00051"/>
    <x v="0"/>
    <x v="7"/>
    <x v="3"/>
    <x v="246"/>
    <s v="%"/>
    <n v="97"/>
    <n v="100"/>
    <x v="208"/>
    <x v="0"/>
  </r>
  <r>
    <s v="S001296"/>
    <s v="FRA-2025-00290"/>
    <x v="3"/>
    <x v="4"/>
    <x v="6"/>
    <x v="247"/>
    <s v="CFU/g"/>
    <n v="0"/>
    <n v="100"/>
    <x v="51"/>
    <x v="3"/>
  </r>
  <r>
    <s v="S001211"/>
    <s v="FLA-2024-00270"/>
    <x v="4"/>
    <x v="0"/>
    <x v="6"/>
    <x v="248"/>
    <s v="CFU/g"/>
    <n v="0"/>
    <n v="100"/>
    <x v="209"/>
    <x v="3"/>
  </r>
  <r>
    <s v="S001048"/>
    <s v="ESS-2024-00235"/>
    <x v="2"/>
    <x v="1"/>
    <x v="0"/>
    <x v="249"/>
    <s v="ppm"/>
    <n v="0"/>
    <n v="120"/>
    <x v="105"/>
    <x v="2"/>
  </r>
  <r>
    <s v="S000699"/>
    <s v="FRA-2025-00159"/>
    <x v="3"/>
    <x v="5"/>
    <x v="1"/>
    <x v="1"/>
    <s v="g/ml"/>
    <n v="0.88"/>
    <n v="0.97"/>
    <x v="210"/>
    <x v="2"/>
  </r>
  <r>
    <s v="S000112"/>
    <s v="FLA-2025-00026"/>
    <x v="4"/>
    <x v="1"/>
    <x v="6"/>
    <x v="250"/>
    <s v="CFU/g"/>
    <n v="0"/>
    <n v="100"/>
    <x v="211"/>
    <x v="6"/>
  </r>
  <r>
    <s v="S001863"/>
    <s v="FRA-2025-00417"/>
    <x v="3"/>
    <x v="10"/>
    <x v="3"/>
    <x v="251"/>
    <s v="%"/>
    <n v="97"/>
    <n v="100"/>
    <x v="212"/>
    <x v="5"/>
  </r>
  <r>
    <s v="S001698"/>
    <s v="FRA-2024-00380"/>
    <x v="3"/>
    <x v="2"/>
    <x v="1"/>
    <x v="252"/>
    <s v="g/ml"/>
    <n v="0.88"/>
    <n v="0.97"/>
    <x v="213"/>
    <x v="2"/>
  </r>
  <r>
    <s v="S001043"/>
    <s v="FLA-2024-00234"/>
    <x v="4"/>
    <x v="3"/>
    <x v="4"/>
    <x v="109"/>
    <s v="%"/>
    <n v="0"/>
    <n v="1"/>
    <x v="208"/>
    <x v="3"/>
  </r>
  <r>
    <s v="S001125"/>
    <s v="FRA-2025-00252"/>
    <x v="3"/>
    <x v="10"/>
    <x v="6"/>
    <x v="253"/>
    <s v="CFU/g"/>
    <n v="0"/>
    <n v="100"/>
    <x v="184"/>
    <x v="5"/>
  </r>
  <r>
    <s v="S000314"/>
    <s v="FLA-2024-00071"/>
    <x v="4"/>
    <x v="10"/>
    <x v="2"/>
    <x v="254"/>
    <s v="um"/>
    <n v="150"/>
    <n v="400"/>
    <x v="214"/>
    <x v="5"/>
  </r>
  <r>
    <s v="S000288"/>
    <s v="FLA-2025-00065"/>
    <x v="4"/>
    <x v="2"/>
    <x v="0"/>
    <x v="255"/>
    <s v="ppm"/>
    <n v="0"/>
    <n v="120"/>
    <x v="51"/>
    <x v="7"/>
  </r>
  <r>
    <s v="S000796"/>
    <s v="FLA-2024-00180"/>
    <x v="4"/>
    <x v="10"/>
    <x v="6"/>
    <x v="256"/>
    <s v="CFU/g"/>
    <n v="0"/>
    <n v="100"/>
    <x v="137"/>
    <x v="8"/>
  </r>
  <r>
    <s v="S001085"/>
    <s v="FLA-2024-00244"/>
    <x v="4"/>
    <x v="8"/>
    <x v="4"/>
    <x v="257"/>
    <s v="%"/>
    <n v="0"/>
    <n v="1"/>
    <x v="92"/>
    <x v="7"/>
  </r>
  <r>
    <s v="S000508"/>
    <s v="ARO-2025-00114"/>
    <x v="0"/>
    <x v="7"/>
    <x v="3"/>
    <x v="258"/>
    <s v="%"/>
    <n v="97"/>
    <n v="100"/>
    <x v="31"/>
    <x v="8"/>
  </r>
  <r>
    <s v="S001196"/>
    <s v="ARO-2024-00268"/>
    <x v="0"/>
    <x v="0"/>
    <x v="1"/>
    <x v="1"/>
    <s v="g/ml"/>
    <n v="0.88"/>
    <n v="0.97"/>
    <x v="215"/>
    <x v="0"/>
  </r>
  <r>
    <s v="S000431"/>
    <s v="ESS-2024-00097"/>
    <x v="2"/>
    <x v="6"/>
    <x v="2"/>
    <x v="259"/>
    <s v="um"/>
    <n v="150"/>
    <n v="400"/>
    <x v="93"/>
    <x v="3"/>
  </r>
  <r>
    <s v="S000743"/>
    <s v="FLA-2025-00168"/>
    <x v="4"/>
    <x v="6"/>
    <x v="1"/>
    <x v="97"/>
    <s v="g/ml"/>
    <n v="0.88"/>
    <n v="0.97"/>
    <x v="216"/>
    <x v="1"/>
  </r>
  <r>
    <s v="S001287"/>
    <s v="ARO-2024-00288"/>
    <x v="0"/>
    <x v="9"/>
    <x v="0"/>
    <x v="260"/>
    <s v="ppm"/>
    <n v="0"/>
    <n v="120"/>
    <x v="217"/>
    <x v="1"/>
  </r>
  <r>
    <s v="S001774"/>
    <s v="FOO-2025-00397"/>
    <x v="1"/>
    <x v="2"/>
    <x v="1"/>
    <x v="17"/>
    <s v="g/ml"/>
    <n v="0.88"/>
    <n v="0.97"/>
    <x v="207"/>
    <x v="8"/>
  </r>
  <r>
    <s v="S001637"/>
    <s v="ESS-2024-00366"/>
    <x v="2"/>
    <x v="7"/>
    <x v="1"/>
    <x v="17"/>
    <s v="g/ml"/>
    <n v="0.88"/>
    <n v="0.97"/>
    <x v="130"/>
    <x v="1"/>
  </r>
  <r>
    <s v="S000682"/>
    <s v="ARO-2024-00155"/>
    <x v="0"/>
    <x v="8"/>
    <x v="2"/>
    <x v="261"/>
    <s v="um"/>
    <n v="150"/>
    <n v="400"/>
    <x v="128"/>
    <x v="6"/>
  </r>
  <r>
    <s v="S001390"/>
    <s v="FLA-2025-00310"/>
    <x v="4"/>
    <x v="2"/>
    <x v="4"/>
    <x v="113"/>
    <s v="%"/>
    <n v="0"/>
    <n v="1"/>
    <x v="8"/>
    <x v="8"/>
  </r>
  <r>
    <s v="S000018"/>
    <s v="FRA-2025-00004"/>
    <x v="3"/>
    <x v="10"/>
    <x v="4"/>
    <x v="262"/>
    <s v="%"/>
    <n v="0"/>
    <n v="1"/>
    <x v="145"/>
    <x v="1"/>
  </r>
  <r>
    <s v="S000604"/>
    <s v="FRA-2025-00136"/>
    <x v="3"/>
    <x v="3"/>
    <x v="1"/>
    <x v="224"/>
    <s v="g/ml"/>
    <n v="0.88"/>
    <n v="0.97"/>
    <x v="30"/>
    <x v="8"/>
  </r>
  <r>
    <s v="S001816"/>
    <s v="FLA-2025-00406"/>
    <x v="4"/>
    <x v="0"/>
    <x v="4"/>
    <x v="52"/>
    <s v="%"/>
    <n v="0"/>
    <n v="1"/>
    <x v="218"/>
    <x v="7"/>
  </r>
  <r>
    <s v="S000579"/>
    <s v="FRA-2025-00130"/>
    <x v="3"/>
    <x v="4"/>
    <x v="2"/>
    <x v="263"/>
    <s v="um"/>
    <n v="150"/>
    <n v="400"/>
    <x v="219"/>
    <x v="8"/>
  </r>
  <r>
    <s v="S000493"/>
    <s v="ARO-2025-00110"/>
    <x v="0"/>
    <x v="1"/>
    <x v="5"/>
    <x v="264"/>
    <m/>
    <n v="6"/>
    <n v="7.5"/>
    <x v="220"/>
    <x v="6"/>
  </r>
  <r>
    <s v="S001378"/>
    <s v="FLA-2024-00308"/>
    <x v="4"/>
    <x v="10"/>
    <x v="5"/>
    <x v="265"/>
    <m/>
    <n v="6"/>
    <n v="7.5"/>
    <x v="221"/>
    <x v="2"/>
  </r>
  <r>
    <s v="S001810"/>
    <s v="ARO-2024-00405"/>
    <x v="0"/>
    <x v="9"/>
    <x v="4"/>
    <x v="266"/>
    <s v="%"/>
    <n v="0"/>
    <n v="1"/>
    <x v="202"/>
    <x v="6"/>
  </r>
  <r>
    <s v="S000846"/>
    <s v="ARO-2024-00192"/>
    <x v="0"/>
    <x v="0"/>
    <x v="1"/>
    <x v="1"/>
    <s v="g/ml"/>
    <n v="0.88"/>
    <n v="0.97"/>
    <x v="21"/>
    <x v="6"/>
  </r>
  <r>
    <s v="S001753"/>
    <s v="ESS-2025-00391"/>
    <x v="2"/>
    <x v="1"/>
    <x v="6"/>
    <x v="107"/>
    <s v="CFU/g"/>
    <n v="0"/>
    <n v="100"/>
    <x v="222"/>
    <x v="5"/>
  </r>
  <r>
    <s v="S001129"/>
    <s v="ESS-2025-00253"/>
    <x v="2"/>
    <x v="5"/>
    <x v="1"/>
    <x v="17"/>
    <s v="g/ml"/>
    <n v="0.88"/>
    <n v="0.97"/>
    <x v="143"/>
    <x v="1"/>
  </r>
  <r>
    <s v="S000055"/>
    <s v="ESS-2024-00013"/>
    <x v="2"/>
    <x v="5"/>
    <x v="3"/>
    <x v="267"/>
    <s v="%"/>
    <n v="97"/>
    <n v="100"/>
    <x v="90"/>
    <x v="1"/>
  </r>
  <r>
    <s v="S000264"/>
    <s v="ARO-2025-00060"/>
    <x v="0"/>
    <x v="3"/>
    <x v="0"/>
    <x v="268"/>
    <s v="ppm"/>
    <n v="0"/>
    <n v="120"/>
    <x v="168"/>
    <x v="0"/>
  </r>
  <r>
    <s v="S000102"/>
    <s v="ESS-2025-00024"/>
    <x v="2"/>
    <x v="8"/>
    <x v="6"/>
    <x v="269"/>
    <s v="CFU/g"/>
    <n v="0"/>
    <n v="100"/>
    <x v="223"/>
    <x v="3"/>
  </r>
  <r>
    <s v="S000276"/>
    <s v="FRA-2024-00063"/>
    <x v="3"/>
    <x v="7"/>
    <x v="5"/>
    <x v="195"/>
    <m/>
    <n v="6"/>
    <n v="7.5"/>
    <x v="224"/>
    <x v="1"/>
  </r>
  <r>
    <s v="S001867"/>
    <s v="FRA-2025-00417"/>
    <x v="3"/>
    <x v="7"/>
    <x v="4"/>
    <x v="52"/>
    <s v="%"/>
    <n v="0"/>
    <n v="1"/>
    <x v="212"/>
    <x v="3"/>
  </r>
  <r>
    <s v="S001303"/>
    <s v="ESS-2025-00291"/>
    <x v="2"/>
    <x v="2"/>
    <x v="2"/>
    <x v="270"/>
    <s v="um"/>
    <n v="150"/>
    <n v="400"/>
    <x v="53"/>
    <x v="3"/>
  </r>
  <r>
    <s v="S000250"/>
    <s v="FRA-2025-00056"/>
    <x v="3"/>
    <x v="3"/>
    <x v="0"/>
    <x v="271"/>
    <s v="ppm"/>
    <n v="0"/>
    <n v="120"/>
    <x v="129"/>
    <x v="8"/>
  </r>
  <r>
    <s v="S000834"/>
    <s v="ESS-2024-00189"/>
    <x v="2"/>
    <x v="1"/>
    <x v="3"/>
    <x v="272"/>
    <s v="%"/>
    <n v="97"/>
    <n v="100"/>
    <x v="104"/>
    <x v="5"/>
  </r>
  <r>
    <s v="S001930"/>
    <s v="FRA-2025-00432"/>
    <x v="3"/>
    <x v="6"/>
    <x v="2"/>
    <x v="273"/>
    <s v="um"/>
    <n v="150"/>
    <n v="400"/>
    <x v="225"/>
    <x v="1"/>
  </r>
  <r>
    <s v="S001806"/>
    <s v="ESS-2024-00404"/>
    <x v="2"/>
    <x v="2"/>
    <x v="4"/>
    <x v="111"/>
    <s v="%"/>
    <n v="0"/>
    <n v="1"/>
    <x v="226"/>
    <x v="2"/>
  </r>
  <r>
    <s v="S001361"/>
    <s v="FOO-2024-00304"/>
    <x v="1"/>
    <x v="2"/>
    <x v="1"/>
    <x v="75"/>
    <s v="g/ml"/>
    <n v="0.88"/>
    <n v="0.97"/>
    <x v="61"/>
    <x v="8"/>
  </r>
  <r>
    <s v="S000345"/>
    <s v="ESS-2025-00078"/>
    <x v="2"/>
    <x v="2"/>
    <x v="6"/>
    <x v="24"/>
    <s v="CFU/g"/>
    <n v="0"/>
    <n v="100"/>
    <x v="227"/>
    <x v="5"/>
  </r>
  <r>
    <s v="S000641"/>
    <s v="ESS-2024-00146"/>
    <x v="2"/>
    <x v="10"/>
    <x v="3"/>
    <x v="239"/>
    <s v="%"/>
    <n v="97"/>
    <n v="100"/>
    <x v="228"/>
    <x v="6"/>
  </r>
  <r>
    <s v="S000378"/>
    <s v="ESS-2025-00086"/>
    <x v="2"/>
    <x v="3"/>
    <x v="1"/>
    <x v="1"/>
    <s v="g/ml"/>
    <n v="0.88"/>
    <n v="0.97"/>
    <x v="229"/>
    <x v="0"/>
  </r>
  <r>
    <s v="S001406"/>
    <s v="ESS-2024-00313"/>
    <x v="2"/>
    <x v="7"/>
    <x v="4"/>
    <x v="274"/>
    <s v="%"/>
    <n v="0"/>
    <n v="1"/>
    <x v="230"/>
    <x v="2"/>
  </r>
  <r>
    <s v="S000424"/>
    <s v="FOO-2025-00096"/>
    <x v="1"/>
    <x v="2"/>
    <x v="2"/>
    <x v="275"/>
    <s v="um"/>
    <n v="150"/>
    <n v="400"/>
    <x v="231"/>
    <x v="1"/>
  </r>
  <r>
    <s v="S000061"/>
    <s v="ARO-2025-00014"/>
    <x v="0"/>
    <x v="5"/>
    <x v="3"/>
    <x v="276"/>
    <s v="%"/>
    <n v="97"/>
    <n v="100"/>
    <x v="97"/>
    <x v="3"/>
  </r>
  <r>
    <s v="S001921"/>
    <s v="ARO-2024-00430"/>
    <x v="0"/>
    <x v="2"/>
    <x v="6"/>
    <x v="277"/>
    <s v="CFU/g"/>
    <n v="0"/>
    <n v="100"/>
    <x v="10"/>
    <x v="0"/>
  </r>
  <r>
    <s v="S000757"/>
    <s v="ARO-2025-00171"/>
    <x v="0"/>
    <x v="0"/>
    <x v="1"/>
    <x v="75"/>
    <s v="g/ml"/>
    <n v="0.88"/>
    <n v="0.97"/>
    <x v="159"/>
    <x v="3"/>
  </r>
  <r>
    <s v="S000985"/>
    <s v="FOO-2024-00223"/>
    <x v="1"/>
    <x v="1"/>
    <x v="5"/>
    <x v="278"/>
    <m/>
    <n v="6"/>
    <n v="7.5"/>
    <x v="232"/>
    <x v="3"/>
  </r>
  <r>
    <s v="S000211"/>
    <s v="ARO-2025-00048"/>
    <x v="0"/>
    <x v="7"/>
    <x v="0"/>
    <x v="279"/>
    <s v="ppm"/>
    <n v="0"/>
    <n v="120"/>
    <x v="233"/>
    <x v="4"/>
  </r>
  <r>
    <s v="S000282"/>
    <s v="ARO-2024-00064"/>
    <x v="0"/>
    <x v="5"/>
    <x v="1"/>
    <x v="96"/>
    <s v="g/ml"/>
    <n v="0.88"/>
    <n v="0.97"/>
    <x v="194"/>
    <x v="3"/>
  </r>
  <r>
    <s v="S001666"/>
    <s v="ARO-2024-00373"/>
    <x v="0"/>
    <x v="10"/>
    <x v="0"/>
    <x v="280"/>
    <s v="ppm"/>
    <n v="0"/>
    <n v="120"/>
    <x v="234"/>
    <x v="8"/>
  </r>
  <r>
    <s v="S000650"/>
    <s v="FRA-2025-00148"/>
    <x v="3"/>
    <x v="3"/>
    <x v="1"/>
    <x v="75"/>
    <s v="g/ml"/>
    <n v="0.88"/>
    <n v="0.97"/>
    <x v="235"/>
    <x v="3"/>
  </r>
  <r>
    <s v="S001121"/>
    <s v="FRA-2025-00252"/>
    <x v="3"/>
    <x v="10"/>
    <x v="1"/>
    <x v="17"/>
    <s v="g/ml"/>
    <n v="0.88"/>
    <n v="0.97"/>
    <x v="184"/>
    <x v="2"/>
  </r>
  <r>
    <s v="S001625"/>
    <s v="ARO-2025-00363"/>
    <x v="0"/>
    <x v="8"/>
    <x v="1"/>
    <x v="46"/>
    <s v="g/ml"/>
    <n v="0.88"/>
    <n v="0.97"/>
    <x v="122"/>
    <x v="7"/>
  </r>
  <r>
    <s v="S001237"/>
    <s v="ARO-2024-00276"/>
    <x v="0"/>
    <x v="1"/>
    <x v="4"/>
    <x v="149"/>
    <s v="%"/>
    <n v="0"/>
    <n v="1"/>
    <x v="236"/>
    <x v="6"/>
  </r>
  <r>
    <s v="S000984"/>
    <s v="FOO-2024-00223"/>
    <x v="1"/>
    <x v="1"/>
    <x v="3"/>
    <x v="281"/>
    <s v="%"/>
    <n v="97"/>
    <n v="100"/>
    <x v="232"/>
    <x v="7"/>
  </r>
  <r>
    <s v="S001193"/>
    <s v="FLA-2025-00267"/>
    <x v="4"/>
    <x v="9"/>
    <x v="0"/>
    <x v="282"/>
    <s v="ppm"/>
    <n v="0"/>
    <n v="120"/>
    <x v="120"/>
    <x v="3"/>
  </r>
  <r>
    <s v="S000900"/>
    <s v="FRA-2025-00203"/>
    <x v="3"/>
    <x v="2"/>
    <x v="3"/>
    <x v="283"/>
    <s v="%"/>
    <n v="97"/>
    <n v="100"/>
    <x v="233"/>
    <x v="1"/>
  </r>
  <r>
    <s v="S000325"/>
    <s v="ARO-2025-00074"/>
    <x v="0"/>
    <x v="8"/>
    <x v="6"/>
    <x v="284"/>
    <s v="CFU/g"/>
    <n v="0"/>
    <n v="100"/>
    <x v="119"/>
    <x v="5"/>
  </r>
  <r>
    <s v="S001107"/>
    <s v="FOO-2025-00249"/>
    <x v="1"/>
    <x v="2"/>
    <x v="2"/>
    <x v="285"/>
    <s v="um"/>
    <n v="150"/>
    <n v="400"/>
    <x v="237"/>
    <x v="2"/>
  </r>
  <r>
    <s v="S001699"/>
    <s v="FRA-2024-00380"/>
    <x v="3"/>
    <x v="2"/>
    <x v="3"/>
    <x v="286"/>
    <s v="%"/>
    <n v="97"/>
    <n v="100"/>
    <x v="40"/>
    <x v="7"/>
  </r>
  <r>
    <s v="S000029"/>
    <s v="ESS-2024-00006"/>
    <x v="2"/>
    <x v="5"/>
    <x v="1"/>
    <x v="1"/>
    <s v="g/ml"/>
    <n v="0.88"/>
    <n v="0.97"/>
    <x v="226"/>
    <x v="6"/>
  </r>
  <r>
    <s v="S000833"/>
    <s v="ESS-2024-00189"/>
    <x v="2"/>
    <x v="4"/>
    <x v="0"/>
    <x v="287"/>
    <s v="ppm"/>
    <n v="0"/>
    <n v="120"/>
    <x v="104"/>
    <x v="8"/>
  </r>
  <r>
    <s v="S001029"/>
    <s v="FOO-2025-00231"/>
    <x v="1"/>
    <x v="9"/>
    <x v="2"/>
    <x v="288"/>
    <s v="um"/>
    <n v="150"/>
    <n v="400"/>
    <x v="147"/>
    <x v="4"/>
  </r>
  <r>
    <s v="S001485"/>
    <s v="ESS-2024-00330"/>
    <x v="2"/>
    <x v="2"/>
    <x v="3"/>
    <x v="289"/>
    <s v="%"/>
    <n v="97"/>
    <n v="100"/>
    <x v="27"/>
    <x v="2"/>
  </r>
  <r>
    <s v="S001003"/>
    <s v="FLA-2024-00226"/>
    <x v="4"/>
    <x v="1"/>
    <x v="6"/>
    <x v="290"/>
    <s v="CFU/g"/>
    <n v="0"/>
    <n v="100"/>
    <x v="238"/>
    <x v="8"/>
  </r>
  <r>
    <s v="S001790"/>
    <s v="FLA-2024-00400"/>
    <x v="4"/>
    <x v="10"/>
    <x v="4"/>
    <x v="291"/>
    <s v="%"/>
    <n v="0"/>
    <n v="1"/>
    <x v="80"/>
    <x v="2"/>
  </r>
  <r>
    <s v="S000225"/>
    <s v="ARO-2025-00052"/>
    <x v="0"/>
    <x v="1"/>
    <x v="1"/>
    <x v="292"/>
    <s v="g/ml"/>
    <n v="0.88"/>
    <n v="0.97"/>
    <x v="187"/>
    <x v="6"/>
  </r>
  <r>
    <s v="S001843"/>
    <s v="ESS-2025-00412"/>
    <x v="2"/>
    <x v="7"/>
    <x v="5"/>
    <x v="293"/>
    <m/>
    <n v="6"/>
    <n v="7.5"/>
    <x v="56"/>
    <x v="2"/>
  </r>
  <r>
    <s v="S001183"/>
    <s v="ARO-2024-00265"/>
    <x v="0"/>
    <x v="3"/>
    <x v="0"/>
    <x v="294"/>
    <s v="ppm"/>
    <n v="0"/>
    <n v="120"/>
    <x v="77"/>
    <x v="7"/>
  </r>
  <r>
    <s v="S000839"/>
    <s v="FOO-2025-00191"/>
    <x v="1"/>
    <x v="5"/>
    <x v="0"/>
    <x v="133"/>
    <s v="ppm"/>
    <n v="0"/>
    <n v="120"/>
    <x v="34"/>
    <x v="3"/>
  </r>
  <r>
    <s v="S001410"/>
    <s v="FRA-2024-00314"/>
    <x v="3"/>
    <x v="4"/>
    <x v="6"/>
    <x v="295"/>
    <s v="CFU/g"/>
    <n v="0"/>
    <n v="100"/>
    <x v="239"/>
    <x v="3"/>
  </r>
  <r>
    <s v="S000934"/>
    <s v="ARO-2025-00212"/>
    <x v="0"/>
    <x v="8"/>
    <x v="4"/>
    <x v="157"/>
    <s v="%"/>
    <n v="0"/>
    <n v="1"/>
    <x v="240"/>
    <x v="6"/>
  </r>
  <r>
    <s v="S000873"/>
    <s v="FOO-2025-00197"/>
    <x v="1"/>
    <x v="6"/>
    <x v="4"/>
    <x v="296"/>
    <s v="%"/>
    <n v="0"/>
    <n v="1"/>
    <x v="199"/>
    <x v="8"/>
  </r>
  <r>
    <s v="S001482"/>
    <s v="ESS-2024-00330"/>
    <x v="2"/>
    <x v="6"/>
    <x v="1"/>
    <x v="33"/>
    <s v="g/ml"/>
    <n v="0.88"/>
    <n v="0.97"/>
    <x v="27"/>
    <x v="8"/>
  </r>
  <r>
    <s v="S001103"/>
    <s v="ARO-2024-00248"/>
    <x v="0"/>
    <x v="10"/>
    <x v="0"/>
    <x v="297"/>
    <s v="ppm"/>
    <n v="0"/>
    <n v="120"/>
    <x v="241"/>
    <x v="0"/>
  </r>
  <r>
    <s v="S001966"/>
    <s v="FRA-2025-00440"/>
    <x v="3"/>
    <x v="5"/>
    <x v="5"/>
    <x v="298"/>
    <m/>
    <n v="6"/>
    <n v="7.5"/>
    <x v="160"/>
    <x v="2"/>
  </r>
  <r>
    <s v="S000620"/>
    <s v="ARO-2024-00140"/>
    <x v="0"/>
    <x v="7"/>
    <x v="5"/>
    <x v="24"/>
    <m/>
    <n v="6"/>
    <n v="7.5"/>
    <x v="127"/>
    <x v="1"/>
  </r>
  <r>
    <s v="S001467"/>
    <s v="ESS-2025-00327"/>
    <x v="2"/>
    <x v="3"/>
    <x v="3"/>
    <x v="299"/>
    <s v="%"/>
    <n v="97"/>
    <n v="100"/>
    <x v="82"/>
    <x v="5"/>
  </r>
  <r>
    <s v="S001095"/>
    <s v="FLA-2025-00246"/>
    <x v="4"/>
    <x v="5"/>
    <x v="2"/>
    <x v="300"/>
    <s v="um"/>
    <n v="150"/>
    <n v="400"/>
    <x v="59"/>
    <x v="4"/>
  </r>
  <r>
    <s v="S000152"/>
    <s v="FOO-2025-00036"/>
    <x v="1"/>
    <x v="2"/>
    <x v="1"/>
    <x v="224"/>
    <s v="g/ml"/>
    <n v="0.88"/>
    <n v="0.97"/>
    <x v="242"/>
    <x v="3"/>
  </r>
  <r>
    <s v="S000216"/>
    <s v="FLA-2024-00049"/>
    <x v="4"/>
    <x v="1"/>
    <x v="6"/>
    <x v="301"/>
    <s v="CFU/g"/>
    <n v="0"/>
    <n v="100"/>
    <x v="243"/>
    <x v="3"/>
  </r>
  <r>
    <s v="S000099"/>
    <s v="FOO-2025-00023"/>
    <x v="1"/>
    <x v="1"/>
    <x v="5"/>
    <x v="14"/>
    <m/>
    <n v="6"/>
    <n v="7.5"/>
    <x v="203"/>
    <x v="6"/>
  </r>
  <r>
    <s v="S000769"/>
    <s v="ESS-2025-00174"/>
    <x v="2"/>
    <x v="1"/>
    <x v="5"/>
    <x v="302"/>
    <m/>
    <n v="6"/>
    <n v="7.5"/>
    <x v="112"/>
    <x v="3"/>
  </r>
  <r>
    <s v="S001500"/>
    <s v="FRA-2024-00334"/>
    <x v="3"/>
    <x v="2"/>
    <x v="0"/>
    <x v="303"/>
    <s v="ppm"/>
    <n v="0"/>
    <n v="120"/>
    <x v="83"/>
    <x v="0"/>
  </r>
  <r>
    <s v="S001765"/>
    <s v="ESS-2025-00394"/>
    <x v="2"/>
    <x v="2"/>
    <x v="4"/>
    <x v="304"/>
    <s v="%"/>
    <n v="0"/>
    <n v="1"/>
    <x v="148"/>
    <x v="5"/>
  </r>
  <r>
    <s v="S000811"/>
    <s v="FRA-2024-00184"/>
    <x v="3"/>
    <x v="7"/>
    <x v="3"/>
    <x v="305"/>
    <s v="%"/>
    <n v="97"/>
    <n v="100"/>
    <x v="244"/>
    <x v="3"/>
  </r>
  <r>
    <s v="S001481"/>
    <s v="ESS-2025-00329"/>
    <x v="2"/>
    <x v="1"/>
    <x v="0"/>
    <x v="306"/>
    <s v="ppm"/>
    <n v="0"/>
    <n v="120"/>
    <x v="245"/>
    <x v="3"/>
  </r>
  <r>
    <s v="S000013"/>
    <s v="ESS-2025-00003"/>
    <x v="2"/>
    <x v="10"/>
    <x v="4"/>
    <x v="307"/>
    <s v="%"/>
    <n v="0"/>
    <n v="1"/>
    <x v="203"/>
    <x v="2"/>
  </r>
  <r>
    <s v="S001595"/>
    <s v="FOO-2025-00356"/>
    <x v="1"/>
    <x v="6"/>
    <x v="3"/>
    <x v="308"/>
    <s v="%"/>
    <n v="97"/>
    <n v="100"/>
    <x v="246"/>
    <x v="1"/>
  </r>
  <r>
    <s v="S001398"/>
    <s v="FOO-2024-00312"/>
    <x v="1"/>
    <x v="5"/>
    <x v="0"/>
    <x v="309"/>
    <s v="ppm"/>
    <n v="0"/>
    <n v="120"/>
    <x v="247"/>
    <x v="6"/>
  </r>
  <r>
    <s v="S000168"/>
    <s v="ESS-2024-00039"/>
    <x v="2"/>
    <x v="3"/>
    <x v="6"/>
    <x v="310"/>
    <s v="CFU/g"/>
    <n v="0"/>
    <n v="100"/>
    <x v="248"/>
    <x v="3"/>
  </r>
  <r>
    <s v="S000644"/>
    <s v="ESS-2024-00147"/>
    <x v="2"/>
    <x v="1"/>
    <x v="6"/>
    <x v="311"/>
    <s v="CFU/g"/>
    <n v="0"/>
    <n v="100"/>
    <x v="140"/>
    <x v="2"/>
  </r>
  <r>
    <s v="S001099"/>
    <s v="FRA-2024-00247"/>
    <x v="3"/>
    <x v="1"/>
    <x v="2"/>
    <x v="312"/>
    <s v="um"/>
    <n v="150"/>
    <n v="400"/>
    <x v="140"/>
    <x v="2"/>
  </r>
  <r>
    <s v="S000189"/>
    <s v="FRA-2025-00043"/>
    <x v="3"/>
    <x v="4"/>
    <x v="6"/>
    <x v="313"/>
    <s v="CFU/g"/>
    <n v="0"/>
    <n v="100"/>
    <x v="67"/>
    <x v="0"/>
  </r>
  <r>
    <s v="S001089"/>
    <s v="FLA-2024-00244"/>
    <x v="4"/>
    <x v="5"/>
    <x v="3"/>
    <x v="217"/>
    <s v="%"/>
    <n v="97"/>
    <n v="100"/>
    <x v="92"/>
    <x v="8"/>
  </r>
  <r>
    <s v="S000044"/>
    <s v="FRA-2025-00010"/>
    <x v="3"/>
    <x v="3"/>
    <x v="1"/>
    <x v="33"/>
    <s v="g/ml"/>
    <n v="0.88"/>
    <n v="0.97"/>
    <x v="249"/>
    <x v="7"/>
  </r>
  <r>
    <s v="S001990"/>
    <s v="FRA-2025-00444"/>
    <x v="3"/>
    <x v="2"/>
    <x v="1"/>
    <x v="314"/>
    <s v="g/ml"/>
    <n v="0.88"/>
    <n v="0.97"/>
    <x v="250"/>
    <x v="5"/>
  </r>
  <r>
    <s v="S000010"/>
    <s v="ARO-2025-00002"/>
    <x v="0"/>
    <x v="2"/>
    <x v="3"/>
    <x v="315"/>
    <s v="%"/>
    <n v="97"/>
    <n v="100"/>
    <x v="115"/>
    <x v="6"/>
  </r>
  <r>
    <s v="S001349"/>
    <s v="FRA-2024-00301"/>
    <x v="3"/>
    <x v="2"/>
    <x v="2"/>
    <x v="316"/>
    <s v="um"/>
    <n v="150"/>
    <n v="400"/>
    <x v="38"/>
    <x v="6"/>
  </r>
  <r>
    <s v="S000148"/>
    <s v="ESS-2025-00035"/>
    <x v="2"/>
    <x v="9"/>
    <x v="4"/>
    <x v="29"/>
    <s v="%"/>
    <n v="0"/>
    <n v="1"/>
    <x v="152"/>
    <x v="8"/>
  </r>
  <r>
    <s v="S001593"/>
    <s v="FOO-2025-00355"/>
    <x v="1"/>
    <x v="1"/>
    <x v="5"/>
    <x v="146"/>
    <m/>
    <n v="6"/>
    <n v="7.5"/>
    <x v="89"/>
    <x v="6"/>
  </r>
  <r>
    <s v="S000014"/>
    <s v="ESS-2025-00003"/>
    <x v="2"/>
    <x v="10"/>
    <x v="6"/>
    <x v="317"/>
    <s v="CFU/g"/>
    <n v="0"/>
    <n v="100"/>
    <x v="203"/>
    <x v="3"/>
  </r>
  <r>
    <s v="S000390"/>
    <s v="ARO-2024-00088"/>
    <x v="0"/>
    <x v="3"/>
    <x v="2"/>
    <x v="318"/>
    <s v="um"/>
    <n v="150"/>
    <n v="400"/>
    <x v="62"/>
    <x v="8"/>
  </r>
  <r>
    <s v="S001286"/>
    <s v="FLA-2025-00287"/>
    <x v="4"/>
    <x v="10"/>
    <x v="6"/>
    <x v="319"/>
    <s v="CFU/g"/>
    <n v="0"/>
    <n v="100"/>
    <x v="251"/>
    <x v="4"/>
  </r>
  <r>
    <s v="S001671"/>
    <s v="FRA-2025-00374"/>
    <x v="3"/>
    <x v="6"/>
    <x v="5"/>
    <x v="146"/>
    <m/>
    <n v="6"/>
    <n v="7.5"/>
    <x v="41"/>
    <x v="2"/>
  </r>
  <r>
    <s v="S000675"/>
    <s v="FRA-2024-00154"/>
    <x v="3"/>
    <x v="1"/>
    <x v="2"/>
    <x v="320"/>
    <s v="um"/>
    <n v="150"/>
    <n v="400"/>
    <x v="252"/>
    <x v="6"/>
  </r>
  <r>
    <s v="S000979"/>
    <s v="FLA-2025-00221"/>
    <x v="4"/>
    <x v="8"/>
    <x v="0"/>
    <x v="321"/>
    <s v="ppm"/>
    <n v="0"/>
    <n v="120"/>
    <x v="6"/>
    <x v="6"/>
  </r>
  <r>
    <s v="S001207"/>
    <s v="FLA-2024-00270"/>
    <x v="4"/>
    <x v="3"/>
    <x v="3"/>
    <x v="322"/>
    <s v="%"/>
    <n v="97"/>
    <n v="100"/>
    <x v="209"/>
    <x v="7"/>
  </r>
  <r>
    <s v="S001523"/>
    <s v="ARO-2024-00339"/>
    <x v="0"/>
    <x v="9"/>
    <x v="5"/>
    <x v="323"/>
    <m/>
    <n v="6"/>
    <n v="7.5"/>
    <x v="140"/>
    <x v="0"/>
  </r>
  <r>
    <s v="S000976"/>
    <s v="FLA-2025-00221"/>
    <x v="4"/>
    <x v="8"/>
    <x v="6"/>
    <x v="324"/>
    <s v="CFU/g"/>
    <n v="0"/>
    <n v="100"/>
    <x v="6"/>
    <x v="4"/>
  </r>
  <r>
    <s v="S001270"/>
    <s v="FLA-2024-00284"/>
    <x v="4"/>
    <x v="1"/>
    <x v="5"/>
    <x v="298"/>
    <m/>
    <n v="6"/>
    <n v="7.5"/>
    <x v="96"/>
    <x v="0"/>
  </r>
  <r>
    <s v="S000595"/>
    <s v="ARO-2025-00133"/>
    <x v="0"/>
    <x v="5"/>
    <x v="5"/>
    <x v="325"/>
    <m/>
    <n v="6"/>
    <n v="7.5"/>
    <x v="110"/>
    <x v="8"/>
  </r>
  <r>
    <s v="S001332"/>
    <s v="ARO-2025-00297"/>
    <x v="0"/>
    <x v="2"/>
    <x v="2"/>
    <x v="326"/>
    <s v="um"/>
    <n v="150"/>
    <n v="400"/>
    <x v="84"/>
    <x v="3"/>
  </r>
  <r>
    <s v="S000718"/>
    <s v="FRA-2025-00163"/>
    <x v="3"/>
    <x v="7"/>
    <x v="5"/>
    <x v="327"/>
    <m/>
    <n v="6"/>
    <n v="7.5"/>
    <x v="124"/>
    <x v="4"/>
  </r>
  <r>
    <s v="S001391"/>
    <s v="FLA-2025-00310"/>
    <x v="4"/>
    <x v="6"/>
    <x v="2"/>
    <x v="328"/>
    <s v="um"/>
    <n v="150"/>
    <n v="400"/>
    <x v="8"/>
    <x v="8"/>
  </r>
  <r>
    <s v="S001386"/>
    <s v="ARO-2025-00309"/>
    <x v="0"/>
    <x v="7"/>
    <x v="4"/>
    <x v="23"/>
    <s v="%"/>
    <n v="0"/>
    <n v="1"/>
    <x v="253"/>
    <x v="7"/>
  </r>
  <r>
    <s v="S001801"/>
    <s v="ARO-2025-00403"/>
    <x v="0"/>
    <x v="7"/>
    <x v="0"/>
    <x v="24"/>
    <s v="ppm"/>
    <n v="0"/>
    <n v="120"/>
    <x v="84"/>
    <x v="0"/>
  </r>
  <r>
    <s v="S001581"/>
    <s v="ARO-2024-00352"/>
    <x v="0"/>
    <x v="0"/>
    <x v="6"/>
    <x v="329"/>
    <s v="CFU/g"/>
    <n v="0"/>
    <n v="100"/>
    <x v="33"/>
    <x v="3"/>
  </r>
  <r>
    <s v="S001760"/>
    <s v="FLA-2024-00393"/>
    <x v="4"/>
    <x v="2"/>
    <x v="0"/>
    <x v="24"/>
    <s v="ppm"/>
    <n v="0"/>
    <n v="120"/>
    <x v="254"/>
    <x v="1"/>
  </r>
  <r>
    <s v="S000464"/>
    <s v="ESS-2025-00104"/>
    <x v="2"/>
    <x v="2"/>
    <x v="1"/>
    <x v="75"/>
    <s v="g/ml"/>
    <n v="0.88"/>
    <n v="0.97"/>
    <x v="136"/>
    <x v="2"/>
  </r>
  <r>
    <s v="S001119"/>
    <s v="FOO-2025-00251"/>
    <x v="1"/>
    <x v="7"/>
    <x v="2"/>
    <x v="330"/>
    <s v="um"/>
    <n v="150"/>
    <n v="400"/>
    <x v="28"/>
    <x v="5"/>
  </r>
  <r>
    <s v="S001228"/>
    <s v="FLA-2024-00274"/>
    <x v="4"/>
    <x v="3"/>
    <x v="0"/>
    <x v="331"/>
    <s v="ppm"/>
    <n v="0"/>
    <n v="120"/>
    <x v="214"/>
    <x v="2"/>
  </r>
  <r>
    <s v="S000541"/>
    <s v="ESS-2025-00122"/>
    <x v="2"/>
    <x v="7"/>
    <x v="2"/>
    <x v="48"/>
    <s v="um"/>
    <n v="150"/>
    <n v="400"/>
    <x v="255"/>
    <x v="3"/>
  </r>
  <r>
    <s v="S000026"/>
    <s v="ESS-2024-00006"/>
    <x v="2"/>
    <x v="5"/>
    <x v="3"/>
    <x v="283"/>
    <s v="%"/>
    <n v="97"/>
    <n v="100"/>
    <x v="226"/>
    <x v="2"/>
  </r>
  <r>
    <s v="S000631"/>
    <s v="FRA-2025-00143"/>
    <x v="3"/>
    <x v="3"/>
    <x v="2"/>
    <x v="332"/>
    <s v="um"/>
    <n v="150"/>
    <n v="400"/>
    <x v="107"/>
    <x v="7"/>
  </r>
  <r>
    <s v="S001464"/>
    <s v="FRA-2025-00326"/>
    <x v="3"/>
    <x v="1"/>
    <x v="0"/>
    <x v="333"/>
    <s v="ppm"/>
    <n v="0"/>
    <n v="120"/>
    <x v="256"/>
    <x v="3"/>
  </r>
  <r>
    <s v="S001347"/>
    <s v="FRA-2024-00301"/>
    <x v="3"/>
    <x v="6"/>
    <x v="1"/>
    <x v="33"/>
    <s v="g/ml"/>
    <n v="0.88"/>
    <n v="0.97"/>
    <x v="38"/>
    <x v="0"/>
  </r>
  <r>
    <s v="S000849"/>
    <s v="FRA-2024-00193"/>
    <x v="3"/>
    <x v="5"/>
    <x v="1"/>
    <x v="75"/>
    <s v="g/ml"/>
    <n v="0.88"/>
    <n v="0.97"/>
    <x v="257"/>
    <x v="1"/>
  </r>
  <r>
    <s v="S000116"/>
    <s v="ESS-2025-00027"/>
    <x v="2"/>
    <x v="2"/>
    <x v="1"/>
    <x v="224"/>
    <s v="g/ml"/>
    <n v="0.88"/>
    <n v="0.97"/>
    <x v="191"/>
    <x v="7"/>
  </r>
  <r>
    <s v="S000025"/>
    <s v="ESS-2024-00006"/>
    <x v="2"/>
    <x v="5"/>
    <x v="0"/>
    <x v="334"/>
    <s v="ppm"/>
    <n v="0"/>
    <n v="120"/>
    <x v="226"/>
    <x v="0"/>
  </r>
  <r>
    <s v="S000371"/>
    <s v="ARO-2025-00083"/>
    <x v="0"/>
    <x v="3"/>
    <x v="5"/>
    <x v="241"/>
    <m/>
    <n v="6"/>
    <n v="7.5"/>
    <x v="133"/>
    <x v="5"/>
  </r>
  <r>
    <s v="S000587"/>
    <s v="FLA-2024-00132"/>
    <x v="4"/>
    <x v="5"/>
    <x v="5"/>
    <x v="105"/>
    <m/>
    <n v="6"/>
    <n v="7.5"/>
    <x v="114"/>
    <x v="6"/>
  </r>
  <r>
    <s v="S000097"/>
    <s v="FOO-2025-00023"/>
    <x v="1"/>
    <x v="1"/>
    <x v="2"/>
    <x v="335"/>
    <s v="um"/>
    <n v="150"/>
    <n v="400"/>
    <x v="203"/>
    <x v="5"/>
  </r>
  <r>
    <s v="S000566"/>
    <s v="ARO-2025-00127"/>
    <x v="0"/>
    <x v="2"/>
    <x v="5"/>
    <x v="336"/>
    <m/>
    <n v="6"/>
    <n v="7.5"/>
    <x v="258"/>
    <x v="5"/>
  </r>
  <r>
    <s v="S000973"/>
    <s v="FLA-2024-00220"/>
    <x v="4"/>
    <x v="7"/>
    <x v="6"/>
    <x v="337"/>
    <s v="CFU/g"/>
    <n v="0"/>
    <n v="100"/>
    <x v="259"/>
    <x v="8"/>
  </r>
  <r>
    <s v="S001454"/>
    <s v="FOO-2024-00324"/>
    <x v="1"/>
    <x v="5"/>
    <x v="3"/>
    <x v="338"/>
    <s v="%"/>
    <n v="97"/>
    <n v="100"/>
    <x v="260"/>
    <x v="2"/>
  </r>
  <r>
    <s v="S000100"/>
    <s v="FOO-2025-00023"/>
    <x v="1"/>
    <x v="1"/>
    <x v="3"/>
    <x v="51"/>
    <s v="%"/>
    <n v="97"/>
    <n v="100"/>
    <x v="203"/>
    <x v="8"/>
  </r>
  <r>
    <s v="S001514"/>
    <s v="ARO-2024-00337"/>
    <x v="0"/>
    <x v="2"/>
    <x v="6"/>
    <x v="339"/>
    <s v="CFU/g"/>
    <n v="0"/>
    <n v="100"/>
    <x v="140"/>
    <x v="7"/>
  </r>
  <r>
    <s v="S001501"/>
    <s v="FRA-2024-00334"/>
    <x v="3"/>
    <x v="6"/>
    <x v="2"/>
    <x v="340"/>
    <s v="um"/>
    <n v="150"/>
    <n v="400"/>
    <x v="83"/>
    <x v="5"/>
  </r>
  <r>
    <s v="S001928"/>
    <s v="FOO-2024-00431"/>
    <x v="1"/>
    <x v="2"/>
    <x v="6"/>
    <x v="341"/>
    <s v="CFU/g"/>
    <n v="0"/>
    <n v="100"/>
    <x v="14"/>
    <x v="8"/>
  </r>
  <r>
    <s v="S000358"/>
    <s v="ESS-2025-00081"/>
    <x v="2"/>
    <x v="5"/>
    <x v="3"/>
    <x v="289"/>
    <s v="%"/>
    <n v="97"/>
    <n v="100"/>
    <x v="18"/>
    <x v="8"/>
  </r>
  <r>
    <s v="S001352"/>
    <s v="ARO-2024-00302"/>
    <x v="0"/>
    <x v="9"/>
    <x v="6"/>
    <x v="342"/>
    <s v="CFU/g"/>
    <n v="0"/>
    <n v="100"/>
    <x v="261"/>
    <x v="8"/>
  </r>
  <r>
    <s v="S000818"/>
    <s v="ESS-2024-00186"/>
    <x v="2"/>
    <x v="7"/>
    <x v="1"/>
    <x v="80"/>
    <s v="g/ml"/>
    <n v="0.88"/>
    <n v="0.97"/>
    <x v="150"/>
    <x v="3"/>
  </r>
  <r>
    <s v="S001624"/>
    <s v="ARO-2025-00363"/>
    <x v="0"/>
    <x v="5"/>
    <x v="0"/>
    <x v="343"/>
    <s v="ppm"/>
    <n v="0"/>
    <n v="120"/>
    <x v="122"/>
    <x v="6"/>
  </r>
  <r>
    <s v="S001147"/>
    <s v="ARO-2024-00257"/>
    <x v="0"/>
    <x v="9"/>
    <x v="1"/>
    <x v="80"/>
    <s v="g/ml"/>
    <n v="0.88"/>
    <n v="0.97"/>
    <x v="262"/>
    <x v="7"/>
  </r>
  <r>
    <s v="S001748"/>
    <s v="FLA-2025-00390"/>
    <x v="4"/>
    <x v="7"/>
    <x v="2"/>
    <x v="344"/>
    <s v="um"/>
    <n v="150"/>
    <n v="400"/>
    <x v="199"/>
    <x v="6"/>
  </r>
  <r>
    <s v="S001807"/>
    <s v="ESS-2024-00404"/>
    <x v="2"/>
    <x v="2"/>
    <x v="0"/>
    <x v="345"/>
    <s v="ppm"/>
    <n v="0"/>
    <n v="120"/>
    <x v="226"/>
    <x v="0"/>
  </r>
  <r>
    <s v="S001588"/>
    <s v="ESS-2025-00354"/>
    <x v="2"/>
    <x v="7"/>
    <x v="6"/>
    <x v="88"/>
    <s v="CFU/g"/>
    <n v="0"/>
    <n v="100"/>
    <x v="176"/>
    <x v="7"/>
  </r>
  <r>
    <s v="S001717"/>
    <s v="ESS-2025-00384"/>
    <x v="2"/>
    <x v="5"/>
    <x v="6"/>
    <x v="346"/>
    <s v="CFU/g"/>
    <n v="0"/>
    <n v="100"/>
    <x v="134"/>
    <x v="3"/>
  </r>
  <r>
    <s v="S001227"/>
    <s v="FLA-2024-00274"/>
    <x v="4"/>
    <x v="0"/>
    <x v="6"/>
    <x v="347"/>
    <s v="CFU/g"/>
    <n v="0"/>
    <n v="100"/>
    <x v="214"/>
    <x v="7"/>
  </r>
  <r>
    <s v="S000271"/>
    <s v="FLA-2024-00062"/>
    <x v="4"/>
    <x v="10"/>
    <x v="0"/>
    <x v="348"/>
    <s v="ppm"/>
    <n v="0"/>
    <n v="120"/>
    <x v="263"/>
    <x v="5"/>
  </r>
  <r>
    <s v="S000119"/>
    <s v="ESS-2025-00028"/>
    <x v="2"/>
    <x v="3"/>
    <x v="6"/>
    <x v="349"/>
    <s v="CFU/g"/>
    <n v="0"/>
    <n v="100"/>
    <x v="264"/>
    <x v="5"/>
  </r>
  <r>
    <s v="S000118"/>
    <s v="ESS-2025-00027"/>
    <x v="2"/>
    <x v="6"/>
    <x v="5"/>
    <x v="350"/>
    <m/>
    <n v="6"/>
    <n v="7.5"/>
    <x v="191"/>
    <x v="7"/>
  </r>
  <r>
    <s v="S001915"/>
    <s v="FLA-2024-00429"/>
    <x v="4"/>
    <x v="1"/>
    <x v="1"/>
    <x v="85"/>
    <s v="g/ml"/>
    <n v="0.88"/>
    <n v="0.97"/>
    <x v="32"/>
    <x v="4"/>
  </r>
  <r>
    <s v="S000557"/>
    <s v="FOO-2024-00125"/>
    <x v="1"/>
    <x v="1"/>
    <x v="3"/>
    <x v="351"/>
    <s v="%"/>
    <n v="97"/>
    <n v="100"/>
    <x v="262"/>
    <x v="8"/>
  </r>
  <r>
    <s v="S000685"/>
    <s v="ARO-2025-00156"/>
    <x v="0"/>
    <x v="5"/>
    <x v="1"/>
    <x v="33"/>
    <s v="g/ml"/>
    <n v="0.88"/>
    <n v="0.97"/>
    <x v="121"/>
    <x v="2"/>
  </r>
  <r>
    <s v="S001242"/>
    <s v="ESS-2025-00278"/>
    <x v="2"/>
    <x v="3"/>
    <x v="1"/>
    <x v="75"/>
    <s v="g/ml"/>
    <n v="0.88"/>
    <n v="0.97"/>
    <x v="216"/>
    <x v="2"/>
  </r>
  <r>
    <s v="S000507"/>
    <s v="FOO-2025-00113"/>
    <x v="1"/>
    <x v="0"/>
    <x v="2"/>
    <x v="352"/>
    <s v="um"/>
    <n v="150"/>
    <n v="400"/>
    <x v="186"/>
    <x v="0"/>
  </r>
  <r>
    <s v="S001703"/>
    <s v="ARO-2025-00381"/>
    <x v="0"/>
    <x v="7"/>
    <x v="6"/>
    <x v="353"/>
    <s v="CFU/g"/>
    <n v="0"/>
    <n v="100"/>
    <x v="31"/>
    <x v="7"/>
  </r>
  <r>
    <s v="S000165"/>
    <s v="ESS-2024-00039"/>
    <x v="2"/>
    <x v="0"/>
    <x v="3"/>
    <x v="219"/>
    <s v="%"/>
    <n v="97"/>
    <n v="100"/>
    <x v="248"/>
    <x v="0"/>
  </r>
  <r>
    <s v="S000741"/>
    <s v="FLA-2025-00168"/>
    <x v="4"/>
    <x v="6"/>
    <x v="6"/>
    <x v="354"/>
    <s v="CFU/g"/>
    <n v="0"/>
    <n v="100"/>
    <x v="216"/>
    <x v="4"/>
  </r>
  <r>
    <s v="S001494"/>
    <s v="ESS-2025-00333"/>
    <x v="2"/>
    <x v="7"/>
    <x v="1"/>
    <x v="17"/>
    <s v="g/ml"/>
    <n v="0.88"/>
    <n v="0.97"/>
    <x v="44"/>
    <x v="3"/>
  </r>
  <r>
    <s v="S001803"/>
    <s v="ARO-2025-00403"/>
    <x v="0"/>
    <x v="7"/>
    <x v="2"/>
    <x v="355"/>
    <s v="um"/>
    <n v="150"/>
    <n v="400"/>
    <x v="84"/>
    <x v="6"/>
  </r>
  <r>
    <s v="S000466"/>
    <s v="FOO-2025-00105"/>
    <x v="1"/>
    <x v="10"/>
    <x v="3"/>
    <x v="356"/>
    <s v="%"/>
    <n v="97"/>
    <n v="100"/>
    <x v="265"/>
    <x v="5"/>
  </r>
  <r>
    <s v="S001158"/>
    <s v="ESS-2025-00259"/>
    <x v="2"/>
    <x v="1"/>
    <x v="3"/>
    <x v="357"/>
    <s v="%"/>
    <n v="97"/>
    <n v="100"/>
    <x v="119"/>
    <x v="3"/>
  </r>
  <r>
    <s v="S001234"/>
    <s v="ARO-2024-00276"/>
    <x v="0"/>
    <x v="1"/>
    <x v="0"/>
    <x v="358"/>
    <s v="ppm"/>
    <n v="0"/>
    <n v="120"/>
    <x v="236"/>
    <x v="0"/>
  </r>
  <r>
    <s v="S000143"/>
    <s v="FOO-2024-00034"/>
    <x v="1"/>
    <x v="1"/>
    <x v="3"/>
    <x v="359"/>
    <s v="%"/>
    <n v="97"/>
    <n v="100"/>
    <x v="1"/>
    <x v="7"/>
  </r>
  <r>
    <s v="S000114"/>
    <s v="FLA-2025-00026"/>
    <x v="4"/>
    <x v="1"/>
    <x v="2"/>
    <x v="360"/>
    <s v="um"/>
    <n v="150"/>
    <n v="400"/>
    <x v="266"/>
    <x v="2"/>
  </r>
  <r>
    <s v="S001073"/>
    <s v="FLA-2025-00240"/>
    <x v="4"/>
    <x v="3"/>
    <x v="5"/>
    <x v="361"/>
    <m/>
    <n v="6"/>
    <n v="7.5"/>
    <x v="267"/>
    <x v="4"/>
  </r>
  <r>
    <s v="S001385"/>
    <s v="ARO-2025-00309"/>
    <x v="0"/>
    <x v="9"/>
    <x v="6"/>
    <x v="362"/>
    <s v="CFU/g"/>
    <n v="0"/>
    <n v="100"/>
    <x v="253"/>
    <x v="6"/>
  </r>
  <r>
    <s v="S000379"/>
    <s v="ESS-2025-00086"/>
    <x v="2"/>
    <x v="3"/>
    <x v="3"/>
    <x v="363"/>
    <s v="%"/>
    <n v="97"/>
    <n v="100"/>
    <x v="229"/>
    <x v="1"/>
  </r>
  <r>
    <s v="S000064"/>
    <s v="ESS-2025-00015"/>
    <x v="2"/>
    <x v="5"/>
    <x v="5"/>
    <x v="364"/>
    <m/>
    <n v="6"/>
    <n v="7.5"/>
    <x v="268"/>
    <x v="8"/>
  </r>
  <r>
    <s v="S000489"/>
    <s v="ARO-2025-00110"/>
    <x v="0"/>
    <x v="1"/>
    <x v="6"/>
    <x v="365"/>
    <s v="CFU/g"/>
    <n v="0"/>
    <n v="100"/>
    <x v="220"/>
    <x v="4"/>
  </r>
  <r>
    <s v="S000638"/>
    <s v="ESS-2025-00145"/>
    <x v="2"/>
    <x v="3"/>
    <x v="3"/>
    <x v="366"/>
    <s v="%"/>
    <n v="97"/>
    <n v="100"/>
    <x v="269"/>
    <x v="2"/>
  </r>
  <r>
    <s v="S000187"/>
    <s v="FRA-2025-00043"/>
    <x v="3"/>
    <x v="1"/>
    <x v="0"/>
    <x v="367"/>
    <s v="ppm"/>
    <n v="0"/>
    <n v="120"/>
    <x v="67"/>
    <x v="8"/>
  </r>
  <r>
    <s v="S001346"/>
    <s v="FRA-2024-00301"/>
    <x v="3"/>
    <x v="2"/>
    <x v="4"/>
    <x v="368"/>
    <s v="%"/>
    <n v="0"/>
    <n v="1"/>
    <x v="38"/>
    <x v="4"/>
  </r>
  <r>
    <s v="S001276"/>
    <s v="ARO-2024-00285"/>
    <x v="0"/>
    <x v="1"/>
    <x v="4"/>
    <x v="368"/>
    <s v="%"/>
    <n v="0"/>
    <n v="1"/>
    <x v="270"/>
    <x v="8"/>
  </r>
  <r>
    <s v="S000636"/>
    <s v="ESS-2025-00145"/>
    <x v="2"/>
    <x v="0"/>
    <x v="4"/>
    <x v="368"/>
    <s v="%"/>
    <n v="0"/>
    <n v="1"/>
    <x v="67"/>
    <x v="1"/>
  </r>
  <r>
    <s v="S000295"/>
    <s v="FRA-2024-00067"/>
    <x v="3"/>
    <x v="1"/>
    <x v="0"/>
    <x v="369"/>
    <s v="ppm"/>
    <n v="0"/>
    <n v="120"/>
    <x v="137"/>
    <x v="4"/>
  </r>
  <r>
    <s v="S000876"/>
    <s v="FOO-2025-00198"/>
    <x v="1"/>
    <x v="2"/>
    <x v="1"/>
    <x v="80"/>
    <s v="g/ml"/>
    <n v="0.88"/>
    <n v="0.97"/>
    <x v="48"/>
    <x v="5"/>
  </r>
  <r>
    <s v="S000454"/>
    <s v="FOO-2024-00102"/>
    <x v="1"/>
    <x v="7"/>
    <x v="2"/>
    <x v="370"/>
    <s v="um"/>
    <n v="150"/>
    <n v="400"/>
    <x v="113"/>
    <x v="4"/>
  </r>
  <r>
    <s v="S000287"/>
    <s v="FLA-2025-00065"/>
    <x v="4"/>
    <x v="2"/>
    <x v="3"/>
    <x v="371"/>
    <s v="%"/>
    <n v="97"/>
    <n v="100"/>
    <x v="51"/>
    <x v="3"/>
  </r>
  <r>
    <s v="S001874"/>
    <s v="ESS-2024-00419"/>
    <x v="2"/>
    <x v="2"/>
    <x v="2"/>
    <x v="372"/>
    <s v="um"/>
    <n v="150"/>
    <n v="400"/>
    <x v="103"/>
    <x v="3"/>
  </r>
  <r>
    <s v="S001967"/>
    <s v="FRA-2025-00440"/>
    <x v="3"/>
    <x v="8"/>
    <x v="2"/>
    <x v="373"/>
    <s v="um"/>
    <n v="150"/>
    <n v="400"/>
    <x v="160"/>
    <x v="6"/>
  </r>
  <r>
    <s v="S000301"/>
    <s v="FOO-2025-00068"/>
    <x v="1"/>
    <x v="3"/>
    <x v="2"/>
    <x v="374"/>
    <s v="um"/>
    <n v="150"/>
    <n v="400"/>
    <x v="72"/>
    <x v="8"/>
  </r>
  <r>
    <s v="S000842"/>
    <s v="FOO-2025-00191"/>
    <x v="1"/>
    <x v="5"/>
    <x v="5"/>
    <x v="375"/>
    <m/>
    <n v="6"/>
    <n v="7.5"/>
    <x v="34"/>
    <x v="7"/>
  </r>
  <r>
    <s v="S000316"/>
    <s v="FLA-2024-00072"/>
    <x v="4"/>
    <x v="2"/>
    <x v="6"/>
    <x v="376"/>
    <s v="CFU/g"/>
    <n v="0"/>
    <n v="100"/>
    <x v="271"/>
    <x v="3"/>
  </r>
  <r>
    <s v="S000896"/>
    <s v="FRA-2025-00203"/>
    <x v="3"/>
    <x v="2"/>
    <x v="2"/>
    <x v="377"/>
    <s v="um"/>
    <n v="150"/>
    <n v="400"/>
    <x v="233"/>
    <x v="0"/>
  </r>
  <r>
    <s v="S000708"/>
    <s v="ARO-2025-00161"/>
    <x v="0"/>
    <x v="7"/>
    <x v="5"/>
    <x v="378"/>
    <m/>
    <n v="6"/>
    <n v="7.5"/>
    <x v="272"/>
    <x v="0"/>
  </r>
  <r>
    <s v="S000360"/>
    <s v="ESS-2025-00081"/>
    <x v="2"/>
    <x v="5"/>
    <x v="1"/>
    <x v="17"/>
    <s v="g/ml"/>
    <n v="0.88"/>
    <n v="0.97"/>
    <x v="18"/>
    <x v="0"/>
  </r>
  <r>
    <s v="S000131"/>
    <s v="FLA-2024-00031"/>
    <x v="4"/>
    <x v="0"/>
    <x v="6"/>
    <x v="379"/>
    <s v="CFU/g"/>
    <n v="0"/>
    <n v="100"/>
    <x v="161"/>
    <x v="2"/>
  </r>
  <r>
    <s v="S001138"/>
    <s v="FRA-2025-00255"/>
    <x v="3"/>
    <x v="6"/>
    <x v="3"/>
    <x v="289"/>
    <s v="%"/>
    <n v="97"/>
    <n v="100"/>
    <x v="273"/>
    <x v="6"/>
  </r>
  <r>
    <s v="S000729"/>
    <s v="FRA-2024-00165"/>
    <x v="3"/>
    <x v="6"/>
    <x v="3"/>
    <x v="380"/>
    <s v="%"/>
    <n v="97"/>
    <n v="100"/>
    <x v="37"/>
    <x v="1"/>
  </r>
  <r>
    <s v="S000190"/>
    <s v="FRA-2025-00043"/>
    <x v="3"/>
    <x v="1"/>
    <x v="5"/>
    <x v="302"/>
    <m/>
    <n v="6"/>
    <n v="7.5"/>
    <x v="67"/>
    <x v="5"/>
  </r>
  <r>
    <s v="S000028"/>
    <s v="ESS-2024-00006"/>
    <x v="2"/>
    <x v="5"/>
    <x v="6"/>
    <x v="381"/>
    <s v="CFU/g"/>
    <n v="0"/>
    <n v="100"/>
    <x v="226"/>
    <x v="5"/>
  </r>
  <r>
    <s v="S001568"/>
    <s v="FLA-2024-00349"/>
    <x v="4"/>
    <x v="2"/>
    <x v="1"/>
    <x v="1"/>
    <s v="g/ml"/>
    <n v="0.88"/>
    <n v="0.97"/>
    <x v="1"/>
    <x v="1"/>
  </r>
  <r>
    <s v="S001924"/>
    <s v="ARO-2024-00430"/>
    <x v="0"/>
    <x v="2"/>
    <x v="5"/>
    <x v="382"/>
    <m/>
    <n v="6"/>
    <n v="7.5"/>
    <x v="10"/>
    <x v="3"/>
  </r>
  <r>
    <s v="S000919"/>
    <s v="ESS-2024-00208"/>
    <x v="2"/>
    <x v="2"/>
    <x v="3"/>
    <x v="383"/>
    <s v="%"/>
    <n v="97"/>
    <n v="100"/>
    <x v="274"/>
    <x v="4"/>
  </r>
  <r>
    <s v="S000747"/>
    <s v="FOO-2024-00169"/>
    <x v="1"/>
    <x v="2"/>
    <x v="4"/>
    <x v="384"/>
    <s v="%"/>
    <n v="0"/>
    <n v="1"/>
    <x v="197"/>
    <x v="8"/>
  </r>
  <r>
    <s v="S001229"/>
    <s v="FRA-2024-00275"/>
    <x v="3"/>
    <x v="1"/>
    <x v="3"/>
    <x v="385"/>
    <s v="%"/>
    <n v="97"/>
    <n v="100"/>
    <x v="78"/>
    <x v="1"/>
  </r>
  <r>
    <s v="S000948"/>
    <s v="FLA-2024-00214"/>
    <x v="4"/>
    <x v="6"/>
    <x v="1"/>
    <x v="224"/>
    <s v="g/ml"/>
    <n v="0.88"/>
    <n v="0.97"/>
    <x v="38"/>
    <x v="4"/>
  </r>
  <r>
    <s v="S000758"/>
    <s v="ARO-2024-00172"/>
    <x v="0"/>
    <x v="7"/>
    <x v="5"/>
    <x v="386"/>
    <m/>
    <n v="6"/>
    <n v="7.5"/>
    <x v="9"/>
    <x v="5"/>
  </r>
  <r>
    <s v="S000739"/>
    <s v="FLA-2025-00168"/>
    <x v="4"/>
    <x v="6"/>
    <x v="3"/>
    <x v="387"/>
    <s v="%"/>
    <n v="97"/>
    <n v="100"/>
    <x v="216"/>
    <x v="2"/>
  </r>
  <r>
    <s v="S001572"/>
    <s v="FRA-2025-00350"/>
    <x v="3"/>
    <x v="1"/>
    <x v="2"/>
    <x v="388"/>
    <s v="um"/>
    <n v="150"/>
    <n v="400"/>
    <x v="275"/>
    <x v="2"/>
  </r>
  <r>
    <s v="S001172"/>
    <s v="ARO-2024-00263"/>
    <x v="0"/>
    <x v="7"/>
    <x v="2"/>
    <x v="201"/>
    <s v="um"/>
    <n v="150"/>
    <n v="400"/>
    <x v="68"/>
    <x v="3"/>
  </r>
  <r>
    <s v="S000267"/>
    <s v="FLA-2024-00061"/>
    <x v="4"/>
    <x v="2"/>
    <x v="5"/>
    <x v="389"/>
    <m/>
    <n v="6"/>
    <n v="7.5"/>
    <x v="276"/>
    <x v="2"/>
  </r>
  <r>
    <s v="S001224"/>
    <s v="FOO-2024-00273"/>
    <x v="1"/>
    <x v="10"/>
    <x v="2"/>
    <x v="390"/>
    <s v="um"/>
    <n v="150"/>
    <n v="400"/>
    <x v="277"/>
    <x v="8"/>
  </r>
  <r>
    <s v="S001505"/>
    <s v="ESS-2025-00335"/>
    <x v="2"/>
    <x v="5"/>
    <x v="6"/>
    <x v="391"/>
    <s v="CFU/g"/>
    <n v="0"/>
    <n v="100"/>
    <x v="186"/>
    <x v="3"/>
  </r>
  <r>
    <s v="S000076"/>
    <s v="FRA-2025-00018"/>
    <x v="3"/>
    <x v="1"/>
    <x v="0"/>
    <x v="392"/>
    <s v="ppm"/>
    <n v="0"/>
    <n v="120"/>
    <x v="278"/>
    <x v="3"/>
  </r>
  <r>
    <s v="S001444"/>
    <s v="FOO-2025-00322"/>
    <x v="1"/>
    <x v="2"/>
    <x v="0"/>
    <x v="393"/>
    <s v="ppm"/>
    <n v="0"/>
    <n v="120"/>
    <x v="57"/>
    <x v="4"/>
  </r>
  <r>
    <s v="S001309"/>
    <s v="ESS-2025-00292"/>
    <x v="2"/>
    <x v="6"/>
    <x v="5"/>
    <x v="298"/>
    <m/>
    <n v="6"/>
    <n v="7.5"/>
    <x v="279"/>
    <x v="2"/>
  </r>
  <r>
    <s v="S001708"/>
    <s v="FOO-2025-00382"/>
    <x v="1"/>
    <x v="2"/>
    <x v="2"/>
    <x v="394"/>
    <s v="um"/>
    <n v="150"/>
    <n v="400"/>
    <x v="63"/>
    <x v="5"/>
  </r>
  <r>
    <s v="S000949"/>
    <s v="ARO-2024-00215"/>
    <x v="0"/>
    <x v="2"/>
    <x v="5"/>
    <x v="395"/>
    <m/>
    <n v="6"/>
    <n v="7.5"/>
    <x v="280"/>
    <x v="0"/>
  </r>
  <r>
    <s v="S001195"/>
    <s v="ARO-2024-00268"/>
    <x v="0"/>
    <x v="3"/>
    <x v="4"/>
    <x v="44"/>
    <s v="%"/>
    <n v="0"/>
    <n v="1"/>
    <x v="215"/>
    <x v="3"/>
  </r>
  <r>
    <s v="S001278"/>
    <s v="ARO-2024-00285"/>
    <x v="0"/>
    <x v="1"/>
    <x v="3"/>
    <x v="166"/>
    <s v="%"/>
    <n v="97"/>
    <n v="100"/>
    <x v="13"/>
    <x v="7"/>
  </r>
  <r>
    <s v="S001317"/>
    <s v="FLA-2024-00294"/>
    <x v="4"/>
    <x v="5"/>
    <x v="4"/>
    <x v="122"/>
    <s v="%"/>
    <n v="0"/>
    <n v="1"/>
    <x v="100"/>
    <x v="1"/>
  </r>
  <r>
    <s v="S001334"/>
    <s v="ARO-2025-00297"/>
    <x v="0"/>
    <x v="2"/>
    <x v="1"/>
    <x v="1"/>
    <s v="g/ml"/>
    <n v="0.88"/>
    <n v="0.97"/>
    <x v="84"/>
    <x v="3"/>
  </r>
  <r>
    <s v="S001052"/>
    <s v="FLA-2024-00236"/>
    <x v="4"/>
    <x v="1"/>
    <x v="0"/>
    <x v="396"/>
    <s v="ppm"/>
    <n v="0"/>
    <n v="120"/>
    <x v="259"/>
    <x v="8"/>
  </r>
  <r>
    <s v="S000181"/>
    <s v="ARO-2025-00042"/>
    <x v="0"/>
    <x v="1"/>
    <x v="3"/>
    <x v="87"/>
    <s v="%"/>
    <n v="97"/>
    <n v="100"/>
    <x v="18"/>
    <x v="5"/>
  </r>
  <r>
    <s v="S000759"/>
    <s v="ARO-2024-00172"/>
    <x v="0"/>
    <x v="10"/>
    <x v="2"/>
    <x v="397"/>
    <s v="um"/>
    <n v="150"/>
    <n v="400"/>
    <x v="9"/>
    <x v="1"/>
  </r>
  <r>
    <s v="S000658"/>
    <s v="FRA-2025-00150"/>
    <x v="3"/>
    <x v="1"/>
    <x v="1"/>
    <x v="80"/>
    <s v="g/ml"/>
    <n v="0.88"/>
    <n v="0.97"/>
    <x v="31"/>
    <x v="0"/>
  </r>
  <r>
    <s v="S001735"/>
    <s v="ARO-2024-00388"/>
    <x v="0"/>
    <x v="4"/>
    <x v="2"/>
    <x v="398"/>
    <s v="um"/>
    <n v="150"/>
    <n v="400"/>
    <x v="11"/>
    <x v="6"/>
  </r>
  <r>
    <s v="S000377"/>
    <s v="ARO-2025-00085"/>
    <x v="0"/>
    <x v="5"/>
    <x v="6"/>
    <x v="88"/>
    <s v="CFU/g"/>
    <n v="0"/>
    <n v="100"/>
    <x v="34"/>
    <x v="5"/>
  </r>
  <r>
    <s v="S001901"/>
    <s v="ESS-2025-00426"/>
    <x v="2"/>
    <x v="8"/>
    <x v="6"/>
    <x v="399"/>
    <s v="CFU/g"/>
    <n v="0"/>
    <n v="100"/>
    <x v="148"/>
    <x v="2"/>
  </r>
  <r>
    <s v="S000024"/>
    <s v="ESS-2024-00006"/>
    <x v="2"/>
    <x v="8"/>
    <x v="5"/>
    <x v="400"/>
    <m/>
    <n v="6"/>
    <n v="7.5"/>
    <x v="226"/>
    <x v="0"/>
  </r>
  <r>
    <s v="S000347"/>
    <s v="FRA-2025-00079"/>
    <x v="3"/>
    <x v="3"/>
    <x v="5"/>
    <x v="401"/>
    <m/>
    <n v="6"/>
    <n v="7.5"/>
    <x v="146"/>
    <x v="3"/>
  </r>
  <r>
    <s v="S001646"/>
    <s v="ARO-2025-00369"/>
    <x v="0"/>
    <x v="6"/>
    <x v="2"/>
    <x v="402"/>
    <s v="um"/>
    <n v="150"/>
    <n v="400"/>
    <x v="106"/>
    <x v="2"/>
  </r>
  <r>
    <s v="S001858"/>
    <s v="ESS-2025-00416"/>
    <x v="2"/>
    <x v="3"/>
    <x v="2"/>
    <x v="403"/>
    <s v="um"/>
    <n v="150"/>
    <n v="400"/>
    <x v="73"/>
    <x v="2"/>
  </r>
  <r>
    <s v="S001725"/>
    <s v="FRA-2025-00386"/>
    <x v="3"/>
    <x v="3"/>
    <x v="1"/>
    <x v="17"/>
    <s v="g/ml"/>
    <n v="0.88"/>
    <n v="0.97"/>
    <x v="181"/>
    <x v="1"/>
  </r>
  <r>
    <s v="S000009"/>
    <s v="ARO-2025-00002"/>
    <x v="0"/>
    <x v="2"/>
    <x v="5"/>
    <x v="404"/>
    <m/>
    <n v="6"/>
    <n v="7.5"/>
    <x v="115"/>
    <x v="4"/>
  </r>
  <r>
    <s v="S000229"/>
    <s v="ARO-2025-00052"/>
    <x v="0"/>
    <x v="4"/>
    <x v="5"/>
    <x v="405"/>
    <m/>
    <n v="6"/>
    <n v="7.5"/>
    <x v="187"/>
    <x v="1"/>
  </r>
  <r>
    <s v="S000490"/>
    <s v="ARO-2025-00110"/>
    <x v="0"/>
    <x v="1"/>
    <x v="2"/>
    <x v="406"/>
    <s v="um"/>
    <n v="150"/>
    <n v="400"/>
    <x v="220"/>
    <x v="7"/>
  </r>
  <r>
    <s v="S000214"/>
    <s v="FLA-2024-00049"/>
    <x v="4"/>
    <x v="1"/>
    <x v="4"/>
    <x v="11"/>
    <s v="%"/>
    <n v="0"/>
    <n v="1"/>
    <x v="243"/>
    <x v="2"/>
  </r>
  <r>
    <s v="S000836"/>
    <s v="FLA-2025-00190"/>
    <x v="4"/>
    <x v="3"/>
    <x v="3"/>
    <x v="407"/>
    <s v="%"/>
    <n v="97"/>
    <n v="100"/>
    <x v="65"/>
    <x v="2"/>
  </r>
  <r>
    <s v="S000689"/>
    <s v="FOO-2024-00157"/>
    <x v="1"/>
    <x v="9"/>
    <x v="6"/>
    <x v="408"/>
    <s v="CFU/g"/>
    <n v="0"/>
    <n v="100"/>
    <x v="281"/>
    <x v="7"/>
  </r>
  <r>
    <s v="S000450"/>
    <s v="FLA-2025-00101"/>
    <x v="4"/>
    <x v="1"/>
    <x v="1"/>
    <x v="1"/>
    <s v="g/ml"/>
    <n v="0.88"/>
    <n v="0.97"/>
    <x v="89"/>
    <x v="8"/>
  </r>
  <r>
    <s v="S001413"/>
    <s v="ESS-2024-00315"/>
    <x v="2"/>
    <x v="3"/>
    <x v="4"/>
    <x v="19"/>
    <s v="%"/>
    <n v="0"/>
    <n v="1"/>
    <x v="54"/>
    <x v="2"/>
  </r>
  <r>
    <s v="S000016"/>
    <s v="FRA-2025-00004"/>
    <x v="3"/>
    <x v="10"/>
    <x v="1"/>
    <x v="75"/>
    <s v="g/ml"/>
    <n v="0.88"/>
    <n v="0.97"/>
    <x v="145"/>
    <x v="4"/>
  </r>
  <r>
    <s v="S001574"/>
    <s v="ARO-2024-00351"/>
    <x v="0"/>
    <x v="1"/>
    <x v="6"/>
    <x v="409"/>
    <s v="CFU/g"/>
    <n v="0"/>
    <n v="100"/>
    <x v="282"/>
    <x v="7"/>
  </r>
  <r>
    <s v="S001784"/>
    <s v="FRA-2024-00399"/>
    <x v="3"/>
    <x v="5"/>
    <x v="4"/>
    <x v="82"/>
    <s v="%"/>
    <n v="0"/>
    <n v="1"/>
    <x v="283"/>
    <x v="7"/>
  </r>
  <r>
    <s v="S001783"/>
    <s v="FOO-2025-00398"/>
    <x v="1"/>
    <x v="5"/>
    <x v="3"/>
    <x v="410"/>
    <s v="%"/>
    <n v="97"/>
    <n v="100"/>
    <x v="192"/>
    <x v="7"/>
  </r>
  <r>
    <s v="S001458"/>
    <s v="ESS-2024-00325"/>
    <x v="2"/>
    <x v="3"/>
    <x v="1"/>
    <x v="314"/>
    <s v="g/ml"/>
    <n v="0.88"/>
    <n v="0.97"/>
    <x v="40"/>
    <x v="7"/>
  </r>
  <r>
    <s v="S000958"/>
    <s v="FLA-2024-00216"/>
    <x v="4"/>
    <x v="6"/>
    <x v="0"/>
    <x v="411"/>
    <s v="ppm"/>
    <n v="0"/>
    <n v="120"/>
    <x v="215"/>
    <x v="3"/>
  </r>
  <r>
    <s v="S000547"/>
    <s v="FLA-2024-00123"/>
    <x v="4"/>
    <x v="8"/>
    <x v="3"/>
    <x v="412"/>
    <s v="%"/>
    <n v="97"/>
    <n v="100"/>
    <x v="39"/>
    <x v="8"/>
  </r>
  <r>
    <s v="S001163"/>
    <s v="ARO-2025-00261"/>
    <x v="0"/>
    <x v="9"/>
    <x v="0"/>
    <x v="413"/>
    <s v="ppm"/>
    <n v="0"/>
    <n v="120"/>
    <x v="99"/>
    <x v="0"/>
  </r>
  <r>
    <s v="S000661"/>
    <s v="ARO-2025-00151"/>
    <x v="0"/>
    <x v="2"/>
    <x v="3"/>
    <x v="414"/>
    <s v="%"/>
    <n v="97"/>
    <n v="100"/>
    <x v="164"/>
    <x v="2"/>
  </r>
  <r>
    <s v="S000355"/>
    <s v="FRA-2025-00080"/>
    <x v="3"/>
    <x v="8"/>
    <x v="2"/>
    <x v="415"/>
    <s v="um"/>
    <n v="150"/>
    <n v="400"/>
    <x v="205"/>
    <x v="2"/>
  </r>
  <r>
    <s v="S000749"/>
    <s v="FOO-2024-00169"/>
    <x v="1"/>
    <x v="2"/>
    <x v="6"/>
    <x v="416"/>
    <s v="CFU/g"/>
    <n v="0"/>
    <n v="100"/>
    <x v="284"/>
    <x v="4"/>
  </r>
  <r>
    <s v="S000208"/>
    <s v="ARO-2025-00048"/>
    <x v="0"/>
    <x v="7"/>
    <x v="1"/>
    <x v="224"/>
    <s v="g/ml"/>
    <n v="0.88"/>
    <n v="0.97"/>
    <x v="233"/>
    <x v="7"/>
  </r>
  <r>
    <s v="S001157"/>
    <s v="ESS-2025-00259"/>
    <x v="2"/>
    <x v="1"/>
    <x v="4"/>
    <x v="52"/>
    <s v="%"/>
    <n v="0"/>
    <n v="1"/>
    <x v="119"/>
    <x v="3"/>
  </r>
  <r>
    <s v="S000740"/>
    <s v="FLA-2025-00168"/>
    <x v="4"/>
    <x v="2"/>
    <x v="0"/>
    <x v="417"/>
    <s v="ppm"/>
    <n v="0"/>
    <n v="120"/>
    <x v="216"/>
    <x v="7"/>
  </r>
  <r>
    <s v="S001084"/>
    <s v="ESS-2024-00243"/>
    <x v="2"/>
    <x v="1"/>
    <x v="6"/>
    <x v="24"/>
    <s v="CFU/g"/>
    <n v="0"/>
    <n v="100"/>
    <x v="285"/>
    <x v="3"/>
  </r>
  <r>
    <s v="S000417"/>
    <s v="FLA-2024-00095"/>
    <x v="4"/>
    <x v="2"/>
    <x v="1"/>
    <x v="80"/>
    <s v="g/ml"/>
    <n v="0.88"/>
    <n v="0.97"/>
    <x v="128"/>
    <x v="1"/>
  </r>
  <r>
    <s v="S001433"/>
    <s v="ARO-2025-00319"/>
    <x v="0"/>
    <x v="5"/>
    <x v="5"/>
    <x v="237"/>
    <m/>
    <n v="6"/>
    <n v="7.5"/>
    <x v="86"/>
    <x v="8"/>
  </r>
  <r>
    <s v="S001068"/>
    <s v="ESS-2025-00239"/>
    <x v="2"/>
    <x v="1"/>
    <x v="1"/>
    <x v="80"/>
    <s v="g/ml"/>
    <n v="0.88"/>
    <n v="0.97"/>
    <x v="286"/>
    <x v="0"/>
  </r>
  <r>
    <s v="S001599"/>
    <s v="FRA-2024-00357"/>
    <x v="3"/>
    <x v="3"/>
    <x v="0"/>
    <x v="418"/>
    <s v="ppm"/>
    <n v="0"/>
    <n v="120"/>
    <x v="188"/>
    <x v="3"/>
  </r>
  <r>
    <s v="S000702"/>
    <s v="FRA-2025-00159"/>
    <x v="3"/>
    <x v="5"/>
    <x v="5"/>
    <x v="185"/>
    <m/>
    <n v="6"/>
    <n v="7.5"/>
    <x v="210"/>
    <x v="7"/>
  </r>
  <r>
    <s v="S000443"/>
    <s v="FOO-2024-00100"/>
    <x v="1"/>
    <x v="1"/>
    <x v="1"/>
    <x v="224"/>
    <s v="g/ml"/>
    <n v="0.88"/>
    <n v="0.97"/>
    <x v="263"/>
    <x v="1"/>
  </r>
  <r>
    <s v="S001427"/>
    <s v="ARO-2024-00318"/>
    <x v="0"/>
    <x v="5"/>
    <x v="1"/>
    <x v="1"/>
    <s v="g/ml"/>
    <n v="0.88"/>
    <n v="0.97"/>
    <x v="62"/>
    <x v="1"/>
  </r>
  <r>
    <s v="S001450"/>
    <s v="FLA-2024-00323"/>
    <x v="4"/>
    <x v="0"/>
    <x v="6"/>
    <x v="419"/>
    <s v="CFU/g"/>
    <n v="0"/>
    <n v="100"/>
    <x v="70"/>
    <x v="2"/>
  </r>
  <r>
    <s v="S000537"/>
    <s v="FLA-2024-00121"/>
    <x v="4"/>
    <x v="8"/>
    <x v="2"/>
    <x v="420"/>
    <s v="um"/>
    <n v="150"/>
    <n v="400"/>
    <x v="69"/>
    <x v="0"/>
  </r>
  <r>
    <s v="S000349"/>
    <s v="FRA-2025-00079"/>
    <x v="3"/>
    <x v="0"/>
    <x v="0"/>
    <x v="421"/>
    <s v="ppm"/>
    <n v="0"/>
    <n v="120"/>
    <x v="146"/>
    <x v="2"/>
  </r>
  <r>
    <s v="S001421"/>
    <s v="FOO-2024-00317"/>
    <x v="1"/>
    <x v="9"/>
    <x v="0"/>
    <x v="422"/>
    <s v="ppm"/>
    <n v="0"/>
    <n v="120"/>
    <x v="234"/>
    <x v="5"/>
  </r>
  <r>
    <s v="S000404"/>
    <s v="ARO-2024-00092"/>
    <x v="0"/>
    <x v="10"/>
    <x v="6"/>
    <x v="423"/>
    <s v="CFU/g"/>
    <n v="0"/>
    <n v="100"/>
    <x v="287"/>
    <x v="2"/>
  </r>
  <r>
    <s v="S000363"/>
    <s v="FLA-2025-00082"/>
    <x v="4"/>
    <x v="3"/>
    <x v="0"/>
    <x v="424"/>
    <s v="ppm"/>
    <n v="0"/>
    <n v="120"/>
    <x v="24"/>
    <x v="5"/>
  </r>
  <r>
    <s v="S000027"/>
    <s v="ESS-2024-00006"/>
    <x v="2"/>
    <x v="5"/>
    <x v="2"/>
    <x v="425"/>
    <s v="um"/>
    <n v="150"/>
    <n v="400"/>
    <x v="226"/>
    <x v="3"/>
  </r>
  <r>
    <s v="S001117"/>
    <s v="FOO-2025-00251"/>
    <x v="1"/>
    <x v="7"/>
    <x v="6"/>
    <x v="426"/>
    <s v="CFU/g"/>
    <n v="0"/>
    <n v="100"/>
    <x v="28"/>
    <x v="8"/>
  </r>
  <r>
    <s v="S001178"/>
    <s v="FOO-2025-00264"/>
    <x v="1"/>
    <x v="2"/>
    <x v="5"/>
    <x v="195"/>
    <m/>
    <n v="6"/>
    <n v="7.5"/>
    <x v="288"/>
    <x v="7"/>
  </r>
  <r>
    <s v="S000178"/>
    <s v="FOO-2025-00041"/>
    <x v="1"/>
    <x v="5"/>
    <x v="0"/>
    <x v="427"/>
    <s v="ppm"/>
    <n v="0"/>
    <n v="120"/>
    <x v="88"/>
    <x v="0"/>
  </r>
  <r>
    <s v="S001938"/>
    <s v="ESS-2024-00434"/>
    <x v="2"/>
    <x v="3"/>
    <x v="0"/>
    <x v="428"/>
    <s v="ppm"/>
    <n v="0"/>
    <n v="120"/>
    <x v="92"/>
    <x v="0"/>
  </r>
  <r>
    <s v="S000880"/>
    <s v="FOO-2025-00199"/>
    <x v="1"/>
    <x v="3"/>
    <x v="5"/>
    <x v="429"/>
    <m/>
    <n v="6"/>
    <n v="7.5"/>
    <x v="289"/>
    <x v="5"/>
  </r>
  <r>
    <s v="S001902"/>
    <s v="ESS-2025-00426"/>
    <x v="2"/>
    <x v="5"/>
    <x v="1"/>
    <x v="85"/>
    <s v="g/ml"/>
    <n v="0.88"/>
    <n v="0.97"/>
    <x v="148"/>
    <x v="3"/>
  </r>
  <r>
    <s v="S000756"/>
    <s v="ARO-2025-00171"/>
    <x v="0"/>
    <x v="3"/>
    <x v="4"/>
    <x v="262"/>
    <s v="%"/>
    <n v="0"/>
    <n v="1"/>
    <x v="159"/>
    <x v="2"/>
  </r>
  <r>
    <s v="S000253"/>
    <s v="FOO-2024-00057"/>
    <x v="1"/>
    <x v="2"/>
    <x v="4"/>
    <x v="122"/>
    <s v="%"/>
    <n v="0"/>
    <n v="1"/>
    <x v="290"/>
    <x v="7"/>
  </r>
  <r>
    <s v="S000415"/>
    <s v="FOO-2025-00094"/>
    <x v="1"/>
    <x v="1"/>
    <x v="1"/>
    <x v="430"/>
    <s v="g/ml"/>
    <n v="0.88"/>
    <n v="0.97"/>
    <x v="52"/>
    <x v="3"/>
  </r>
  <r>
    <s v="S000559"/>
    <s v="FOO-2024-00125"/>
    <x v="1"/>
    <x v="1"/>
    <x v="5"/>
    <x v="431"/>
    <m/>
    <n v="6"/>
    <n v="7.5"/>
    <x v="291"/>
    <x v="3"/>
  </r>
  <r>
    <s v="S000554"/>
    <s v="FOO-2024-00125"/>
    <x v="1"/>
    <x v="1"/>
    <x v="4"/>
    <x v="19"/>
    <s v="%"/>
    <n v="0"/>
    <n v="1"/>
    <x v="262"/>
    <x v="4"/>
  </r>
  <r>
    <s v="S000194"/>
    <s v="ESS-2025-00045"/>
    <x v="2"/>
    <x v="5"/>
    <x v="5"/>
    <x v="234"/>
    <m/>
    <n v="6"/>
    <n v="7.5"/>
    <x v="20"/>
    <x v="6"/>
  </r>
  <r>
    <s v="S001503"/>
    <s v="ESS-2025-00335"/>
    <x v="2"/>
    <x v="5"/>
    <x v="4"/>
    <x v="24"/>
    <s v="%"/>
    <n v="0"/>
    <n v="1"/>
    <x v="186"/>
    <x v="3"/>
  </r>
  <r>
    <s v="S000705"/>
    <s v="FRA-2024-00160"/>
    <x v="3"/>
    <x v="5"/>
    <x v="5"/>
    <x v="432"/>
    <m/>
    <n v="6"/>
    <n v="7.5"/>
    <x v="29"/>
    <x v="4"/>
  </r>
  <r>
    <s v="S001492"/>
    <s v="FOO-2024-00332"/>
    <x v="1"/>
    <x v="0"/>
    <x v="0"/>
    <x v="433"/>
    <s v="ppm"/>
    <n v="0"/>
    <n v="120"/>
    <x v="292"/>
    <x v="4"/>
  </r>
  <r>
    <s v="S000446"/>
    <s v="FOO-2024-00100"/>
    <x v="1"/>
    <x v="1"/>
    <x v="2"/>
    <x v="434"/>
    <s v="um"/>
    <n v="150"/>
    <n v="400"/>
    <x v="263"/>
    <x v="2"/>
  </r>
  <r>
    <s v="S000789"/>
    <s v="FOO-2024-00179"/>
    <x v="1"/>
    <x v="4"/>
    <x v="3"/>
    <x v="435"/>
    <s v="%"/>
    <n v="97"/>
    <n v="100"/>
    <x v="293"/>
    <x v="0"/>
  </r>
  <r>
    <s v="S001937"/>
    <s v="ARO-2025-00433"/>
    <x v="0"/>
    <x v="0"/>
    <x v="1"/>
    <x v="17"/>
    <s v="g/ml"/>
    <n v="0.88"/>
    <n v="0.97"/>
    <x v="163"/>
    <x v="1"/>
  </r>
  <r>
    <s v="S001800"/>
    <s v="ARO-2025-00403"/>
    <x v="0"/>
    <x v="9"/>
    <x v="6"/>
    <x v="436"/>
    <s v="CFU/g"/>
    <n v="0"/>
    <n v="100"/>
    <x v="84"/>
    <x v="2"/>
  </r>
  <r>
    <s v="S001465"/>
    <s v="FRA-2025-00326"/>
    <x v="3"/>
    <x v="1"/>
    <x v="4"/>
    <x v="62"/>
    <s v="%"/>
    <n v="0"/>
    <n v="1"/>
    <x v="256"/>
    <x v="5"/>
  </r>
  <r>
    <s v="S000452"/>
    <s v="FOO-2024-00102"/>
    <x v="1"/>
    <x v="7"/>
    <x v="3"/>
    <x v="437"/>
    <s v="%"/>
    <n v="97"/>
    <n v="100"/>
    <x v="113"/>
    <x v="4"/>
  </r>
  <r>
    <s v="S001400"/>
    <s v="FOO-2024-00312"/>
    <x v="1"/>
    <x v="8"/>
    <x v="3"/>
    <x v="438"/>
    <s v="%"/>
    <n v="97"/>
    <n v="100"/>
    <x v="247"/>
    <x v="5"/>
  </r>
  <r>
    <s v="S000465"/>
    <s v="FOO-2025-00105"/>
    <x v="1"/>
    <x v="10"/>
    <x v="1"/>
    <x v="75"/>
    <s v="g/ml"/>
    <n v="0.88"/>
    <n v="0.97"/>
    <x v="265"/>
    <x v="8"/>
  </r>
  <r>
    <s v="S000688"/>
    <s v="FOO-2024-00157"/>
    <x v="1"/>
    <x v="9"/>
    <x v="0"/>
    <x v="439"/>
    <s v="ppm"/>
    <n v="0"/>
    <n v="120"/>
    <x v="281"/>
    <x v="1"/>
  </r>
  <r>
    <s v="S000459"/>
    <s v="FRA-2024-00103"/>
    <x v="3"/>
    <x v="2"/>
    <x v="3"/>
    <x v="440"/>
    <s v="%"/>
    <n v="97"/>
    <n v="100"/>
    <x v="195"/>
    <x v="2"/>
  </r>
  <r>
    <s v="S001377"/>
    <s v="FLA-2024-00308"/>
    <x v="4"/>
    <x v="7"/>
    <x v="6"/>
    <x v="441"/>
    <s v="CFU/g"/>
    <n v="0"/>
    <n v="100"/>
    <x v="221"/>
    <x v="7"/>
  </r>
  <r>
    <s v="S000944"/>
    <s v="FLA-2024-00214"/>
    <x v="4"/>
    <x v="2"/>
    <x v="3"/>
    <x v="156"/>
    <s v="%"/>
    <n v="97"/>
    <n v="100"/>
    <x v="38"/>
    <x v="4"/>
  </r>
  <r>
    <s v="S001618"/>
    <s v="ESS-2024-00361"/>
    <x v="2"/>
    <x v="0"/>
    <x v="5"/>
    <x v="442"/>
    <m/>
    <n v="6"/>
    <n v="7.5"/>
    <x v="153"/>
    <x v="4"/>
  </r>
  <r>
    <s v="S000748"/>
    <s v="FOO-2024-00169"/>
    <x v="1"/>
    <x v="2"/>
    <x v="2"/>
    <x v="443"/>
    <s v="um"/>
    <n v="150"/>
    <n v="400"/>
    <x v="197"/>
    <x v="7"/>
  </r>
  <r>
    <s v="S000370"/>
    <s v="ARO-2025-00083"/>
    <x v="0"/>
    <x v="3"/>
    <x v="0"/>
    <x v="444"/>
    <s v="ppm"/>
    <n v="0"/>
    <n v="120"/>
    <x v="133"/>
    <x v="6"/>
  </r>
  <r>
    <s v="S000485"/>
    <s v="FLA-2025-00109"/>
    <x v="4"/>
    <x v="7"/>
    <x v="0"/>
    <x v="445"/>
    <s v="ppm"/>
    <n v="0"/>
    <n v="120"/>
    <x v="294"/>
    <x v="5"/>
  </r>
  <r>
    <s v="S001353"/>
    <s v="ARO-2024-00302"/>
    <x v="0"/>
    <x v="7"/>
    <x v="1"/>
    <x v="80"/>
    <s v="g/ml"/>
    <n v="0.88"/>
    <n v="0.97"/>
    <x v="261"/>
    <x v="8"/>
  </r>
  <r>
    <s v="S001188"/>
    <s v="ARO-2024-00266"/>
    <x v="0"/>
    <x v="5"/>
    <x v="4"/>
    <x v="446"/>
    <s v="%"/>
    <n v="0"/>
    <n v="1"/>
    <x v="295"/>
    <x v="8"/>
  </r>
  <r>
    <s v="S000308"/>
    <s v="FLA-2025-00070"/>
    <x v="4"/>
    <x v="9"/>
    <x v="4"/>
    <x v="11"/>
    <s v="%"/>
    <n v="0"/>
    <n v="1"/>
    <x v="169"/>
    <x v="8"/>
  </r>
  <r>
    <s v="S000286"/>
    <s v="FLA-2025-00065"/>
    <x v="4"/>
    <x v="2"/>
    <x v="4"/>
    <x v="447"/>
    <s v="%"/>
    <n v="0"/>
    <n v="1"/>
    <x v="51"/>
    <x v="3"/>
  </r>
  <r>
    <s v="S000624"/>
    <s v="ESS-2025-00141"/>
    <x v="2"/>
    <x v="5"/>
    <x v="2"/>
    <x v="448"/>
    <s v="um"/>
    <n v="150"/>
    <n v="400"/>
    <x v="76"/>
    <x v="5"/>
  </r>
  <r>
    <s v="S001474"/>
    <s v="ESS-2024-00328"/>
    <x v="2"/>
    <x v="3"/>
    <x v="5"/>
    <x v="449"/>
    <m/>
    <n v="6"/>
    <n v="7.5"/>
    <x v="1"/>
    <x v="8"/>
  </r>
  <r>
    <s v="S000701"/>
    <s v="FRA-2025-00159"/>
    <x v="3"/>
    <x v="5"/>
    <x v="4"/>
    <x v="450"/>
    <s v="%"/>
    <n v="0"/>
    <n v="1"/>
    <x v="210"/>
    <x v="3"/>
  </r>
  <r>
    <s v="S001811"/>
    <s v="ARO-2024-00405"/>
    <x v="0"/>
    <x v="9"/>
    <x v="6"/>
    <x v="451"/>
    <s v="CFU/g"/>
    <n v="0"/>
    <n v="100"/>
    <x v="202"/>
    <x v="1"/>
  </r>
  <r>
    <s v="S000926"/>
    <s v="FRA-2024-00210"/>
    <x v="3"/>
    <x v="5"/>
    <x v="2"/>
    <x v="452"/>
    <s v="um"/>
    <n v="150"/>
    <n v="400"/>
    <x v="123"/>
    <x v="0"/>
  </r>
  <r>
    <s v="S001096"/>
    <s v="FLA-2025-00246"/>
    <x v="4"/>
    <x v="5"/>
    <x v="6"/>
    <x v="453"/>
    <s v="CFU/g"/>
    <n v="0"/>
    <n v="100"/>
    <x v="59"/>
    <x v="6"/>
  </r>
  <r>
    <s v="S001710"/>
    <s v="FOO-2025-00382"/>
    <x v="1"/>
    <x v="6"/>
    <x v="1"/>
    <x v="85"/>
    <s v="g/ml"/>
    <n v="0.88"/>
    <n v="0.97"/>
    <x v="63"/>
    <x v="0"/>
  </r>
  <r>
    <s v="S000954"/>
    <s v="FLA-2024-00216"/>
    <x v="4"/>
    <x v="2"/>
    <x v="3"/>
    <x v="454"/>
    <s v="%"/>
    <n v="97"/>
    <n v="100"/>
    <x v="215"/>
    <x v="0"/>
  </r>
  <r>
    <s v="S001947"/>
    <s v="ESS-2025-00436"/>
    <x v="2"/>
    <x v="2"/>
    <x v="4"/>
    <x v="455"/>
    <s v="%"/>
    <n v="0"/>
    <n v="1"/>
    <x v="178"/>
    <x v="6"/>
  </r>
  <r>
    <s v="S000716"/>
    <s v="FLA-2025-00162"/>
    <x v="4"/>
    <x v="6"/>
    <x v="2"/>
    <x v="456"/>
    <s v="um"/>
    <n v="150"/>
    <n v="400"/>
    <x v="65"/>
    <x v="4"/>
  </r>
  <r>
    <s v="S001913"/>
    <s v="ESS-2024-00428"/>
    <x v="2"/>
    <x v="7"/>
    <x v="4"/>
    <x v="49"/>
    <s v="%"/>
    <n v="0"/>
    <n v="1"/>
    <x v="296"/>
    <x v="0"/>
  </r>
  <r>
    <s v="S001258"/>
    <s v="FLA-2024-00281"/>
    <x v="4"/>
    <x v="7"/>
    <x v="2"/>
    <x v="457"/>
    <s v="um"/>
    <n v="150"/>
    <n v="400"/>
    <x v="153"/>
    <x v="4"/>
  </r>
  <r>
    <s v="S000098"/>
    <s v="FOO-2025-00023"/>
    <x v="1"/>
    <x v="1"/>
    <x v="4"/>
    <x v="266"/>
    <s v="%"/>
    <n v="0"/>
    <n v="1"/>
    <x v="203"/>
    <x v="3"/>
  </r>
  <r>
    <s v="S001362"/>
    <s v="FOO-2024-00304"/>
    <x v="1"/>
    <x v="6"/>
    <x v="6"/>
    <x v="458"/>
    <s v="CFU/g"/>
    <n v="0"/>
    <n v="100"/>
    <x v="61"/>
    <x v="2"/>
  </r>
  <r>
    <s v="S001074"/>
    <s v="FLA-2025-00240"/>
    <x v="4"/>
    <x v="0"/>
    <x v="1"/>
    <x v="1"/>
    <s v="g/ml"/>
    <n v="0.88"/>
    <n v="0.97"/>
    <x v="267"/>
    <x v="3"/>
  </r>
  <r>
    <s v="S000766"/>
    <s v="FLA-2025-00173"/>
    <x v="4"/>
    <x v="8"/>
    <x v="0"/>
    <x v="459"/>
    <s v="ppm"/>
    <n v="0"/>
    <n v="120"/>
    <x v="297"/>
    <x v="4"/>
  </r>
  <r>
    <s v="S000140"/>
    <s v="FRA-2024-00033"/>
    <x v="3"/>
    <x v="5"/>
    <x v="4"/>
    <x v="460"/>
    <s v="%"/>
    <n v="0"/>
    <n v="1"/>
    <x v="298"/>
    <x v="6"/>
  </r>
  <r>
    <s v="S000803"/>
    <s v="FOO-2025-00182"/>
    <x v="1"/>
    <x v="3"/>
    <x v="6"/>
    <x v="461"/>
    <s v="CFU/g"/>
    <n v="0"/>
    <n v="100"/>
    <x v="299"/>
    <x v="1"/>
  </r>
  <r>
    <s v="S000937"/>
    <s v="ARO-2025-00212"/>
    <x v="0"/>
    <x v="8"/>
    <x v="0"/>
    <x v="462"/>
    <s v="ppm"/>
    <n v="0"/>
    <n v="120"/>
    <x v="240"/>
    <x v="0"/>
  </r>
  <r>
    <s v="S001893"/>
    <s v="FOO-2025-00423"/>
    <x v="1"/>
    <x v="8"/>
    <x v="0"/>
    <x v="463"/>
    <s v="ppm"/>
    <n v="0"/>
    <n v="120"/>
    <x v="182"/>
    <x v="4"/>
  </r>
  <r>
    <s v="S001439"/>
    <s v="ESS-2024-00321"/>
    <x v="2"/>
    <x v="5"/>
    <x v="3"/>
    <x v="410"/>
    <s v="%"/>
    <n v="97"/>
    <n v="100"/>
    <x v="282"/>
    <x v="8"/>
  </r>
  <r>
    <s v="S001490"/>
    <s v="FOO-2024-00331"/>
    <x v="1"/>
    <x v="5"/>
    <x v="0"/>
    <x v="464"/>
    <s v="ppm"/>
    <n v="0"/>
    <n v="120"/>
    <x v="158"/>
    <x v="5"/>
  </r>
  <r>
    <s v="S001330"/>
    <s v="ARO-2024-00296"/>
    <x v="0"/>
    <x v="1"/>
    <x v="6"/>
    <x v="465"/>
    <s v="CFU/g"/>
    <n v="0"/>
    <n v="100"/>
    <x v="19"/>
    <x v="5"/>
  </r>
  <r>
    <s v="S001667"/>
    <s v="ARO-2024-00373"/>
    <x v="0"/>
    <x v="7"/>
    <x v="1"/>
    <x v="96"/>
    <s v="g/ml"/>
    <n v="0.88"/>
    <n v="0.97"/>
    <x v="234"/>
    <x v="4"/>
  </r>
  <r>
    <s v="S001654"/>
    <s v="ESS-2024-00370"/>
    <x v="2"/>
    <x v="5"/>
    <x v="0"/>
    <x v="466"/>
    <s v="ppm"/>
    <n v="0"/>
    <n v="120"/>
    <x v="300"/>
    <x v="3"/>
  </r>
  <r>
    <s v="S000129"/>
    <s v="FOO-2025-00030"/>
    <x v="1"/>
    <x v="0"/>
    <x v="4"/>
    <x v="467"/>
    <s v="%"/>
    <n v="0"/>
    <n v="1"/>
    <x v="49"/>
    <x v="2"/>
  </r>
  <r>
    <s v="S000692"/>
    <s v="FOO-2025-00158"/>
    <x v="1"/>
    <x v="6"/>
    <x v="3"/>
    <x v="468"/>
    <s v="%"/>
    <n v="97"/>
    <n v="100"/>
    <x v="50"/>
    <x v="7"/>
  </r>
  <r>
    <s v="S000886"/>
    <s v="FLA-2025-00201"/>
    <x v="4"/>
    <x v="0"/>
    <x v="6"/>
    <x v="469"/>
    <s v="CFU/g"/>
    <n v="0"/>
    <n v="100"/>
    <x v="178"/>
    <x v="4"/>
  </r>
  <r>
    <s v="S001232"/>
    <s v="FRA-2024-00275"/>
    <x v="3"/>
    <x v="1"/>
    <x v="1"/>
    <x v="430"/>
    <s v="g/ml"/>
    <n v="0.88"/>
    <n v="0.97"/>
    <x v="78"/>
    <x v="6"/>
  </r>
  <r>
    <s v="S001771"/>
    <s v="FOO-2025-00396"/>
    <x v="1"/>
    <x v="10"/>
    <x v="6"/>
    <x v="470"/>
    <s v="CFU/g"/>
    <n v="0"/>
    <n v="100"/>
    <x v="301"/>
    <x v="3"/>
  </r>
  <r>
    <s v="S000523"/>
    <s v="FRA-2024-00117"/>
    <x v="3"/>
    <x v="3"/>
    <x v="0"/>
    <x v="471"/>
    <s v="ppm"/>
    <n v="0"/>
    <n v="120"/>
    <x v="302"/>
    <x v="1"/>
  </r>
  <r>
    <s v="S000265"/>
    <s v="FLA-2024-00061"/>
    <x v="4"/>
    <x v="6"/>
    <x v="4"/>
    <x v="460"/>
    <s v="%"/>
    <n v="0"/>
    <n v="1"/>
    <x v="276"/>
    <x v="0"/>
  </r>
  <r>
    <s v="S001160"/>
    <s v="FOO-2024-00260"/>
    <x v="1"/>
    <x v="7"/>
    <x v="0"/>
    <x v="472"/>
    <s v="ppm"/>
    <n v="0"/>
    <n v="120"/>
    <x v="303"/>
    <x v="3"/>
  </r>
  <r>
    <s v="S001437"/>
    <s v="ESS-2024-00321"/>
    <x v="2"/>
    <x v="8"/>
    <x v="1"/>
    <x v="17"/>
    <s v="g/ml"/>
    <n v="0.88"/>
    <n v="0.97"/>
    <x v="282"/>
    <x v="4"/>
  </r>
  <r>
    <s v="S001592"/>
    <s v="FOO-2025-00355"/>
    <x v="1"/>
    <x v="4"/>
    <x v="3"/>
    <x v="473"/>
    <s v="%"/>
    <n v="97"/>
    <n v="100"/>
    <x v="304"/>
    <x v="7"/>
  </r>
  <r>
    <s v="S000632"/>
    <s v="FRA-2025-00143"/>
    <x v="3"/>
    <x v="3"/>
    <x v="0"/>
    <x v="474"/>
    <s v="ppm"/>
    <n v="0"/>
    <n v="120"/>
    <x v="107"/>
    <x v="0"/>
  </r>
  <r>
    <s v="S000499"/>
    <s v="FLA-2025-00112"/>
    <x v="4"/>
    <x v="10"/>
    <x v="1"/>
    <x v="80"/>
    <s v="g/ml"/>
    <n v="0.88"/>
    <n v="0.97"/>
    <x v="43"/>
    <x v="3"/>
  </r>
  <r>
    <s v="S001981"/>
    <s v="ESS-2025-00443"/>
    <x v="2"/>
    <x v="3"/>
    <x v="5"/>
    <x v="432"/>
    <m/>
    <n v="6"/>
    <n v="7.5"/>
    <x v="55"/>
    <x v="1"/>
  </r>
  <r>
    <s v="S001364"/>
    <s v="ESS-2025-00305"/>
    <x v="2"/>
    <x v="3"/>
    <x v="3"/>
    <x v="217"/>
    <s v="%"/>
    <n v="97"/>
    <n v="100"/>
    <x v="305"/>
    <x v="2"/>
  </r>
  <r>
    <s v="S001661"/>
    <s v="FRA-2024-00371"/>
    <x v="3"/>
    <x v="1"/>
    <x v="2"/>
    <x v="475"/>
    <s v="um"/>
    <n v="150"/>
    <n v="400"/>
    <x v="38"/>
    <x v="3"/>
  </r>
  <r>
    <s v="S001153"/>
    <s v="FOO-2025-00258"/>
    <x v="1"/>
    <x v="2"/>
    <x v="3"/>
    <x v="258"/>
    <s v="%"/>
    <n v="97"/>
    <n v="100"/>
    <x v="64"/>
    <x v="7"/>
  </r>
  <r>
    <s v="S000433"/>
    <s v="FRA-2025-00098"/>
    <x v="3"/>
    <x v="5"/>
    <x v="5"/>
    <x v="476"/>
    <m/>
    <n v="6"/>
    <n v="7.5"/>
    <x v="200"/>
    <x v="5"/>
  </r>
  <r>
    <s v="S001159"/>
    <s v="ESS-2025-00259"/>
    <x v="2"/>
    <x v="1"/>
    <x v="0"/>
    <x v="477"/>
    <s v="ppm"/>
    <n v="0"/>
    <n v="120"/>
    <x v="119"/>
    <x v="5"/>
  </r>
  <r>
    <s v="S001241"/>
    <s v="ESS-2025-00278"/>
    <x v="2"/>
    <x v="0"/>
    <x v="2"/>
    <x v="478"/>
    <s v="um"/>
    <n v="150"/>
    <n v="400"/>
    <x v="216"/>
    <x v="3"/>
  </r>
  <r>
    <s v="S000069"/>
    <s v="ARO-2024-00016"/>
    <x v="0"/>
    <x v="6"/>
    <x v="3"/>
    <x v="479"/>
    <s v="%"/>
    <n v="97"/>
    <n v="100"/>
    <x v="306"/>
    <x v="8"/>
  </r>
  <r>
    <s v="S000936"/>
    <s v="ARO-2025-00212"/>
    <x v="0"/>
    <x v="8"/>
    <x v="2"/>
    <x v="480"/>
    <s v="um"/>
    <n v="150"/>
    <n v="400"/>
    <x v="240"/>
    <x v="5"/>
  </r>
  <r>
    <s v="S001040"/>
    <s v="FOO-2024-00233"/>
    <x v="1"/>
    <x v="8"/>
    <x v="0"/>
    <x v="481"/>
    <s v="ppm"/>
    <n v="0"/>
    <n v="120"/>
    <x v="37"/>
    <x v="7"/>
  </r>
  <r>
    <s v="S001200"/>
    <s v="ARO-2024-00268"/>
    <x v="0"/>
    <x v="3"/>
    <x v="0"/>
    <x v="482"/>
    <s v="ppm"/>
    <n v="0"/>
    <n v="120"/>
    <x v="215"/>
    <x v="8"/>
  </r>
  <r>
    <s v="S001854"/>
    <s v="FLA-2024-00415"/>
    <x v="4"/>
    <x v="9"/>
    <x v="0"/>
    <x v="483"/>
    <s v="ppm"/>
    <n v="0"/>
    <n v="120"/>
    <x v="307"/>
    <x v="0"/>
  </r>
  <r>
    <s v="S000574"/>
    <s v="FRA-2024-00129"/>
    <x v="3"/>
    <x v="3"/>
    <x v="1"/>
    <x v="75"/>
    <s v="g/ml"/>
    <n v="0.88"/>
    <n v="0.97"/>
    <x v="141"/>
    <x v="5"/>
  </r>
  <r>
    <s v="S000335"/>
    <s v="ARO-2025-00076"/>
    <x v="0"/>
    <x v="5"/>
    <x v="1"/>
    <x v="80"/>
    <s v="g/ml"/>
    <n v="0.88"/>
    <n v="0.97"/>
    <x v="134"/>
    <x v="7"/>
  </r>
  <r>
    <s v="S000339"/>
    <s v="FRA-2024-00077"/>
    <x v="3"/>
    <x v="1"/>
    <x v="0"/>
    <x v="484"/>
    <s v="ppm"/>
    <n v="0"/>
    <n v="120"/>
    <x v="58"/>
    <x v="5"/>
  </r>
  <r>
    <s v="S001344"/>
    <s v="ARO-2024-00300"/>
    <x v="0"/>
    <x v="1"/>
    <x v="0"/>
    <x v="485"/>
    <s v="ppm"/>
    <n v="0"/>
    <n v="120"/>
    <x v="308"/>
    <x v="3"/>
  </r>
  <r>
    <s v="S000665"/>
    <s v="ARO-2025-00151"/>
    <x v="0"/>
    <x v="2"/>
    <x v="0"/>
    <x v="486"/>
    <s v="ppm"/>
    <n v="0"/>
    <n v="120"/>
    <x v="164"/>
    <x v="0"/>
  </r>
  <r>
    <s v="S000384"/>
    <s v="ESS-2025-00087"/>
    <x v="2"/>
    <x v="6"/>
    <x v="3"/>
    <x v="487"/>
    <s v="%"/>
    <n v="97"/>
    <n v="100"/>
    <x v="49"/>
    <x v="6"/>
  </r>
  <r>
    <s v="S001815"/>
    <s v="FLA-2025-00406"/>
    <x v="4"/>
    <x v="3"/>
    <x v="0"/>
    <x v="488"/>
    <s v="ppm"/>
    <n v="0"/>
    <n v="120"/>
    <x v="45"/>
    <x v="3"/>
  </r>
  <r>
    <s v="S000056"/>
    <s v="ARO-2025-00014"/>
    <x v="0"/>
    <x v="5"/>
    <x v="0"/>
    <x v="489"/>
    <s v="ppm"/>
    <n v="0"/>
    <n v="120"/>
    <x v="97"/>
    <x v="5"/>
  </r>
  <r>
    <s v="S001644"/>
    <s v="ARO-2024-00368"/>
    <x v="0"/>
    <x v="1"/>
    <x v="1"/>
    <x v="224"/>
    <s v="g/ml"/>
    <n v="0.88"/>
    <n v="0.97"/>
    <x v="158"/>
    <x v="4"/>
  </r>
  <r>
    <s v="S000972"/>
    <s v="FRA-2025-00219"/>
    <x v="3"/>
    <x v="4"/>
    <x v="3"/>
    <x v="15"/>
    <s v="%"/>
    <n v="97"/>
    <n v="100"/>
    <x v="132"/>
    <x v="3"/>
  </r>
  <r>
    <s v="S000700"/>
    <s v="FRA-2025-00159"/>
    <x v="3"/>
    <x v="5"/>
    <x v="3"/>
    <x v="490"/>
    <s v="%"/>
    <n v="97"/>
    <n v="100"/>
    <x v="210"/>
    <x v="0"/>
  </r>
  <r>
    <s v="S001536"/>
    <s v="FOO-2024-00342"/>
    <x v="1"/>
    <x v="7"/>
    <x v="2"/>
    <x v="491"/>
    <s v="um"/>
    <n v="150"/>
    <n v="400"/>
    <x v="309"/>
    <x v="8"/>
  </r>
  <r>
    <s v="S000722"/>
    <s v="FLA-2025-00164"/>
    <x v="4"/>
    <x v="2"/>
    <x v="5"/>
    <x v="278"/>
    <m/>
    <n v="6"/>
    <n v="7.5"/>
    <x v="166"/>
    <x v="3"/>
  </r>
  <r>
    <s v="S001683"/>
    <s v="FRA-2024-00376"/>
    <x v="3"/>
    <x v="0"/>
    <x v="6"/>
    <x v="21"/>
    <s v="CFU/g"/>
    <n v="0"/>
    <n v="100"/>
    <x v="21"/>
    <x v="7"/>
  </r>
  <r>
    <s v="S000171"/>
    <s v="FRA-2024-00040"/>
    <x v="3"/>
    <x v="7"/>
    <x v="3"/>
    <x v="363"/>
    <s v="%"/>
    <n v="97"/>
    <n v="100"/>
    <x v="310"/>
    <x v="7"/>
  </r>
  <r>
    <s v="S001151"/>
    <s v="FOO-2025-00258"/>
    <x v="1"/>
    <x v="2"/>
    <x v="2"/>
    <x v="492"/>
    <s v="um"/>
    <n v="150"/>
    <n v="400"/>
    <x v="311"/>
    <x v="2"/>
  </r>
  <r>
    <s v="S000957"/>
    <s v="FLA-2024-00216"/>
    <x v="4"/>
    <x v="6"/>
    <x v="6"/>
    <x v="493"/>
    <s v="CFU/g"/>
    <n v="0"/>
    <n v="100"/>
    <x v="215"/>
    <x v="6"/>
  </r>
  <r>
    <s v="S000327"/>
    <s v="ARO-2025-00074"/>
    <x v="0"/>
    <x v="5"/>
    <x v="3"/>
    <x v="494"/>
    <s v="%"/>
    <n v="97"/>
    <n v="100"/>
    <x v="119"/>
    <x v="8"/>
  </r>
  <r>
    <s v="S000504"/>
    <s v="FOO-2025-00113"/>
    <x v="1"/>
    <x v="3"/>
    <x v="5"/>
    <x v="449"/>
    <m/>
    <n v="6"/>
    <n v="7.5"/>
    <x v="186"/>
    <x v="8"/>
  </r>
  <r>
    <s v="S001837"/>
    <s v="ARO-2025-00411"/>
    <x v="0"/>
    <x v="6"/>
    <x v="6"/>
    <x v="495"/>
    <s v="CFU/g"/>
    <n v="0"/>
    <n v="100"/>
    <x v="312"/>
    <x v="1"/>
  </r>
  <r>
    <s v="S000410"/>
    <s v="FLA-2024-00093"/>
    <x v="4"/>
    <x v="7"/>
    <x v="4"/>
    <x v="496"/>
    <s v="%"/>
    <n v="0"/>
    <n v="1"/>
    <x v="15"/>
    <x v="4"/>
  </r>
  <r>
    <s v="S001414"/>
    <s v="ESS-2024-00315"/>
    <x v="2"/>
    <x v="3"/>
    <x v="0"/>
    <x v="497"/>
    <s v="ppm"/>
    <n v="0"/>
    <n v="120"/>
    <x v="313"/>
    <x v="4"/>
  </r>
  <r>
    <s v="S000298"/>
    <s v="FRA-2024-00067"/>
    <x v="3"/>
    <x v="4"/>
    <x v="5"/>
    <x v="498"/>
    <m/>
    <n v="6"/>
    <n v="7.5"/>
    <x v="137"/>
    <x v="7"/>
  </r>
  <r>
    <s v="S000893"/>
    <s v="ESS-2024-00202"/>
    <x v="2"/>
    <x v="2"/>
    <x v="4"/>
    <x v="106"/>
    <s v="%"/>
    <n v="0"/>
    <n v="1"/>
    <x v="155"/>
    <x v="8"/>
  </r>
  <r>
    <s v="S000830"/>
    <s v="ARO-2024-00188"/>
    <x v="0"/>
    <x v="3"/>
    <x v="0"/>
    <x v="499"/>
    <s v="ppm"/>
    <n v="0"/>
    <n v="120"/>
    <x v="194"/>
    <x v="4"/>
  </r>
  <r>
    <s v="S001941"/>
    <s v="ESS-2024-00434"/>
    <x v="2"/>
    <x v="3"/>
    <x v="6"/>
    <x v="500"/>
    <s v="CFU/g"/>
    <n v="0"/>
    <n v="100"/>
    <x v="92"/>
    <x v="2"/>
  </r>
  <r>
    <s v="S000841"/>
    <s v="FOO-2025-00191"/>
    <x v="1"/>
    <x v="5"/>
    <x v="3"/>
    <x v="15"/>
    <s v="%"/>
    <n v="97"/>
    <n v="100"/>
    <x v="34"/>
    <x v="2"/>
  </r>
  <r>
    <s v="S001088"/>
    <s v="FLA-2024-00244"/>
    <x v="4"/>
    <x v="5"/>
    <x v="0"/>
    <x v="501"/>
    <s v="ppm"/>
    <n v="0"/>
    <n v="120"/>
    <x v="92"/>
    <x v="6"/>
  </r>
  <r>
    <s v="S000735"/>
    <s v="FOO-2025-00166"/>
    <x v="1"/>
    <x v="2"/>
    <x v="4"/>
    <x v="149"/>
    <s v="%"/>
    <n v="0"/>
    <n v="1"/>
    <x v="126"/>
    <x v="3"/>
  </r>
  <r>
    <s v="S000672"/>
    <s v="FOO-2025-00153"/>
    <x v="1"/>
    <x v="5"/>
    <x v="4"/>
    <x v="124"/>
    <s v="%"/>
    <n v="0"/>
    <n v="1"/>
    <x v="50"/>
    <x v="5"/>
  </r>
  <r>
    <s v="S000649"/>
    <s v="FRA-2025-00148"/>
    <x v="3"/>
    <x v="3"/>
    <x v="2"/>
    <x v="502"/>
    <s v="um"/>
    <n v="150"/>
    <n v="400"/>
    <x v="235"/>
    <x v="8"/>
  </r>
  <r>
    <s v="S000443"/>
    <s v="FOO-2024-00100"/>
    <x v="1"/>
    <x v="1"/>
    <x v="1"/>
    <x v="224"/>
    <s v="g/ml"/>
    <n v="0.88"/>
    <n v="0.97"/>
    <x v="263"/>
    <x v="1"/>
  </r>
  <r>
    <s v="S001685"/>
    <s v="FRA-2024-00377"/>
    <x v="3"/>
    <x v="5"/>
    <x v="2"/>
    <x v="503"/>
    <s v="um"/>
    <n v="150"/>
    <n v="400"/>
    <x v="172"/>
    <x v="3"/>
  </r>
  <r>
    <s v="S001543"/>
    <s v="ESS-2025-00343"/>
    <x v="2"/>
    <x v="5"/>
    <x v="0"/>
    <x v="504"/>
    <s v="ppm"/>
    <n v="0"/>
    <n v="120"/>
    <x v="176"/>
    <x v="0"/>
  </r>
  <r>
    <s v="S001972"/>
    <s v="ESS-2025-00441"/>
    <x v="2"/>
    <x v="2"/>
    <x v="6"/>
    <x v="88"/>
    <s v="CFU/g"/>
    <n v="0"/>
    <n v="100"/>
    <x v="79"/>
    <x v="6"/>
  </r>
  <r>
    <s v="S000717"/>
    <s v="FRA-2025-00163"/>
    <x v="3"/>
    <x v="10"/>
    <x v="3"/>
    <x v="490"/>
    <s v="%"/>
    <n v="97"/>
    <n v="100"/>
    <x v="124"/>
    <x v="2"/>
  </r>
  <r>
    <s v="S000719"/>
    <s v="FRA-2025-00163"/>
    <x v="3"/>
    <x v="10"/>
    <x v="2"/>
    <x v="505"/>
    <s v="um"/>
    <n v="150"/>
    <n v="400"/>
    <x v="124"/>
    <x v="3"/>
  </r>
  <r>
    <s v="S000532"/>
    <s v="ARO-2024-00120"/>
    <x v="0"/>
    <x v="2"/>
    <x v="6"/>
    <x v="506"/>
    <s v="CFU/g"/>
    <n v="0"/>
    <n v="100"/>
    <x v="314"/>
    <x v="3"/>
  </r>
  <r>
    <s v="S000408"/>
    <s v="ARO-2024-00092"/>
    <x v="0"/>
    <x v="7"/>
    <x v="1"/>
    <x v="430"/>
    <s v="g/ml"/>
    <n v="0.88"/>
    <n v="0.97"/>
    <x v="287"/>
    <x v="8"/>
  </r>
  <r>
    <s v="S000200"/>
    <s v="ARO-2025-00046"/>
    <x v="0"/>
    <x v="1"/>
    <x v="0"/>
    <x v="507"/>
    <s v="ppm"/>
    <n v="0"/>
    <n v="120"/>
    <x v="121"/>
    <x v="7"/>
  </r>
  <r>
    <s v="S000474"/>
    <s v="FRA-2025-00107"/>
    <x v="3"/>
    <x v="6"/>
    <x v="6"/>
    <x v="508"/>
    <s v="CFU/g"/>
    <n v="0"/>
    <n v="100"/>
    <x v="49"/>
    <x v="7"/>
  </r>
  <r>
    <s v="S001268"/>
    <s v="FLA-2024-00284"/>
    <x v="4"/>
    <x v="1"/>
    <x v="1"/>
    <x v="224"/>
    <s v="g/ml"/>
    <n v="0.88"/>
    <n v="0.97"/>
    <x v="96"/>
    <x v="1"/>
  </r>
  <r>
    <s v="S001206"/>
    <s v="FRA-2024-00269"/>
    <x v="3"/>
    <x v="8"/>
    <x v="1"/>
    <x v="75"/>
    <s v="g/ml"/>
    <n v="0.88"/>
    <n v="0.97"/>
    <x v="315"/>
    <x v="0"/>
  </r>
  <r>
    <s v="S000829"/>
    <s v="ARO-2024-00188"/>
    <x v="0"/>
    <x v="0"/>
    <x v="6"/>
    <x v="509"/>
    <s v="CFU/g"/>
    <n v="0"/>
    <n v="100"/>
    <x v="194"/>
    <x v="0"/>
  </r>
  <r>
    <s v="S000217"/>
    <s v="FLA-2024-00049"/>
    <x v="4"/>
    <x v="1"/>
    <x v="3"/>
    <x v="510"/>
    <s v="%"/>
    <n v="97"/>
    <n v="100"/>
    <x v="243"/>
    <x v="0"/>
  </r>
  <r>
    <s v="S000254"/>
    <s v="FOO-2024-00057"/>
    <x v="1"/>
    <x v="6"/>
    <x v="2"/>
    <x v="511"/>
    <s v="um"/>
    <n v="150"/>
    <n v="400"/>
    <x v="290"/>
    <x v="5"/>
  </r>
  <r>
    <s v="S000153"/>
    <s v="FOO-2025-00036"/>
    <x v="1"/>
    <x v="2"/>
    <x v="2"/>
    <x v="512"/>
    <s v="um"/>
    <n v="150"/>
    <n v="400"/>
    <x v="316"/>
    <x v="1"/>
  </r>
  <r>
    <s v="S001277"/>
    <s v="ARO-2024-00285"/>
    <x v="0"/>
    <x v="1"/>
    <x v="2"/>
    <x v="513"/>
    <s v="um"/>
    <n v="150"/>
    <n v="400"/>
    <x v="13"/>
    <x v="4"/>
  </r>
  <r>
    <s v="S001091"/>
    <s v="FOO-2025-00245"/>
    <x v="1"/>
    <x v="2"/>
    <x v="5"/>
    <x v="476"/>
    <m/>
    <n v="6"/>
    <n v="7.5"/>
    <x v="317"/>
    <x v="4"/>
  </r>
  <r>
    <s v="S000931"/>
    <s v="ARO-2025-00211"/>
    <x v="0"/>
    <x v="0"/>
    <x v="3"/>
    <x v="37"/>
    <s v="%"/>
    <n v="97"/>
    <n v="100"/>
    <x v="156"/>
    <x v="8"/>
  </r>
  <r>
    <s v="S001257"/>
    <s v="FLA-2024-00281"/>
    <x v="4"/>
    <x v="10"/>
    <x v="3"/>
    <x v="514"/>
    <s v="%"/>
    <n v="97"/>
    <n v="100"/>
    <x v="153"/>
    <x v="0"/>
  </r>
  <r>
    <s v="S001445"/>
    <s v="FLA-2024-00323"/>
    <x v="4"/>
    <x v="3"/>
    <x v="3"/>
    <x v="515"/>
    <s v="%"/>
    <n v="97"/>
    <n v="100"/>
    <x v="70"/>
    <x v="4"/>
  </r>
  <r>
    <s v="S001339"/>
    <s v="ESS-2024-00299"/>
    <x v="2"/>
    <x v="1"/>
    <x v="0"/>
    <x v="516"/>
    <s v="ppm"/>
    <n v="0"/>
    <n v="120"/>
    <x v="263"/>
    <x v="2"/>
  </r>
  <r>
    <s v="S001768"/>
    <s v="ESS-2024-00395"/>
    <x v="2"/>
    <x v="7"/>
    <x v="5"/>
    <x v="517"/>
    <m/>
    <n v="6"/>
    <n v="7.5"/>
    <x v="116"/>
    <x v="1"/>
  </r>
  <r>
    <s v="S001615"/>
    <s v="FOO-2025-00360"/>
    <x v="1"/>
    <x v="3"/>
    <x v="4"/>
    <x v="307"/>
    <s v="%"/>
    <n v="0"/>
    <n v="1"/>
    <x v="47"/>
    <x v="3"/>
  </r>
  <r>
    <s v="S001886"/>
    <s v="FLA-2025-00422"/>
    <x v="4"/>
    <x v="3"/>
    <x v="3"/>
    <x v="518"/>
    <s v="%"/>
    <n v="97"/>
    <n v="100"/>
    <x v="318"/>
    <x v="3"/>
  </r>
  <r>
    <s v="S000531"/>
    <s v="ARO-2024-00120"/>
    <x v="0"/>
    <x v="2"/>
    <x v="2"/>
    <x v="519"/>
    <s v="um"/>
    <n v="150"/>
    <n v="400"/>
    <x v="314"/>
    <x v="0"/>
  </r>
  <r>
    <s v="S001404"/>
    <s v="ESS-2024-00313"/>
    <x v="2"/>
    <x v="7"/>
    <x v="1"/>
    <x v="224"/>
    <s v="g/ml"/>
    <n v="0.88"/>
    <n v="0.97"/>
    <x v="230"/>
    <x v="4"/>
  </r>
  <r>
    <s v="S001299"/>
    <s v="FRA-2025-00290"/>
    <x v="3"/>
    <x v="1"/>
    <x v="0"/>
    <x v="520"/>
    <s v="ppm"/>
    <n v="0"/>
    <n v="120"/>
    <x v="51"/>
    <x v="7"/>
  </r>
  <r>
    <s v="S000241"/>
    <s v="FRA-2024-00054"/>
    <x v="3"/>
    <x v="2"/>
    <x v="0"/>
    <x v="521"/>
    <s v="ppm"/>
    <n v="0"/>
    <n v="120"/>
    <x v="155"/>
    <x v="5"/>
  </r>
  <r>
    <s v="S001011"/>
    <s v="FRA-2024-00228"/>
    <x v="3"/>
    <x v="5"/>
    <x v="0"/>
    <x v="522"/>
    <s v="ppm"/>
    <n v="0"/>
    <n v="120"/>
    <x v="60"/>
    <x v="2"/>
  </r>
  <r>
    <s v="S001744"/>
    <s v="FOO-2024-00389"/>
    <x v="1"/>
    <x v="0"/>
    <x v="3"/>
    <x v="305"/>
    <s v="%"/>
    <n v="97"/>
    <n v="100"/>
    <x v="5"/>
    <x v="3"/>
  </r>
  <r>
    <s v="S000188"/>
    <s v="FRA-2025-00043"/>
    <x v="3"/>
    <x v="1"/>
    <x v="3"/>
    <x v="523"/>
    <s v="%"/>
    <n v="97"/>
    <n v="100"/>
    <x v="67"/>
    <x v="3"/>
  </r>
  <r>
    <s v="S000247"/>
    <s v="FRA-2025-00056"/>
    <x v="3"/>
    <x v="3"/>
    <x v="1"/>
    <x v="430"/>
    <s v="g/ml"/>
    <n v="0.88"/>
    <n v="0.97"/>
    <x v="129"/>
    <x v="6"/>
  </r>
  <r>
    <s v="S000906"/>
    <s v="ARO-2025-00204"/>
    <x v="0"/>
    <x v="4"/>
    <x v="5"/>
    <x v="524"/>
    <m/>
    <n v="6"/>
    <n v="7.5"/>
    <x v="59"/>
    <x v="7"/>
  </r>
  <r>
    <s v="S001821"/>
    <s v="FRA-2025-00407"/>
    <x v="3"/>
    <x v="1"/>
    <x v="2"/>
    <x v="525"/>
    <s v="um"/>
    <n v="150"/>
    <n v="400"/>
    <x v="126"/>
    <x v="5"/>
  </r>
  <r>
    <s v="S001045"/>
    <s v="FLA-2024-00234"/>
    <x v="4"/>
    <x v="3"/>
    <x v="1"/>
    <x v="80"/>
    <s v="g/ml"/>
    <n v="0.88"/>
    <n v="0.97"/>
    <x v="319"/>
    <x v="1"/>
  </r>
  <r>
    <s v="S000902"/>
    <s v="ARO-2025-00204"/>
    <x v="0"/>
    <x v="1"/>
    <x v="1"/>
    <x v="430"/>
    <s v="g/ml"/>
    <n v="0.88"/>
    <n v="0.97"/>
    <x v="59"/>
    <x v="1"/>
  </r>
  <r>
    <s v="S000693"/>
    <s v="FOO-2025-00158"/>
    <x v="1"/>
    <x v="6"/>
    <x v="6"/>
    <x v="526"/>
    <s v="CFU/g"/>
    <n v="0"/>
    <n v="100"/>
    <x v="50"/>
    <x v="5"/>
  </r>
  <r>
    <s v="S000303"/>
    <s v="FRA-2024-00069"/>
    <x v="3"/>
    <x v="1"/>
    <x v="6"/>
    <x v="527"/>
    <s v="CFU/g"/>
    <n v="0"/>
    <n v="100"/>
    <x v="180"/>
    <x v="4"/>
  </r>
  <r>
    <s v="S000284"/>
    <s v="FLA-2025-00065"/>
    <x v="4"/>
    <x v="2"/>
    <x v="6"/>
    <x v="528"/>
    <s v="CFU/g"/>
    <n v="0"/>
    <n v="100"/>
    <x v="51"/>
    <x v="6"/>
  </r>
  <r>
    <s v="S000899"/>
    <s v="FRA-2025-00203"/>
    <x v="3"/>
    <x v="6"/>
    <x v="5"/>
    <x v="104"/>
    <m/>
    <n v="6"/>
    <n v="7.5"/>
    <x v="233"/>
    <x v="4"/>
  </r>
  <r>
    <s v="S000506"/>
    <s v="FOO-2025-00113"/>
    <x v="1"/>
    <x v="0"/>
    <x v="0"/>
    <x v="529"/>
    <s v="ppm"/>
    <n v="0"/>
    <n v="120"/>
    <x v="186"/>
    <x v="6"/>
  </r>
  <r>
    <s v="S001932"/>
    <s v="FRA-2025-00432"/>
    <x v="3"/>
    <x v="2"/>
    <x v="6"/>
    <x v="530"/>
    <s v="CFU/g"/>
    <n v="0"/>
    <n v="100"/>
    <x v="225"/>
    <x v="7"/>
  </r>
  <r>
    <s v="S000322"/>
    <s v="ARO-2025-00073"/>
    <x v="0"/>
    <x v="7"/>
    <x v="3"/>
    <x v="531"/>
    <s v="%"/>
    <n v="97"/>
    <n v="100"/>
    <x v="152"/>
    <x v="0"/>
  </r>
  <r>
    <s v="S001479"/>
    <s v="ESS-2025-00329"/>
    <x v="2"/>
    <x v="1"/>
    <x v="5"/>
    <x v="73"/>
    <m/>
    <n v="6"/>
    <n v="7.5"/>
    <x v="245"/>
    <x v="3"/>
  </r>
  <r>
    <s v="S001262"/>
    <s v="FLA-2025-00283"/>
    <x v="4"/>
    <x v="7"/>
    <x v="3"/>
    <x v="87"/>
    <s v="%"/>
    <n v="97"/>
    <n v="100"/>
    <x v="320"/>
    <x v="0"/>
  </r>
  <r>
    <s v="S001168"/>
    <s v="ESS-2024-00262"/>
    <x v="2"/>
    <x v="7"/>
    <x v="3"/>
    <x v="532"/>
    <s v="%"/>
    <n v="97"/>
    <n v="100"/>
    <x v="321"/>
    <x v="6"/>
  </r>
  <r>
    <s v="S000622"/>
    <s v="ESS-2025-00141"/>
    <x v="2"/>
    <x v="5"/>
    <x v="5"/>
    <x v="533"/>
    <m/>
    <n v="6"/>
    <n v="7.5"/>
    <x v="76"/>
    <x v="4"/>
  </r>
  <r>
    <s v="S001914"/>
    <s v="FLA-2024-00429"/>
    <x v="4"/>
    <x v="1"/>
    <x v="6"/>
    <x v="169"/>
    <s v="CFU/g"/>
    <n v="0"/>
    <n v="100"/>
    <x v="32"/>
    <x v="0"/>
  </r>
  <r>
    <s v="S001917"/>
    <s v="FLA-2024-00429"/>
    <x v="4"/>
    <x v="1"/>
    <x v="2"/>
    <x v="534"/>
    <s v="um"/>
    <n v="150"/>
    <n v="400"/>
    <x v="32"/>
    <x v="2"/>
  </r>
  <r>
    <s v="S000123"/>
    <s v="ESS-2025-00028"/>
    <x v="2"/>
    <x v="3"/>
    <x v="4"/>
    <x v="111"/>
    <s v="%"/>
    <n v="0"/>
    <n v="1"/>
    <x v="264"/>
    <x v="4"/>
  </r>
  <r>
    <s v="S001989"/>
    <s v="FRA-2025-00444"/>
    <x v="3"/>
    <x v="6"/>
    <x v="6"/>
    <x v="107"/>
    <s v="CFU/g"/>
    <n v="0"/>
    <n v="100"/>
    <x v="322"/>
    <x v="6"/>
  </r>
  <r>
    <s v="S000511"/>
    <s v="FLA-2025-00115"/>
    <x v="4"/>
    <x v="8"/>
    <x v="2"/>
    <x v="535"/>
    <s v="um"/>
    <n v="150"/>
    <n v="400"/>
    <x v="323"/>
    <x v="7"/>
  </r>
  <r>
    <s v="S000281"/>
    <s v="ARO-2024-00064"/>
    <x v="0"/>
    <x v="8"/>
    <x v="4"/>
    <x v="44"/>
    <s v="%"/>
    <n v="0"/>
    <n v="1"/>
    <x v="194"/>
    <x v="6"/>
  </r>
  <r>
    <s v="S001751"/>
    <s v="ESS-2025-00391"/>
    <x v="2"/>
    <x v="4"/>
    <x v="0"/>
    <x v="536"/>
    <s v="ppm"/>
    <n v="0"/>
    <n v="120"/>
    <x v="324"/>
    <x v="7"/>
  </r>
  <r>
    <s v="S001732"/>
    <s v="ESS-2025-00387"/>
    <x v="2"/>
    <x v="6"/>
    <x v="3"/>
    <x v="537"/>
    <s v="%"/>
    <n v="97"/>
    <n v="100"/>
    <x v="325"/>
    <x v="4"/>
  </r>
  <r>
    <s v="S001389"/>
    <s v="FLA-2025-00310"/>
    <x v="4"/>
    <x v="2"/>
    <x v="5"/>
    <x v="189"/>
    <m/>
    <n v="6"/>
    <n v="7.5"/>
    <x v="8"/>
    <x v="7"/>
  </r>
  <r>
    <s v="S000994"/>
    <s v="ARO-2025-00225"/>
    <x v="0"/>
    <x v="5"/>
    <x v="5"/>
    <x v="538"/>
    <m/>
    <n v="6"/>
    <n v="7.5"/>
    <x v="164"/>
    <x v="3"/>
  </r>
  <r>
    <s v="S001034"/>
    <s v="ARO-2025-00232"/>
    <x v="0"/>
    <x v="7"/>
    <x v="1"/>
    <x v="80"/>
    <s v="g/ml"/>
    <n v="0.88"/>
    <n v="0.97"/>
    <x v="326"/>
    <x v="2"/>
  </r>
  <r>
    <s v="S001187"/>
    <s v="ARO-2024-00266"/>
    <x v="0"/>
    <x v="8"/>
    <x v="6"/>
    <x v="539"/>
    <s v="CFU/g"/>
    <n v="0"/>
    <n v="100"/>
    <x v="295"/>
    <x v="1"/>
  </r>
  <r>
    <s v="S000678"/>
    <s v="FRA-2024-00154"/>
    <x v="3"/>
    <x v="1"/>
    <x v="0"/>
    <x v="540"/>
    <s v="ppm"/>
    <n v="0"/>
    <n v="120"/>
    <x v="252"/>
    <x v="2"/>
  </r>
  <r>
    <s v="S000519"/>
    <s v="FRA-2024-00117"/>
    <x v="3"/>
    <x v="0"/>
    <x v="3"/>
    <x v="356"/>
    <s v="%"/>
    <n v="97"/>
    <n v="100"/>
    <x v="302"/>
    <x v="0"/>
  </r>
  <r>
    <s v="S001351"/>
    <s v="ARO-2024-00302"/>
    <x v="0"/>
    <x v="7"/>
    <x v="2"/>
    <x v="541"/>
    <s v="um"/>
    <n v="150"/>
    <n v="400"/>
    <x v="261"/>
    <x v="8"/>
  </r>
  <r>
    <s v="S001512"/>
    <s v="ARO-2024-00337"/>
    <x v="0"/>
    <x v="6"/>
    <x v="0"/>
    <x v="542"/>
    <s v="ppm"/>
    <n v="0"/>
    <n v="120"/>
    <x v="140"/>
    <x v="4"/>
  </r>
  <r>
    <s v="S000068"/>
    <s v="ARO-2024-00016"/>
    <x v="0"/>
    <x v="2"/>
    <x v="0"/>
    <x v="543"/>
    <s v="ppm"/>
    <n v="0"/>
    <n v="120"/>
    <x v="306"/>
    <x v="3"/>
  </r>
  <r>
    <s v="S000333"/>
    <s v="FRA-2024-00075"/>
    <x v="3"/>
    <x v="2"/>
    <x v="2"/>
    <x v="544"/>
    <s v="um"/>
    <n v="150"/>
    <n v="400"/>
    <x v="85"/>
    <x v="5"/>
  </r>
  <r>
    <s v="S000569"/>
    <s v="FLA-2024-00128"/>
    <x v="4"/>
    <x v="2"/>
    <x v="5"/>
    <x v="545"/>
    <m/>
    <n v="6"/>
    <n v="7.5"/>
    <x v="327"/>
    <x v="1"/>
  </r>
  <r>
    <s v="S001174"/>
    <s v="ARO-2024-00263"/>
    <x v="0"/>
    <x v="7"/>
    <x v="6"/>
    <x v="546"/>
    <s v="CFU/g"/>
    <n v="0"/>
    <n v="100"/>
    <x v="68"/>
    <x v="1"/>
  </r>
  <r>
    <s v="S001199"/>
    <s v="ARO-2024-00268"/>
    <x v="0"/>
    <x v="3"/>
    <x v="3"/>
    <x v="547"/>
    <s v="%"/>
    <n v="97"/>
    <n v="100"/>
    <x v="215"/>
    <x v="1"/>
  </r>
  <r>
    <s v="S001434"/>
    <s v="ARO-2025-00320"/>
    <x v="0"/>
    <x v="1"/>
    <x v="1"/>
    <x v="96"/>
    <s v="g/ml"/>
    <n v="0.88"/>
    <n v="0.97"/>
    <x v="79"/>
    <x v="3"/>
  </r>
  <r>
    <s v="S001075"/>
    <s v="FOO-2024-00241"/>
    <x v="1"/>
    <x v="5"/>
    <x v="0"/>
    <x v="24"/>
    <s v="ppm"/>
    <n v="0"/>
    <n v="120"/>
    <x v="77"/>
    <x v="3"/>
  </r>
  <r>
    <s v="S000473"/>
    <s v="FRA-2025-00106"/>
    <x v="3"/>
    <x v="2"/>
    <x v="6"/>
    <x v="548"/>
    <s v="CFU/g"/>
    <n v="0"/>
    <n v="100"/>
    <x v="12"/>
    <x v="0"/>
  </r>
  <r>
    <s v="S001511"/>
    <s v="FLA-2025-00336"/>
    <x v="4"/>
    <x v="7"/>
    <x v="3"/>
    <x v="289"/>
    <s v="%"/>
    <n v="97"/>
    <n v="100"/>
    <x v="63"/>
    <x v="0"/>
  </r>
  <r>
    <s v="S000512"/>
    <s v="FLA-2025-00115"/>
    <x v="4"/>
    <x v="5"/>
    <x v="3"/>
    <x v="407"/>
    <s v="%"/>
    <n v="97"/>
    <n v="100"/>
    <x v="328"/>
    <x v="0"/>
  </r>
  <r>
    <s v="S000478"/>
    <s v="FRA-2025-00107"/>
    <x v="3"/>
    <x v="2"/>
    <x v="5"/>
    <x v="549"/>
    <m/>
    <n v="6"/>
    <n v="7.5"/>
    <x v="49"/>
    <x v="3"/>
  </r>
  <r>
    <s v="S001428"/>
    <s v="ARO-2024-00318"/>
    <x v="0"/>
    <x v="5"/>
    <x v="6"/>
    <x v="550"/>
    <s v="CFU/g"/>
    <n v="0"/>
    <n v="100"/>
    <x v="62"/>
    <x v="5"/>
  </r>
  <r>
    <s v="S001402"/>
    <s v="ESS-2024-00313"/>
    <x v="2"/>
    <x v="7"/>
    <x v="0"/>
    <x v="551"/>
    <s v="ppm"/>
    <n v="0"/>
    <n v="120"/>
    <x v="230"/>
    <x v="0"/>
  </r>
  <r>
    <s v="S000319"/>
    <s v="ARO-2025-00073"/>
    <x v="0"/>
    <x v="10"/>
    <x v="5"/>
    <x v="361"/>
    <m/>
    <n v="6"/>
    <n v="7.5"/>
    <x v="152"/>
    <x v="3"/>
  </r>
  <r>
    <s v="S000956"/>
    <s v="FLA-2024-00216"/>
    <x v="4"/>
    <x v="2"/>
    <x v="4"/>
    <x v="119"/>
    <s v="%"/>
    <n v="0"/>
    <n v="1"/>
    <x v="215"/>
    <x v="2"/>
  </r>
  <r>
    <s v="S001720"/>
    <s v="FRA-2024-00385"/>
    <x v="3"/>
    <x v="6"/>
    <x v="2"/>
    <x v="552"/>
    <s v="um"/>
    <n v="150"/>
    <n v="400"/>
    <x v="329"/>
    <x v="4"/>
  </r>
  <r>
    <s v="S001202"/>
    <s v="FRA-2024-00269"/>
    <x v="3"/>
    <x v="5"/>
    <x v="6"/>
    <x v="553"/>
    <s v="CFU/g"/>
    <n v="0"/>
    <n v="100"/>
    <x v="315"/>
    <x v="3"/>
  </r>
  <r>
    <s v="S000582"/>
    <s v="FOO-2024-00131"/>
    <x v="1"/>
    <x v="5"/>
    <x v="6"/>
    <x v="554"/>
    <s v="CFU/g"/>
    <n v="0"/>
    <n v="100"/>
    <x v="193"/>
    <x v="4"/>
  </r>
  <r>
    <s v="S000133"/>
    <s v="FLA-2024-00031"/>
    <x v="4"/>
    <x v="3"/>
    <x v="5"/>
    <x v="325"/>
    <m/>
    <n v="6"/>
    <n v="7.5"/>
    <x v="330"/>
    <x v="6"/>
  </r>
  <r>
    <s v="S001726"/>
    <s v="FRA-2025-00386"/>
    <x v="3"/>
    <x v="3"/>
    <x v="2"/>
    <x v="555"/>
    <s v="um"/>
    <n v="150"/>
    <n v="400"/>
    <x v="181"/>
    <x v="3"/>
  </r>
  <r>
    <s v="S001006"/>
    <s v="ARO-2025-00227"/>
    <x v="0"/>
    <x v="6"/>
    <x v="2"/>
    <x v="556"/>
    <s v="um"/>
    <n v="150"/>
    <n v="400"/>
    <x v="331"/>
    <x v="7"/>
  </r>
  <r>
    <s v="S001940"/>
    <s v="ESS-2024-00434"/>
    <x v="2"/>
    <x v="3"/>
    <x v="2"/>
    <x v="557"/>
    <s v="um"/>
    <n v="150"/>
    <n v="400"/>
    <x v="92"/>
    <x v="2"/>
  </r>
  <r>
    <s v="S001791"/>
    <s v="ARO-2024-00401"/>
    <x v="0"/>
    <x v="7"/>
    <x v="5"/>
    <x v="24"/>
    <m/>
    <n v="6"/>
    <n v="7.5"/>
    <x v="174"/>
    <x v="3"/>
  </r>
  <r>
    <s v="S001953"/>
    <s v="ESS-2024-00437"/>
    <x v="2"/>
    <x v="1"/>
    <x v="5"/>
    <x v="558"/>
    <m/>
    <n v="6"/>
    <n v="7.5"/>
    <x v="98"/>
    <x v="0"/>
  </r>
  <r>
    <s v="S000369"/>
    <s v="ARO-2025-00083"/>
    <x v="0"/>
    <x v="0"/>
    <x v="4"/>
    <x v="559"/>
    <s v="%"/>
    <n v="0"/>
    <n v="1"/>
    <x v="133"/>
    <x v="4"/>
  </r>
  <r>
    <s v="S000733"/>
    <s v="FOO-2025-00166"/>
    <x v="1"/>
    <x v="2"/>
    <x v="6"/>
    <x v="560"/>
    <s v="CFU/g"/>
    <n v="0"/>
    <n v="100"/>
    <x v="332"/>
    <x v="7"/>
  </r>
  <r>
    <s v="S001211"/>
    <s v="FLA-2024-00270"/>
    <x v="4"/>
    <x v="0"/>
    <x v="6"/>
    <x v="248"/>
    <s v="CFU/g"/>
    <n v="0"/>
    <n v="100"/>
    <x v="209"/>
    <x v="3"/>
  </r>
  <r>
    <s v="S000126"/>
    <s v="FLA-2024-00029"/>
    <x v="4"/>
    <x v="2"/>
    <x v="1"/>
    <x v="224"/>
    <s v="g/ml"/>
    <n v="0.88"/>
    <n v="0.97"/>
    <x v="333"/>
    <x v="5"/>
  </r>
  <r>
    <s v="S000858"/>
    <s v="FOO-2024-00195"/>
    <x v="1"/>
    <x v="2"/>
    <x v="0"/>
    <x v="133"/>
    <s v="ppm"/>
    <n v="0"/>
    <n v="120"/>
    <x v="98"/>
    <x v="7"/>
  </r>
  <r>
    <s v="S001042"/>
    <s v="FLA-2024-00234"/>
    <x v="4"/>
    <x v="3"/>
    <x v="6"/>
    <x v="561"/>
    <s v="CFU/g"/>
    <n v="0"/>
    <n v="100"/>
    <x v="208"/>
    <x v="0"/>
  </r>
  <r>
    <s v="S000257"/>
    <s v="FLA-2025-00058"/>
    <x v="4"/>
    <x v="1"/>
    <x v="6"/>
    <x v="562"/>
    <s v="CFU/g"/>
    <n v="0"/>
    <n v="100"/>
    <x v="334"/>
    <x v="7"/>
  </r>
  <r>
    <s v="S001970"/>
    <s v="FRA-2025-00440"/>
    <x v="3"/>
    <x v="8"/>
    <x v="3"/>
    <x v="161"/>
    <s v="%"/>
    <n v="97"/>
    <n v="100"/>
    <x v="160"/>
    <x v="7"/>
  </r>
  <r>
    <s v="S001549"/>
    <s v="ESS-2024-00345"/>
    <x v="2"/>
    <x v="2"/>
    <x v="5"/>
    <x v="533"/>
    <m/>
    <n v="6"/>
    <n v="7.5"/>
    <x v="62"/>
    <x v="2"/>
  </r>
  <r>
    <s v="S000290"/>
    <s v="ARO-2025-00066"/>
    <x v="0"/>
    <x v="5"/>
    <x v="2"/>
    <x v="563"/>
    <s v="um"/>
    <n v="150"/>
    <n v="400"/>
    <x v="335"/>
    <x v="7"/>
  </r>
  <r>
    <s v="S001284"/>
    <s v="FLA-2025-00287"/>
    <x v="4"/>
    <x v="9"/>
    <x v="4"/>
    <x v="564"/>
    <s v="%"/>
    <n v="0"/>
    <n v="1"/>
    <x v="336"/>
    <x v="1"/>
  </r>
  <r>
    <s v="S000778"/>
    <s v="ARO-2024-00176"/>
    <x v="0"/>
    <x v="2"/>
    <x v="3"/>
    <x v="565"/>
    <s v="%"/>
    <n v="97"/>
    <n v="100"/>
    <x v="337"/>
    <x v="2"/>
  </r>
  <r>
    <s v="S000082"/>
    <s v="FLA-2025-00019"/>
    <x v="4"/>
    <x v="1"/>
    <x v="3"/>
    <x v="510"/>
    <s v="%"/>
    <n v="97"/>
    <n v="100"/>
    <x v="338"/>
    <x v="0"/>
  </r>
  <r>
    <s v="S000054"/>
    <s v="ESS-2024-00013"/>
    <x v="2"/>
    <x v="8"/>
    <x v="4"/>
    <x v="106"/>
    <s v="%"/>
    <n v="0"/>
    <n v="1"/>
    <x v="90"/>
    <x v="8"/>
  </r>
  <r>
    <s v="S001600"/>
    <s v="FRA-2024-00357"/>
    <x v="3"/>
    <x v="0"/>
    <x v="3"/>
    <x v="566"/>
    <s v="%"/>
    <n v="97"/>
    <n v="100"/>
    <x v="188"/>
    <x v="8"/>
  </r>
  <r>
    <s v="S001480"/>
    <s v="ESS-2025-00329"/>
    <x v="2"/>
    <x v="1"/>
    <x v="6"/>
    <x v="567"/>
    <s v="CFU/g"/>
    <n v="0"/>
    <n v="100"/>
    <x v="245"/>
    <x v="3"/>
  </r>
  <r>
    <s v="S000558"/>
    <s v="FOO-2024-00125"/>
    <x v="1"/>
    <x v="4"/>
    <x v="1"/>
    <x v="33"/>
    <s v="g/ml"/>
    <n v="0.88"/>
    <n v="0.97"/>
    <x v="262"/>
    <x v="3"/>
  </r>
  <r>
    <s v="S000041"/>
    <s v="FLA-2024-00009"/>
    <x v="4"/>
    <x v="1"/>
    <x v="1"/>
    <x v="1"/>
    <s v="g/ml"/>
    <n v="0.88"/>
    <n v="0.97"/>
    <x v="92"/>
    <x v="0"/>
  </r>
  <r>
    <s v="S001715"/>
    <s v="FLA-2024-00383"/>
    <x v="4"/>
    <x v="8"/>
    <x v="6"/>
    <x v="568"/>
    <s v="CFU/g"/>
    <n v="0"/>
    <n v="100"/>
    <x v="157"/>
    <x v="6"/>
  </r>
  <r>
    <s v="S000262"/>
    <s v="ARO-2025-00060"/>
    <x v="0"/>
    <x v="3"/>
    <x v="4"/>
    <x v="569"/>
    <s v="%"/>
    <n v="0"/>
    <n v="1"/>
    <x v="168"/>
    <x v="3"/>
  </r>
  <r>
    <s v="S000993"/>
    <s v="ARO-2025-00225"/>
    <x v="0"/>
    <x v="8"/>
    <x v="0"/>
    <x v="570"/>
    <s v="ppm"/>
    <n v="0"/>
    <n v="120"/>
    <x v="164"/>
    <x v="0"/>
  </r>
  <r>
    <s v="S000913"/>
    <s v="FOO-2024-00206"/>
    <x v="1"/>
    <x v="3"/>
    <x v="0"/>
    <x v="571"/>
    <s v="ppm"/>
    <n v="0"/>
    <n v="120"/>
    <x v="274"/>
    <x v="4"/>
  </r>
  <r>
    <s v="S000084"/>
    <s v="FRA-2025-00020"/>
    <x v="3"/>
    <x v="3"/>
    <x v="0"/>
    <x v="572"/>
    <s v="ppm"/>
    <n v="0"/>
    <n v="120"/>
    <x v="339"/>
    <x v="2"/>
  </r>
  <r>
    <s v="S001122"/>
    <s v="FRA-2025-00252"/>
    <x v="3"/>
    <x v="9"/>
    <x v="4"/>
    <x v="52"/>
    <s v="%"/>
    <n v="0"/>
    <n v="1"/>
    <x v="184"/>
    <x v="2"/>
  </r>
  <r>
    <s v="S000448"/>
    <s v="FLA-2025-00101"/>
    <x v="4"/>
    <x v="1"/>
    <x v="4"/>
    <x v="52"/>
    <s v="%"/>
    <n v="0"/>
    <n v="1"/>
    <x v="89"/>
    <x v="5"/>
  </r>
  <r>
    <s v="S001554"/>
    <s v="ESS-2024-00346"/>
    <x v="2"/>
    <x v="1"/>
    <x v="6"/>
    <x v="573"/>
    <s v="CFU/g"/>
    <n v="0"/>
    <n v="100"/>
    <x v="204"/>
    <x v="0"/>
  </r>
  <r>
    <s v="S000825"/>
    <s v="FRA-2024-00187"/>
    <x v="3"/>
    <x v="1"/>
    <x v="3"/>
    <x v="514"/>
    <s v="%"/>
    <n v="97"/>
    <n v="100"/>
    <x v="340"/>
    <x v="2"/>
  </r>
  <r>
    <s v="S000031"/>
    <s v="FOO-2025-00007"/>
    <x v="1"/>
    <x v="2"/>
    <x v="3"/>
    <x v="574"/>
    <s v="%"/>
    <n v="97"/>
    <n v="100"/>
    <x v="299"/>
    <x v="7"/>
  </r>
  <r>
    <s v="S000514"/>
    <s v="FOO-2025-00116"/>
    <x v="1"/>
    <x v="1"/>
    <x v="6"/>
    <x v="575"/>
    <s v="CFU/g"/>
    <n v="0"/>
    <n v="100"/>
    <x v="6"/>
    <x v="0"/>
  </r>
  <r>
    <s v="S001082"/>
    <s v="ESS-2024-00243"/>
    <x v="2"/>
    <x v="1"/>
    <x v="3"/>
    <x v="299"/>
    <s v="%"/>
    <n v="97"/>
    <n v="100"/>
    <x v="285"/>
    <x v="3"/>
  </r>
  <r>
    <s v="S001298"/>
    <s v="FRA-2025-00290"/>
    <x v="3"/>
    <x v="1"/>
    <x v="4"/>
    <x v="455"/>
    <s v="%"/>
    <n v="0"/>
    <n v="1"/>
    <x v="51"/>
    <x v="3"/>
  </r>
  <r>
    <s v="S001676"/>
    <s v="ESS-2025-00375"/>
    <x v="2"/>
    <x v="3"/>
    <x v="2"/>
    <x v="576"/>
    <s v="um"/>
    <n v="150"/>
    <n v="400"/>
    <x v="28"/>
    <x v="4"/>
  </r>
  <r>
    <s v="S001023"/>
    <s v="ARO-2025-00230"/>
    <x v="0"/>
    <x v="3"/>
    <x v="0"/>
    <x v="577"/>
    <s v="ppm"/>
    <n v="0"/>
    <n v="120"/>
    <x v="190"/>
    <x v="8"/>
  </r>
  <r>
    <s v="S001222"/>
    <s v="FOO-2024-00273"/>
    <x v="1"/>
    <x v="7"/>
    <x v="1"/>
    <x v="430"/>
    <s v="g/ml"/>
    <n v="0.88"/>
    <n v="0.97"/>
    <x v="277"/>
    <x v="3"/>
  </r>
  <r>
    <s v="S001306"/>
    <s v="ESS-2025-00292"/>
    <x v="2"/>
    <x v="2"/>
    <x v="3"/>
    <x v="578"/>
    <s v="%"/>
    <n v="97"/>
    <n v="100"/>
    <x v="279"/>
    <x v="3"/>
  </r>
  <r>
    <s v="S001594"/>
    <s v="FOO-2025-00356"/>
    <x v="1"/>
    <x v="2"/>
    <x v="6"/>
    <x v="579"/>
    <s v="CFU/g"/>
    <n v="0"/>
    <n v="100"/>
    <x v="246"/>
    <x v="8"/>
  </r>
  <r>
    <s v="S001589"/>
    <s v="ESS-2025-00354"/>
    <x v="2"/>
    <x v="7"/>
    <x v="2"/>
    <x v="580"/>
    <s v="um"/>
    <n v="150"/>
    <n v="400"/>
    <x v="176"/>
    <x v="8"/>
  </r>
  <r>
    <s v="S000857"/>
    <s v="ARO-2024-00194"/>
    <x v="0"/>
    <x v="5"/>
    <x v="2"/>
    <x v="581"/>
    <s v="um"/>
    <n v="150"/>
    <n v="400"/>
    <x v="175"/>
    <x v="4"/>
  </r>
  <r>
    <s v="S001835"/>
    <s v="FOO-2025-00410"/>
    <x v="1"/>
    <x v="4"/>
    <x v="2"/>
    <x v="582"/>
    <s v="um"/>
    <n v="150"/>
    <n v="400"/>
    <x v="237"/>
    <x v="3"/>
  </r>
  <r>
    <s v="S001875"/>
    <s v="FRA-2024-00420"/>
    <x v="3"/>
    <x v="2"/>
    <x v="2"/>
    <x v="583"/>
    <s v="um"/>
    <n v="150"/>
    <n v="400"/>
    <x v="17"/>
    <x v="7"/>
  </r>
  <r>
    <s v="S000049"/>
    <s v="FOO-2024-00011"/>
    <x v="1"/>
    <x v="7"/>
    <x v="2"/>
    <x v="584"/>
    <s v="um"/>
    <n v="150"/>
    <n v="400"/>
    <x v="193"/>
    <x v="3"/>
  </r>
  <r>
    <s v="S001997"/>
    <s v="FOO-2025-00446"/>
    <x v="1"/>
    <x v="8"/>
    <x v="1"/>
    <x v="96"/>
    <s v="g/ml"/>
    <n v="0.88"/>
    <n v="0.97"/>
    <x v="8"/>
    <x v="1"/>
  </r>
  <r>
    <s v="S001856"/>
    <s v="FLA-2024-00415"/>
    <x v="4"/>
    <x v="9"/>
    <x v="4"/>
    <x v="296"/>
    <s v="%"/>
    <n v="0"/>
    <n v="1"/>
    <x v="307"/>
    <x v="3"/>
  </r>
  <r>
    <s v="S000468"/>
    <s v="FOO-2025-00105"/>
    <x v="1"/>
    <x v="10"/>
    <x v="4"/>
    <x v="446"/>
    <s v="%"/>
    <n v="0"/>
    <n v="1"/>
    <x v="265"/>
    <x v="8"/>
  </r>
  <r>
    <s v="S000154"/>
    <s v="FOO-2025-00036"/>
    <x v="1"/>
    <x v="6"/>
    <x v="0"/>
    <x v="585"/>
    <s v="ppm"/>
    <n v="0"/>
    <n v="120"/>
    <x v="316"/>
    <x v="4"/>
  </r>
  <r>
    <s v="S001951"/>
    <s v="ESS-2025-00436"/>
    <x v="2"/>
    <x v="6"/>
    <x v="6"/>
    <x v="586"/>
    <s v="CFU/g"/>
    <n v="0"/>
    <n v="100"/>
    <x v="178"/>
    <x v="3"/>
  </r>
  <r>
    <s v="S001962"/>
    <s v="FRA-2025-00439"/>
    <x v="3"/>
    <x v="5"/>
    <x v="5"/>
    <x v="587"/>
    <m/>
    <n v="6"/>
    <n v="7.5"/>
    <x v="341"/>
    <x v="7"/>
  </r>
  <r>
    <s v="S000395"/>
    <s v="FOO-2024-00090"/>
    <x v="1"/>
    <x v="5"/>
    <x v="6"/>
    <x v="588"/>
    <s v="CFU/g"/>
    <n v="0"/>
    <n v="100"/>
    <x v="130"/>
    <x v="8"/>
  </r>
  <r>
    <s v="S000124"/>
    <s v="FLA-2024-00029"/>
    <x v="4"/>
    <x v="6"/>
    <x v="2"/>
    <x v="589"/>
    <s v="um"/>
    <n v="150"/>
    <n v="400"/>
    <x v="333"/>
    <x v="0"/>
  </r>
  <r>
    <s v="S000356"/>
    <s v="FRA-2025-00080"/>
    <x v="3"/>
    <x v="5"/>
    <x v="3"/>
    <x v="289"/>
    <s v="%"/>
    <n v="97"/>
    <n v="100"/>
    <x v="205"/>
    <x v="5"/>
  </r>
  <r>
    <s v="S000135"/>
    <s v="FRA-2024-00032"/>
    <x v="3"/>
    <x v="0"/>
    <x v="3"/>
    <x v="338"/>
    <s v="%"/>
    <n v="97"/>
    <n v="100"/>
    <x v="139"/>
    <x v="0"/>
  </r>
  <r>
    <s v="S000269"/>
    <s v="FLA-2024-00061"/>
    <x v="4"/>
    <x v="2"/>
    <x v="6"/>
    <x v="590"/>
    <s v="CFU/g"/>
    <n v="0"/>
    <n v="100"/>
    <x v="276"/>
    <x v="6"/>
  </r>
  <r>
    <s v="S000386"/>
    <s v="ESS-2025-00087"/>
    <x v="2"/>
    <x v="2"/>
    <x v="2"/>
    <x v="591"/>
    <s v="um"/>
    <n v="150"/>
    <n v="400"/>
    <x v="49"/>
    <x v="5"/>
  </r>
  <r>
    <s v="S000610"/>
    <s v="FLA-2024-00138"/>
    <x v="4"/>
    <x v="3"/>
    <x v="6"/>
    <x v="592"/>
    <s v="CFU/g"/>
    <n v="0"/>
    <n v="100"/>
    <x v="102"/>
    <x v="7"/>
  </r>
  <r>
    <s v="S000221"/>
    <s v="ARO-2024-00051"/>
    <x v="0"/>
    <x v="10"/>
    <x v="0"/>
    <x v="593"/>
    <s v="ppm"/>
    <n v="0"/>
    <n v="120"/>
    <x v="208"/>
    <x v="4"/>
  </r>
  <r>
    <s v="S000042"/>
    <s v="FLA-2024-00009"/>
    <x v="4"/>
    <x v="1"/>
    <x v="6"/>
    <x v="594"/>
    <s v="CFU/g"/>
    <n v="0"/>
    <n v="100"/>
    <x v="92"/>
    <x v="3"/>
  </r>
  <r>
    <s v="S000220"/>
    <s v="FRA-2024-00050"/>
    <x v="3"/>
    <x v="5"/>
    <x v="2"/>
    <x v="595"/>
    <s v="um"/>
    <n v="150"/>
    <n v="400"/>
    <x v="127"/>
    <x v="5"/>
  </r>
  <r>
    <s v="S000598"/>
    <s v="ARO-2025-00134"/>
    <x v="0"/>
    <x v="5"/>
    <x v="1"/>
    <x v="17"/>
    <s v="g/ml"/>
    <n v="0.88"/>
    <n v="0.97"/>
    <x v="108"/>
    <x v="3"/>
  </r>
  <r>
    <s v="S001845"/>
    <s v="FLA-2025-00413"/>
    <x v="4"/>
    <x v="9"/>
    <x v="3"/>
    <x v="440"/>
    <s v="%"/>
    <n v="97"/>
    <n v="100"/>
    <x v="342"/>
    <x v="3"/>
  </r>
  <r>
    <s v="S001248"/>
    <s v="FRA-2025-00279"/>
    <x v="3"/>
    <x v="7"/>
    <x v="5"/>
    <x v="169"/>
    <m/>
    <n v="6"/>
    <n v="7.5"/>
    <x v="46"/>
    <x v="1"/>
  </r>
  <r>
    <s v="S000681"/>
    <s v="ARO-2024-00155"/>
    <x v="0"/>
    <x v="5"/>
    <x v="5"/>
    <x v="524"/>
    <m/>
    <n v="6"/>
    <n v="7.5"/>
    <x v="128"/>
    <x v="4"/>
  </r>
  <r>
    <s v="S001083"/>
    <s v="ESS-2024-00243"/>
    <x v="2"/>
    <x v="1"/>
    <x v="2"/>
    <x v="596"/>
    <s v="um"/>
    <n v="150"/>
    <n v="400"/>
    <x v="285"/>
    <x v="0"/>
  </r>
  <r>
    <s v="S001909"/>
    <s v="FOO-2025-00427"/>
    <x v="1"/>
    <x v="8"/>
    <x v="1"/>
    <x v="33"/>
    <s v="g/ml"/>
    <n v="0.88"/>
    <n v="0.97"/>
    <x v="183"/>
    <x v="5"/>
  </r>
  <r>
    <s v="S000859"/>
    <s v="FOO-2024-00195"/>
    <x v="1"/>
    <x v="6"/>
    <x v="3"/>
    <x v="597"/>
    <s v="%"/>
    <n v="97"/>
    <n v="100"/>
    <x v="98"/>
    <x v="3"/>
  </r>
  <r>
    <s v="S000542"/>
    <s v="ESS-2025-00122"/>
    <x v="2"/>
    <x v="7"/>
    <x v="3"/>
    <x v="598"/>
    <s v="%"/>
    <n v="97"/>
    <n v="100"/>
    <x v="255"/>
    <x v="0"/>
  </r>
  <r>
    <s v="S001051"/>
    <s v="ESS-2024-00235"/>
    <x v="2"/>
    <x v="1"/>
    <x v="6"/>
    <x v="599"/>
    <s v="CFU/g"/>
    <n v="0"/>
    <n v="100"/>
    <x v="141"/>
    <x v="2"/>
  </r>
  <r>
    <s v="S001582"/>
    <s v="ARO-2024-00352"/>
    <x v="0"/>
    <x v="3"/>
    <x v="3"/>
    <x v="24"/>
    <s v="%"/>
    <n v="97"/>
    <n v="100"/>
    <x v="33"/>
    <x v="1"/>
  </r>
  <r>
    <s v="S001369"/>
    <s v="FLA-2024-00306"/>
    <x v="4"/>
    <x v="5"/>
    <x v="2"/>
    <x v="600"/>
    <s v="um"/>
    <n v="150"/>
    <n v="400"/>
    <x v="343"/>
    <x v="5"/>
  </r>
  <r>
    <s v="S001883"/>
    <s v="FLA-2025-00421"/>
    <x v="4"/>
    <x v="2"/>
    <x v="1"/>
    <x v="224"/>
    <s v="g/ml"/>
    <n v="0.88"/>
    <n v="0.97"/>
    <x v="133"/>
    <x v="3"/>
  </r>
  <r>
    <s v="S001079"/>
    <s v="ARO-2024-00242"/>
    <x v="0"/>
    <x v="5"/>
    <x v="6"/>
    <x v="4"/>
    <s v="CFU/g"/>
    <n v="0"/>
    <n v="100"/>
    <x v="131"/>
    <x v="7"/>
  </r>
  <r>
    <s v="S001132"/>
    <s v="FLA-2024-00254"/>
    <x v="4"/>
    <x v="2"/>
    <x v="1"/>
    <x v="1"/>
    <s v="g/ml"/>
    <n v="0.88"/>
    <n v="0.97"/>
    <x v="344"/>
    <x v="5"/>
  </r>
  <r>
    <s v="S001700"/>
    <s v="FRA-2024-00380"/>
    <x v="3"/>
    <x v="6"/>
    <x v="5"/>
    <x v="58"/>
    <m/>
    <n v="6"/>
    <n v="7.5"/>
    <x v="40"/>
    <x v="8"/>
  </r>
  <r>
    <s v="S000998"/>
    <s v="ARO-2025-00225"/>
    <x v="0"/>
    <x v="5"/>
    <x v="1"/>
    <x v="96"/>
    <s v="g/ml"/>
    <n v="0.88"/>
    <n v="0.97"/>
    <x v="164"/>
    <x v="8"/>
  </r>
  <r>
    <s v="S001476"/>
    <s v="ESS-2025-00329"/>
    <x v="2"/>
    <x v="1"/>
    <x v="2"/>
    <x v="601"/>
    <s v="um"/>
    <n v="150"/>
    <n v="400"/>
    <x v="245"/>
    <x v="3"/>
  </r>
  <r>
    <s v="S001579"/>
    <s v="ARO-2024-00352"/>
    <x v="0"/>
    <x v="0"/>
    <x v="2"/>
    <x v="602"/>
    <s v="um"/>
    <n v="150"/>
    <n v="400"/>
    <x v="33"/>
    <x v="4"/>
  </r>
  <r>
    <s v="S001824"/>
    <s v="ESS-2024-00408"/>
    <x v="2"/>
    <x v="7"/>
    <x v="3"/>
    <x v="24"/>
    <s v="%"/>
    <n v="97"/>
    <n v="100"/>
    <x v="33"/>
    <x v="8"/>
  </r>
  <r>
    <s v="S001788"/>
    <s v="FLA-2024-00400"/>
    <x v="4"/>
    <x v="9"/>
    <x v="5"/>
    <x v="603"/>
    <m/>
    <n v="6"/>
    <n v="7.5"/>
    <x v="80"/>
    <x v="5"/>
  </r>
  <r>
    <s v="S001576"/>
    <s v="ARO-2024-00351"/>
    <x v="0"/>
    <x v="1"/>
    <x v="1"/>
    <x v="224"/>
    <s v="g/ml"/>
    <n v="0.88"/>
    <n v="0.97"/>
    <x v="282"/>
    <x v="8"/>
  </r>
  <r>
    <s v="S001823"/>
    <s v="FRA-2025-00407"/>
    <x v="3"/>
    <x v="4"/>
    <x v="4"/>
    <x v="29"/>
    <s v="%"/>
    <n v="0"/>
    <n v="1"/>
    <x v="126"/>
    <x v="0"/>
  </r>
  <r>
    <s v="S000982"/>
    <s v="FLA-2025-00222"/>
    <x v="4"/>
    <x v="8"/>
    <x v="0"/>
    <x v="604"/>
    <s v="ppm"/>
    <n v="0"/>
    <n v="120"/>
    <x v="345"/>
    <x v="4"/>
  </r>
  <r>
    <s v="S001420"/>
    <s v="FOO-2024-00317"/>
    <x v="1"/>
    <x v="7"/>
    <x v="1"/>
    <x v="1"/>
    <s v="g/ml"/>
    <n v="0.88"/>
    <n v="0.97"/>
    <x v="234"/>
    <x v="7"/>
  </r>
  <r>
    <s v="S001455"/>
    <s v="FOO-2024-00324"/>
    <x v="1"/>
    <x v="5"/>
    <x v="0"/>
    <x v="605"/>
    <s v="ppm"/>
    <n v="0"/>
    <n v="120"/>
    <x v="260"/>
    <x v="8"/>
  </r>
  <r>
    <s v="S000337"/>
    <s v="ARO-2025-00076"/>
    <x v="0"/>
    <x v="5"/>
    <x v="5"/>
    <x v="606"/>
    <m/>
    <n v="6"/>
    <n v="7.5"/>
    <x v="134"/>
    <x v="7"/>
  </r>
  <r>
    <s v="S000233"/>
    <s v="FLA-2024-00053"/>
    <x v="4"/>
    <x v="10"/>
    <x v="5"/>
    <x v="195"/>
    <m/>
    <n v="6"/>
    <n v="7.5"/>
    <x v="87"/>
    <x v="6"/>
  </r>
  <r>
    <s v="S001009"/>
    <s v="FRA-2024-00228"/>
    <x v="3"/>
    <x v="5"/>
    <x v="3"/>
    <x v="607"/>
    <s v="%"/>
    <n v="97"/>
    <n v="100"/>
    <x v="60"/>
    <x v="4"/>
  </r>
  <r>
    <s v="S001424"/>
    <s v="FOO-2024-00317"/>
    <x v="1"/>
    <x v="9"/>
    <x v="5"/>
    <x v="24"/>
    <m/>
    <n v="6"/>
    <n v="7.5"/>
    <x v="234"/>
    <x v="3"/>
  </r>
  <r>
    <s v="S000159"/>
    <s v="FLA-2024-00037"/>
    <x v="4"/>
    <x v="7"/>
    <x v="1"/>
    <x v="33"/>
    <s v="g/ml"/>
    <n v="0.88"/>
    <n v="0.97"/>
    <x v="346"/>
    <x v="1"/>
  </r>
  <r>
    <s v="S000469"/>
    <s v="FOO-2025-00105"/>
    <x v="1"/>
    <x v="7"/>
    <x v="0"/>
    <x v="608"/>
    <s v="ppm"/>
    <n v="0"/>
    <n v="120"/>
    <x v="265"/>
    <x v="2"/>
  </r>
  <r>
    <s v="S000883"/>
    <s v="FOO-2024-00200"/>
    <x v="1"/>
    <x v="1"/>
    <x v="0"/>
    <x v="609"/>
    <s v="ppm"/>
    <n v="0"/>
    <n v="120"/>
    <x v="347"/>
    <x v="7"/>
  </r>
  <r>
    <s v="S001620"/>
    <s v="ESS-2024-00361"/>
    <x v="2"/>
    <x v="0"/>
    <x v="3"/>
    <x v="438"/>
    <s v="%"/>
    <n v="97"/>
    <n v="100"/>
    <x v="153"/>
    <x v="3"/>
  </r>
  <r>
    <s v="S001035"/>
    <s v="ARO-2025-00232"/>
    <x v="0"/>
    <x v="10"/>
    <x v="5"/>
    <x v="401"/>
    <m/>
    <n v="6"/>
    <n v="7.5"/>
    <x v="326"/>
    <x v="7"/>
  </r>
  <r>
    <s v="S001133"/>
    <s v="FLA-2024-00254"/>
    <x v="4"/>
    <x v="6"/>
    <x v="0"/>
    <x v="610"/>
    <s v="ppm"/>
    <n v="0"/>
    <n v="120"/>
    <x v="344"/>
    <x v="3"/>
  </r>
  <r>
    <s v="S001127"/>
    <s v="ESS-2025-00253"/>
    <x v="2"/>
    <x v="5"/>
    <x v="4"/>
    <x v="11"/>
    <s v="%"/>
    <n v="0"/>
    <n v="1"/>
    <x v="143"/>
    <x v="5"/>
  </r>
  <r>
    <s v="S000586"/>
    <s v="FLA-2024-00132"/>
    <x v="4"/>
    <x v="5"/>
    <x v="1"/>
    <x v="292"/>
    <s v="g/ml"/>
    <n v="0.88"/>
    <n v="0.97"/>
    <x v="114"/>
    <x v="8"/>
  </r>
  <r>
    <s v="S000206"/>
    <s v="FOO-2024-00047"/>
    <x v="1"/>
    <x v="0"/>
    <x v="1"/>
    <x v="33"/>
    <s v="g/ml"/>
    <n v="0.88"/>
    <n v="0.97"/>
    <x v="94"/>
    <x v="5"/>
  </r>
  <r>
    <s v="S000004"/>
    <s v="ESS-2025-00001"/>
    <x v="2"/>
    <x v="1"/>
    <x v="4"/>
    <x v="19"/>
    <s v="%"/>
    <n v="0"/>
    <n v="1"/>
    <x v="25"/>
    <x v="7"/>
  </r>
  <r>
    <s v="S000888"/>
    <s v="FLA-2025-00201"/>
    <x v="4"/>
    <x v="0"/>
    <x v="2"/>
    <x v="611"/>
    <s v="um"/>
    <n v="150"/>
    <n v="400"/>
    <x v="178"/>
    <x v="3"/>
  </r>
  <r>
    <s v="S001786"/>
    <s v="FRA-2024-00399"/>
    <x v="3"/>
    <x v="5"/>
    <x v="2"/>
    <x v="612"/>
    <s v="um"/>
    <n v="150"/>
    <n v="400"/>
    <x v="283"/>
    <x v="8"/>
  </r>
  <r>
    <s v="S001448"/>
    <s v="FLA-2024-00323"/>
    <x v="4"/>
    <x v="3"/>
    <x v="4"/>
    <x v="613"/>
    <s v="%"/>
    <n v="0"/>
    <n v="1"/>
    <x v="70"/>
    <x v="7"/>
  </r>
  <r>
    <s v="S001846"/>
    <s v="FLA-2025-00413"/>
    <x v="4"/>
    <x v="9"/>
    <x v="0"/>
    <x v="614"/>
    <s v="ppm"/>
    <n v="0"/>
    <n v="120"/>
    <x v="136"/>
    <x v="0"/>
  </r>
  <r>
    <s v="S001150"/>
    <s v="FOO-2025-00258"/>
    <x v="1"/>
    <x v="6"/>
    <x v="0"/>
    <x v="64"/>
    <s v="ppm"/>
    <n v="0"/>
    <n v="120"/>
    <x v="64"/>
    <x v="5"/>
  </r>
  <r>
    <s v="S001110"/>
    <s v="FRA-2024-00250"/>
    <x v="3"/>
    <x v="2"/>
    <x v="0"/>
    <x v="615"/>
    <s v="ppm"/>
    <n v="0"/>
    <n v="120"/>
    <x v="348"/>
    <x v="3"/>
  </r>
  <r>
    <s v="S000694"/>
    <s v="FOO-2025-00158"/>
    <x v="1"/>
    <x v="6"/>
    <x v="5"/>
    <x v="189"/>
    <m/>
    <n v="6"/>
    <n v="7.5"/>
    <x v="50"/>
    <x v="8"/>
  </r>
  <r>
    <s v="S001674"/>
    <s v="ESS-2025-00375"/>
    <x v="2"/>
    <x v="0"/>
    <x v="6"/>
    <x v="616"/>
    <s v="CFU/g"/>
    <n v="0"/>
    <n v="100"/>
    <x v="28"/>
    <x v="6"/>
  </r>
  <r>
    <s v="S001655"/>
    <s v="ESS-2024-00370"/>
    <x v="2"/>
    <x v="5"/>
    <x v="1"/>
    <x v="1"/>
    <s v="g/ml"/>
    <n v="0.88"/>
    <n v="0.97"/>
    <x v="300"/>
    <x v="6"/>
  </r>
  <r>
    <s v="S000715"/>
    <s v="FLA-2025-00162"/>
    <x v="4"/>
    <x v="6"/>
    <x v="4"/>
    <x v="81"/>
    <s v="%"/>
    <n v="0"/>
    <n v="1"/>
    <x v="65"/>
    <x v="6"/>
  </r>
  <r>
    <s v="S000952"/>
    <s v="ARO-2024-00215"/>
    <x v="0"/>
    <x v="6"/>
    <x v="4"/>
    <x v="19"/>
    <s v="%"/>
    <n v="0"/>
    <n v="1"/>
    <x v="280"/>
    <x v="6"/>
  </r>
  <r>
    <s v="S001584"/>
    <s v="FLA-2025-00353"/>
    <x v="4"/>
    <x v="10"/>
    <x v="4"/>
    <x v="122"/>
    <s v="%"/>
    <n v="0"/>
    <n v="1"/>
    <x v="75"/>
    <x v="7"/>
  </r>
  <r>
    <s v="S001700"/>
    <s v="FRA-2024-00380"/>
    <x v="3"/>
    <x v="6"/>
    <x v="5"/>
    <x v="58"/>
    <m/>
    <n v="6"/>
    <n v="7.5"/>
    <x v="40"/>
    <x v="8"/>
  </r>
  <r>
    <s v="S000884"/>
    <s v="FOO-2024-00200"/>
    <x v="1"/>
    <x v="4"/>
    <x v="1"/>
    <x v="1"/>
    <s v="g/ml"/>
    <n v="0.88"/>
    <n v="0.97"/>
    <x v="347"/>
    <x v="3"/>
  </r>
  <r>
    <s v="S001645"/>
    <s v="ARO-2024-00368"/>
    <x v="0"/>
    <x v="1"/>
    <x v="5"/>
    <x v="617"/>
    <m/>
    <n v="6"/>
    <n v="7.5"/>
    <x v="349"/>
    <x v="2"/>
  </r>
  <r>
    <s v="S001621"/>
    <s v="FOO-2025-00362"/>
    <x v="1"/>
    <x v="9"/>
    <x v="6"/>
    <x v="618"/>
    <s v="CFU/g"/>
    <n v="0"/>
    <n v="100"/>
    <x v="350"/>
    <x v="8"/>
  </r>
  <r>
    <s v="S001114"/>
    <s v="FRA-2024-00250"/>
    <x v="3"/>
    <x v="2"/>
    <x v="2"/>
    <x v="619"/>
    <s v="um"/>
    <n v="150"/>
    <n v="400"/>
    <x v="351"/>
    <x v="2"/>
  </r>
  <r>
    <s v="S001204"/>
    <s v="FRA-2024-00269"/>
    <x v="3"/>
    <x v="5"/>
    <x v="5"/>
    <x v="603"/>
    <m/>
    <n v="6"/>
    <n v="7.5"/>
    <x v="315"/>
    <x v="6"/>
  </r>
  <r>
    <s v="S001063"/>
    <s v="ARO-2024-00238"/>
    <x v="0"/>
    <x v="0"/>
    <x v="1"/>
    <x v="75"/>
    <s v="g/ml"/>
    <n v="0.88"/>
    <n v="0.97"/>
    <x v="91"/>
    <x v="5"/>
  </r>
  <r>
    <s v="S000158"/>
    <s v="FLA-2024-00037"/>
    <x v="4"/>
    <x v="7"/>
    <x v="4"/>
    <x v="101"/>
    <s v="%"/>
    <n v="0"/>
    <n v="1"/>
    <x v="352"/>
    <x v="0"/>
  </r>
  <r>
    <s v="S001057"/>
    <s v="FOO-2024-00237"/>
    <x v="1"/>
    <x v="10"/>
    <x v="4"/>
    <x v="6"/>
    <s v="%"/>
    <n v="0"/>
    <n v="1"/>
    <x v="9"/>
    <x v="3"/>
  </r>
  <r>
    <s v="S000524"/>
    <s v="FRA-2024-00118"/>
    <x v="3"/>
    <x v="1"/>
    <x v="1"/>
    <x v="80"/>
    <s v="g/ml"/>
    <n v="0.88"/>
    <n v="0.97"/>
    <x v="149"/>
    <x v="7"/>
  </r>
  <r>
    <s v="S000463"/>
    <s v="ESS-2025-00104"/>
    <x v="2"/>
    <x v="2"/>
    <x v="6"/>
    <x v="620"/>
    <s v="CFU/g"/>
    <n v="0"/>
    <n v="100"/>
    <x v="136"/>
    <x v="3"/>
  </r>
  <r>
    <s v="S000653"/>
    <s v="FRA-2024-00149"/>
    <x v="3"/>
    <x v="9"/>
    <x v="6"/>
    <x v="621"/>
    <s v="CFU/g"/>
    <n v="0"/>
    <n v="100"/>
    <x v="60"/>
    <x v="3"/>
  </r>
  <r>
    <s v="S000161"/>
    <s v="FRA-2024-00038"/>
    <x v="3"/>
    <x v="3"/>
    <x v="4"/>
    <x v="49"/>
    <s v="%"/>
    <n v="0"/>
    <n v="1"/>
    <x v="353"/>
    <x v="2"/>
  </r>
  <r>
    <s v="S000306"/>
    <s v="FRA-2024-00069"/>
    <x v="3"/>
    <x v="1"/>
    <x v="5"/>
    <x v="517"/>
    <m/>
    <n v="6"/>
    <n v="7.5"/>
    <x v="180"/>
    <x v="8"/>
  </r>
  <r>
    <s v="S000657"/>
    <s v="FRA-2025-00150"/>
    <x v="3"/>
    <x v="1"/>
    <x v="5"/>
    <x v="622"/>
    <m/>
    <n v="6"/>
    <n v="7.5"/>
    <x v="31"/>
    <x v="5"/>
  </r>
  <r>
    <s v="S000548"/>
    <s v="FLA-2024-00123"/>
    <x v="4"/>
    <x v="5"/>
    <x v="4"/>
    <x v="467"/>
    <s v="%"/>
    <n v="0"/>
    <n v="1"/>
    <x v="39"/>
    <x v="1"/>
  </r>
  <r>
    <s v="S000714"/>
    <s v="FLA-2025-00162"/>
    <x v="4"/>
    <x v="2"/>
    <x v="0"/>
    <x v="623"/>
    <s v="ppm"/>
    <n v="0"/>
    <n v="120"/>
    <x v="65"/>
    <x v="4"/>
  </r>
  <r>
    <s v="S000396"/>
    <s v="FOO-2024-00090"/>
    <x v="1"/>
    <x v="5"/>
    <x v="0"/>
    <x v="624"/>
    <s v="ppm"/>
    <n v="0"/>
    <n v="120"/>
    <x v="130"/>
    <x v="3"/>
  </r>
  <r>
    <s v="S000784"/>
    <s v="ESS-2024-00178"/>
    <x v="2"/>
    <x v="2"/>
    <x v="6"/>
    <x v="625"/>
    <s v="CFU/g"/>
    <n v="0"/>
    <n v="100"/>
    <x v="354"/>
    <x v="4"/>
  </r>
  <r>
    <s v="S000400"/>
    <s v="FLA-2024-00091"/>
    <x v="4"/>
    <x v="1"/>
    <x v="2"/>
    <x v="626"/>
    <s v="um"/>
    <n v="150"/>
    <n v="400"/>
    <x v="355"/>
    <x v="3"/>
  </r>
  <r>
    <s v="S000799"/>
    <s v="FRA-2024-00181"/>
    <x v="3"/>
    <x v="3"/>
    <x v="0"/>
    <x v="627"/>
    <s v="ppm"/>
    <n v="0"/>
    <n v="120"/>
    <x v="201"/>
    <x v="0"/>
  </r>
  <r>
    <s v="S000619"/>
    <s v="ARO-2024-00140"/>
    <x v="0"/>
    <x v="9"/>
    <x v="6"/>
    <x v="628"/>
    <s v="CFU/g"/>
    <n v="0"/>
    <n v="100"/>
    <x v="127"/>
    <x v="6"/>
  </r>
  <r>
    <s v="S001544"/>
    <s v="FLA-2024-00344"/>
    <x v="4"/>
    <x v="1"/>
    <x v="5"/>
    <x v="336"/>
    <m/>
    <n v="6"/>
    <n v="7.5"/>
    <x v="15"/>
    <x v="2"/>
  </r>
  <r>
    <s v="S000509"/>
    <s v="ARO-2025-00114"/>
    <x v="0"/>
    <x v="7"/>
    <x v="1"/>
    <x v="430"/>
    <s v="g/ml"/>
    <n v="0.88"/>
    <n v="0.97"/>
    <x v="31"/>
    <x v="0"/>
  </r>
  <r>
    <s v="S001376"/>
    <s v="ARO-2025-00307"/>
    <x v="0"/>
    <x v="7"/>
    <x v="5"/>
    <x v="629"/>
    <m/>
    <n v="6"/>
    <n v="7.5"/>
    <x v="356"/>
    <x v="1"/>
  </r>
  <r>
    <s v="S000737"/>
    <s v="ARO-2024-00167"/>
    <x v="0"/>
    <x v="5"/>
    <x v="3"/>
    <x v="24"/>
    <s v="%"/>
    <n v="97"/>
    <n v="100"/>
    <x v="61"/>
    <x v="5"/>
  </r>
  <r>
    <s v="S001169"/>
    <s v="ESS-2024-00262"/>
    <x v="2"/>
    <x v="9"/>
    <x v="6"/>
    <x v="630"/>
    <s v="CFU/g"/>
    <n v="0"/>
    <n v="100"/>
    <x v="321"/>
    <x v="3"/>
  </r>
  <r>
    <s v="S001677"/>
    <s v="ESS-2025-00375"/>
    <x v="2"/>
    <x v="3"/>
    <x v="3"/>
    <x v="631"/>
    <s v="%"/>
    <n v="97"/>
    <n v="100"/>
    <x v="28"/>
    <x v="7"/>
  </r>
  <r>
    <s v="S000986"/>
    <s v="FOO-2024-00223"/>
    <x v="1"/>
    <x v="1"/>
    <x v="2"/>
    <x v="632"/>
    <s v="um"/>
    <n v="150"/>
    <n v="400"/>
    <x v="232"/>
    <x v="7"/>
  </r>
  <r>
    <s v="S000868"/>
    <s v="FOO-2025-00197"/>
    <x v="1"/>
    <x v="2"/>
    <x v="1"/>
    <x v="633"/>
    <s v="g/ml"/>
    <n v="0.88"/>
    <n v="0.97"/>
    <x v="199"/>
    <x v="2"/>
  </r>
  <r>
    <s v="S000460"/>
    <s v="FRA-2024-00103"/>
    <x v="3"/>
    <x v="6"/>
    <x v="0"/>
    <x v="634"/>
    <s v="ppm"/>
    <n v="0"/>
    <n v="120"/>
    <x v="195"/>
    <x v="6"/>
  </r>
  <r>
    <s v="S001337"/>
    <s v="FRA-2024-00298"/>
    <x v="3"/>
    <x v="0"/>
    <x v="2"/>
    <x v="635"/>
    <s v="um"/>
    <n v="150"/>
    <n v="400"/>
    <x v="185"/>
    <x v="7"/>
  </r>
  <r>
    <s v="S000063"/>
    <s v="ESS-2025-00015"/>
    <x v="2"/>
    <x v="5"/>
    <x v="0"/>
    <x v="636"/>
    <s v="ppm"/>
    <n v="0"/>
    <n v="120"/>
    <x v="268"/>
    <x v="8"/>
  </r>
  <r>
    <s v="S001832"/>
    <s v="FRA-2025-00409"/>
    <x v="3"/>
    <x v="7"/>
    <x v="1"/>
    <x v="224"/>
    <s v="g/ml"/>
    <n v="0.88"/>
    <n v="0.97"/>
    <x v="178"/>
    <x v="7"/>
  </r>
  <r>
    <s v="S000872"/>
    <s v="FOO-2025-00197"/>
    <x v="1"/>
    <x v="6"/>
    <x v="6"/>
    <x v="637"/>
    <s v="CFU/g"/>
    <n v="0"/>
    <n v="100"/>
    <x v="199"/>
    <x v="4"/>
  </r>
  <r>
    <s v="S001885"/>
    <s v="FLA-2025-00422"/>
    <x v="4"/>
    <x v="3"/>
    <x v="0"/>
    <x v="638"/>
    <s v="ppm"/>
    <n v="0"/>
    <n v="120"/>
    <x v="318"/>
    <x v="7"/>
  </r>
  <r>
    <s v="S001711"/>
    <s v="FLA-2024-00383"/>
    <x v="4"/>
    <x v="5"/>
    <x v="1"/>
    <x v="224"/>
    <s v="g/ml"/>
    <n v="0.88"/>
    <n v="0.97"/>
    <x v="157"/>
    <x v="0"/>
  </r>
  <r>
    <s v="S000458"/>
    <s v="FRA-2024-00103"/>
    <x v="3"/>
    <x v="2"/>
    <x v="1"/>
    <x v="80"/>
    <s v="g/ml"/>
    <n v="0.88"/>
    <n v="0.97"/>
    <x v="195"/>
    <x v="8"/>
  </r>
  <r>
    <s v="S000955"/>
    <s v="FLA-2024-00216"/>
    <x v="4"/>
    <x v="2"/>
    <x v="2"/>
    <x v="639"/>
    <s v="um"/>
    <n v="150"/>
    <n v="400"/>
    <x v="357"/>
    <x v="8"/>
  </r>
  <r>
    <s v="S000479"/>
    <s v="FRA-2024-00108"/>
    <x v="3"/>
    <x v="3"/>
    <x v="3"/>
    <x v="435"/>
    <s v="%"/>
    <n v="97"/>
    <n v="100"/>
    <x v="87"/>
    <x v="3"/>
  </r>
  <r>
    <s v="S001348"/>
    <s v="FRA-2024-00301"/>
    <x v="3"/>
    <x v="2"/>
    <x v="5"/>
    <x v="640"/>
    <m/>
    <n v="6"/>
    <n v="7.5"/>
    <x v="38"/>
    <x v="5"/>
  </r>
  <r>
    <s v="S001488"/>
    <s v="FOO-2024-00331"/>
    <x v="1"/>
    <x v="8"/>
    <x v="4"/>
    <x v="179"/>
    <s v="%"/>
    <n v="0"/>
    <n v="1"/>
    <x v="158"/>
    <x v="3"/>
  </r>
  <r>
    <s v="S000871"/>
    <s v="FOO-2025-00197"/>
    <x v="1"/>
    <x v="2"/>
    <x v="0"/>
    <x v="641"/>
    <s v="ppm"/>
    <n v="0"/>
    <n v="120"/>
    <x v="199"/>
    <x v="1"/>
  </r>
  <r>
    <s v="S000791"/>
    <s v="FOO-2024-00179"/>
    <x v="1"/>
    <x v="1"/>
    <x v="0"/>
    <x v="642"/>
    <s v="ppm"/>
    <n v="0"/>
    <n v="120"/>
    <x v="198"/>
    <x v="8"/>
  </r>
  <r>
    <s v="S000618"/>
    <s v="ARO-2024-00140"/>
    <x v="0"/>
    <x v="10"/>
    <x v="4"/>
    <x v="447"/>
    <s v="%"/>
    <n v="0"/>
    <n v="1"/>
    <x v="127"/>
    <x v="5"/>
  </r>
  <r>
    <s v="S001903"/>
    <s v="ESS-2025-00426"/>
    <x v="2"/>
    <x v="5"/>
    <x v="3"/>
    <x v="84"/>
    <s v="%"/>
    <n v="97"/>
    <n v="100"/>
    <x v="148"/>
    <x v="7"/>
  </r>
  <r>
    <s v="S001383"/>
    <s v="ARO-2025-00309"/>
    <x v="0"/>
    <x v="7"/>
    <x v="2"/>
    <x v="643"/>
    <s v="um"/>
    <n v="150"/>
    <n v="400"/>
    <x v="253"/>
    <x v="8"/>
  </r>
  <r>
    <s v="S001422"/>
    <s v="FOO-2024-00317"/>
    <x v="1"/>
    <x v="10"/>
    <x v="6"/>
    <x v="644"/>
    <s v="CFU/g"/>
    <n v="0"/>
    <n v="100"/>
    <x v="234"/>
    <x v="6"/>
  </r>
  <r>
    <s v="S001926"/>
    <s v="FOO-2024-00431"/>
    <x v="1"/>
    <x v="2"/>
    <x v="1"/>
    <x v="645"/>
    <s v="g/ml"/>
    <n v="0.88"/>
    <n v="0.97"/>
    <x v="14"/>
    <x v="1"/>
  </r>
  <r>
    <s v="S001627"/>
    <s v="FLA-2024-00364"/>
    <x v="4"/>
    <x v="1"/>
    <x v="2"/>
    <x v="646"/>
    <s v="um"/>
    <n v="150"/>
    <n v="400"/>
    <x v="358"/>
    <x v="3"/>
  </r>
  <r>
    <s v="S000348"/>
    <s v="FRA-2025-00079"/>
    <x v="3"/>
    <x v="3"/>
    <x v="2"/>
    <x v="647"/>
    <s v="um"/>
    <n v="150"/>
    <n v="400"/>
    <x v="146"/>
    <x v="1"/>
  </r>
  <r>
    <s v="S001019"/>
    <s v="FRA-2025-00229"/>
    <x v="3"/>
    <x v="9"/>
    <x v="3"/>
    <x v="43"/>
    <s v="%"/>
    <n v="97"/>
    <n v="100"/>
    <x v="76"/>
    <x v="0"/>
  </r>
  <r>
    <s v="S001201"/>
    <s v="FRA-2024-00269"/>
    <x v="3"/>
    <x v="8"/>
    <x v="2"/>
    <x v="648"/>
    <s v="um"/>
    <n v="150"/>
    <n v="400"/>
    <x v="315"/>
    <x v="6"/>
  </r>
  <r>
    <s v="S001535"/>
    <s v="ESS-2024-00341"/>
    <x v="2"/>
    <x v="2"/>
    <x v="0"/>
    <x v="649"/>
    <s v="ppm"/>
    <n v="0"/>
    <n v="120"/>
    <x v="80"/>
    <x v="8"/>
  </r>
  <r>
    <s v="S000761"/>
    <s v="ARO-2024-00172"/>
    <x v="0"/>
    <x v="7"/>
    <x v="1"/>
    <x v="17"/>
    <s v="g/ml"/>
    <n v="0.88"/>
    <n v="0.97"/>
    <x v="9"/>
    <x v="5"/>
  </r>
  <r>
    <s v="S000447"/>
    <s v="FLA-2025-00101"/>
    <x v="4"/>
    <x v="1"/>
    <x v="6"/>
    <x v="650"/>
    <s v="CFU/g"/>
    <n v="0"/>
    <n v="100"/>
    <x v="89"/>
    <x v="1"/>
  </r>
  <r>
    <s v="S000651"/>
    <s v="FRA-2024-00149"/>
    <x v="3"/>
    <x v="7"/>
    <x v="1"/>
    <x v="224"/>
    <s v="g/ml"/>
    <n v="0.88"/>
    <n v="0.97"/>
    <x v="60"/>
    <x v="0"/>
  </r>
  <r>
    <s v="S001239"/>
    <s v="FRA-2025-00277"/>
    <x v="3"/>
    <x v="0"/>
    <x v="4"/>
    <x v="52"/>
    <s v="%"/>
    <n v="0"/>
    <n v="1"/>
    <x v="359"/>
    <x v="3"/>
  </r>
  <r>
    <s v="S001799"/>
    <s v="ARO-2025-00403"/>
    <x v="0"/>
    <x v="9"/>
    <x v="5"/>
    <x v="120"/>
    <m/>
    <n v="6"/>
    <n v="7.5"/>
    <x v="84"/>
    <x v="3"/>
  </r>
  <r>
    <s v="S000380"/>
    <s v="ESS-2025-00086"/>
    <x v="2"/>
    <x v="3"/>
    <x v="0"/>
    <x v="651"/>
    <s v="ppm"/>
    <n v="0"/>
    <n v="120"/>
    <x v="360"/>
    <x v="3"/>
  </r>
  <r>
    <s v="S000565"/>
    <s v="ARO-2025-00127"/>
    <x v="0"/>
    <x v="2"/>
    <x v="6"/>
    <x v="107"/>
    <s v="CFU/g"/>
    <n v="0"/>
    <n v="100"/>
    <x v="258"/>
    <x v="7"/>
  </r>
  <r>
    <s v="S001740"/>
    <s v="FOO-2024-00389"/>
    <x v="1"/>
    <x v="3"/>
    <x v="1"/>
    <x v="75"/>
    <s v="g/ml"/>
    <n v="0.88"/>
    <n v="0.97"/>
    <x v="5"/>
    <x v="2"/>
  </r>
  <r>
    <s v="S001743"/>
    <s v="FOO-2024-00389"/>
    <x v="1"/>
    <x v="3"/>
    <x v="5"/>
    <x v="652"/>
    <m/>
    <n v="6"/>
    <n v="7.5"/>
    <x v="5"/>
    <x v="3"/>
  </r>
  <r>
    <s v="S001830"/>
    <s v="FRA-2025-00409"/>
    <x v="3"/>
    <x v="7"/>
    <x v="4"/>
    <x v="653"/>
    <s v="%"/>
    <n v="0"/>
    <n v="1"/>
    <x v="178"/>
    <x v="0"/>
  </r>
  <r>
    <s v="S001923"/>
    <s v="ARO-2024-00430"/>
    <x v="0"/>
    <x v="2"/>
    <x v="2"/>
    <x v="654"/>
    <s v="um"/>
    <n v="150"/>
    <n v="400"/>
    <x v="10"/>
    <x v="2"/>
  </r>
  <r>
    <s v="S000968"/>
    <s v="FRA-2025-00219"/>
    <x v="3"/>
    <x v="1"/>
    <x v="2"/>
    <x v="584"/>
    <s v="um"/>
    <n v="150"/>
    <n v="400"/>
    <x v="132"/>
    <x v="1"/>
  </r>
  <r>
    <s v="S000921"/>
    <s v="FOO-2024-00209"/>
    <x v="1"/>
    <x v="1"/>
    <x v="0"/>
    <x v="655"/>
    <s v="ppm"/>
    <n v="0"/>
    <n v="120"/>
    <x v="131"/>
    <x v="7"/>
  </r>
  <r>
    <s v="S000232"/>
    <s v="FLA-2024-00053"/>
    <x v="4"/>
    <x v="9"/>
    <x v="6"/>
    <x v="656"/>
    <s v="CFU/g"/>
    <n v="0"/>
    <n v="100"/>
    <x v="87"/>
    <x v="3"/>
  </r>
  <r>
    <s v="S001975"/>
    <s v="FLA-2025-00442"/>
    <x v="4"/>
    <x v="0"/>
    <x v="6"/>
    <x v="657"/>
    <s v="CFU/g"/>
    <n v="0"/>
    <n v="100"/>
    <x v="165"/>
    <x v="3"/>
  </r>
  <r>
    <s v="S000383"/>
    <s v="ESS-2025-00087"/>
    <x v="2"/>
    <x v="2"/>
    <x v="4"/>
    <x v="52"/>
    <s v="%"/>
    <n v="0"/>
    <n v="1"/>
    <x v="49"/>
    <x v="3"/>
  </r>
  <r>
    <s v="S001179"/>
    <s v="FOO-2025-00264"/>
    <x v="1"/>
    <x v="2"/>
    <x v="1"/>
    <x v="80"/>
    <s v="g/ml"/>
    <n v="0.88"/>
    <n v="0.97"/>
    <x v="288"/>
    <x v="5"/>
  </r>
  <r>
    <s v="S001216"/>
    <s v="FLA-2024-00271"/>
    <x v="4"/>
    <x v="3"/>
    <x v="0"/>
    <x v="658"/>
    <s v="ppm"/>
    <n v="0"/>
    <n v="120"/>
    <x v="361"/>
    <x v="8"/>
  </r>
  <r>
    <s v="S000073"/>
    <s v="ESS-2024-00017"/>
    <x v="2"/>
    <x v="4"/>
    <x v="3"/>
    <x v="490"/>
    <s v="%"/>
    <n v="97"/>
    <n v="100"/>
    <x v="362"/>
    <x v="4"/>
  </r>
  <r>
    <s v="S000071"/>
    <s v="ESS-2024-00017"/>
    <x v="2"/>
    <x v="1"/>
    <x v="2"/>
    <x v="659"/>
    <s v="um"/>
    <n v="150"/>
    <n v="400"/>
    <x v="362"/>
    <x v="3"/>
  </r>
  <r>
    <s v="S001343"/>
    <s v="ARO-2024-00300"/>
    <x v="0"/>
    <x v="1"/>
    <x v="6"/>
    <x v="660"/>
    <s v="CFU/g"/>
    <n v="0"/>
    <n v="100"/>
    <x v="363"/>
    <x v="1"/>
  </r>
  <r>
    <s v="S001086"/>
    <s v="FLA-2024-00244"/>
    <x v="4"/>
    <x v="5"/>
    <x v="1"/>
    <x v="75"/>
    <s v="g/ml"/>
    <n v="0.88"/>
    <n v="0.97"/>
    <x v="92"/>
    <x v="2"/>
  </r>
  <r>
    <s v="S000172"/>
    <s v="FRA-2024-00040"/>
    <x v="3"/>
    <x v="7"/>
    <x v="0"/>
    <x v="661"/>
    <s v="ppm"/>
    <n v="0"/>
    <n v="120"/>
    <x v="310"/>
    <x v="1"/>
  </r>
  <r>
    <s v="S001295"/>
    <s v="FOO-2024-00289"/>
    <x v="1"/>
    <x v="2"/>
    <x v="0"/>
    <x v="662"/>
    <s v="ppm"/>
    <n v="0"/>
    <n v="120"/>
    <x v="171"/>
    <x v="0"/>
  </r>
  <r>
    <s v="S000169"/>
    <s v="ESS-2024-00039"/>
    <x v="2"/>
    <x v="0"/>
    <x v="5"/>
    <x v="663"/>
    <m/>
    <n v="6"/>
    <n v="7.5"/>
    <x v="248"/>
    <x v="5"/>
  </r>
  <r>
    <s v="S000494"/>
    <s v="ARO-2024-00111"/>
    <x v="0"/>
    <x v="8"/>
    <x v="6"/>
    <x v="664"/>
    <s v="CFU/g"/>
    <n v="0"/>
    <n v="100"/>
    <x v="364"/>
    <x v="6"/>
  </r>
  <r>
    <s v="S001253"/>
    <s v="FLA-2024-00280"/>
    <x v="4"/>
    <x v="10"/>
    <x v="0"/>
    <x v="665"/>
    <s v="ppm"/>
    <n v="0"/>
    <n v="120"/>
    <x v="95"/>
    <x v="8"/>
  </r>
  <r>
    <s v="S001668"/>
    <s v="ARO-2024-00373"/>
    <x v="0"/>
    <x v="10"/>
    <x v="6"/>
    <x v="666"/>
    <s v="CFU/g"/>
    <n v="0"/>
    <n v="100"/>
    <x v="234"/>
    <x v="5"/>
  </r>
  <r>
    <s v="S001944"/>
    <s v="ARO-2025-00435"/>
    <x v="0"/>
    <x v="5"/>
    <x v="3"/>
    <x v="667"/>
    <s v="%"/>
    <n v="97"/>
    <n v="100"/>
    <x v="163"/>
    <x v="2"/>
  </r>
  <r>
    <s v="S000894"/>
    <s v="ESS-2024-00202"/>
    <x v="2"/>
    <x v="6"/>
    <x v="0"/>
    <x v="668"/>
    <s v="ppm"/>
    <n v="0"/>
    <n v="120"/>
    <x v="155"/>
    <x v="2"/>
  </r>
  <r>
    <s v="S000273"/>
    <s v="FLA-2024-00062"/>
    <x v="4"/>
    <x v="7"/>
    <x v="6"/>
    <x v="669"/>
    <s v="CFU/g"/>
    <n v="0"/>
    <n v="100"/>
    <x v="263"/>
    <x v="8"/>
  </r>
  <r>
    <s v="S001297"/>
    <s v="FRA-2025-00290"/>
    <x v="3"/>
    <x v="1"/>
    <x v="2"/>
    <x v="670"/>
    <s v="um"/>
    <n v="150"/>
    <n v="400"/>
    <x v="51"/>
    <x v="2"/>
  </r>
  <r>
    <s v="S000421"/>
    <s v="FLA-2024-00095"/>
    <x v="4"/>
    <x v="2"/>
    <x v="6"/>
    <x v="671"/>
    <s v="CFU/g"/>
    <n v="0"/>
    <n v="100"/>
    <x v="128"/>
    <x v="2"/>
  </r>
  <r>
    <s v="S000095"/>
    <s v="FOO-2025-00023"/>
    <x v="1"/>
    <x v="4"/>
    <x v="6"/>
    <x v="672"/>
    <s v="CFU/g"/>
    <n v="0"/>
    <n v="100"/>
    <x v="203"/>
    <x v="0"/>
  </r>
  <r>
    <s v="S001370"/>
    <s v="FLA-2024-00306"/>
    <x v="4"/>
    <x v="5"/>
    <x v="5"/>
    <x v="673"/>
    <m/>
    <n v="6"/>
    <n v="7.5"/>
    <x v="343"/>
    <x v="1"/>
  </r>
  <r>
    <s v="S001585"/>
    <s v="FLA-2025-00353"/>
    <x v="4"/>
    <x v="7"/>
    <x v="3"/>
    <x v="674"/>
    <s v="%"/>
    <n v="97"/>
    <n v="100"/>
    <x v="75"/>
    <x v="1"/>
  </r>
  <r>
    <s v="S001596"/>
    <s v="FOO-2025-00356"/>
    <x v="1"/>
    <x v="2"/>
    <x v="2"/>
    <x v="675"/>
    <s v="um"/>
    <n v="150"/>
    <n v="400"/>
    <x v="246"/>
    <x v="3"/>
  </r>
  <r>
    <s v="S000043"/>
    <s v="FRA-2025-00010"/>
    <x v="3"/>
    <x v="0"/>
    <x v="6"/>
    <x v="676"/>
    <s v="CFU/g"/>
    <n v="0"/>
    <n v="100"/>
    <x v="249"/>
    <x v="1"/>
  </r>
  <r>
    <s v="S000057"/>
    <s v="ARO-2025-00014"/>
    <x v="0"/>
    <x v="5"/>
    <x v="6"/>
    <x v="677"/>
    <s v="CFU/g"/>
    <n v="0"/>
    <n v="100"/>
    <x v="97"/>
    <x v="4"/>
  </r>
  <r>
    <s v="S001602"/>
    <s v="FRA-2024-00358"/>
    <x v="3"/>
    <x v="3"/>
    <x v="6"/>
    <x v="678"/>
    <s v="CFU/g"/>
    <n v="0"/>
    <n v="100"/>
    <x v="81"/>
    <x v="5"/>
  </r>
  <r>
    <s v="S001495"/>
    <s v="ESS-2025-00333"/>
    <x v="2"/>
    <x v="7"/>
    <x v="0"/>
    <x v="679"/>
    <s v="ppm"/>
    <n v="0"/>
    <n v="120"/>
    <x v="44"/>
    <x v="6"/>
  </r>
  <r>
    <s v="S001943"/>
    <s v="ARO-2025-00435"/>
    <x v="0"/>
    <x v="5"/>
    <x v="1"/>
    <x v="224"/>
    <s v="g/ml"/>
    <n v="0.88"/>
    <n v="0.97"/>
    <x v="365"/>
    <x v="7"/>
  </r>
  <r>
    <s v="S001634"/>
    <s v="FOO-2025-00365"/>
    <x v="1"/>
    <x v="4"/>
    <x v="2"/>
    <x v="680"/>
    <s v="um"/>
    <n v="150"/>
    <n v="400"/>
    <x v="366"/>
    <x v="3"/>
  </r>
  <r>
    <s v="S000889"/>
    <s v="FLA-2025-00201"/>
    <x v="4"/>
    <x v="3"/>
    <x v="0"/>
    <x v="681"/>
    <s v="ppm"/>
    <n v="0"/>
    <n v="120"/>
    <x v="178"/>
    <x v="1"/>
  </r>
  <r>
    <s v="S000575"/>
    <s v="FRA-2024-00129"/>
    <x v="3"/>
    <x v="3"/>
    <x v="5"/>
    <x v="293"/>
    <m/>
    <n v="6"/>
    <n v="7.5"/>
    <x v="141"/>
    <x v="5"/>
  </r>
  <r>
    <s v="S000039"/>
    <s v="FLA-2024-00009"/>
    <x v="4"/>
    <x v="4"/>
    <x v="0"/>
    <x v="682"/>
    <s v="ppm"/>
    <n v="0"/>
    <n v="120"/>
    <x v="92"/>
    <x v="1"/>
  </r>
  <r>
    <s v="S000307"/>
    <s v="FRA-2024-00069"/>
    <x v="3"/>
    <x v="1"/>
    <x v="0"/>
    <x v="683"/>
    <s v="ppm"/>
    <n v="0"/>
    <n v="120"/>
    <x v="180"/>
    <x v="3"/>
  </r>
  <r>
    <s v="S000669"/>
    <s v="FLA-2024-00152"/>
    <x v="4"/>
    <x v="7"/>
    <x v="3"/>
    <x v="69"/>
    <s v="%"/>
    <n v="97"/>
    <n v="100"/>
    <x v="26"/>
    <x v="8"/>
  </r>
  <r>
    <s v="S000007"/>
    <s v="ARO-2025-00002"/>
    <x v="0"/>
    <x v="2"/>
    <x v="0"/>
    <x v="684"/>
    <s v="ppm"/>
    <n v="0"/>
    <n v="120"/>
    <x v="115"/>
    <x v="0"/>
  </r>
  <r>
    <s v="S001197"/>
    <s v="ARO-2024-00268"/>
    <x v="0"/>
    <x v="3"/>
    <x v="2"/>
    <x v="685"/>
    <s v="um"/>
    <n v="150"/>
    <n v="400"/>
    <x v="215"/>
    <x v="3"/>
  </r>
  <r>
    <s v="S000783"/>
    <s v="ARO-2025-00177"/>
    <x v="0"/>
    <x v="7"/>
    <x v="6"/>
    <x v="686"/>
    <s v="CFU/g"/>
    <n v="0"/>
    <n v="100"/>
    <x v="187"/>
    <x v="7"/>
  </r>
  <r>
    <s v="S000409"/>
    <s v="ARO-2024-00092"/>
    <x v="0"/>
    <x v="9"/>
    <x v="3"/>
    <x v="687"/>
    <s v="%"/>
    <n v="97"/>
    <n v="100"/>
    <x v="287"/>
    <x v="3"/>
  </r>
  <r>
    <s v="S001891"/>
    <s v="FOO-2025-00423"/>
    <x v="1"/>
    <x v="5"/>
    <x v="4"/>
    <x v="688"/>
    <s v="%"/>
    <n v="0"/>
    <n v="1"/>
    <x v="182"/>
    <x v="0"/>
  </r>
  <r>
    <s v="S000782"/>
    <s v="ARO-2025-00177"/>
    <x v="0"/>
    <x v="7"/>
    <x v="3"/>
    <x v="689"/>
    <s v="%"/>
    <n v="97"/>
    <n v="100"/>
    <x v="187"/>
    <x v="5"/>
  </r>
  <r>
    <s v="S000167"/>
    <s v="ESS-2024-00039"/>
    <x v="2"/>
    <x v="3"/>
    <x v="0"/>
    <x v="690"/>
    <s v="ppm"/>
    <n v="0"/>
    <n v="120"/>
    <x v="248"/>
    <x v="2"/>
  </r>
  <r>
    <s v="S000535"/>
    <s v="ARO-2024-00120"/>
    <x v="0"/>
    <x v="2"/>
    <x v="3"/>
    <x v="691"/>
    <s v="%"/>
    <n v="97"/>
    <n v="100"/>
    <x v="314"/>
    <x v="3"/>
  </r>
  <r>
    <s v="S000584"/>
    <s v="FOO-2024-00131"/>
    <x v="1"/>
    <x v="5"/>
    <x v="2"/>
    <x v="692"/>
    <s v="um"/>
    <n v="150"/>
    <n v="400"/>
    <x v="193"/>
    <x v="0"/>
  </r>
  <r>
    <s v="S001260"/>
    <s v="FLA-2024-00282"/>
    <x v="4"/>
    <x v="7"/>
    <x v="5"/>
    <x v="336"/>
    <m/>
    <n v="6"/>
    <n v="7.5"/>
    <x v="138"/>
    <x v="5"/>
  </r>
  <r>
    <s v="S001911"/>
    <s v="ESS-2024-00428"/>
    <x v="2"/>
    <x v="7"/>
    <x v="3"/>
    <x v="693"/>
    <s v="%"/>
    <n v="97"/>
    <n v="100"/>
    <x v="214"/>
    <x v="7"/>
  </r>
  <r>
    <s v="S001430"/>
    <s v="ARO-2024-00318"/>
    <x v="0"/>
    <x v="8"/>
    <x v="0"/>
    <x v="694"/>
    <s v="ppm"/>
    <n v="0"/>
    <n v="120"/>
    <x v="62"/>
    <x v="1"/>
  </r>
  <r>
    <s v="S001995"/>
    <s v="FOO-2024-00445"/>
    <x v="1"/>
    <x v="0"/>
    <x v="3"/>
    <x v="695"/>
    <s v="%"/>
    <n v="97"/>
    <n v="100"/>
    <x v="367"/>
    <x v="3"/>
  </r>
  <r>
    <s v="S001775"/>
    <s v="FOO-2025-00397"/>
    <x v="1"/>
    <x v="2"/>
    <x v="0"/>
    <x v="696"/>
    <s v="ppm"/>
    <n v="0"/>
    <n v="120"/>
    <x v="368"/>
    <x v="1"/>
  </r>
  <r>
    <s v="S001264"/>
    <s v="FLA-2025-00283"/>
    <x v="4"/>
    <x v="10"/>
    <x v="6"/>
    <x v="697"/>
    <s v="CFU/g"/>
    <n v="0"/>
    <n v="100"/>
    <x v="320"/>
    <x v="4"/>
  </r>
  <r>
    <s v="S001899"/>
    <s v="ARO-2025-00425"/>
    <x v="0"/>
    <x v="6"/>
    <x v="1"/>
    <x v="314"/>
    <s v="g/ml"/>
    <n v="0.88"/>
    <n v="0.97"/>
    <x v="107"/>
    <x v="7"/>
  </r>
  <r>
    <s v="S001115"/>
    <s v="FOO-2025-00251"/>
    <x v="1"/>
    <x v="7"/>
    <x v="5"/>
    <x v="698"/>
    <m/>
    <n v="6"/>
    <n v="7.5"/>
    <x v="28"/>
    <x v="2"/>
  </r>
  <r>
    <s v="S001124"/>
    <s v="FRA-2025-00252"/>
    <x v="3"/>
    <x v="7"/>
    <x v="5"/>
    <x v="699"/>
    <m/>
    <n v="6"/>
    <n v="7.5"/>
    <x v="184"/>
    <x v="0"/>
  </r>
  <r>
    <s v="S001381"/>
    <s v="FLA-2024-00308"/>
    <x v="4"/>
    <x v="9"/>
    <x v="1"/>
    <x v="1"/>
    <s v="g/ml"/>
    <n v="0.88"/>
    <n v="0.97"/>
    <x v="221"/>
    <x v="1"/>
  </r>
  <r>
    <s v="S000814"/>
    <s v="FRA-2024-00184"/>
    <x v="3"/>
    <x v="7"/>
    <x v="2"/>
    <x v="700"/>
    <s v="um"/>
    <n v="150"/>
    <n v="400"/>
    <x v="244"/>
    <x v="6"/>
  </r>
  <r>
    <s v="S000317"/>
    <s v="FLA-2024-00072"/>
    <x v="4"/>
    <x v="2"/>
    <x v="0"/>
    <x v="701"/>
    <s v="ppm"/>
    <n v="0"/>
    <n v="120"/>
    <x v="271"/>
    <x v="0"/>
  </r>
  <r>
    <s v="S001289"/>
    <s v="ARO-2024-00288"/>
    <x v="0"/>
    <x v="7"/>
    <x v="6"/>
    <x v="702"/>
    <s v="CFU/g"/>
    <n v="0"/>
    <n v="100"/>
    <x v="217"/>
    <x v="3"/>
  </r>
  <r>
    <s v="S001959"/>
    <s v="FRA-2024-00438"/>
    <x v="3"/>
    <x v="7"/>
    <x v="3"/>
    <x v="167"/>
    <s v="%"/>
    <n v="97"/>
    <n v="100"/>
    <x v="35"/>
    <x v="6"/>
  </r>
  <r>
    <s v="S000517"/>
    <s v="FOO-2025-00116"/>
    <x v="1"/>
    <x v="1"/>
    <x v="0"/>
    <x v="703"/>
    <s v="ppm"/>
    <n v="0"/>
    <n v="120"/>
    <x v="6"/>
    <x v="7"/>
  </r>
  <r>
    <s v="S001861"/>
    <s v="ESS-2025-00416"/>
    <x v="2"/>
    <x v="0"/>
    <x v="1"/>
    <x v="85"/>
    <s v="g/ml"/>
    <n v="0.88"/>
    <n v="0.97"/>
    <x v="73"/>
    <x v="1"/>
  </r>
  <r>
    <s v="S001675"/>
    <s v="ESS-2025-00375"/>
    <x v="2"/>
    <x v="0"/>
    <x v="5"/>
    <x v="704"/>
    <m/>
    <n v="6"/>
    <n v="7.5"/>
    <x v="28"/>
    <x v="1"/>
  </r>
  <r>
    <s v="S001694"/>
    <s v="ESS-2024-00379"/>
    <x v="2"/>
    <x v="2"/>
    <x v="2"/>
    <x v="705"/>
    <s v="um"/>
    <n v="150"/>
    <n v="400"/>
    <x v="22"/>
    <x v="6"/>
  </r>
  <r>
    <s v="S000534"/>
    <s v="ARO-2024-00120"/>
    <x v="0"/>
    <x v="6"/>
    <x v="5"/>
    <x v="327"/>
    <m/>
    <n v="6"/>
    <n v="7.5"/>
    <x v="314"/>
    <x v="7"/>
  </r>
  <r>
    <s v="S000174"/>
    <s v="FOO-2025-00041"/>
    <x v="1"/>
    <x v="5"/>
    <x v="4"/>
    <x v="62"/>
    <s v="%"/>
    <n v="0"/>
    <n v="1"/>
    <x v="88"/>
    <x v="2"/>
  </r>
  <r>
    <s v="S001049"/>
    <s v="ESS-2024-00235"/>
    <x v="2"/>
    <x v="1"/>
    <x v="5"/>
    <x v="706"/>
    <m/>
    <n v="6"/>
    <n v="7.5"/>
    <x v="141"/>
    <x v="8"/>
  </r>
  <r>
    <s v="S000272"/>
    <s v="FLA-2024-00062"/>
    <x v="4"/>
    <x v="9"/>
    <x v="4"/>
    <x v="122"/>
    <s v="%"/>
    <n v="0"/>
    <n v="1"/>
    <x v="263"/>
    <x v="2"/>
  </r>
  <r>
    <s v="S000549"/>
    <s v="FLA-2024-00123"/>
    <x v="4"/>
    <x v="8"/>
    <x v="1"/>
    <x v="46"/>
    <s v="g/ml"/>
    <n v="0.88"/>
    <n v="0.97"/>
    <x v="369"/>
    <x v="1"/>
  </r>
  <r>
    <s v="S000965"/>
    <s v="FRA-2024-00218"/>
    <x v="3"/>
    <x v="3"/>
    <x v="6"/>
    <x v="707"/>
    <s v="CFU/g"/>
    <n v="0"/>
    <n v="100"/>
    <x v="173"/>
    <x v="5"/>
  </r>
  <r>
    <s v="S001704"/>
    <s v="ARO-2025-00381"/>
    <x v="0"/>
    <x v="7"/>
    <x v="5"/>
    <x v="327"/>
    <m/>
    <n v="6"/>
    <n v="7.5"/>
    <x v="31"/>
    <x v="5"/>
  </r>
  <r>
    <s v="S001637"/>
    <s v="ESS-2024-00366"/>
    <x v="2"/>
    <x v="7"/>
    <x v="1"/>
    <x v="17"/>
    <s v="g/ml"/>
    <n v="0.88"/>
    <n v="0.97"/>
    <x v="130"/>
    <x v="1"/>
  </r>
  <r>
    <s v="S000599"/>
    <s v="ARO-2025-00134"/>
    <x v="0"/>
    <x v="5"/>
    <x v="3"/>
    <x v="708"/>
    <s v="%"/>
    <n v="97"/>
    <n v="100"/>
    <x v="108"/>
    <x v="4"/>
  </r>
  <r>
    <s v="S001610"/>
    <s v="ESS-2024-00359"/>
    <x v="2"/>
    <x v="3"/>
    <x v="3"/>
    <x v="251"/>
    <s v="%"/>
    <n v="97"/>
    <n v="100"/>
    <x v="196"/>
    <x v="5"/>
  </r>
  <r>
    <s v="S000571"/>
    <s v="FLA-2024-00128"/>
    <x v="4"/>
    <x v="2"/>
    <x v="0"/>
    <x v="709"/>
    <s v="ppm"/>
    <n v="0"/>
    <n v="120"/>
    <x v="327"/>
    <x v="5"/>
  </r>
  <r>
    <s v="S000075"/>
    <s v="FRA-2025-00018"/>
    <x v="3"/>
    <x v="1"/>
    <x v="3"/>
    <x v="710"/>
    <s v="%"/>
    <n v="97"/>
    <n v="100"/>
    <x v="278"/>
    <x v="7"/>
  </r>
  <r>
    <s v="S000062"/>
    <s v="ESS-2025-00015"/>
    <x v="2"/>
    <x v="8"/>
    <x v="3"/>
    <x v="711"/>
    <s v="%"/>
    <n v="97"/>
    <n v="100"/>
    <x v="268"/>
    <x v="4"/>
  </r>
  <r>
    <s v="S001993"/>
    <s v="FOO-2024-00445"/>
    <x v="1"/>
    <x v="3"/>
    <x v="1"/>
    <x v="224"/>
    <s v="g/ml"/>
    <n v="0.88"/>
    <n v="0.97"/>
    <x v="367"/>
    <x v="1"/>
  </r>
  <r>
    <s v="S000810"/>
    <s v="FRA-2024-00184"/>
    <x v="3"/>
    <x v="9"/>
    <x v="6"/>
    <x v="712"/>
    <s v="CFU/g"/>
    <n v="0"/>
    <n v="100"/>
    <x v="244"/>
    <x v="2"/>
  </r>
  <r>
    <s v="S000245"/>
    <s v="ESS-2025-00055"/>
    <x v="2"/>
    <x v="1"/>
    <x v="4"/>
    <x v="29"/>
    <s v="%"/>
    <n v="0"/>
    <n v="1"/>
    <x v="370"/>
    <x v="8"/>
  </r>
  <r>
    <s v="S001105"/>
    <s v="ARO-2024-00248"/>
    <x v="0"/>
    <x v="7"/>
    <x v="3"/>
    <x v="713"/>
    <s v="%"/>
    <n v="97"/>
    <n v="100"/>
    <x v="241"/>
    <x v="3"/>
  </r>
  <r>
    <s v="S001449"/>
    <s v="FLA-2024-00323"/>
    <x v="4"/>
    <x v="0"/>
    <x v="0"/>
    <x v="714"/>
    <s v="ppm"/>
    <n v="0"/>
    <n v="120"/>
    <x v="70"/>
    <x v="7"/>
  </r>
  <r>
    <s v="S000106"/>
    <s v="ESS-2025-00024"/>
    <x v="2"/>
    <x v="8"/>
    <x v="4"/>
    <x v="29"/>
    <s v="%"/>
    <n v="0"/>
    <n v="1"/>
    <x v="371"/>
    <x v="5"/>
  </r>
  <r>
    <s v="S000674"/>
    <s v="FOO-2025-00153"/>
    <x v="1"/>
    <x v="5"/>
    <x v="6"/>
    <x v="715"/>
    <s v="CFU/g"/>
    <n v="0"/>
    <n v="100"/>
    <x v="36"/>
    <x v="8"/>
  </r>
  <r>
    <s v="S000643"/>
    <s v="ESS-2024-00146"/>
    <x v="2"/>
    <x v="7"/>
    <x v="0"/>
    <x v="716"/>
    <s v="ppm"/>
    <n v="0"/>
    <n v="120"/>
    <x v="228"/>
    <x v="2"/>
  </r>
  <r>
    <s v="S001272"/>
    <s v="FLA-2024-00284"/>
    <x v="4"/>
    <x v="1"/>
    <x v="3"/>
    <x v="717"/>
    <s v="%"/>
    <n v="97"/>
    <n v="100"/>
    <x v="96"/>
    <x v="8"/>
  </r>
  <r>
    <s v="S000666"/>
    <s v="FLA-2024-00152"/>
    <x v="4"/>
    <x v="10"/>
    <x v="6"/>
    <x v="718"/>
    <s v="CFU/g"/>
    <n v="0"/>
    <n v="100"/>
    <x v="26"/>
    <x v="8"/>
  </r>
  <r>
    <s v="S000510"/>
    <s v="ARO-2025-00114"/>
    <x v="0"/>
    <x v="7"/>
    <x v="2"/>
    <x v="719"/>
    <s v="um"/>
    <n v="150"/>
    <n v="400"/>
    <x v="372"/>
    <x v="4"/>
  </r>
  <r>
    <s v="S000132"/>
    <s v="FLA-2024-00031"/>
    <x v="4"/>
    <x v="3"/>
    <x v="4"/>
    <x v="81"/>
    <s v="%"/>
    <n v="0"/>
    <n v="1"/>
    <x v="330"/>
    <x v="8"/>
  </r>
  <r>
    <s v="S000445"/>
    <s v="FOO-2024-00100"/>
    <x v="1"/>
    <x v="1"/>
    <x v="4"/>
    <x v="52"/>
    <s v="%"/>
    <n v="0"/>
    <n v="1"/>
    <x v="263"/>
    <x v="0"/>
  </r>
  <r>
    <s v="S000867"/>
    <s v="ESS-2024-00196"/>
    <x v="2"/>
    <x v="5"/>
    <x v="4"/>
    <x v="57"/>
    <s v="%"/>
    <n v="0"/>
    <n v="1"/>
    <x v="154"/>
    <x v="0"/>
  </r>
  <r>
    <s v="S000809"/>
    <s v="ESS-2025-00183"/>
    <x v="2"/>
    <x v="2"/>
    <x v="4"/>
    <x v="274"/>
    <s v="%"/>
    <n v="0"/>
    <n v="1"/>
    <x v="176"/>
    <x v="6"/>
  </r>
  <r>
    <s v="S001779"/>
    <s v="FOO-2025-00398"/>
    <x v="1"/>
    <x v="5"/>
    <x v="6"/>
    <x v="720"/>
    <s v="CFU/g"/>
    <n v="0"/>
    <n v="100"/>
    <x v="192"/>
    <x v="8"/>
  </r>
  <r>
    <s v="S000058"/>
    <s v="ARO-2025-00014"/>
    <x v="0"/>
    <x v="5"/>
    <x v="1"/>
    <x v="1"/>
    <s v="g/ml"/>
    <n v="0.88"/>
    <n v="0.97"/>
    <x v="97"/>
    <x v="1"/>
  </r>
  <r>
    <s v="S001660"/>
    <s v="FRA-2024-00371"/>
    <x v="3"/>
    <x v="1"/>
    <x v="5"/>
    <x v="558"/>
    <m/>
    <n v="6"/>
    <n v="7.5"/>
    <x v="38"/>
    <x v="7"/>
  </r>
  <r>
    <s v="S001071"/>
    <s v="ESS-2025-00239"/>
    <x v="2"/>
    <x v="1"/>
    <x v="5"/>
    <x v="350"/>
    <m/>
    <n v="6"/>
    <n v="7.5"/>
    <x v="373"/>
    <x v="1"/>
  </r>
  <r>
    <s v="S001135"/>
    <s v="FRA-2025-00255"/>
    <x v="3"/>
    <x v="6"/>
    <x v="5"/>
    <x v="517"/>
    <m/>
    <n v="6"/>
    <n v="7.5"/>
    <x v="145"/>
    <x v="6"/>
  </r>
  <r>
    <s v="S000087"/>
    <s v="FRA-2024-00021"/>
    <x v="3"/>
    <x v="9"/>
    <x v="0"/>
    <x v="721"/>
    <s v="ppm"/>
    <n v="0"/>
    <n v="120"/>
    <x v="374"/>
    <x v="5"/>
  </r>
  <r>
    <s v="S001853"/>
    <s v="FLA-2025-00414"/>
    <x v="4"/>
    <x v="2"/>
    <x v="2"/>
    <x v="40"/>
    <s v="um"/>
    <n v="150"/>
    <n v="400"/>
    <x v="322"/>
    <x v="3"/>
  </r>
  <r>
    <s v="S000772"/>
    <s v="FOO-2024-00175"/>
    <x v="1"/>
    <x v="1"/>
    <x v="0"/>
    <x v="722"/>
    <s v="ppm"/>
    <n v="0"/>
    <n v="120"/>
    <x v="83"/>
    <x v="4"/>
  </r>
  <r>
    <s v="S001233"/>
    <s v="FRA-2024-00275"/>
    <x v="3"/>
    <x v="4"/>
    <x v="4"/>
    <x v="83"/>
    <s v="%"/>
    <n v="0"/>
    <n v="1"/>
    <x v="78"/>
    <x v="7"/>
  </r>
  <r>
    <s v="S000709"/>
    <s v="ARO-2025-00161"/>
    <x v="0"/>
    <x v="10"/>
    <x v="3"/>
    <x v="28"/>
    <s v="%"/>
    <n v="97"/>
    <n v="100"/>
    <x v="272"/>
    <x v="8"/>
  </r>
  <r>
    <s v="S001559"/>
    <s v="FRA-2024-00347"/>
    <x v="3"/>
    <x v="3"/>
    <x v="4"/>
    <x v="111"/>
    <s v="%"/>
    <n v="0"/>
    <n v="1"/>
    <x v="375"/>
    <x v="1"/>
  </r>
  <r>
    <s v="S001341"/>
    <s v="ESS-2024-00299"/>
    <x v="2"/>
    <x v="1"/>
    <x v="5"/>
    <x v="389"/>
    <m/>
    <n v="6"/>
    <n v="7.5"/>
    <x v="263"/>
    <x v="1"/>
  </r>
  <r>
    <s v="S001564"/>
    <s v="FOO-2024-00348"/>
    <x v="1"/>
    <x v="6"/>
    <x v="0"/>
    <x v="723"/>
    <s v="ppm"/>
    <n v="0"/>
    <n v="120"/>
    <x v="135"/>
    <x v="8"/>
  </r>
  <r>
    <s v="S000539"/>
    <s v="FLA-2024-00121"/>
    <x v="4"/>
    <x v="8"/>
    <x v="6"/>
    <x v="724"/>
    <s v="CFU/g"/>
    <n v="0"/>
    <n v="100"/>
    <x v="69"/>
    <x v="8"/>
  </r>
  <r>
    <s v="S001881"/>
    <s v="FLA-2025-00421"/>
    <x v="4"/>
    <x v="6"/>
    <x v="3"/>
    <x v="725"/>
    <s v="%"/>
    <n v="97"/>
    <n v="100"/>
    <x v="133"/>
    <x v="4"/>
  </r>
  <r>
    <s v="S001181"/>
    <s v="ARO-2024-00265"/>
    <x v="0"/>
    <x v="3"/>
    <x v="3"/>
    <x v="494"/>
    <s v="%"/>
    <n v="97"/>
    <n v="100"/>
    <x v="77"/>
    <x v="0"/>
  </r>
  <r>
    <s v="S001555"/>
    <s v="ESS-2024-00346"/>
    <x v="2"/>
    <x v="1"/>
    <x v="3"/>
    <x v="726"/>
    <s v="%"/>
    <n v="97"/>
    <n v="100"/>
    <x v="204"/>
    <x v="7"/>
  </r>
  <r>
    <s v="S001308"/>
    <s v="ESS-2025-00292"/>
    <x v="2"/>
    <x v="2"/>
    <x v="1"/>
    <x v="430"/>
    <s v="g/ml"/>
    <n v="0.88"/>
    <n v="0.97"/>
    <x v="279"/>
    <x v="0"/>
  </r>
  <r>
    <s v="S000419"/>
    <s v="FLA-2024-00095"/>
    <x v="4"/>
    <x v="2"/>
    <x v="2"/>
    <x v="727"/>
    <s v="um"/>
    <n v="150"/>
    <n v="400"/>
    <x v="128"/>
    <x v="8"/>
  </r>
  <r>
    <s v="S001848"/>
    <s v="FLA-2025-00413"/>
    <x v="4"/>
    <x v="7"/>
    <x v="4"/>
    <x v="29"/>
    <s v="%"/>
    <n v="0"/>
    <n v="1"/>
    <x v="136"/>
    <x v="8"/>
  </r>
  <r>
    <s v="S001705"/>
    <s v="ARO-2025-00381"/>
    <x v="0"/>
    <x v="7"/>
    <x v="4"/>
    <x v="157"/>
    <s v="%"/>
    <n v="0"/>
    <n v="1"/>
    <x v="31"/>
    <x v="3"/>
  </r>
  <r>
    <s v="S001282"/>
    <s v="ESS-2025-00286"/>
    <x v="2"/>
    <x v="3"/>
    <x v="2"/>
    <x v="728"/>
    <s v="um"/>
    <n v="150"/>
    <n v="400"/>
    <x v="109"/>
    <x v="6"/>
  </r>
  <r>
    <s v="S000852"/>
    <s v="FRA-2024-00193"/>
    <x v="3"/>
    <x v="5"/>
    <x v="6"/>
    <x v="729"/>
    <s v="CFU/g"/>
    <n v="0"/>
    <n v="100"/>
    <x v="257"/>
    <x v="6"/>
  </r>
  <r>
    <s v="S001750"/>
    <s v="ESS-2025-00391"/>
    <x v="2"/>
    <x v="1"/>
    <x v="4"/>
    <x v="274"/>
    <s v="%"/>
    <n v="0"/>
    <n v="1"/>
    <x v="324"/>
    <x v="6"/>
  </r>
  <r>
    <s v="S001727"/>
    <s v="FRA-2025-00386"/>
    <x v="3"/>
    <x v="0"/>
    <x v="3"/>
    <x v="730"/>
    <s v="%"/>
    <n v="97"/>
    <n v="100"/>
    <x v="181"/>
    <x v="0"/>
  </r>
  <r>
    <s v="S001691"/>
    <s v="ESS-2025-00378"/>
    <x v="2"/>
    <x v="7"/>
    <x v="4"/>
    <x v="50"/>
    <s v="%"/>
    <n v="0"/>
    <n v="1"/>
    <x v="376"/>
    <x v="3"/>
  </r>
  <r>
    <s v="S001855"/>
    <s v="FLA-2024-00415"/>
    <x v="4"/>
    <x v="7"/>
    <x v="1"/>
    <x v="430"/>
    <s v="g/ml"/>
    <n v="0.88"/>
    <n v="0.97"/>
    <x v="307"/>
    <x v="4"/>
  </r>
  <r>
    <s v="S001804"/>
    <s v="ESS-2024-00404"/>
    <x v="2"/>
    <x v="6"/>
    <x v="2"/>
    <x v="731"/>
    <s v="um"/>
    <n v="150"/>
    <n v="400"/>
    <x v="226"/>
    <x v="3"/>
  </r>
  <r>
    <s v="S001730"/>
    <s v="ESS-2025-00387"/>
    <x v="2"/>
    <x v="2"/>
    <x v="0"/>
    <x v="732"/>
    <s v="ppm"/>
    <n v="0"/>
    <n v="120"/>
    <x v="325"/>
    <x v="3"/>
  </r>
  <r>
    <s v="S001796"/>
    <s v="FLA-2024-00402"/>
    <x v="4"/>
    <x v="8"/>
    <x v="3"/>
    <x v="537"/>
    <s v="%"/>
    <n v="97"/>
    <n v="100"/>
    <x v="91"/>
    <x v="3"/>
  </r>
  <r>
    <s v="S000305"/>
    <s v="FRA-2024-00069"/>
    <x v="3"/>
    <x v="4"/>
    <x v="4"/>
    <x v="113"/>
    <s v="%"/>
    <n v="0"/>
    <n v="1"/>
    <x v="180"/>
    <x v="3"/>
  </r>
  <r>
    <s v="S001517"/>
    <s v="FRA-2024-00338"/>
    <x v="3"/>
    <x v="5"/>
    <x v="0"/>
    <x v="733"/>
    <s v="ppm"/>
    <n v="0"/>
    <n v="120"/>
    <x v="7"/>
    <x v="3"/>
  </r>
  <r>
    <s v="S000336"/>
    <s v="ARO-2025-00076"/>
    <x v="0"/>
    <x v="5"/>
    <x v="3"/>
    <x v="84"/>
    <s v="%"/>
    <n v="97"/>
    <n v="100"/>
    <x v="377"/>
    <x v="3"/>
  </r>
  <r>
    <s v="S000996"/>
    <s v="ARO-2025-00225"/>
    <x v="0"/>
    <x v="5"/>
    <x v="6"/>
    <x v="734"/>
    <s v="CFU/g"/>
    <n v="0"/>
    <n v="100"/>
    <x v="164"/>
    <x v="0"/>
  </r>
  <r>
    <s v="S000570"/>
    <s v="FLA-2024-00128"/>
    <x v="4"/>
    <x v="2"/>
    <x v="3"/>
    <x v="735"/>
    <s v="%"/>
    <n v="97"/>
    <n v="100"/>
    <x v="327"/>
    <x v="4"/>
  </r>
  <r>
    <s v="S000089"/>
    <s v="FRA-2024-00021"/>
    <x v="3"/>
    <x v="7"/>
    <x v="4"/>
    <x v="467"/>
    <s v="%"/>
    <n v="0"/>
    <n v="1"/>
    <x v="374"/>
    <x v="3"/>
  </r>
  <r>
    <s v="S000875"/>
    <s v="FOO-2025-00198"/>
    <x v="1"/>
    <x v="2"/>
    <x v="6"/>
    <x v="736"/>
    <s v="CFU/g"/>
    <n v="0"/>
    <n v="100"/>
    <x v="48"/>
    <x v="5"/>
  </r>
  <r>
    <s v="S001152"/>
    <s v="FOO-2025-00258"/>
    <x v="1"/>
    <x v="6"/>
    <x v="4"/>
    <x v="62"/>
    <s v="%"/>
    <n v="0"/>
    <n v="1"/>
    <x v="311"/>
    <x v="3"/>
  </r>
  <r>
    <s v="S001524"/>
    <s v="FRA-2024-00340"/>
    <x v="3"/>
    <x v="8"/>
    <x v="6"/>
    <x v="737"/>
    <s v="CFU/g"/>
    <n v="0"/>
    <n v="100"/>
    <x v="90"/>
    <x v="6"/>
  </r>
  <r>
    <s v="S000713"/>
    <s v="FLA-2025-00162"/>
    <x v="4"/>
    <x v="2"/>
    <x v="1"/>
    <x v="80"/>
    <s v="g/ml"/>
    <n v="0.88"/>
    <n v="0.97"/>
    <x v="65"/>
    <x v="6"/>
  </r>
  <r>
    <s v="S001747"/>
    <s v="FLA-2025-00390"/>
    <x v="4"/>
    <x v="7"/>
    <x v="6"/>
    <x v="738"/>
    <s v="CFU/g"/>
    <n v="0"/>
    <n v="100"/>
    <x v="199"/>
    <x v="8"/>
  </r>
  <r>
    <s v="S001850"/>
    <s v="FLA-2025-00413"/>
    <x v="4"/>
    <x v="7"/>
    <x v="2"/>
    <x v="739"/>
    <s v="um"/>
    <n v="150"/>
    <n v="400"/>
    <x v="136"/>
    <x v="8"/>
  </r>
  <r>
    <s v="S001382"/>
    <s v="ARO-2025-00309"/>
    <x v="0"/>
    <x v="7"/>
    <x v="1"/>
    <x v="80"/>
    <s v="g/ml"/>
    <n v="0.88"/>
    <n v="0.97"/>
    <x v="253"/>
    <x v="4"/>
  </r>
  <r>
    <s v="S000222"/>
    <s v="ARO-2024-00051"/>
    <x v="0"/>
    <x v="7"/>
    <x v="6"/>
    <x v="740"/>
    <s v="CFU/g"/>
    <n v="0"/>
    <n v="100"/>
    <x v="208"/>
    <x v="3"/>
  </r>
  <r>
    <s v="S000320"/>
    <s v="ARO-2025-00073"/>
    <x v="0"/>
    <x v="7"/>
    <x v="2"/>
    <x v="741"/>
    <s v="um"/>
    <n v="150"/>
    <n v="400"/>
    <x v="152"/>
    <x v="2"/>
  </r>
  <r>
    <s v="S001756"/>
    <s v="FRA-2024-00392"/>
    <x v="3"/>
    <x v="1"/>
    <x v="1"/>
    <x v="645"/>
    <s v="g/ml"/>
    <n v="0.88"/>
    <n v="0.97"/>
    <x v="139"/>
    <x v="5"/>
  </r>
  <r>
    <s v="S000879"/>
    <s v="FOO-2025-00199"/>
    <x v="1"/>
    <x v="3"/>
    <x v="1"/>
    <x v="24"/>
    <s v="g/ml"/>
    <n v="0.88"/>
    <n v="0.97"/>
    <x v="289"/>
    <x v="2"/>
  </r>
  <r>
    <s v="S001802"/>
    <s v="ARO-2025-00403"/>
    <x v="0"/>
    <x v="10"/>
    <x v="4"/>
    <x v="82"/>
    <s v="%"/>
    <n v="0"/>
    <n v="1"/>
    <x v="84"/>
    <x v="4"/>
  </r>
  <r>
    <s v="S000826"/>
    <s v="FRA-2024-00187"/>
    <x v="3"/>
    <x v="1"/>
    <x v="5"/>
    <x v="742"/>
    <m/>
    <n v="6"/>
    <n v="7.5"/>
    <x v="340"/>
    <x v="3"/>
  </r>
  <r>
    <s v="S001987"/>
    <s v="FRA-2025-00444"/>
    <x v="3"/>
    <x v="6"/>
    <x v="0"/>
    <x v="133"/>
    <s v="ppm"/>
    <n v="0"/>
    <n v="120"/>
    <x v="322"/>
    <x v="5"/>
  </r>
  <r>
    <s v="S001468"/>
    <s v="ESS-2025-00327"/>
    <x v="2"/>
    <x v="0"/>
    <x v="6"/>
    <x v="743"/>
    <s v="CFU/g"/>
    <n v="0"/>
    <n v="100"/>
    <x v="82"/>
    <x v="7"/>
  </r>
  <r>
    <s v="S000139"/>
    <s v="FRA-2024-00033"/>
    <x v="3"/>
    <x v="5"/>
    <x v="1"/>
    <x v="24"/>
    <s v="g/ml"/>
    <n v="0.88"/>
    <n v="0.97"/>
    <x v="298"/>
    <x v="8"/>
  </r>
  <r>
    <s v="S000164"/>
    <s v="ESS-2024-00039"/>
    <x v="2"/>
    <x v="3"/>
    <x v="1"/>
    <x v="224"/>
    <s v="g/ml"/>
    <n v="0.88"/>
    <n v="0.97"/>
    <x v="248"/>
    <x v="7"/>
  </r>
  <r>
    <s v="S001782"/>
    <s v="FOO-2025-00398"/>
    <x v="1"/>
    <x v="5"/>
    <x v="0"/>
    <x v="744"/>
    <s v="ppm"/>
    <n v="0"/>
    <n v="120"/>
    <x v="192"/>
    <x v="5"/>
  </r>
  <r>
    <s v="S001451"/>
    <s v="FOO-2024-00324"/>
    <x v="1"/>
    <x v="8"/>
    <x v="5"/>
    <x v="704"/>
    <m/>
    <n v="6"/>
    <n v="7.5"/>
    <x v="260"/>
    <x v="3"/>
  </r>
  <r>
    <s v="S000961"/>
    <s v="FLA-2025-00217"/>
    <x v="4"/>
    <x v="2"/>
    <x v="4"/>
    <x v="653"/>
    <s v="%"/>
    <n v="0"/>
    <n v="1"/>
    <x v="378"/>
    <x v="2"/>
  </r>
  <r>
    <s v="S001709"/>
    <s v="FOO-2025-00382"/>
    <x v="1"/>
    <x v="2"/>
    <x v="0"/>
    <x v="745"/>
    <s v="ppm"/>
    <n v="0"/>
    <n v="120"/>
    <x v="63"/>
    <x v="3"/>
  </r>
  <r>
    <s v="S001243"/>
    <s v="ESS-2025-00278"/>
    <x v="2"/>
    <x v="3"/>
    <x v="0"/>
    <x v="746"/>
    <s v="ppm"/>
    <n v="0"/>
    <n v="120"/>
    <x v="216"/>
    <x v="5"/>
  </r>
  <r>
    <s v="S001180"/>
    <s v="FOO-2025-00264"/>
    <x v="1"/>
    <x v="6"/>
    <x v="3"/>
    <x v="710"/>
    <s v="%"/>
    <n v="97"/>
    <n v="100"/>
    <x v="288"/>
    <x v="6"/>
  </r>
  <r>
    <s v="S001931"/>
    <s v="FRA-2025-00432"/>
    <x v="3"/>
    <x v="6"/>
    <x v="3"/>
    <x v="747"/>
    <s v="%"/>
    <n v="97"/>
    <n v="100"/>
    <x v="225"/>
    <x v="6"/>
  </r>
  <r>
    <s v="S001680"/>
    <s v="FRA-2024-00376"/>
    <x v="3"/>
    <x v="3"/>
    <x v="1"/>
    <x v="314"/>
    <s v="g/ml"/>
    <n v="0.88"/>
    <n v="0.97"/>
    <x v="21"/>
    <x v="5"/>
  </r>
  <r>
    <s v="S001805"/>
    <s v="ESS-2024-00404"/>
    <x v="2"/>
    <x v="6"/>
    <x v="6"/>
    <x v="748"/>
    <s v="CFU/g"/>
    <n v="0"/>
    <n v="100"/>
    <x v="226"/>
    <x v="5"/>
  </r>
  <r>
    <s v="S000634"/>
    <s v="ESS-2025-00144"/>
    <x v="2"/>
    <x v="4"/>
    <x v="5"/>
    <x v="195"/>
    <m/>
    <n v="6"/>
    <n v="7.5"/>
    <x v="379"/>
    <x v="4"/>
  </r>
  <r>
    <s v="S001189"/>
    <s v="ARO-2024-00266"/>
    <x v="0"/>
    <x v="8"/>
    <x v="2"/>
    <x v="749"/>
    <s v="um"/>
    <n v="150"/>
    <n v="400"/>
    <x v="295"/>
    <x v="5"/>
  </r>
  <r>
    <s v="S000656"/>
    <s v="FRA-2024-00149"/>
    <x v="3"/>
    <x v="10"/>
    <x v="5"/>
    <x v="750"/>
    <m/>
    <n v="6"/>
    <n v="7.5"/>
    <x v="60"/>
    <x v="5"/>
  </r>
  <r>
    <s v="S000017"/>
    <s v="FRA-2025-00004"/>
    <x v="3"/>
    <x v="9"/>
    <x v="6"/>
    <x v="751"/>
    <s v="CFU/g"/>
    <n v="0"/>
    <n v="100"/>
    <x v="145"/>
    <x v="4"/>
  </r>
  <r>
    <s v="S001689"/>
    <s v="ESS-2025-00378"/>
    <x v="2"/>
    <x v="9"/>
    <x v="3"/>
    <x v="710"/>
    <s v="%"/>
    <n v="97"/>
    <n v="100"/>
    <x v="376"/>
    <x v="0"/>
  </r>
  <r>
    <s v="S001166"/>
    <s v="ESS-2024-00262"/>
    <x v="2"/>
    <x v="9"/>
    <x v="4"/>
    <x v="145"/>
    <s v="%"/>
    <n v="0"/>
    <n v="1"/>
    <x v="321"/>
    <x v="2"/>
  </r>
  <r>
    <s v="S000138"/>
    <s v="FRA-2024-00033"/>
    <x v="3"/>
    <x v="8"/>
    <x v="0"/>
    <x v="752"/>
    <s v="ppm"/>
    <n v="0"/>
    <n v="120"/>
    <x v="298"/>
    <x v="0"/>
  </r>
  <r>
    <s v="S001226"/>
    <s v="FLA-2024-00274"/>
    <x v="4"/>
    <x v="0"/>
    <x v="1"/>
    <x v="80"/>
    <s v="g/ml"/>
    <n v="0.88"/>
    <n v="0.97"/>
    <x v="214"/>
    <x v="3"/>
  </r>
  <r>
    <s v="S000698"/>
    <s v="FRA-2025-00159"/>
    <x v="3"/>
    <x v="5"/>
    <x v="0"/>
    <x v="753"/>
    <s v="ppm"/>
    <n v="0"/>
    <n v="120"/>
    <x v="210"/>
    <x v="7"/>
  </r>
  <r>
    <s v="S001098"/>
    <s v="FRA-2024-00247"/>
    <x v="3"/>
    <x v="4"/>
    <x v="0"/>
    <x v="754"/>
    <s v="ppm"/>
    <n v="0"/>
    <n v="120"/>
    <x v="140"/>
    <x v="7"/>
  </r>
  <r>
    <s v="S001616"/>
    <s v="FOO-2025-00360"/>
    <x v="1"/>
    <x v="3"/>
    <x v="3"/>
    <x v="351"/>
    <s v="%"/>
    <n v="97"/>
    <n v="100"/>
    <x v="47"/>
    <x v="8"/>
  </r>
  <r>
    <s v="S000449"/>
    <s v="FLA-2025-00101"/>
    <x v="4"/>
    <x v="1"/>
    <x v="0"/>
    <x v="755"/>
    <s v="ppm"/>
    <n v="0"/>
    <n v="120"/>
    <x v="89"/>
    <x v="3"/>
  </r>
  <r>
    <s v="S001896"/>
    <s v="ARO-2025-00424"/>
    <x v="0"/>
    <x v="5"/>
    <x v="4"/>
    <x v="122"/>
    <s v="%"/>
    <n v="0"/>
    <n v="1"/>
    <x v="380"/>
    <x v="3"/>
  </r>
  <r>
    <s v="S000328"/>
    <s v="FRA-2024-00075"/>
    <x v="3"/>
    <x v="2"/>
    <x v="3"/>
    <x v="351"/>
    <s v="%"/>
    <n v="97"/>
    <n v="100"/>
    <x v="85"/>
    <x v="2"/>
  </r>
  <r>
    <s v="S000318"/>
    <s v="FLA-2024-00072"/>
    <x v="4"/>
    <x v="2"/>
    <x v="1"/>
    <x v="17"/>
    <s v="g/ml"/>
    <n v="0.88"/>
    <n v="0.97"/>
    <x v="271"/>
    <x v="2"/>
  </r>
  <r>
    <s v="S001530"/>
    <s v="ESS-2024-00341"/>
    <x v="2"/>
    <x v="6"/>
    <x v="6"/>
    <x v="756"/>
    <s v="CFU/g"/>
    <n v="0"/>
    <n v="100"/>
    <x v="80"/>
    <x v="7"/>
  </r>
  <r>
    <s v="S000527"/>
    <s v="ARO-2024-00119"/>
    <x v="0"/>
    <x v="2"/>
    <x v="2"/>
    <x v="757"/>
    <s v="um"/>
    <n v="150"/>
    <n v="400"/>
    <x v="27"/>
    <x v="7"/>
  </r>
  <r>
    <s v="S000088"/>
    <s v="FRA-2024-00021"/>
    <x v="3"/>
    <x v="10"/>
    <x v="1"/>
    <x v="33"/>
    <s v="g/ml"/>
    <n v="0.88"/>
    <n v="0.97"/>
    <x v="374"/>
    <x v="0"/>
  </r>
  <r>
    <s v="S001275"/>
    <s v="ARO-2024-00285"/>
    <x v="0"/>
    <x v="1"/>
    <x v="5"/>
    <x v="758"/>
    <m/>
    <n v="6"/>
    <n v="7.5"/>
    <x v="13"/>
    <x v="7"/>
  </r>
  <r>
    <s v="S000149"/>
    <s v="ESS-2025-00035"/>
    <x v="2"/>
    <x v="10"/>
    <x v="6"/>
    <x v="759"/>
    <s v="CFU/g"/>
    <n v="0"/>
    <n v="100"/>
    <x v="152"/>
    <x v="7"/>
  </r>
  <r>
    <s v="S001623"/>
    <s v="FOO-2025-00362"/>
    <x v="1"/>
    <x v="7"/>
    <x v="0"/>
    <x v="760"/>
    <s v="ppm"/>
    <n v="0"/>
    <n v="120"/>
    <x v="381"/>
    <x v="0"/>
  </r>
  <r>
    <s v="S001209"/>
    <s v="FLA-2024-00270"/>
    <x v="4"/>
    <x v="3"/>
    <x v="4"/>
    <x v="455"/>
    <s v="%"/>
    <n v="0"/>
    <n v="1"/>
    <x v="382"/>
    <x v="1"/>
  </r>
  <r>
    <s v="S001840"/>
    <s v="ARO-2025-00411"/>
    <x v="0"/>
    <x v="2"/>
    <x v="1"/>
    <x v="224"/>
    <s v="g/ml"/>
    <n v="0.88"/>
    <n v="0.97"/>
    <x v="312"/>
    <x v="7"/>
  </r>
  <r>
    <s v="S000366"/>
    <s v="FLA-2025-00082"/>
    <x v="4"/>
    <x v="0"/>
    <x v="2"/>
    <x v="654"/>
    <s v="um"/>
    <n v="150"/>
    <n v="400"/>
    <x v="24"/>
    <x v="6"/>
  </r>
  <r>
    <s v="S000590"/>
    <s v="ARO-2025-00133"/>
    <x v="0"/>
    <x v="5"/>
    <x v="1"/>
    <x v="75"/>
    <s v="g/ml"/>
    <n v="0.88"/>
    <n v="0.97"/>
    <x v="110"/>
    <x v="2"/>
  </r>
  <r>
    <s v="S001852"/>
    <s v="FLA-2025-00414"/>
    <x v="4"/>
    <x v="6"/>
    <x v="3"/>
    <x v="487"/>
    <s v="%"/>
    <n v="97"/>
    <n v="100"/>
    <x v="322"/>
    <x v="7"/>
  </r>
  <r>
    <s v="S000199"/>
    <s v="ARO-2025-00046"/>
    <x v="0"/>
    <x v="1"/>
    <x v="5"/>
    <x v="761"/>
    <m/>
    <n v="6"/>
    <n v="7.5"/>
    <x v="121"/>
    <x v="4"/>
  </r>
  <r>
    <s v="S001897"/>
    <s v="ARO-2025-00425"/>
    <x v="0"/>
    <x v="2"/>
    <x v="0"/>
    <x v="649"/>
    <s v="ppm"/>
    <n v="0"/>
    <n v="120"/>
    <x v="107"/>
    <x v="4"/>
  </r>
  <r>
    <s v="S000193"/>
    <s v="FLA-2025-00044"/>
    <x v="4"/>
    <x v="3"/>
    <x v="5"/>
    <x v="762"/>
    <m/>
    <n v="6"/>
    <n v="7.5"/>
    <x v="383"/>
    <x v="0"/>
  </r>
  <r>
    <s v="S000405"/>
    <s v="ARO-2024-00092"/>
    <x v="0"/>
    <x v="7"/>
    <x v="5"/>
    <x v="704"/>
    <m/>
    <n v="6"/>
    <n v="7.5"/>
    <x v="384"/>
    <x v="8"/>
  </r>
  <r>
    <s v="S001575"/>
    <s v="ARO-2024-00351"/>
    <x v="0"/>
    <x v="1"/>
    <x v="0"/>
    <x v="763"/>
    <s v="ppm"/>
    <n v="0"/>
    <n v="120"/>
    <x v="282"/>
    <x v="7"/>
  </r>
  <r>
    <s v="S001988"/>
    <s v="FRA-2025-00444"/>
    <x v="3"/>
    <x v="2"/>
    <x v="2"/>
    <x v="584"/>
    <s v="um"/>
    <n v="150"/>
    <n v="400"/>
    <x v="322"/>
    <x v="3"/>
  </r>
  <r>
    <s v="S000484"/>
    <s v="FLA-2025-00109"/>
    <x v="4"/>
    <x v="10"/>
    <x v="2"/>
    <x v="764"/>
    <s v="um"/>
    <n v="150"/>
    <n v="400"/>
    <x v="294"/>
    <x v="3"/>
  </r>
  <r>
    <s v="S001462"/>
    <s v="FRA-2025-00326"/>
    <x v="3"/>
    <x v="1"/>
    <x v="1"/>
    <x v="17"/>
    <s v="g/ml"/>
    <n v="0.88"/>
    <n v="0.97"/>
    <x v="256"/>
    <x v="4"/>
  </r>
  <r>
    <s v="S000792"/>
    <s v="FOO-2024-00179"/>
    <x v="1"/>
    <x v="1"/>
    <x v="6"/>
    <x v="765"/>
    <s v="CFU/g"/>
    <n v="0"/>
    <n v="100"/>
    <x v="198"/>
    <x v="3"/>
  </r>
  <r>
    <s v="S000800"/>
    <s v="FRA-2024-00181"/>
    <x v="3"/>
    <x v="0"/>
    <x v="4"/>
    <x v="19"/>
    <s v="%"/>
    <n v="0"/>
    <n v="1"/>
    <x v="201"/>
    <x v="8"/>
  </r>
  <r>
    <s v="S000385"/>
    <s v="ESS-2025-00087"/>
    <x v="2"/>
    <x v="6"/>
    <x v="1"/>
    <x v="430"/>
    <s v="g/ml"/>
    <n v="0.88"/>
    <n v="0.97"/>
    <x v="49"/>
    <x v="1"/>
  </r>
  <r>
    <s v="S000751"/>
    <s v="ESS-2025-00170"/>
    <x v="2"/>
    <x v="2"/>
    <x v="5"/>
    <x v="766"/>
    <m/>
    <n v="6"/>
    <n v="7.5"/>
    <x v="144"/>
    <x v="8"/>
  </r>
  <r>
    <s v="S000423"/>
    <s v="FOO-2025-00096"/>
    <x v="1"/>
    <x v="6"/>
    <x v="5"/>
    <x v="767"/>
    <m/>
    <n v="6"/>
    <n v="7.5"/>
    <x v="385"/>
    <x v="6"/>
  </r>
  <r>
    <s v="S000315"/>
    <s v="FLA-2024-00071"/>
    <x v="4"/>
    <x v="7"/>
    <x v="0"/>
    <x v="768"/>
    <s v="ppm"/>
    <n v="0"/>
    <n v="120"/>
    <x v="214"/>
    <x v="0"/>
  </r>
  <r>
    <s v="S001022"/>
    <s v="ARO-2025-00230"/>
    <x v="0"/>
    <x v="3"/>
    <x v="6"/>
    <x v="769"/>
    <s v="CFU/g"/>
    <n v="0"/>
    <n v="100"/>
    <x v="190"/>
    <x v="4"/>
  </r>
  <r>
    <s v="S000544"/>
    <s v="FLA-2024-00123"/>
    <x v="4"/>
    <x v="8"/>
    <x v="6"/>
    <x v="770"/>
    <s v="CFU/g"/>
    <n v="0"/>
    <n v="100"/>
    <x v="39"/>
    <x v="6"/>
  </r>
  <r>
    <s v="S000914"/>
    <s v="FLA-2024-00207"/>
    <x v="4"/>
    <x v="6"/>
    <x v="1"/>
    <x v="17"/>
    <s v="g/ml"/>
    <n v="0.88"/>
    <n v="0.97"/>
    <x v="364"/>
    <x v="0"/>
  </r>
  <r>
    <s v="S000663"/>
    <s v="ARO-2025-00151"/>
    <x v="0"/>
    <x v="2"/>
    <x v="2"/>
    <x v="771"/>
    <s v="um"/>
    <n v="150"/>
    <n v="400"/>
    <x v="164"/>
    <x v="3"/>
  </r>
  <r>
    <s v="S000903"/>
    <s v="ARO-2025-00204"/>
    <x v="0"/>
    <x v="1"/>
    <x v="2"/>
    <x v="772"/>
    <s v="um"/>
    <n v="150"/>
    <n v="400"/>
    <x v="59"/>
    <x v="3"/>
  </r>
  <r>
    <s v="S001957"/>
    <s v="FRA-2024-00438"/>
    <x v="3"/>
    <x v="7"/>
    <x v="5"/>
    <x v="517"/>
    <m/>
    <n v="6"/>
    <n v="7.5"/>
    <x v="35"/>
    <x v="2"/>
  </r>
  <r>
    <s v="S000686"/>
    <s v="ARO-2025-00156"/>
    <x v="0"/>
    <x v="8"/>
    <x v="4"/>
    <x v="62"/>
    <s v="%"/>
    <n v="0"/>
    <n v="1"/>
    <x v="121"/>
    <x v="7"/>
  </r>
  <r>
    <s v="S001678"/>
    <s v="ESS-2025-00375"/>
    <x v="2"/>
    <x v="3"/>
    <x v="4"/>
    <x v="109"/>
    <s v="%"/>
    <n v="0"/>
    <n v="1"/>
    <x v="28"/>
    <x v="7"/>
  </r>
  <r>
    <s v="S000160"/>
    <s v="FRA-2024-00038"/>
    <x v="3"/>
    <x v="3"/>
    <x v="1"/>
    <x v="33"/>
    <s v="g/ml"/>
    <n v="0.88"/>
    <n v="0.97"/>
    <x v="353"/>
    <x v="8"/>
  </r>
  <r>
    <s v="S001000"/>
    <s v="FLA-2024-00226"/>
    <x v="4"/>
    <x v="1"/>
    <x v="3"/>
    <x v="356"/>
    <s v="%"/>
    <n v="97"/>
    <n v="100"/>
    <x v="238"/>
    <x v="6"/>
  </r>
  <r>
    <s v="S001302"/>
    <s v="ESS-2025-00291"/>
    <x v="2"/>
    <x v="2"/>
    <x v="0"/>
    <x v="773"/>
    <s v="ppm"/>
    <n v="0"/>
    <n v="120"/>
    <x v="53"/>
    <x v="8"/>
  </r>
  <r>
    <s v="S001778"/>
    <s v="FOO-2025-00398"/>
    <x v="1"/>
    <x v="5"/>
    <x v="1"/>
    <x v="96"/>
    <s v="g/ml"/>
    <n v="0.88"/>
    <n v="0.97"/>
    <x v="192"/>
    <x v="2"/>
  </r>
  <r>
    <s v="S000203"/>
    <s v="ARO-2025-00046"/>
    <x v="0"/>
    <x v="4"/>
    <x v="2"/>
    <x v="774"/>
    <s v="um"/>
    <n v="150"/>
    <n v="400"/>
    <x v="121"/>
    <x v="2"/>
  </r>
  <r>
    <s v="S001024"/>
    <s v="ARO-2025-00230"/>
    <x v="0"/>
    <x v="3"/>
    <x v="5"/>
    <x v="775"/>
    <m/>
    <n v="6"/>
    <n v="7.5"/>
    <x v="190"/>
    <x v="5"/>
  </r>
  <r>
    <s v="S001534"/>
    <s v="ESS-2024-00341"/>
    <x v="2"/>
    <x v="2"/>
    <x v="4"/>
    <x v="125"/>
    <s v="%"/>
    <n v="0"/>
    <n v="1"/>
    <x v="80"/>
    <x v="2"/>
  </r>
  <r>
    <s v="S001190"/>
    <s v="ARO-2024-00266"/>
    <x v="0"/>
    <x v="8"/>
    <x v="1"/>
    <x v="430"/>
    <s v="g/ml"/>
    <n v="0.88"/>
    <n v="0.97"/>
    <x v="295"/>
    <x v="3"/>
  </r>
  <r>
    <s v="S000113"/>
    <s v="FLA-2025-00026"/>
    <x v="4"/>
    <x v="1"/>
    <x v="0"/>
    <x v="776"/>
    <s v="ppm"/>
    <n v="0"/>
    <n v="120"/>
    <x v="211"/>
    <x v="7"/>
  </r>
  <r>
    <s v="S001808"/>
    <s v="ESS-2024-00404"/>
    <x v="2"/>
    <x v="2"/>
    <x v="3"/>
    <x v="777"/>
    <s v="%"/>
    <n v="97"/>
    <n v="100"/>
    <x v="226"/>
    <x v="7"/>
  </r>
  <r>
    <s v="S001752"/>
    <s v="ESS-2025-00391"/>
    <x v="2"/>
    <x v="4"/>
    <x v="2"/>
    <x v="584"/>
    <s v="um"/>
    <n v="150"/>
    <n v="400"/>
    <x v="324"/>
    <x v="8"/>
  </r>
  <r>
    <s v="S000981"/>
    <s v="FLA-2025-00222"/>
    <x v="4"/>
    <x v="5"/>
    <x v="1"/>
    <x v="80"/>
    <s v="g/ml"/>
    <n v="0.88"/>
    <n v="0.97"/>
    <x v="345"/>
    <x v="7"/>
  </r>
  <r>
    <s v="S000923"/>
    <s v="FOO-2024-00209"/>
    <x v="1"/>
    <x v="1"/>
    <x v="5"/>
    <x v="103"/>
    <m/>
    <n v="6"/>
    <n v="7.5"/>
    <x v="131"/>
    <x v="2"/>
  </r>
  <r>
    <s v="S001486"/>
    <s v="ESS-2024-00330"/>
    <x v="2"/>
    <x v="2"/>
    <x v="4"/>
    <x v="124"/>
    <s v="%"/>
    <n v="0"/>
    <n v="1"/>
    <x v="27"/>
    <x v="4"/>
  </r>
  <r>
    <s v="S001590"/>
    <s v="ESS-2025-00354"/>
    <x v="2"/>
    <x v="7"/>
    <x v="5"/>
    <x v="336"/>
    <m/>
    <n v="6"/>
    <n v="7.5"/>
    <x v="176"/>
    <x v="1"/>
  </r>
  <r>
    <s v="S001965"/>
    <s v="FRA-2025-00439"/>
    <x v="3"/>
    <x v="8"/>
    <x v="6"/>
    <x v="778"/>
    <s v="CFU/g"/>
    <n v="0"/>
    <n v="100"/>
    <x v="341"/>
    <x v="3"/>
  </r>
  <r>
    <s v="S001359"/>
    <s v="ESS-2024-00303"/>
    <x v="2"/>
    <x v="5"/>
    <x v="3"/>
    <x v="777"/>
    <s v="%"/>
    <n v="97"/>
    <n v="100"/>
    <x v="17"/>
    <x v="0"/>
  </r>
  <r>
    <s v="S000816"/>
    <s v="FRA-2025-00185"/>
    <x v="3"/>
    <x v="3"/>
    <x v="1"/>
    <x v="292"/>
    <s v="g/ml"/>
    <n v="0.88"/>
    <n v="0.97"/>
    <x v="121"/>
    <x v="0"/>
  </r>
  <r>
    <s v="S001550"/>
    <s v="ESS-2024-00345"/>
    <x v="2"/>
    <x v="2"/>
    <x v="1"/>
    <x v="224"/>
    <s v="g/ml"/>
    <n v="0.88"/>
    <n v="0.97"/>
    <x v="62"/>
    <x v="7"/>
  </r>
  <r>
    <s v="S001539"/>
    <s v="FOO-2024-00342"/>
    <x v="1"/>
    <x v="10"/>
    <x v="6"/>
    <x v="779"/>
    <s v="CFU/g"/>
    <n v="0"/>
    <n v="100"/>
    <x v="309"/>
    <x v="3"/>
  </r>
  <r>
    <s v="S000680"/>
    <s v="ARO-2024-00155"/>
    <x v="0"/>
    <x v="8"/>
    <x v="6"/>
    <x v="780"/>
    <s v="CFU/g"/>
    <n v="0"/>
    <n v="100"/>
    <x v="128"/>
    <x v="2"/>
  </r>
  <r>
    <s v="S001094"/>
    <s v="FLA-2025-00246"/>
    <x v="4"/>
    <x v="8"/>
    <x v="3"/>
    <x v="725"/>
    <s v="%"/>
    <n v="97"/>
    <n v="100"/>
    <x v="59"/>
    <x v="3"/>
  </r>
  <r>
    <s v="S000081"/>
    <s v="FLA-2025-00019"/>
    <x v="4"/>
    <x v="4"/>
    <x v="4"/>
    <x v="467"/>
    <s v="%"/>
    <n v="0"/>
    <n v="1"/>
    <x v="338"/>
    <x v="4"/>
  </r>
  <r>
    <s v="S001761"/>
    <s v="FLA-2024-00393"/>
    <x v="4"/>
    <x v="6"/>
    <x v="4"/>
    <x v="781"/>
    <s v="%"/>
    <n v="0"/>
    <n v="1"/>
    <x v="386"/>
    <x v="4"/>
  </r>
  <r>
    <s v="S001345"/>
    <s v="ARO-2024-00300"/>
    <x v="0"/>
    <x v="4"/>
    <x v="1"/>
    <x v="80"/>
    <s v="g/ml"/>
    <n v="0.88"/>
    <n v="0.97"/>
    <x v="308"/>
    <x v="1"/>
  </r>
  <r>
    <s v="S001533"/>
    <s v="ESS-2024-00341"/>
    <x v="2"/>
    <x v="6"/>
    <x v="1"/>
    <x v="85"/>
    <s v="g/ml"/>
    <n v="0.88"/>
    <n v="0.97"/>
    <x v="80"/>
    <x v="8"/>
  </r>
  <r>
    <s v="S000753"/>
    <s v="ESS-2025-00170"/>
    <x v="2"/>
    <x v="2"/>
    <x v="0"/>
    <x v="782"/>
    <s v="ppm"/>
    <n v="0"/>
    <n v="120"/>
    <x v="144"/>
    <x v="1"/>
  </r>
  <r>
    <s v="S001320"/>
    <s v="FLA-2024-00294"/>
    <x v="4"/>
    <x v="5"/>
    <x v="5"/>
    <x v="783"/>
    <m/>
    <n v="6"/>
    <n v="7.5"/>
    <x v="387"/>
    <x v="3"/>
  </r>
  <r>
    <s v="S001055"/>
    <s v="FLA-2024-00236"/>
    <x v="4"/>
    <x v="4"/>
    <x v="4"/>
    <x v="688"/>
    <s v="%"/>
    <n v="0"/>
    <n v="1"/>
    <x v="259"/>
    <x v="2"/>
  </r>
  <r>
    <s v="S000243"/>
    <s v="ESS-2025-00055"/>
    <x v="2"/>
    <x v="4"/>
    <x v="0"/>
    <x v="784"/>
    <s v="ppm"/>
    <n v="0"/>
    <n v="120"/>
    <x v="47"/>
    <x v="1"/>
  </r>
  <r>
    <s v="S001945"/>
    <s v="ARO-2025-00435"/>
    <x v="0"/>
    <x v="5"/>
    <x v="6"/>
    <x v="785"/>
    <s v="CFU/g"/>
    <n v="0"/>
    <n v="100"/>
    <x v="163"/>
    <x v="5"/>
  </r>
  <r>
    <s v="S000642"/>
    <s v="ESS-2024-00146"/>
    <x v="2"/>
    <x v="10"/>
    <x v="2"/>
    <x v="786"/>
    <s v="um"/>
    <n v="150"/>
    <n v="400"/>
    <x v="228"/>
    <x v="6"/>
  </r>
  <r>
    <s v="S000697"/>
    <s v="FRA-2025-00159"/>
    <x v="3"/>
    <x v="8"/>
    <x v="6"/>
    <x v="787"/>
    <s v="CFU/g"/>
    <n v="0"/>
    <n v="100"/>
    <x v="210"/>
    <x v="0"/>
  </r>
  <r>
    <s v="S000210"/>
    <s v="ARO-2025-00048"/>
    <x v="0"/>
    <x v="7"/>
    <x v="3"/>
    <x v="412"/>
    <s v="%"/>
    <n v="97"/>
    <n v="100"/>
    <x v="233"/>
    <x v="7"/>
  </r>
  <r>
    <s v="S001469"/>
    <s v="ESS-2025-00327"/>
    <x v="2"/>
    <x v="3"/>
    <x v="4"/>
    <x v="113"/>
    <s v="%"/>
    <n v="0"/>
    <n v="1"/>
    <x v="82"/>
    <x v="2"/>
  </r>
  <r>
    <s v="S000771"/>
    <s v="FOO-2024-00175"/>
    <x v="1"/>
    <x v="1"/>
    <x v="4"/>
    <x v="274"/>
    <s v="%"/>
    <n v="0"/>
    <n v="1"/>
    <x v="83"/>
    <x v="5"/>
  </r>
  <r>
    <s v="S001755"/>
    <s v="FRA-2024-00392"/>
    <x v="3"/>
    <x v="1"/>
    <x v="2"/>
    <x v="788"/>
    <s v="um"/>
    <n v="150"/>
    <n v="400"/>
    <x v="139"/>
    <x v="6"/>
  </r>
  <r>
    <s v="S000436"/>
    <s v="ESS-2024-00099"/>
    <x v="2"/>
    <x v="1"/>
    <x v="3"/>
    <x v="132"/>
    <s v="%"/>
    <n v="97"/>
    <n v="100"/>
    <x v="162"/>
    <x v="3"/>
  </r>
  <r>
    <s v="S001064"/>
    <s v="ARO-2024-00238"/>
    <x v="0"/>
    <x v="3"/>
    <x v="2"/>
    <x v="789"/>
    <s v="um"/>
    <n v="150"/>
    <n v="400"/>
    <x v="91"/>
    <x v="8"/>
  </r>
  <r>
    <s v="S000975"/>
    <s v="FLA-2024-00220"/>
    <x v="4"/>
    <x v="7"/>
    <x v="4"/>
    <x v="119"/>
    <s v="%"/>
    <n v="0"/>
    <n v="1"/>
    <x v="259"/>
    <x v="3"/>
  </r>
  <r>
    <s v="S000552"/>
    <s v="FRA-2024-00124"/>
    <x v="3"/>
    <x v="7"/>
    <x v="2"/>
    <x v="790"/>
    <s v="um"/>
    <n v="150"/>
    <n v="400"/>
    <x v="388"/>
    <x v="8"/>
  </r>
  <r>
    <s v="S001396"/>
    <s v="FOO-2024-00312"/>
    <x v="1"/>
    <x v="5"/>
    <x v="5"/>
    <x v="791"/>
    <m/>
    <n v="6"/>
    <n v="7.5"/>
    <x v="247"/>
    <x v="2"/>
  </r>
  <r>
    <s v="S001650"/>
    <s v="ARO-2025-00369"/>
    <x v="0"/>
    <x v="2"/>
    <x v="1"/>
    <x v="792"/>
    <s v="g/ml"/>
    <n v="0.88"/>
    <n v="0.97"/>
    <x v="106"/>
    <x v="1"/>
  </r>
  <r>
    <s v="S001014"/>
    <s v="FRA-2024-00228"/>
    <x v="3"/>
    <x v="5"/>
    <x v="4"/>
    <x v="62"/>
    <s v="%"/>
    <n v="0"/>
    <n v="1"/>
    <x v="60"/>
    <x v="8"/>
  </r>
  <r>
    <s v="S001887"/>
    <s v="FLA-2025-00422"/>
    <x v="4"/>
    <x v="3"/>
    <x v="4"/>
    <x v="113"/>
    <s v="%"/>
    <n v="0"/>
    <n v="1"/>
    <x v="318"/>
    <x v="7"/>
  </r>
  <r>
    <s v="S000467"/>
    <s v="FOO-2025-00105"/>
    <x v="1"/>
    <x v="10"/>
    <x v="5"/>
    <x v="197"/>
    <m/>
    <n v="6"/>
    <n v="7.5"/>
    <x v="265"/>
    <x v="7"/>
  </r>
  <r>
    <s v="S001477"/>
    <s v="ESS-2025-00329"/>
    <x v="2"/>
    <x v="4"/>
    <x v="1"/>
    <x v="80"/>
    <s v="g/ml"/>
    <n v="0.88"/>
    <n v="0.97"/>
    <x v="245"/>
    <x v="3"/>
  </r>
  <r>
    <s v="S001307"/>
    <s v="ESS-2025-00292"/>
    <x v="2"/>
    <x v="2"/>
    <x v="0"/>
    <x v="793"/>
    <s v="ppm"/>
    <n v="0"/>
    <n v="120"/>
    <x v="279"/>
    <x v="4"/>
  </r>
  <r>
    <s v="S000278"/>
    <s v="ARO-2024-00064"/>
    <x v="0"/>
    <x v="5"/>
    <x v="2"/>
    <x v="794"/>
    <s v="um"/>
    <n v="150"/>
    <n v="400"/>
    <x v="194"/>
    <x v="4"/>
  </r>
  <r>
    <s v="S001070"/>
    <s v="ESS-2025-00239"/>
    <x v="2"/>
    <x v="1"/>
    <x v="0"/>
    <x v="795"/>
    <s v="ppm"/>
    <n v="0"/>
    <n v="120"/>
    <x v="286"/>
    <x v="0"/>
  </r>
  <r>
    <s v="S001018"/>
    <s v="FRA-2025-00229"/>
    <x v="3"/>
    <x v="10"/>
    <x v="6"/>
    <x v="796"/>
    <s v="CFU/g"/>
    <n v="0"/>
    <n v="100"/>
    <x v="76"/>
    <x v="6"/>
  </r>
  <r>
    <s v="S001758"/>
    <s v="FRA-2024-00392"/>
    <x v="3"/>
    <x v="1"/>
    <x v="4"/>
    <x v="797"/>
    <s v="%"/>
    <n v="0"/>
    <n v="1"/>
    <x v="139"/>
    <x v="1"/>
  </r>
  <r>
    <s v="S000723"/>
    <s v="FLA-2025-00164"/>
    <x v="4"/>
    <x v="6"/>
    <x v="2"/>
    <x v="798"/>
    <s v="um"/>
    <n v="150"/>
    <n v="400"/>
    <x v="166"/>
    <x v="1"/>
  </r>
  <r>
    <s v="S001954"/>
    <s v="ESS-2024-00437"/>
    <x v="2"/>
    <x v="4"/>
    <x v="6"/>
    <x v="799"/>
    <s v="CFU/g"/>
    <n v="0"/>
    <n v="100"/>
    <x v="98"/>
    <x v="4"/>
  </r>
  <r>
    <s v="S000787"/>
    <s v="FOO-2024-00179"/>
    <x v="1"/>
    <x v="4"/>
    <x v="1"/>
    <x v="80"/>
    <s v="g/ml"/>
    <n v="0.88"/>
    <n v="0.97"/>
    <x v="198"/>
    <x v="8"/>
  </r>
  <r>
    <s v="S001546"/>
    <s v="FLA-2024-00344"/>
    <x v="4"/>
    <x v="4"/>
    <x v="2"/>
    <x v="48"/>
    <s v="um"/>
    <n v="150"/>
    <n v="400"/>
    <x v="15"/>
    <x v="1"/>
  </r>
  <r>
    <s v="S001310"/>
    <s v="ESS-2025-00292"/>
    <x v="2"/>
    <x v="2"/>
    <x v="6"/>
    <x v="560"/>
    <s v="CFU/g"/>
    <n v="0"/>
    <n v="100"/>
    <x v="279"/>
    <x v="6"/>
  </r>
  <r>
    <s v="S001460"/>
    <s v="FRA-2025-00326"/>
    <x v="3"/>
    <x v="4"/>
    <x v="5"/>
    <x v="800"/>
    <m/>
    <n v="6"/>
    <n v="7.5"/>
    <x v="256"/>
    <x v="8"/>
  </r>
  <r>
    <s v="S001304"/>
    <s v="ESS-2025-00291"/>
    <x v="2"/>
    <x v="2"/>
    <x v="1"/>
    <x v="85"/>
    <s v="g/ml"/>
    <n v="0.88"/>
    <n v="0.97"/>
    <x v="53"/>
    <x v="0"/>
  </r>
  <r>
    <s v="S000907"/>
    <s v="FOO-2024-00205"/>
    <x v="1"/>
    <x v="7"/>
    <x v="3"/>
    <x v="801"/>
    <s v="%"/>
    <n v="97"/>
    <n v="100"/>
    <x v="389"/>
    <x v="4"/>
  </r>
  <r>
    <s v="S000564"/>
    <s v="ARO-2025-00127"/>
    <x v="0"/>
    <x v="2"/>
    <x v="0"/>
    <x v="802"/>
    <s v="ppm"/>
    <n v="0"/>
    <n v="120"/>
    <x v="258"/>
    <x v="2"/>
  </r>
  <r>
    <s v="S000389"/>
    <s v="ARO-2024-00088"/>
    <x v="0"/>
    <x v="0"/>
    <x v="0"/>
    <x v="803"/>
    <s v="ppm"/>
    <n v="0"/>
    <n v="120"/>
    <x v="62"/>
    <x v="7"/>
  </r>
  <r>
    <s v="S000023"/>
    <s v="ARO-2025-00005"/>
    <x v="0"/>
    <x v="1"/>
    <x v="6"/>
    <x v="804"/>
    <s v="CFU/g"/>
    <n v="0"/>
    <n v="100"/>
    <x v="118"/>
    <x v="7"/>
  </r>
  <r>
    <s v="S001731"/>
    <s v="ESS-2025-00387"/>
    <x v="2"/>
    <x v="2"/>
    <x v="1"/>
    <x v="224"/>
    <s v="g/ml"/>
    <n v="0.88"/>
    <n v="0.97"/>
    <x v="325"/>
    <x v="2"/>
  </r>
  <r>
    <s v="S000125"/>
    <s v="FLA-2024-00029"/>
    <x v="4"/>
    <x v="2"/>
    <x v="3"/>
    <x v="308"/>
    <s v="%"/>
    <n v="97"/>
    <n v="100"/>
    <x v="333"/>
    <x v="3"/>
  </r>
  <r>
    <s v="S001247"/>
    <s v="FRA-2025-00279"/>
    <x v="3"/>
    <x v="9"/>
    <x v="0"/>
    <x v="805"/>
    <s v="ppm"/>
    <n v="0"/>
    <n v="120"/>
    <x v="46"/>
    <x v="4"/>
  </r>
  <r>
    <s v="S000774"/>
    <s v="FOO-2024-00175"/>
    <x v="1"/>
    <x v="1"/>
    <x v="1"/>
    <x v="430"/>
    <s v="g/ml"/>
    <n v="0.88"/>
    <n v="0.97"/>
    <x v="83"/>
    <x v="2"/>
  </r>
  <r>
    <s v="S000881"/>
    <s v="FOO-2024-00200"/>
    <x v="1"/>
    <x v="4"/>
    <x v="6"/>
    <x v="806"/>
    <s v="CFU/g"/>
    <n v="0"/>
    <n v="100"/>
    <x v="347"/>
    <x v="1"/>
  </r>
  <r>
    <s v="S001145"/>
    <s v="ARO-2024-00257"/>
    <x v="0"/>
    <x v="10"/>
    <x v="6"/>
    <x v="807"/>
    <s v="CFU/g"/>
    <n v="0"/>
    <n v="100"/>
    <x v="262"/>
    <x v="2"/>
  </r>
  <r>
    <s v="S001167"/>
    <s v="ESS-2024-00262"/>
    <x v="2"/>
    <x v="7"/>
    <x v="2"/>
    <x v="808"/>
    <s v="um"/>
    <n v="150"/>
    <n v="400"/>
    <x v="321"/>
    <x v="3"/>
  </r>
  <r>
    <s v="S000051"/>
    <s v="FOO-2024-00012"/>
    <x v="1"/>
    <x v="7"/>
    <x v="4"/>
    <x v="93"/>
    <s v="%"/>
    <n v="0"/>
    <n v="1"/>
    <x v="140"/>
    <x v="5"/>
  </r>
  <r>
    <s v="S001397"/>
    <s v="FOO-2024-00312"/>
    <x v="1"/>
    <x v="5"/>
    <x v="4"/>
    <x v="57"/>
    <s v="%"/>
    <n v="0"/>
    <n v="1"/>
    <x v="247"/>
    <x v="3"/>
  </r>
  <r>
    <s v="S001459"/>
    <s v="ESS-2024-00325"/>
    <x v="2"/>
    <x v="0"/>
    <x v="0"/>
    <x v="649"/>
    <s v="ppm"/>
    <n v="0"/>
    <n v="120"/>
    <x v="40"/>
    <x v="1"/>
  </r>
  <r>
    <s v="S001106"/>
    <s v="FOO-2025-00249"/>
    <x v="1"/>
    <x v="6"/>
    <x v="0"/>
    <x v="809"/>
    <s v="ppm"/>
    <n v="0"/>
    <n v="120"/>
    <x v="237"/>
    <x v="1"/>
  </r>
  <r>
    <s v="S000704"/>
    <s v="FRA-2024-00160"/>
    <x v="3"/>
    <x v="5"/>
    <x v="3"/>
    <x v="810"/>
    <s v="%"/>
    <n v="97"/>
    <n v="100"/>
    <x v="29"/>
    <x v="5"/>
  </r>
  <r>
    <s v="S000483"/>
    <s v="FRA-2024-00108"/>
    <x v="3"/>
    <x v="0"/>
    <x v="2"/>
    <x v="811"/>
    <s v="um"/>
    <n v="150"/>
    <n v="400"/>
    <x v="87"/>
    <x v="5"/>
  </r>
  <r>
    <s v="S001146"/>
    <s v="ARO-2024-00257"/>
    <x v="0"/>
    <x v="7"/>
    <x v="0"/>
    <x v="812"/>
    <s v="ppm"/>
    <n v="0"/>
    <n v="120"/>
    <x v="262"/>
    <x v="0"/>
  </r>
  <r>
    <s v="S001912"/>
    <s v="ESS-2024-00428"/>
    <x v="2"/>
    <x v="7"/>
    <x v="1"/>
    <x v="224"/>
    <s v="g/ml"/>
    <n v="0.88"/>
    <n v="0.97"/>
    <x v="214"/>
    <x v="4"/>
  </r>
  <r>
    <s v="S000067"/>
    <s v="ARO-2024-00016"/>
    <x v="0"/>
    <x v="2"/>
    <x v="2"/>
    <x v="813"/>
    <s v="um"/>
    <n v="150"/>
    <n v="400"/>
    <x v="306"/>
    <x v="7"/>
  </r>
  <r>
    <s v="S001721"/>
    <s v="FRA-2024-00385"/>
    <x v="3"/>
    <x v="2"/>
    <x v="3"/>
    <x v="747"/>
    <s v="%"/>
    <n v="97"/>
    <n v="100"/>
    <x v="329"/>
    <x v="5"/>
  </r>
  <r>
    <s v="S000734"/>
    <s v="FOO-2025-00166"/>
    <x v="1"/>
    <x v="6"/>
    <x v="0"/>
    <x v="814"/>
    <s v="ppm"/>
    <n v="0"/>
    <n v="120"/>
    <x v="126"/>
    <x v="3"/>
  </r>
  <r>
    <s v="S001785"/>
    <s v="FRA-2024-00399"/>
    <x v="3"/>
    <x v="8"/>
    <x v="6"/>
    <x v="815"/>
    <s v="CFU/g"/>
    <n v="0"/>
    <n v="100"/>
    <x v="283"/>
    <x v="1"/>
  </r>
  <r>
    <s v="S000802"/>
    <s v="FOO-2025-00182"/>
    <x v="1"/>
    <x v="3"/>
    <x v="4"/>
    <x v="149"/>
    <s v="%"/>
    <n v="0"/>
    <n v="1"/>
    <x v="299"/>
    <x v="1"/>
  </r>
  <r>
    <s v="S001949"/>
    <s v="ESS-2025-00436"/>
    <x v="2"/>
    <x v="6"/>
    <x v="1"/>
    <x v="1"/>
    <s v="g/ml"/>
    <n v="0.88"/>
    <n v="0.97"/>
    <x v="178"/>
    <x v="2"/>
  </r>
  <r>
    <s v="S001471"/>
    <s v="ESS-2025-00327"/>
    <x v="2"/>
    <x v="3"/>
    <x v="0"/>
    <x v="24"/>
    <s v="ppm"/>
    <n v="0"/>
    <n v="120"/>
    <x v="82"/>
    <x v="2"/>
  </r>
  <r>
    <s v="S000908"/>
    <s v="FOO-2024-00205"/>
    <x v="1"/>
    <x v="9"/>
    <x v="1"/>
    <x v="17"/>
    <s v="g/ml"/>
    <n v="0.88"/>
    <n v="0.97"/>
    <x v="389"/>
    <x v="6"/>
  </r>
  <r>
    <s v="S000032"/>
    <s v="FOO-2025-00007"/>
    <x v="1"/>
    <x v="2"/>
    <x v="1"/>
    <x v="96"/>
    <s v="g/ml"/>
    <n v="0.88"/>
    <n v="0.97"/>
    <x v="299"/>
    <x v="6"/>
  </r>
  <r>
    <s v="S000418"/>
    <s v="FLA-2024-00095"/>
    <x v="4"/>
    <x v="2"/>
    <x v="3"/>
    <x v="166"/>
    <s v="%"/>
    <n v="97"/>
    <n v="100"/>
    <x v="128"/>
    <x v="1"/>
  </r>
  <r>
    <s v="S000882"/>
    <s v="FOO-2024-00200"/>
    <x v="1"/>
    <x v="1"/>
    <x v="2"/>
    <x v="816"/>
    <s v="um"/>
    <n v="150"/>
    <n v="400"/>
    <x v="347"/>
    <x v="7"/>
  </r>
  <r>
    <s v="S000633"/>
    <s v="ESS-2025-00144"/>
    <x v="2"/>
    <x v="4"/>
    <x v="4"/>
    <x v="81"/>
    <s v="%"/>
    <n v="0"/>
    <n v="1"/>
    <x v="379"/>
    <x v="0"/>
  </r>
  <r>
    <s v="S001562"/>
    <s v="FOO-2024-00348"/>
    <x v="1"/>
    <x v="2"/>
    <x v="1"/>
    <x v="430"/>
    <s v="g/ml"/>
    <n v="0.88"/>
    <n v="0.97"/>
    <x v="135"/>
    <x v="5"/>
  </r>
  <r>
    <s v="S001919"/>
    <s v="ARO-2024-00430"/>
    <x v="0"/>
    <x v="2"/>
    <x v="0"/>
    <x v="817"/>
    <s v="ppm"/>
    <n v="0"/>
    <n v="120"/>
    <x v="10"/>
    <x v="1"/>
  </r>
  <r>
    <s v="S000065"/>
    <s v="ESS-2025-00015"/>
    <x v="2"/>
    <x v="5"/>
    <x v="4"/>
    <x v="62"/>
    <s v="%"/>
    <n v="0"/>
    <n v="1"/>
    <x v="268"/>
    <x v="1"/>
  </r>
  <r>
    <s v="S001622"/>
    <s v="FOO-2025-00362"/>
    <x v="1"/>
    <x v="10"/>
    <x v="4"/>
    <x v="124"/>
    <s v="%"/>
    <n v="0"/>
    <n v="1"/>
    <x v="350"/>
    <x v="7"/>
  </r>
  <r>
    <s v="S001607"/>
    <s v="FRA-2024-00358"/>
    <x v="3"/>
    <x v="0"/>
    <x v="0"/>
    <x v="818"/>
    <s v="ppm"/>
    <n v="0"/>
    <n v="120"/>
    <x v="81"/>
    <x v="3"/>
  </r>
  <r>
    <s v="S000078"/>
    <s v="FRA-2025-00018"/>
    <x v="3"/>
    <x v="4"/>
    <x v="5"/>
    <x v="237"/>
    <m/>
    <n v="6"/>
    <n v="7.5"/>
    <x v="390"/>
    <x v="5"/>
  </r>
  <r>
    <s v="S000492"/>
    <s v="ARO-2025-00110"/>
    <x v="0"/>
    <x v="4"/>
    <x v="3"/>
    <x v="819"/>
    <s v="%"/>
    <n v="97"/>
    <n v="100"/>
    <x v="220"/>
    <x v="7"/>
  </r>
  <r>
    <s v="S001639"/>
    <s v="FOO-2024-00367"/>
    <x v="1"/>
    <x v="5"/>
    <x v="5"/>
    <x v="395"/>
    <m/>
    <n v="6"/>
    <n v="7.5"/>
    <x v="69"/>
    <x v="6"/>
  </r>
  <r>
    <s v="S001538"/>
    <s v="FOO-2024-00342"/>
    <x v="1"/>
    <x v="9"/>
    <x v="4"/>
    <x v="688"/>
    <s v="%"/>
    <n v="0"/>
    <n v="1"/>
    <x v="309"/>
    <x v="4"/>
  </r>
  <r>
    <s v="S000533"/>
    <s v="ARO-2024-00120"/>
    <x v="0"/>
    <x v="2"/>
    <x v="1"/>
    <x v="820"/>
    <s v="g/ml"/>
    <n v="0.88"/>
    <n v="0.97"/>
    <x v="314"/>
    <x v="6"/>
  </r>
  <r>
    <s v="S000066"/>
    <s v="ESS-2025-00015"/>
    <x v="2"/>
    <x v="5"/>
    <x v="2"/>
    <x v="821"/>
    <s v="um"/>
    <n v="150"/>
    <n v="400"/>
    <x v="268"/>
    <x v="5"/>
  </r>
  <r>
    <s v="S001777"/>
    <s v="FOO-2025-00397"/>
    <x v="1"/>
    <x v="6"/>
    <x v="2"/>
    <x v="822"/>
    <s v="um"/>
    <n v="150"/>
    <n v="400"/>
    <x v="207"/>
    <x v="3"/>
  </r>
  <r>
    <s v="S000297"/>
    <s v="FRA-2024-00067"/>
    <x v="3"/>
    <x v="1"/>
    <x v="4"/>
    <x v="274"/>
    <s v="%"/>
    <n v="0"/>
    <n v="1"/>
    <x v="137"/>
    <x v="5"/>
  </r>
  <r>
    <s v="S000592"/>
    <s v="ARO-2025-00133"/>
    <x v="0"/>
    <x v="5"/>
    <x v="2"/>
    <x v="823"/>
    <s v="um"/>
    <n v="150"/>
    <n v="400"/>
    <x v="110"/>
    <x v="3"/>
  </r>
  <r>
    <s v="S000768"/>
    <s v="ESS-2025-00174"/>
    <x v="2"/>
    <x v="1"/>
    <x v="1"/>
    <x v="17"/>
    <s v="g/ml"/>
    <n v="0.88"/>
    <n v="0.97"/>
    <x v="112"/>
    <x v="2"/>
  </r>
  <r>
    <s v="S000725"/>
    <s v="FLA-2025-00164"/>
    <x v="4"/>
    <x v="2"/>
    <x v="1"/>
    <x v="224"/>
    <s v="g/ml"/>
    <n v="0.88"/>
    <n v="0.97"/>
    <x v="166"/>
    <x v="3"/>
  </r>
  <r>
    <s v="S001426"/>
    <s v="ARO-2024-00318"/>
    <x v="0"/>
    <x v="5"/>
    <x v="2"/>
    <x v="824"/>
    <s v="um"/>
    <n v="150"/>
    <n v="400"/>
    <x v="62"/>
    <x v="5"/>
  </r>
  <r>
    <s v="S000627"/>
    <s v="ESS-2025-00142"/>
    <x v="2"/>
    <x v="7"/>
    <x v="3"/>
    <x v="87"/>
    <s v="%"/>
    <n v="97"/>
    <n v="100"/>
    <x v="391"/>
    <x v="5"/>
  </r>
  <r>
    <s v="S001409"/>
    <s v="FRA-2024-00314"/>
    <x v="3"/>
    <x v="1"/>
    <x v="4"/>
    <x v="23"/>
    <s v="%"/>
    <n v="0"/>
    <n v="1"/>
    <x v="239"/>
    <x v="2"/>
  </r>
  <r>
    <s v="S001948"/>
    <s v="ESS-2025-00436"/>
    <x v="2"/>
    <x v="2"/>
    <x v="0"/>
    <x v="825"/>
    <s v="ppm"/>
    <n v="0"/>
    <n v="120"/>
    <x v="178"/>
    <x v="3"/>
  </r>
  <r>
    <s v="S001213"/>
    <s v="FLA-2024-00271"/>
    <x v="4"/>
    <x v="3"/>
    <x v="1"/>
    <x v="645"/>
    <s v="g/ml"/>
    <n v="0.88"/>
    <n v="0.97"/>
    <x v="361"/>
    <x v="8"/>
  </r>
  <r>
    <s v="S001612"/>
    <s v="ESS-2024-00359"/>
    <x v="2"/>
    <x v="0"/>
    <x v="6"/>
    <x v="826"/>
    <s v="CFU/g"/>
    <n v="0"/>
    <n v="100"/>
    <x v="196"/>
    <x v="0"/>
  </r>
  <r>
    <s v="S000252"/>
    <s v="FOO-2024-00057"/>
    <x v="1"/>
    <x v="2"/>
    <x v="3"/>
    <x v="170"/>
    <s v="%"/>
    <n v="97"/>
    <n v="100"/>
    <x v="290"/>
    <x v="0"/>
  </r>
  <r>
    <s v="S001820"/>
    <s v="FRA-2025-00407"/>
    <x v="3"/>
    <x v="1"/>
    <x v="3"/>
    <x v="827"/>
    <s v="%"/>
    <n v="97"/>
    <n v="100"/>
    <x v="126"/>
    <x v="1"/>
  </r>
  <r>
    <s v="S001991"/>
    <s v="FRA-2025-00444"/>
    <x v="3"/>
    <x v="2"/>
    <x v="4"/>
    <x v="828"/>
    <s v="%"/>
    <n v="0"/>
    <n v="1"/>
    <x v="322"/>
    <x v="7"/>
  </r>
  <r>
    <s v="S001904"/>
    <s v="ESS-2025-00426"/>
    <x v="2"/>
    <x v="8"/>
    <x v="5"/>
    <x v="241"/>
    <m/>
    <n v="6"/>
    <n v="7.5"/>
    <x v="148"/>
    <x v="6"/>
  </r>
  <r>
    <s v="S000983"/>
    <s v="FOO-2024-00223"/>
    <x v="1"/>
    <x v="4"/>
    <x v="4"/>
    <x v="829"/>
    <s v="%"/>
    <n v="0"/>
    <n v="1"/>
    <x v="232"/>
    <x v="7"/>
  </r>
  <r>
    <s v="S001773"/>
    <s v="FOO-2025-00397"/>
    <x v="1"/>
    <x v="2"/>
    <x v="5"/>
    <x v="429"/>
    <m/>
    <n v="6"/>
    <n v="7.5"/>
    <x v="207"/>
    <x v="3"/>
  </r>
  <r>
    <s v="S000707"/>
    <s v="FRA-2024-00160"/>
    <x v="3"/>
    <x v="8"/>
    <x v="6"/>
    <x v="830"/>
    <s v="CFU/g"/>
    <n v="0"/>
    <n v="100"/>
    <x v="29"/>
    <x v="0"/>
  </r>
  <r>
    <s v="S000488"/>
    <s v="ARO-2025-00110"/>
    <x v="0"/>
    <x v="1"/>
    <x v="0"/>
    <x v="831"/>
    <s v="ppm"/>
    <n v="0"/>
    <n v="120"/>
    <x v="220"/>
    <x v="3"/>
  </r>
  <r>
    <s v="S000274"/>
    <s v="FRA-2024-00063"/>
    <x v="3"/>
    <x v="9"/>
    <x v="2"/>
    <x v="832"/>
    <s v="um"/>
    <n v="150"/>
    <n v="400"/>
    <x v="224"/>
    <x v="6"/>
  </r>
  <r>
    <s v="S001762"/>
    <s v="FLA-2024-00393"/>
    <x v="4"/>
    <x v="2"/>
    <x v="1"/>
    <x v="430"/>
    <s v="g/ml"/>
    <n v="0.88"/>
    <n v="0.97"/>
    <x v="386"/>
    <x v="3"/>
  </r>
  <r>
    <s v="S001669"/>
    <s v="FRA-2025-00374"/>
    <x v="3"/>
    <x v="2"/>
    <x v="6"/>
    <x v="833"/>
    <s v="CFU/g"/>
    <n v="0"/>
    <n v="100"/>
    <x v="41"/>
    <x v="2"/>
  </r>
  <r>
    <s v="S000964"/>
    <s v="FRA-2024-00218"/>
    <x v="3"/>
    <x v="0"/>
    <x v="3"/>
    <x v="51"/>
    <s v="%"/>
    <n v="97"/>
    <n v="100"/>
    <x v="173"/>
    <x v="8"/>
  </r>
  <r>
    <s v="S000878"/>
    <s v="FOO-2025-00199"/>
    <x v="1"/>
    <x v="0"/>
    <x v="0"/>
    <x v="661"/>
    <s v="ppm"/>
    <n v="0"/>
    <n v="120"/>
    <x v="289"/>
    <x v="2"/>
  </r>
  <r>
    <s v="S001741"/>
    <s v="FOO-2024-00389"/>
    <x v="1"/>
    <x v="0"/>
    <x v="4"/>
    <x v="6"/>
    <s v="%"/>
    <n v="0"/>
    <n v="1"/>
    <x v="5"/>
    <x v="7"/>
  </r>
  <r>
    <s v="S001813"/>
    <s v="ARO-2024-00405"/>
    <x v="0"/>
    <x v="7"/>
    <x v="3"/>
    <x v="258"/>
    <s v="%"/>
    <n v="97"/>
    <n v="100"/>
    <x v="202"/>
    <x v="0"/>
  </r>
  <r>
    <s v="S000412"/>
    <s v="FLA-2024-00093"/>
    <x v="4"/>
    <x v="7"/>
    <x v="3"/>
    <x v="834"/>
    <s v="%"/>
    <n v="97"/>
    <n v="100"/>
    <x v="15"/>
    <x v="7"/>
  </r>
  <r>
    <s v="S000668"/>
    <s v="FLA-2024-00152"/>
    <x v="4"/>
    <x v="10"/>
    <x v="4"/>
    <x v="455"/>
    <s v="%"/>
    <n v="0"/>
    <n v="1"/>
    <x v="26"/>
    <x v="8"/>
  </r>
  <r>
    <s v="S001263"/>
    <s v="FLA-2025-00283"/>
    <x v="4"/>
    <x v="10"/>
    <x v="1"/>
    <x v="80"/>
    <s v="g/ml"/>
    <n v="0.88"/>
    <n v="0.97"/>
    <x v="320"/>
    <x v="4"/>
  </r>
  <r>
    <s v="S000150"/>
    <s v="ESS-2025-00035"/>
    <x v="2"/>
    <x v="7"/>
    <x v="0"/>
    <x v="835"/>
    <s v="ppm"/>
    <n v="0"/>
    <n v="120"/>
    <x v="152"/>
    <x v="2"/>
  </r>
  <r>
    <s v="S000645"/>
    <s v="ESS-2024-00147"/>
    <x v="2"/>
    <x v="4"/>
    <x v="5"/>
    <x v="836"/>
    <m/>
    <n v="6"/>
    <n v="7.5"/>
    <x v="140"/>
    <x v="3"/>
  </r>
  <r>
    <s v="S001605"/>
    <s v="FRA-2024-00358"/>
    <x v="3"/>
    <x v="3"/>
    <x v="4"/>
    <x v="122"/>
    <s v="%"/>
    <n v="0"/>
    <n v="1"/>
    <x v="81"/>
    <x v="8"/>
  </r>
  <r>
    <s v="S000219"/>
    <s v="FRA-2024-00050"/>
    <x v="3"/>
    <x v="5"/>
    <x v="5"/>
    <x v="32"/>
    <m/>
    <n v="6"/>
    <n v="7.5"/>
    <x v="127"/>
    <x v="4"/>
  </r>
  <r>
    <s v="S000240"/>
    <s v="FRA-2024-00054"/>
    <x v="3"/>
    <x v="2"/>
    <x v="2"/>
    <x v="837"/>
    <s v="um"/>
    <n v="150"/>
    <n v="400"/>
    <x v="155"/>
    <x v="3"/>
  </r>
  <r>
    <s v="S001132"/>
    <s v="FLA-2024-00254"/>
    <x v="4"/>
    <x v="2"/>
    <x v="1"/>
    <x v="1"/>
    <s v="g/ml"/>
    <n v="0.88"/>
    <n v="0.97"/>
    <x v="344"/>
    <x v="5"/>
  </r>
  <r>
    <s v="S001217"/>
    <s v="FLA-2024-00272"/>
    <x v="4"/>
    <x v="5"/>
    <x v="0"/>
    <x v="838"/>
    <s v="ppm"/>
    <n v="0"/>
    <n v="120"/>
    <x v="392"/>
    <x v="8"/>
  </r>
  <r>
    <s v="S000793"/>
    <s v="FLA-2024-00180"/>
    <x v="4"/>
    <x v="7"/>
    <x v="3"/>
    <x v="839"/>
    <s v="%"/>
    <n v="97"/>
    <n v="100"/>
    <x v="137"/>
    <x v="3"/>
  </r>
  <r>
    <s v="S000192"/>
    <s v="FLA-2025-00044"/>
    <x v="4"/>
    <x v="3"/>
    <x v="0"/>
    <x v="840"/>
    <s v="ppm"/>
    <n v="0"/>
    <n v="120"/>
    <x v="383"/>
    <x v="4"/>
  </r>
  <r>
    <s v="S000334"/>
    <s v="ARO-2025-00076"/>
    <x v="0"/>
    <x v="8"/>
    <x v="2"/>
    <x v="841"/>
    <s v="um"/>
    <n v="150"/>
    <n v="400"/>
    <x v="377"/>
    <x v="7"/>
  </r>
  <r>
    <s v="S001322"/>
    <s v="FLA-2024-00295"/>
    <x v="4"/>
    <x v="6"/>
    <x v="5"/>
    <x v="842"/>
    <m/>
    <n v="6"/>
    <n v="7.5"/>
    <x v="161"/>
    <x v="3"/>
  </r>
  <r>
    <s v="S001325"/>
    <s v="FLA-2024-00295"/>
    <x v="4"/>
    <x v="2"/>
    <x v="6"/>
    <x v="843"/>
    <s v="CFU/g"/>
    <n v="0"/>
    <n v="100"/>
    <x v="161"/>
    <x v="5"/>
  </r>
  <r>
    <s v="S000963"/>
    <s v="FRA-2024-00218"/>
    <x v="3"/>
    <x v="3"/>
    <x v="2"/>
    <x v="844"/>
    <s v="um"/>
    <n v="150"/>
    <n v="400"/>
    <x v="173"/>
    <x v="6"/>
  </r>
  <r>
    <s v="S001321"/>
    <s v="FLA-2024-00294"/>
    <x v="4"/>
    <x v="5"/>
    <x v="3"/>
    <x v="845"/>
    <s v="%"/>
    <n v="97"/>
    <n v="100"/>
    <x v="100"/>
    <x v="6"/>
  </r>
  <r>
    <s v="S001956"/>
    <s v="FRA-2024-00438"/>
    <x v="3"/>
    <x v="9"/>
    <x v="0"/>
    <x v="846"/>
    <s v="ppm"/>
    <n v="0"/>
    <n v="120"/>
    <x v="35"/>
    <x v="1"/>
  </r>
  <r>
    <s v="S001652"/>
    <s v="ESS-2024-00370"/>
    <x v="2"/>
    <x v="5"/>
    <x v="4"/>
    <x v="82"/>
    <s v="%"/>
    <n v="0"/>
    <n v="1"/>
    <x v="300"/>
    <x v="3"/>
  </r>
  <r>
    <s v="S001617"/>
    <s v="FOO-2025-00360"/>
    <x v="1"/>
    <x v="3"/>
    <x v="2"/>
    <x v="847"/>
    <s v="um"/>
    <n v="150"/>
    <n v="400"/>
    <x v="370"/>
    <x v="2"/>
  </r>
  <r>
    <s v="S000583"/>
    <s v="FOO-2024-00131"/>
    <x v="1"/>
    <x v="8"/>
    <x v="4"/>
    <x v="559"/>
    <s v="%"/>
    <n v="0"/>
    <n v="1"/>
    <x v="193"/>
    <x v="8"/>
  </r>
  <r>
    <s v="S001910"/>
    <s v="FOO-2025-00427"/>
    <x v="1"/>
    <x v="5"/>
    <x v="2"/>
    <x v="848"/>
    <s v="um"/>
    <n v="150"/>
    <n v="400"/>
    <x v="183"/>
    <x v="6"/>
  </r>
  <r>
    <s v="S001693"/>
    <s v="ESS-2024-00379"/>
    <x v="2"/>
    <x v="2"/>
    <x v="1"/>
    <x v="85"/>
    <s v="g/ml"/>
    <n v="0.88"/>
    <n v="0.97"/>
    <x v="22"/>
    <x v="8"/>
  </r>
  <r>
    <s v="S000840"/>
    <s v="FOO-2025-00191"/>
    <x v="1"/>
    <x v="5"/>
    <x v="1"/>
    <x v="314"/>
    <s v="g/ml"/>
    <n v="0.88"/>
    <n v="0.97"/>
    <x v="34"/>
    <x v="4"/>
  </r>
  <r>
    <s v="S000628"/>
    <s v="ESS-2025-00142"/>
    <x v="2"/>
    <x v="7"/>
    <x v="4"/>
    <x v="849"/>
    <s v="%"/>
    <n v="0"/>
    <n v="1"/>
    <x v="391"/>
    <x v="0"/>
  </r>
  <r>
    <s v="S000324"/>
    <s v="ARO-2025-00073"/>
    <x v="0"/>
    <x v="10"/>
    <x v="0"/>
    <x v="850"/>
    <s v="ppm"/>
    <n v="0"/>
    <n v="120"/>
    <x v="152"/>
    <x v="0"/>
  </r>
  <r>
    <s v="S001643"/>
    <s v="ARO-2024-00368"/>
    <x v="0"/>
    <x v="1"/>
    <x v="0"/>
    <x v="851"/>
    <s v="ppm"/>
    <n v="0"/>
    <n v="120"/>
    <x v="158"/>
    <x v="7"/>
  </r>
  <r>
    <s v="S001161"/>
    <s v="FOO-2024-00260"/>
    <x v="1"/>
    <x v="9"/>
    <x v="6"/>
    <x v="852"/>
    <s v="CFU/g"/>
    <n v="0"/>
    <n v="100"/>
    <x v="303"/>
    <x v="8"/>
  </r>
  <r>
    <s v="S000779"/>
    <s v="ARO-2025-00177"/>
    <x v="0"/>
    <x v="7"/>
    <x v="2"/>
    <x v="853"/>
    <s v="um"/>
    <n v="150"/>
    <n v="400"/>
    <x v="187"/>
    <x v="4"/>
  </r>
  <r>
    <s v="S001077"/>
    <s v="FOO-2024-00241"/>
    <x v="1"/>
    <x v="5"/>
    <x v="3"/>
    <x v="693"/>
    <s v="%"/>
    <n v="97"/>
    <n v="100"/>
    <x v="393"/>
    <x v="3"/>
  </r>
  <r>
    <s v="S000940"/>
    <s v="ESS-2025-00213"/>
    <x v="2"/>
    <x v="3"/>
    <x v="3"/>
    <x v="351"/>
    <s v="%"/>
    <n v="97"/>
    <n v="100"/>
    <x v="88"/>
    <x v="2"/>
  </r>
  <r>
    <s v="S000438"/>
    <s v="ESS-2024-00099"/>
    <x v="2"/>
    <x v="4"/>
    <x v="1"/>
    <x v="224"/>
    <s v="g/ml"/>
    <n v="0.88"/>
    <n v="0.97"/>
    <x v="162"/>
    <x v="2"/>
  </r>
  <r>
    <s v="S000120"/>
    <s v="ESS-2025-00028"/>
    <x v="2"/>
    <x v="3"/>
    <x v="5"/>
    <x v="854"/>
    <m/>
    <n v="6"/>
    <n v="7.5"/>
    <x v="264"/>
    <x v="0"/>
  </r>
  <r>
    <s v="S001553"/>
    <s v="ESS-2024-00345"/>
    <x v="2"/>
    <x v="2"/>
    <x v="2"/>
    <x v="855"/>
    <s v="um"/>
    <n v="150"/>
    <n v="400"/>
    <x v="62"/>
    <x v="1"/>
  </r>
  <r>
    <s v="S001563"/>
    <s v="FOO-2024-00348"/>
    <x v="1"/>
    <x v="2"/>
    <x v="6"/>
    <x v="856"/>
    <s v="CFU/g"/>
    <n v="0"/>
    <n v="100"/>
    <x v="135"/>
    <x v="4"/>
  </r>
  <r>
    <s v="S001027"/>
    <s v="FOO-2025-00231"/>
    <x v="1"/>
    <x v="9"/>
    <x v="1"/>
    <x v="75"/>
    <s v="g/ml"/>
    <n v="0.88"/>
    <n v="0.97"/>
    <x v="147"/>
    <x v="5"/>
  </r>
  <r>
    <s v="S001254"/>
    <s v="FLA-2024-00280"/>
    <x v="4"/>
    <x v="10"/>
    <x v="1"/>
    <x v="33"/>
    <s v="g/ml"/>
    <n v="0.88"/>
    <n v="0.97"/>
    <x v="95"/>
    <x v="4"/>
  </r>
  <r>
    <s v="S001557"/>
    <s v="FRA-2024-00347"/>
    <x v="3"/>
    <x v="3"/>
    <x v="1"/>
    <x v="224"/>
    <s v="g/ml"/>
    <n v="0.88"/>
    <n v="0.97"/>
    <x v="375"/>
    <x v="7"/>
  </r>
  <r>
    <s v="S000077"/>
    <s v="FRA-2025-00018"/>
    <x v="3"/>
    <x v="1"/>
    <x v="4"/>
    <x v="157"/>
    <s v="%"/>
    <n v="0"/>
    <n v="1"/>
    <x v="278"/>
    <x v="3"/>
  </r>
  <r>
    <s v="S001054"/>
    <s v="FLA-2024-00236"/>
    <x v="4"/>
    <x v="1"/>
    <x v="6"/>
    <x v="857"/>
    <s v="CFU/g"/>
    <n v="0"/>
    <n v="100"/>
    <x v="394"/>
    <x v="2"/>
  </r>
  <r>
    <s v="S000901"/>
    <s v="FRA-2025-00203"/>
    <x v="3"/>
    <x v="2"/>
    <x v="6"/>
    <x v="858"/>
    <s v="CFU/g"/>
    <n v="0"/>
    <n v="100"/>
    <x v="233"/>
    <x v="8"/>
  </r>
  <r>
    <s v="S000372"/>
    <s v="FLA-2025-00084"/>
    <x v="4"/>
    <x v="5"/>
    <x v="2"/>
    <x v="859"/>
    <s v="um"/>
    <n v="150"/>
    <n v="400"/>
    <x v="206"/>
    <x v="2"/>
  </r>
  <r>
    <s v="S001864"/>
    <s v="FRA-2025-00417"/>
    <x v="3"/>
    <x v="9"/>
    <x v="5"/>
    <x v="860"/>
    <m/>
    <n v="6"/>
    <n v="7.5"/>
    <x v="212"/>
    <x v="1"/>
  </r>
  <r>
    <s v="S001442"/>
    <s v="FOO-2025-00322"/>
    <x v="1"/>
    <x v="2"/>
    <x v="4"/>
    <x v="179"/>
    <s v="%"/>
    <n v="0"/>
    <n v="1"/>
    <x v="57"/>
    <x v="5"/>
  </r>
  <r>
    <s v="S001978"/>
    <s v="FLA-2025-00442"/>
    <x v="4"/>
    <x v="3"/>
    <x v="4"/>
    <x v="861"/>
    <s v="%"/>
    <n v="0"/>
    <n v="1"/>
    <x v="165"/>
    <x v="3"/>
  </r>
  <r>
    <s v="S000942"/>
    <s v="ESS-2025-00213"/>
    <x v="2"/>
    <x v="3"/>
    <x v="4"/>
    <x v="564"/>
    <s v="%"/>
    <n v="0"/>
    <n v="1"/>
    <x v="395"/>
    <x v="6"/>
  </r>
  <r>
    <s v="S000578"/>
    <s v="FRA-2025-00130"/>
    <x v="3"/>
    <x v="1"/>
    <x v="6"/>
    <x v="104"/>
    <s v="CFU/g"/>
    <n v="0"/>
    <n v="100"/>
    <x v="219"/>
    <x v="3"/>
  </r>
  <r>
    <s v="S000820"/>
    <s v="ESS-2024-00186"/>
    <x v="2"/>
    <x v="7"/>
    <x v="6"/>
    <x v="862"/>
    <s v="CFU/g"/>
    <n v="0"/>
    <n v="100"/>
    <x v="150"/>
    <x v="2"/>
  </r>
  <r>
    <s v="S001497"/>
    <s v="ESS-2025-00333"/>
    <x v="2"/>
    <x v="7"/>
    <x v="5"/>
    <x v="863"/>
    <m/>
    <n v="6"/>
    <n v="7.5"/>
    <x v="44"/>
    <x v="8"/>
  </r>
  <r>
    <s v="S001491"/>
    <s v="FOO-2024-00332"/>
    <x v="1"/>
    <x v="3"/>
    <x v="6"/>
    <x v="686"/>
    <s v="CFU/g"/>
    <n v="0"/>
    <n v="100"/>
    <x v="292"/>
    <x v="8"/>
  </r>
  <r>
    <s v="S001733"/>
    <s v="ESS-2025-00387"/>
    <x v="2"/>
    <x v="2"/>
    <x v="5"/>
    <x v="864"/>
    <m/>
    <n v="6"/>
    <n v="7.5"/>
    <x v="325"/>
    <x v="3"/>
  </r>
  <r>
    <s v="S001380"/>
    <s v="FLA-2024-00308"/>
    <x v="4"/>
    <x v="10"/>
    <x v="2"/>
    <x v="865"/>
    <s v="um"/>
    <n v="150"/>
    <n v="400"/>
    <x v="221"/>
    <x v="5"/>
  </r>
  <r>
    <s v="S000887"/>
    <s v="FLA-2025-00201"/>
    <x v="4"/>
    <x v="0"/>
    <x v="5"/>
    <x v="783"/>
    <m/>
    <n v="6"/>
    <n v="7.5"/>
    <x v="178"/>
    <x v="4"/>
  </r>
  <r>
    <s v="S000969"/>
    <s v="FRA-2025-00219"/>
    <x v="3"/>
    <x v="4"/>
    <x v="6"/>
    <x v="88"/>
    <s v="CFU/g"/>
    <n v="0"/>
    <n v="100"/>
    <x v="396"/>
    <x v="5"/>
  </r>
  <r>
    <s v="S001597"/>
    <s v="FOO-2025-00356"/>
    <x v="1"/>
    <x v="6"/>
    <x v="1"/>
    <x v="80"/>
    <s v="g/ml"/>
    <n v="0.88"/>
    <n v="0.97"/>
    <x v="246"/>
    <x v="8"/>
  </r>
  <r>
    <s v="S000786"/>
    <s v="ESS-2024-00178"/>
    <x v="2"/>
    <x v="2"/>
    <x v="0"/>
    <x v="866"/>
    <s v="ppm"/>
    <n v="0"/>
    <n v="120"/>
    <x v="397"/>
    <x v="5"/>
  </r>
  <r>
    <s v="S001929"/>
    <s v="FRA-2025-00432"/>
    <x v="3"/>
    <x v="6"/>
    <x v="4"/>
    <x v="867"/>
    <s v="%"/>
    <n v="0"/>
    <n v="1"/>
    <x v="225"/>
    <x v="8"/>
  </r>
  <r>
    <s v="S001681"/>
    <s v="FRA-2024-00376"/>
    <x v="3"/>
    <x v="3"/>
    <x v="5"/>
    <x v="336"/>
    <m/>
    <n v="6"/>
    <n v="7.5"/>
    <x v="21"/>
    <x v="3"/>
  </r>
  <r>
    <s v="S001283"/>
    <s v="ESS-2025-00286"/>
    <x v="2"/>
    <x v="3"/>
    <x v="3"/>
    <x v="868"/>
    <s v="%"/>
    <n v="97"/>
    <n v="100"/>
    <x v="109"/>
    <x v="1"/>
  </r>
  <r>
    <s v="S000302"/>
    <s v="FOO-2025-00068"/>
    <x v="1"/>
    <x v="0"/>
    <x v="6"/>
    <x v="869"/>
    <s v="CFU/g"/>
    <n v="0"/>
    <n v="100"/>
    <x v="72"/>
    <x v="2"/>
  </r>
  <r>
    <s v="S000690"/>
    <s v="FOO-2024-00157"/>
    <x v="1"/>
    <x v="7"/>
    <x v="2"/>
    <x v="870"/>
    <s v="um"/>
    <n v="150"/>
    <n v="400"/>
    <x v="281"/>
    <x v="1"/>
  </r>
  <r>
    <s v="S000813"/>
    <s v="FRA-2024-00184"/>
    <x v="3"/>
    <x v="7"/>
    <x v="5"/>
    <x v="871"/>
    <m/>
    <n v="6"/>
    <n v="7.5"/>
    <x v="244"/>
    <x v="5"/>
  </r>
  <r>
    <s v="S001062"/>
    <s v="FOO-2024-00237"/>
    <x v="1"/>
    <x v="10"/>
    <x v="3"/>
    <x v="537"/>
    <s v="%"/>
    <n v="97"/>
    <n v="100"/>
    <x v="9"/>
    <x v="4"/>
  </r>
  <r>
    <s v="S000237"/>
    <s v="FRA-2024-00054"/>
    <x v="3"/>
    <x v="6"/>
    <x v="4"/>
    <x v="57"/>
    <s v="%"/>
    <n v="0"/>
    <n v="1"/>
    <x v="155"/>
    <x v="2"/>
  </r>
  <r>
    <s v="S001116"/>
    <s v="FOO-2025-00251"/>
    <x v="1"/>
    <x v="10"/>
    <x v="4"/>
    <x v="119"/>
    <s v="%"/>
    <n v="0"/>
    <n v="1"/>
    <x v="28"/>
    <x v="6"/>
  </r>
  <r>
    <s v="S001356"/>
    <s v="ESS-2024-00303"/>
    <x v="2"/>
    <x v="5"/>
    <x v="6"/>
    <x v="872"/>
    <s v="CFU/g"/>
    <n v="0"/>
    <n v="100"/>
    <x v="17"/>
    <x v="8"/>
  </r>
  <r>
    <s v="S000500"/>
    <s v="FLA-2025-00112"/>
    <x v="4"/>
    <x v="7"/>
    <x v="2"/>
    <x v="873"/>
    <s v="um"/>
    <n v="150"/>
    <n v="400"/>
    <x v="43"/>
    <x v="5"/>
  </r>
  <r>
    <s v="S001657"/>
    <s v="ESS-2024-00370"/>
    <x v="2"/>
    <x v="8"/>
    <x v="6"/>
    <x v="874"/>
    <s v="CFU/g"/>
    <n v="0"/>
    <n v="100"/>
    <x v="300"/>
    <x v="5"/>
  </r>
  <r>
    <s v="S001080"/>
    <s v="ARO-2024-00242"/>
    <x v="0"/>
    <x v="8"/>
    <x v="2"/>
    <x v="875"/>
    <s v="um"/>
    <n v="150"/>
    <n v="400"/>
    <x v="131"/>
    <x v="3"/>
  </r>
  <r>
    <s v="S001327"/>
    <s v="ARO-2024-00296"/>
    <x v="0"/>
    <x v="1"/>
    <x v="2"/>
    <x v="876"/>
    <s v="um"/>
    <n v="150"/>
    <n v="400"/>
    <x v="19"/>
    <x v="8"/>
  </r>
  <r>
    <s v="S000795"/>
    <s v="FLA-2024-00180"/>
    <x v="4"/>
    <x v="9"/>
    <x v="4"/>
    <x v="447"/>
    <s v="%"/>
    <n v="0"/>
    <n v="1"/>
    <x v="137"/>
    <x v="0"/>
  </r>
  <r>
    <s v="S001925"/>
    <s v="FOO-2024-00431"/>
    <x v="1"/>
    <x v="2"/>
    <x v="2"/>
    <x v="877"/>
    <s v="um"/>
    <n v="150"/>
    <n v="400"/>
    <x v="14"/>
    <x v="1"/>
  </r>
  <r>
    <s v="S001766"/>
    <s v="ESS-2024-00395"/>
    <x v="2"/>
    <x v="10"/>
    <x v="3"/>
    <x v="878"/>
    <s v="%"/>
    <n v="97"/>
    <n v="100"/>
    <x v="116"/>
    <x v="0"/>
  </r>
  <r>
    <s v="S001933"/>
    <s v="FRA-2025-00432"/>
    <x v="3"/>
    <x v="2"/>
    <x v="1"/>
    <x v="1"/>
    <s v="g/ml"/>
    <n v="0.88"/>
    <n v="0.97"/>
    <x v="225"/>
    <x v="1"/>
  </r>
  <r>
    <s v="S000991"/>
    <s v="FOO-2025-00224"/>
    <x v="1"/>
    <x v="9"/>
    <x v="6"/>
    <x v="879"/>
    <s v="CFU/g"/>
    <n v="0"/>
    <n v="100"/>
    <x v="129"/>
    <x v="5"/>
  </r>
  <r>
    <s v="S001372"/>
    <s v="FLA-2024-00306"/>
    <x v="4"/>
    <x v="5"/>
    <x v="1"/>
    <x v="96"/>
    <s v="g/ml"/>
    <n v="0.88"/>
    <n v="0.97"/>
    <x v="343"/>
    <x v="4"/>
  </r>
  <r>
    <s v="S000935"/>
    <s v="ARO-2025-00212"/>
    <x v="0"/>
    <x v="5"/>
    <x v="6"/>
    <x v="880"/>
    <s v="CFU/g"/>
    <n v="0"/>
    <n v="100"/>
    <x v="240"/>
    <x v="8"/>
  </r>
  <r>
    <s v="S000388"/>
    <s v="ARO-2024-00088"/>
    <x v="0"/>
    <x v="3"/>
    <x v="5"/>
    <x v="216"/>
    <m/>
    <n v="6"/>
    <n v="7.5"/>
    <x v="62"/>
    <x v="3"/>
  </r>
  <r>
    <s v="S001470"/>
    <s v="ESS-2025-00327"/>
    <x v="2"/>
    <x v="3"/>
    <x v="2"/>
    <x v="881"/>
    <s v="um"/>
    <n v="150"/>
    <n v="400"/>
    <x v="82"/>
    <x v="3"/>
  </r>
  <r>
    <s v="S000391"/>
    <s v="ARO-2024-00089"/>
    <x v="0"/>
    <x v="5"/>
    <x v="2"/>
    <x v="882"/>
    <s v="um"/>
    <n v="150"/>
    <n v="400"/>
    <x v="128"/>
    <x v="6"/>
  </r>
  <r>
    <s v="S000744"/>
    <s v="FLA-2025-00168"/>
    <x v="4"/>
    <x v="2"/>
    <x v="2"/>
    <x v="883"/>
    <s v="um"/>
    <n v="150"/>
    <n v="400"/>
    <x v="216"/>
    <x v="0"/>
  </r>
  <r>
    <s v="S000353"/>
    <s v="FRA-2025-00080"/>
    <x v="3"/>
    <x v="8"/>
    <x v="5"/>
    <x v="629"/>
    <m/>
    <n v="6"/>
    <n v="7.5"/>
    <x v="205"/>
    <x v="6"/>
  </r>
  <r>
    <s v="S001218"/>
    <s v="FLA-2024-00272"/>
    <x v="4"/>
    <x v="8"/>
    <x v="5"/>
    <x v="350"/>
    <m/>
    <n v="6"/>
    <n v="7.5"/>
    <x v="37"/>
    <x v="4"/>
  </r>
  <r>
    <s v="S000236"/>
    <s v="FRA-2024-00054"/>
    <x v="3"/>
    <x v="6"/>
    <x v="1"/>
    <x v="1"/>
    <s v="g/ml"/>
    <n v="0.88"/>
    <n v="0.97"/>
    <x v="155"/>
    <x v="5"/>
  </r>
  <r>
    <s v="S001707"/>
    <s v="FOO-2025-00382"/>
    <x v="1"/>
    <x v="2"/>
    <x v="4"/>
    <x v="460"/>
    <s v="%"/>
    <n v="0"/>
    <n v="1"/>
    <x v="63"/>
    <x v="2"/>
  </r>
  <r>
    <s v="S000481"/>
    <s v="FRA-2024-00108"/>
    <x v="3"/>
    <x v="3"/>
    <x v="0"/>
    <x v="884"/>
    <s v="ppm"/>
    <n v="0"/>
    <n v="120"/>
    <x v="87"/>
    <x v="2"/>
  </r>
  <r>
    <s v="S000568"/>
    <s v="FLA-2024-00128"/>
    <x v="4"/>
    <x v="2"/>
    <x v="1"/>
    <x v="17"/>
    <s v="g/ml"/>
    <n v="0.88"/>
    <n v="0.97"/>
    <x v="327"/>
    <x v="2"/>
  </r>
  <r>
    <s v="S001141"/>
    <s v="ARO-2025-00256"/>
    <x v="0"/>
    <x v="3"/>
    <x v="5"/>
    <x v="885"/>
    <m/>
    <n v="6"/>
    <n v="7.5"/>
    <x v="189"/>
    <x v="4"/>
  </r>
  <r>
    <s v="S001682"/>
    <s v="FRA-2024-00376"/>
    <x v="3"/>
    <x v="3"/>
    <x v="4"/>
    <x v="19"/>
    <s v="%"/>
    <n v="0"/>
    <n v="1"/>
    <x v="21"/>
    <x v="3"/>
  </r>
  <r>
    <s v="S001865"/>
    <s v="FRA-2025-00417"/>
    <x v="3"/>
    <x v="7"/>
    <x v="6"/>
    <x v="886"/>
    <s v="CFU/g"/>
    <n v="0"/>
    <n v="100"/>
    <x v="212"/>
    <x v="6"/>
  </r>
  <r>
    <s v="S001566"/>
    <s v="FLA-2024-00349"/>
    <x v="4"/>
    <x v="2"/>
    <x v="0"/>
    <x v="887"/>
    <s v="ppm"/>
    <n v="0"/>
    <n v="120"/>
    <x v="1"/>
    <x v="1"/>
  </r>
  <r>
    <s v="S000121"/>
    <s v="ESS-2025-00028"/>
    <x v="2"/>
    <x v="0"/>
    <x v="1"/>
    <x v="33"/>
    <s v="g/ml"/>
    <n v="0.88"/>
    <n v="0.97"/>
    <x v="264"/>
    <x v="1"/>
  </r>
  <r>
    <s v="S001983"/>
    <s v="ESS-2025-00443"/>
    <x v="2"/>
    <x v="0"/>
    <x v="0"/>
    <x v="888"/>
    <s v="ppm"/>
    <n v="0"/>
    <n v="120"/>
    <x v="55"/>
    <x v="8"/>
  </r>
  <r>
    <s v="S001025"/>
    <s v="FOO-2025-00231"/>
    <x v="1"/>
    <x v="9"/>
    <x v="6"/>
    <x v="419"/>
    <s v="CFU/g"/>
    <n v="0"/>
    <n v="100"/>
    <x v="147"/>
    <x v="5"/>
  </r>
  <r>
    <s v="S001087"/>
    <s v="FLA-2024-00244"/>
    <x v="4"/>
    <x v="5"/>
    <x v="5"/>
    <x v="517"/>
    <m/>
    <n v="6"/>
    <n v="7.5"/>
    <x v="92"/>
    <x v="3"/>
  </r>
  <r>
    <s v="S001273"/>
    <s v="ARO-2024-00285"/>
    <x v="0"/>
    <x v="4"/>
    <x v="6"/>
    <x v="889"/>
    <s v="CFU/g"/>
    <n v="0"/>
    <n v="100"/>
    <x v="13"/>
    <x v="7"/>
  </r>
  <r>
    <s v="S000927"/>
    <s v="FRA-2024-00210"/>
    <x v="3"/>
    <x v="8"/>
    <x v="0"/>
    <x v="890"/>
    <s v="ppm"/>
    <n v="0"/>
    <n v="120"/>
    <x v="123"/>
    <x v="7"/>
  </r>
  <r>
    <s v="S000516"/>
    <s v="FOO-2025-00116"/>
    <x v="1"/>
    <x v="1"/>
    <x v="3"/>
    <x v="689"/>
    <s v="%"/>
    <n v="97"/>
    <n v="100"/>
    <x v="6"/>
    <x v="3"/>
  </r>
  <r>
    <s v="S000224"/>
    <s v="ARO-2025-00052"/>
    <x v="0"/>
    <x v="4"/>
    <x v="4"/>
    <x v="384"/>
    <s v="%"/>
    <n v="0"/>
    <n v="1"/>
    <x v="187"/>
    <x v="0"/>
  </r>
  <r>
    <s v="S001478"/>
    <s v="ESS-2025-00329"/>
    <x v="2"/>
    <x v="4"/>
    <x v="3"/>
    <x v="891"/>
    <s v="%"/>
    <n v="97"/>
    <n v="100"/>
    <x v="245"/>
    <x v="7"/>
  </r>
  <r>
    <s v="S000614"/>
    <s v="FLA-2024-00139"/>
    <x v="4"/>
    <x v="5"/>
    <x v="6"/>
    <x v="892"/>
    <s v="CFU/g"/>
    <n v="0"/>
    <n v="100"/>
    <x v="398"/>
    <x v="1"/>
  </r>
  <r>
    <s v="S000844"/>
    <s v="FOO-2025-00191"/>
    <x v="1"/>
    <x v="5"/>
    <x v="4"/>
    <x v="368"/>
    <s v="%"/>
    <n v="0"/>
    <n v="1"/>
    <x v="34"/>
    <x v="5"/>
  </r>
  <r>
    <s v="S001246"/>
    <s v="FRA-2025-00279"/>
    <x v="3"/>
    <x v="9"/>
    <x v="1"/>
    <x v="1"/>
    <s v="g/ml"/>
    <n v="0.88"/>
    <n v="0.97"/>
    <x v="46"/>
    <x v="2"/>
  </r>
  <r>
    <s v="S000053"/>
    <s v="ESS-2024-00013"/>
    <x v="2"/>
    <x v="8"/>
    <x v="2"/>
    <x v="893"/>
    <s v="um"/>
    <n v="150"/>
    <n v="400"/>
    <x v="90"/>
    <x v="2"/>
  </r>
  <r>
    <s v="S001844"/>
    <s v="ESS-2025-00412"/>
    <x v="2"/>
    <x v="7"/>
    <x v="3"/>
    <x v="894"/>
    <s v="%"/>
    <n v="97"/>
    <n v="100"/>
    <x v="56"/>
    <x v="6"/>
  </r>
  <r>
    <s v="S000486"/>
    <s v="FLA-2025-00109"/>
    <x v="4"/>
    <x v="10"/>
    <x v="4"/>
    <x v="29"/>
    <s v="%"/>
    <n v="0"/>
    <n v="1"/>
    <x v="294"/>
    <x v="2"/>
  </r>
  <r>
    <s v="S001934"/>
    <s v="ARO-2025-00433"/>
    <x v="0"/>
    <x v="0"/>
    <x v="6"/>
    <x v="895"/>
    <s v="CFU/g"/>
    <n v="0"/>
    <n v="100"/>
    <x v="163"/>
    <x v="3"/>
  </r>
  <r>
    <s v="S000819"/>
    <s v="ESS-2024-00186"/>
    <x v="2"/>
    <x v="9"/>
    <x v="4"/>
    <x v="23"/>
    <s v="%"/>
    <n v="0"/>
    <n v="1"/>
    <x v="150"/>
    <x v="5"/>
  </r>
  <r>
    <s v="S000156"/>
    <s v="FLA-2024-00037"/>
    <x v="4"/>
    <x v="9"/>
    <x v="5"/>
    <x v="265"/>
    <m/>
    <n v="6"/>
    <n v="7.5"/>
    <x v="346"/>
    <x v="2"/>
  </r>
  <r>
    <s v="S001367"/>
    <s v="ESS-2025-00305"/>
    <x v="2"/>
    <x v="3"/>
    <x v="6"/>
    <x v="896"/>
    <s v="CFU/g"/>
    <n v="0"/>
    <n v="100"/>
    <x v="305"/>
    <x v="5"/>
  </r>
  <r>
    <s v="S000601"/>
    <s v="FLA-2025-00135"/>
    <x v="4"/>
    <x v="1"/>
    <x v="2"/>
    <x v="897"/>
    <s v="um"/>
    <n v="150"/>
    <n v="400"/>
    <x v="399"/>
    <x v="2"/>
  </r>
  <r>
    <s v="S001603"/>
    <s v="FRA-2024-00358"/>
    <x v="3"/>
    <x v="3"/>
    <x v="1"/>
    <x v="292"/>
    <s v="g/ml"/>
    <n v="0.88"/>
    <n v="0.97"/>
    <x v="81"/>
    <x v="8"/>
  </r>
  <r>
    <s v="S000249"/>
    <s v="FRA-2025-00056"/>
    <x v="3"/>
    <x v="3"/>
    <x v="5"/>
    <x v="898"/>
    <m/>
    <n v="6"/>
    <n v="7.5"/>
    <x v="129"/>
    <x v="4"/>
  </r>
  <r>
    <s v="S000762"/>
    <s v="ARO-2024-00172"/>
    <x v="0"/>
    <x v="7"/>
    <x v="0"/>
    <x v="899"/>
    <s v="ppm"/>
    <n v="0"/>
    <n v="120"/>
    <x v="9"/>
    <x v="7"/>
  </r>
  <r>
    <s v="S001828"/>
    <s v="ESS-2024-00408"/>
    <x v="2"/>
    <x v="9"/>
    <x v="0"/>
    <x v="900"/>
    <s v="ppm"/>
    <n v="0"/>
    <n v="120"/>
    <x v="0"/>
    <x v="0"/>
  </r>
  <r>
    <s v="S001131"/>
    <s v="FLA-2024-00254"/>
    <x v="4"/>
    <x v="2"/>
    <x v="4"/>
    <x v="23"/>
    <s v="%"/>
    <n v="0"/>
    <n v="1"/>
    <x v="344"/>
    <x v="7"/>
  </r>
  <r>
    <s v="S000543"/>
    <s v="ESS-2025-00122"/>
    <x v="2"/>
    <x v="9"/>
    <x v="5"/>
    <x v="375"/>
    <m/>
    <n v="6"/>
    <n v="7.5"/>
    <x v="255"/>
    <x v="3"/>
  </r>
  <r>
    <s v="S000794"/>
    <s v="FLA-2024-00180"/>
    <x v="4"/>
    <x v="9"/>
    <x v="5"/>
    <x v="102"/>
    <m/>
    <n v="6"/>
    <n v="7.5"/>
    <x v="137"/>
    <x v="8"/>
  </r>
  <r>
    <s v="S001142"/>
    <s v="ARO-2025-00256"/>
    <x v="0"/>
    <x v="3"/>
    <x v="6"/>
    <x v="901"/>
    <s v="CFU/g"/>
    <n v="0"/>
    <n v="100"/>
    <x v="189"/>
    <x v="2"/>
  </r>
  <r>
    <s v="S001456"/>
    <s v="FOO-2024-00324"/>
    <x v="1"/>
    <x v="5"/>
    <x v="2"/>
    <x v="902"/>
    <s v="um"/>
    <n v="150"/>
    <n v="400"/>
    <x v="260"/>
    <x v="0"/>
  </r>
  <r>
    <s v="S000629"/>
    <s v="ESS-2025-00142"/>
    <x v="2"/>
    <x v="10"/>
    <x v="6"/>
    <x v="903"/>
    <s v="CFU/g"/>
    <n v="0"/>
    <n v="100"/>
    <x v="391"/>
    <x v="0"/>
  </r>
  <r>
    <s v="S000151"/>
    <s v="FOO-2025-00036"/>
    <x v="1"/>
    <x v="6"/>
    <x v="3"/>
    <x v="904"/>
    <s v="%"/>
    <n v="97"/>
    <n v="100"/>
    <x v="316"/>
    <x v="6"/>
  </r>
  <r>
    <s v="S001838"/>
    <s v="ARO-2025-00411"/>
    <x v="0"/>
    <x v="6"/>
    <x v="2"/>
    <x v="905"/>
    <s v="um"/>
    <n v="150"/>
    <n v="400"/>
    <x v="312"/>
    <x v="5"/>
  </r>
  <r>
    <s v="S000292"/>
    <s v="ARO-2025-00066"/>
    <x v="0"/>
    <x v="5"/>
    <x v="4"/>
    <x v="23"/>
    <s v="%"/>
    <n v="0"/>
    <n v="1"/>
    <x v="335"/>
    <x v="7"/>
  </r>
  <r>
    <s v="S000382"/>
    <s v="ESS-2025-00087"/>
    <x v="2"/>
    <x v="6"/>
    <x v="5"/>
    <x v="533"/>
    <m/>
    <n v="6"/>
    <n v="7.5"/>
    <x v="49"/>
    <x v="3"/>
  </r>
  <r>
    <s v="S000687"/>
    <s v="FOO-2024-00157"/>
    <x v="1"/>
    <x v="9"/>
    <x v="3"/>
    <x v="906"/>
    <s v="%"/>
    <n v="97"/>
    <n v="100"/>
    <x v="281"/>
    <x v="1"/>
  </r>
  <r>
    <s v="S001368"/>
    <s v="FLA-2024-00306"/>
    <x v="4"/>
    <x v="5"/>
    <x v="6"/>
    <x v="907"/>
    <s v="CFU/g"/>
    <n v="0"/>
    <n v="100"/>
    <x v="343"/>
    <x v="2"/>
  </r>
  <r>
    <s v="S001225"/>
    <s v="FLA-2024-00274"/>
    <x v="4"/>
    <x v="0"/>
    <x v="4"/>
    <x v="849"/>
    <s v="%"/>
    <n v="0"/>
    <n v="1"/>
    <x v="214"/>
    <x v="2"/>
  </r>
  <r>
    <s v="S000898"/>
    <s v="FRA-2025-00203"/>
    <x v="3"/>
    <x v="6"/>
    <x v="0"/>
    <x v="908"/>
    <s v="ppm"/>
    <n v="0"/>
    <n v="120"/>
    <x v="233"/>
    <x v="0"/>
  </r>
  <r>
    <s v="S000855"/>
    <s v="ARO-2024-00194"/>
    <x v="0"/>
    <x v="5"/>
    <x v="5"/>
    <x v="185"/>
    <m/>
    <n v="6"/>
    <n v="7.5"/>
    <x v="175"/>
    <x v="2"/>
  </r>
  <r>
    <s v="S001072"/>
    <s v="FLA-2025-00240"/>
    <x v="4"/>
    <x v="0"/>
    <x v="0"/>
    <x v="909"/>
    <s v="ppm"/>
    <n v="0"/>
    <n v="120"/>
    <x v="400"/>
    <x v="6"/>
  </r>
  <r>
    <s v="S002000"/>
    <s v="FOO-2025-00446"/>
    <x v="1"/>
    <x v="8"/>
    <x v="0"/>
    <x v="910"/>
    <s v="ppm"/>
    <n v="0"/>
    <n v="120"/>
    <x v="8"/>
    <x v="4"/>
  </r>
  <r>
    <s v="S001528"/>
    <s v="FRA-2024-00340"/>
    <x v="3"/>
    <x v="5"/>
    <x v="1"/>
    <x v="80"/>
    <s v="g/ml"/>
    <n v="0.88"/>
    <n v="0.97"/>
    <x v="90"/>
    <x v="8"/>
  </r>
  <r>
    <s v="S001688"/>
    <s v="ESS-2025-00378"/>
    <x v="2"/>
    <x v="7"/>
    <x v="0"/>
    <x v="911"/>
    <s v="ppm"/>
    <n v="0"/>
    <n v="120"/>
    <x v="376"/>
    <x v="0"/>
  </r>
  <r>
    <s v="S000892"/>
    <s v="ESS-2024-00202"/>
    <x v="2"/>
    <x v="6"/>
    <x v="3"/>
    <x v="912"/>
    <s v="%"/>
    <n v="97"/>
    <n v="100"/>
    <x v="155"/>
    <x v="3"/>
  </r>
  <r>
    <s v="S001757"/>
    <s v="FRA-2024-00392"/>
    <x v="3"/>
    <x v="1"/>
    <x v="6"/>
    <x v="913"/>
    <s v="CFU/g"/>
    <n v="0"/>
    <n v="100"/>
    <x v="139"/>
    <x v="6"/>
  </r>
  <r>
    <s v="S001316"/>
    <s v="FLA-2024-00294"/>
    <x v="4"/>
    <x v="5"/>
    <x v="6"/>
    <x v="100"/>
    <s v="CFU/g"/>
    <n v="0"/>
    <n v="100"/>
    <x v="100"/>
    <x v="4"/>
  </r>
  <r>
    <s v="S001365"/>
    <s v="ESS-2025-00305"/>
    <x v="2"/>
    <x v="3"/>
    <x v="0"/>
    <x v="914"/>
    <s v="ppm"/>
    <n v="0"/>
    <n v="120"/>
    <x v="305"/>
    <x v="3"/>
  </r>
  <r>
    <s v="S000616"/>
    <s v="FLA-2024-00139"/>
    <x v="4"/>
    <x v="8"/>
    <x v="3"/>
    <x v="915"/>
    <s v="%"/>
    <n v="97"/>
    <n v="100"/>
    <x v="398"/>
    <x v="1"/>
  </r>
  <r>
    <s v="S000155"/>
    <s v="FLA-2024-00037"/>
    <x v="4"/>
    <x v="10"/>
    <x v="6"/>
    <x v="916"/>
    <s v="CFU/g"/>
    <n v="0"/>
    <n v="100"/>
    <x v="346"/>
    <x v="7"/>
  </r>
  <r>
    <s v="S001194"/>
    <s v="FLA-2025-00267"/>
    <x v="4"/>
    <x v="10"/>
    <x v="5"/>
    <x v="180"/>
    <m/>
    <n v="6"/>
    <n v="7.5"/>
    <x v="401"/>
    <x v="3"/>
  </r>
  <r>
    <s v="S001714"/>
    <s v="FLA-2024-00383"/>
    <x v="4"/>
    <x v="5"/>
    <x v="0"/>
    <x v="917"/>
    <s v="ppm"/>
    <n v="0"/>
    <n v="120"/>
    <x v="157"/>
    <x v="1"/>
  </r>
  <r>
    <s v="S001998"/>
    <s v="FOO-2025-00446"/>
    <x v="1"/>
    <x v="8"/>
    <x v="4"/>
    <x v="24"/>
    <s v="%"/>
    <n v="0"/>
    <n v="1"/>
    <x v="8"/>
    <x v="7"/>
  </r>
  <r>
    <s v="S001781"/>
    <s v="FOO-2025-00398"/>
    <x v="1"/>
    <x v="5"/>
    <x v="4"/>
    <x v="124"/>
    <s v="%"/>
    <n v="0"/>
    <n v="1"/>
    <x v="192"/>
    <x v="1"/>
  </r>
  <r>
    <s v="S000323"/>
    <s v="ARO-2025-00073"/>
    <x v="0"/>
    <x v="7"/>
    <x v="6"/>
    <x v="918"/>
    <s v="CFU/g"/>
    <n v="0"/>
    <n v="100"/>
    <x v="152"/>
    <x v="3"/>
  </r>
  <r>
    <s v="S001548"/>
    <s v="ESS-2024-00345"/>
    <x v="2"/>
    <x v="6"/>
    <x v="0"/>
    <x v="919"/>
    <s v="ppm"/>
    <n v="0"/>
    <n v="120"/>
    <x v="62"/>
    <x v="0"/>
  </r>
  <r>
    <s v="S001283"/>
    <s v="ESS-2025-00286"/>
    <x v="2"/>
    <x v="3"/>
    <x v="3"/>
    <x v="868"/>
    <s v="%"/>
    <n v="97"/>
    <n v="100"/>
    <x v="109"/>
    <x v="1"/>
  </r>
  <r>
    <s v="S000083"/>
    <s v="FRA-2025-00020"/>
    <x v="3"/>
    <x v="0"/>
    <x v="5"/>
    <x v="836"/>
    <m/>
    <n v="6"/>
    <n v="7.5"/>
    <x v="339"/>
    <x v="3"/>
  </r>
  <r>
    <s v="S000513"/>
    <s v="FLA-2025-00115"/>
    <x v="4"/>
    <x v="8"/>
    <x v="4"/>
    <x v="82"/>
    <s v="%"/>
    <n v="0"/>
    <n v="1"/>
    <x v="323"/>
    <x v="8"/>
  </r>
  <r>
    <s v="S001527"/>
    <s v="FRA-2024-00340"/>
    <x v="3"/>
    <x v="5"/>
    <x v="4"/>
    <x v="11"/>
    <s v="%"/>
    <n v="0"/>
    <n v="1"/>
    <x v="90"/>
    <x v="3"/>
  </r>
  <r>
    <s v="S001971"/>
    <s v="FRA-2025-00440"/>
    <x v="3"/>
    <x v="8"/>
    <x v="1"/>
    <x v="224"/>
    <s v="g/ml"/>
    <n v="0.88"/>
    <n v="0.97"/>
    <x v="160"/>
    <x v="7"/>
  </r>
  <r>
    <s v="S000930"/>
    <s v="ARO-2025-00211"/>
    <x v="0"/>
    <x v="3"/>
    <x v="5"/>
    <x v="237"/>
    <m/>
    <n v="6"/>
    <n v="7.5"/>
    <x v="156"/>
    <x v="8"/>
  </r>
  <r>
    <s v="S001633"/>
    <s v="FOO-2025-00365"/>
    <x v="1"/>
    <x v="1"/>
    <x v="5"/>
    <x v="920"/>
    <m/>
    <n v="6"/>
    <n v="7.5"/>
    <x v="125"/>
    <x v="8"/>
  </r>
  <r>
    <s v="S001358"/>
    <s v="ESS-2024-00303"/>
    <x v="2"/>
    <x v="5"/>
    <x v="2"/>
    <x v="921"/>
    <s v="um"/>
    <n v="150"/>
    <n v="400"/>
    <x v="17"/>
    <x v="6"/>
  </r>
  <r>
    <s v="S000011"/>
    <s v="ESS-2025-00003"/>
    <x v="2"/>
    <x v="10"/>
    <x v="3"/>
    <x v="922"/>
    <s v="%"/>
    <n v="97"/>
    <n v="100"/>
    <x v="203"/>
    <x v="3"/>
  </r>
  <r>
    <s v="S000832"/>
    <s v="ESS-2024-00189"/>
    <x v="2"/>
    <x v="1"/>
    <x v="2"/>
    <x v="923"/>
    <s v="um"/>
    <n v="150"/>
    <n v="400"/>
    <x v="104"/>
    <x v="0"/>
  </r>
  <r>
    <s v="S000033"/>
    <s v="ARO-2024-00008"/>
    <x v="0"/>
    <x v="1"/>
    <x v="5"/>
    <x v="146"/>
    <m/>
    <n v="6"/>
    <n v="7.5"/>
    <x v="103"/>
    <x v="3"/>
  </r>
  <r>
    <s v="S001516"/>
    <s v="FRA-2024-00338"/>
    <x v="3"/>
    <x v="8"/>
    <x v="4"/>
    <x v="157"/>
    <s v="%"/>
    <n v="0"/>
    <n v="1"/>
    <x v="7"/>
    <x v="5"/>
  </r>
  <r>
    <s v="S000414"/>
    <s v="FOO-2025-00094"/>
    <x v="1"/>
    <x v="1"/>
    <x v="0"/>
    <x v="924"/>
    <s v="ppm"/>
    <n v="0"/>
    <n v="120"/>
    <x v="52"/>
    <x v="3"/>
  </r>
  <r>
    <s v="S000581"/>
    <s v="FRA-2025-00130"/>
    <x v="3"/>
    <x v="1"/>
    <x v="3"/>
    <x v="868"/>
    <s v="%"/>
    <n v="97"/>
    <n v="100"/>
    <x v="219"/>
    <x v="7"/>
  </r>
  <r>
    <s v="S001407"/>
    <s v="ESS-2024-00313"/>
    <x v="2"/>
    <x v="9"/>
    <x v="3"/>
    <x v="925"/>
    <s v="%"/>
    <n v="97"/>
    <n v="100"/>
    <x v="230"/>
    <x v="6"/>
  </r>
  <r>
    <s v="S001551"/>
    <s v="ESS-2024-00345"/>
    <x v="2"/>
    <x v="2"/>
    <x v="6"/>
    <x v="775"/>
    <s v="CFU/g"/>
    <n v="0"/>
    <n v="100"/>
    <x v="62"/>
    <x v="4"/>
  </r>
  <r>
    <s v="S001629"/>
    <s v="FLA-2024-00364"/>
    <x v="4"/>
    <x v="4"/>
    <x v="3"/>
    <x v="24"/>
    <s v="%"/>
    <n v="97"/>
    <n v="100"/>
    <x v="358"/>
    <x v="7"/>
  </r>
  <r>
    <s v="S001907"/>
    <s v="FOO-2025-00427"/>
    <x v="1"/>
    <x v="5"/>
    <x v="4"/>
    <x v="57"/>
    <s v="%"/>
    <n v="0"/>
    <n v="1"/>
    <x v="183"/>
    <x v="2"/>
  </r>
  <r>
    <s v="S000615"/>
    <s v="FLA-2024-00139"/>
    <x v="4"/>
    <x v="8"/>
    <x v="1"/>
    <x v="80"/>
    <s v="g/ml"/>
    <n v="0.88"/>
    <n v="0.97"/>
    <x v="398"/>
    <x v="0"/>
  </r>
  <r>
    <s v="S001046"/>
    <s v="ESS-2024-00235"/>
    <x v="2"/>
    <x v="1"/>
    <x v="2"/>
    <x v="926"/>
    <s v="um"/>
    <n v="150"/>
    <n v="400"/>
    <x v="141"/>
    <x v="7"/>
  </r>
  <r>
    <s v="S001403"/>
    <s v="ESS-2024-00313"/>
    <x v="2"/>
    <x v="7"/>
    <x v="2"/>
    <x v="927"/>
    <s v="um"/>
    <n v="150"/>
    <n v="400"/>
    <x v="230"/>
    <x v="5"/>
  </r>
  <r>
    <s v="S001015"/>
    <s v="FRA-2025-00229"/>
    <x v="3"/>
    <x v="7"/>
    <x v="4"/>
    <x v="460"/>
    <s v="%"/>
    <n v="0"/>
    <n v="1"/>
    <x v="76"/>
    <x v="4"/>
  </r>
  <r>
    <s v="S000090"/>
    <s v="FRA-2024-00021"/>
    <x v="3"/>
    <x v="9"/>
    <x v="6"/>
    <x v="928"/>
    <s v="CFU/g"/>
    <n v="0"/>
    <n v="100"/>
    <x v="402"/>
    <x v="8"/>
  </r>
  <r>
    <s v="S001701"/>
    <s v="FRA-2024-00380"/>
    <x v="3"/>
    <x v="2"/>
    <x v="6"/>
    <x v="929"/>
    <s v="CFU/g"/>
    <n v="0"/>
    <n v="100"/>
    <x v="40"/>
    <x v="1"/>
  </r>
  <r>
    <s v="S000602"/>
    <s v="FLA-2025-00135"/>
    <x v="4"/>
    <x v="1"/>
    <x v="5"/>
    <x v="871"/>
    <m/>
    <n v="6"/>
    <n v="7.5"/>
    <x v="399"/>
    <x v="3"/>
  </r>
  <r>
    <s v="S001238"/>
    <s v="FRA-2025-00277"/>
    <x v="3"/>
    <x v="3"/>
    <x v="6"/>
    <x v="930"/>
    <s v="CFU/g"/>
    <n v="0"/>
    <n v="100"/>
    <x v="359"/>
    <x v="4"/>
  </r>
  <r>
    <s v="S001839"/>
    <s v="ARO-2025-00411"/>
    <x v="0"/>
    <x v="2"/>
    <x v="4"/>
    <x v="36"/>
    <s v="%"/>
    <n v="0"/>
    <n v="1"/>
    <x v="312"/>
    <x v="4"/>
  </r>
  <r>
    <s v="S000134"/>
    <s v="FLA-2024-00031"/>
    <x v="4"/>
    <x v="3"/>
    <x v="1"/>
    <x v="24"/>
    <s v="g/ml"/>
    <n v="0.88"/>
    <n v="0.97"/>
    <x v="161"/>
    <x v="1"/>
  </r>
  <r>
    <s v="S001371"/>
    <s v="FLA-2024-00306"/>
    <x v="4"/>
    <x v="8"/>
    <x v="4"/>
    <x v="50"/>
    <s v="%"/>
    <n v="0"/>
    <n v="1"/>
    <x v="343"/>
    <x v="8"/>
  </r>
  <r>
    <s v="S000556"/>
    <s v="FOO-2024-00125"/>
    <x v="1"/>
    <x v="1"/>
    <x v="0"/>
    <x v="931"/>
    <s v="ppm"/>
    <n v="0"/>
    <n v="120"/>
    <x v="262"/>
    <x v="3"/>
  </r>
  <r>
    <s v="S001032"/>
    <s v="ARO-2025-00232"/>
    <x v="0"/>
    <x v="9"/>
    <x v="3"/>
    <x v="84"/>
    <s v="%"/>
    <n v="97"/>
    <n v="100"/>
    <x v="326"/>
    <x v="3"/>
  </r>
  <r>
    <s v="S001567"/>
    <s v="FLA-2024-00349"/>
    <x v="4"/>
    <x v="2"/>
    <x v="3"/>
    <x v="510"/>
    <s v="%"/>
    <n v="97"/>
    <n v="100"/>
    <x v="1"/>
    <x v="5"/>
  </r>
  <r>
    <s v="S000321"/>
    <s v="ARO-2025-00073"/>
    <x v="0"/>
    <x v="7"/>
    <x v="1"/>
    <x v="1"/>
    <s v="g/ml"/>
    <n v="0.88"/>
    <n v="0.97"/>
    <x v="152"/>
    <x v="0"/>
  </r>
  <r>
    <s v="S001772"/>
    <s v="FOO-2025-00396"/>
    <x v="1"/>
    <x v="7"/>
    <x v="5"/>
    <x v="382"/>
    <m/>
    <n v="6"/>
    <n v="7.5"/>
    <x v="301"/>
    <x v="2"/>
  </r>
  <r>
    <s v="S001212"/>
    <s v="FLA-2024-00270"/>
    <x v="4"/>
    <x v="3"/>
    <x v="2"/>
    <x v="932"/>
    <s v="um"/>
    <n v="150"/>
    <n v="400"/>
    <x v="209"/>
    <x v="6"/>
  </r>
  <r>
    <s v="S001739"/>
    <s v="ARO-2024-00388"/>
    <x v="0"/>
    <x v="1"/>
    <x v="5"/>
    <x v="265"/>
    <m/>
    <n v="6"/>
    <n v="7.5"/>
    <x v="11"/>
    <x v="3"/>
  </r>
  <r>
    <s v="S000635"/>
    <s v="ESS-2025-00144"/>
    <x v="2"/>
    <x v="1"/>
    <x v="6"/>
    <x v="933"/>
    <s v="CFU/g"/>
    <n v="0"/>
    <n v="100"/>
    <x v="379"/>
    <x v="3"/>
  </r>
  <r>
    <s v="S000553"/>
    <s v="FRA-2024-00124"/>
    <x v="3"/>
    <x v="9"/>
    <x v="3"/>
    <x v="934"/>
    <s v="%"/>
    <n v="97"/>
    <n v="100"/>
    <x v="388"/>
    <x v="7"/>
  </r>
  <r>
    <s v="S001329"/>
    <s v="ARO-2024-00296"/>
    <x v="0"/>
    <x v="1"/>
    <x v="1"/>
    <x v="17"/>
    <s v="g/ml"/>
    <n v="0.88"/>
    <n v="0.97"/>
    <x v="19"/>
    <x v="3"/>
  </r>
  <r>
    <s v="S001056"/>
    <s v="FLA-2024-00236"/>
    <x v="4"/>
    <x v="1"/>
    <x v="2"/>
    <x v="24"/>
    <s v="um"/>
    <n v="150"/>
    <n v="400"/>
    <x v="259"/>
    <x v="8"/>
  </r>
  <r>
    <s v="S001560"/>
    <s v="FRA-2024-00347"/>
    <x v="3"/>
    <x v="0"/>
    <x v="2"/>
    <x v="935"/>
    <s v="um"/>
    <n v="150"/>
    <n v="400"/>
    <x v="375"/>
    <x v="5"/>
  </r>
  <r>
    <s v="S000797"/>
    <s v="FLA-2024-00180"/>
    <x v="4"/>
    <x v="7"/>
    <x v="0"/>
    <x v="936"/>
    <s v="ppm"/>
    <n v="0"/>
    <n v="120"/>
    <x v="137"/>
    <x v="6"/>
  </r>
  <r>
    <s v="S001719"/>
    <s v="ESS-2025-00384"/>
    <x v="2"/>
    <x v="8"/>
    <x v="4"/>
    <x v="274"/>
    <s v="%"/>
    <n v="0"/>
    <n v="1"/>
    <x v="134"/>
    <x v="8"/>
  </r>
  <r>
    <s v="S001265"/>
    <s v="FLA-2025-00283"/>
    <x v="4"/>
    <x v="7"/>
    <x v="2"/>
    <x v="937"/>
    <s v="um"/>
    <n v="150"/>
    <n v="400"/>
    <x v="320"/>
    <x v="7"/>
  </r>
  <r>
    <s v="S001834"/>
    <s v="FOO-2025-00410"/>
    <x v="1"/>
    <x v="1"/>
    <x v="3"/>
    <x v="69"/>
    <s v="%"/>
    <n v="97"/>
    <n v="100"/>
    <x v="403"/>
    <x v="8"/>
  </r>
  <r>
    <s v="S000175"/>
    <s v="FOO-2025-00041"/>
    <x v="1"/>
    <x v="5"/>
    <x v="3"/>
    <x v="934"/>
    <s v="%"/>
    <n v="97"/>
    <n v="100"/>
    <x v="88"/>
    <x v="3"/>
  </r>
  <r>
    <s v="S000767"/>
    <s v="FLA-2025-00173"/>
    <x v="4"/>
    <x v="5"/>
    <x v="3"/>
    <x v="380"/>
    <s v="%"/>
    <n v="97"/>
    <n v="100"/>
    <x v="297"/>
    <x v="8"/>
  </r>
  <r>
    <s v="S000246"/>
    <s v="ESS-2025-00055"/>
    <x v="2"/>
    <x v="1"/>
    <x v="5"/>
    <x v="105"/>
    <m/>
    <n v="6"/>
    <n v="7.5"/>
    <x v="47"/>
    <x v="7"/>
  </r>
  <r>
    <s v="S001081"/>
    <s v="ARO-2024-00242"/>
    <x v="0"/>
    <x v="8"/>
    <x v="3"/>
    <x v="938"/>
    <s v="%"/>
    <n v="97"/>
    <n v="100"/>
    <x v="131"/>
    <x v="6"/>
  </r>
  <r>
    <s v="S001738"/>
    <s v="ARO-2024-00388"/>
    <x v="0"/>
    <x v="1"/>
    <x v="0"/>
    <x v="24"/>
    <s v="ppm"/>
    <n v="0"/>
    <n v="120"/>
    <x v="11"/>
    <x v="3"/>
  </r>
  <r>
    <s v="S000146"/>
    <s v="ESS-2025-00035"/>
    <x v="2"/>
    <x v="7"/>
    <x v="2"/>
    <x v="939"/>
    <s v="um"/>
    <n v="150"/>
    <n v="400"/>
    <x v="404"/>
    <x v="0"/>
  </r>
  <r>
    <s v="S000091"/>
    <s v="FRA-2024-00021"/>
    <x v="3"/>
    <x v="9"/>
    <x v="5"/>
    <x v="184"/>
    <m/>
    <n v="6"/>
    <n v="7.5"/>
    <x v="374"/>
    <x v="3"/>
  </r>
  <r>
    <s v="S001417"/>
    <s v="ARO-2025-00316"/>
    <x v="0"/>
    <x v="0"/>
    <x v="2"/>
    <x v="940"/>
    <s v="um"/>
    <n v="150"/>
    <n v="400"/>
    <x v="101"/>
    <x v="7"/>
  </r>
  <r>
    <s v="S000683"/>
    <s v="ARO-2025-00156"/>
    <x v="0"/>
    <x v="5"/>
    <x v="6"/>
    <x v="941"/>
    <s v="CFU/g"/>
    <n v="0"/>
    <n v="100"/>
    <x v="121"/>
    <x v="4"/>
  </r>
  <r>
    <s v="S000311"/>
    <s v="FLA-2025-00070"/>
    <x v="4"/>
    <x v="10"/>
    <x v="3"/>
    <x v="518"/>
    <s v="%"/>
    <n v="97"/>
    <n v="100"/>
    <x v="169"/>
    <x v="7"/>
  </r>
  <r>
    <s v="S001384"/>
    <s v="ARO-2025-00309"/>
    <x v="0"/>
    <x v="7"/>
    <x v="5"/>
    <x v="298"/>
    <m/>
    <n v="6"/>
    <n v="7.5"/>
    <x v="253"/>
    <x v="8"/>
  </r>
  <r>
    <s v="S000094"/>
    <s v="ESS-2025-00022"/>
    <x v="2"/>
    <x v="7"/>
    <x v="3"/>
    <x v="84"/>
    <s v="%"/>
    <n v="97"/>
    <n v="100"/>
    <x v="294"/>
    <x v="6"/>
  </r>
  <r>
    <s v="S001569"/>
    <s v="FLA-2024-00349"/>
    <x v="4"/>
    <x v="2"/>
    <x v="6"/>
    <x v="942"/>
    <s v="CFU/g"/>
    <n v="0"/>
    <n v="100"/>
    <x v="1"/>
    <x v="8"/>
  </r>
  <r>
    <s v="S000925"/>
    <s v="FOO-2024-00209"/>
    <x v="1"/>
    <x v="1"/>
    <x v="2"/>
    <x v="943"/>
    <s v="um"/>
    <n v="150"/>
    <n v="400"/>
    <x v="131"/>
    <x v="0"/>
  </r>
  <r>
    <s v="S001687"/>
    <s v="ESS-2025-00378"/>
    <x v="2"/>
    <x v="7"/>
    <x v="6"/>
    <x v="944"/>
    <s v="CFU/g"/>
    <n v="0"/>
    <n v="100"/>
    <x v="376"/>
    <x v="3"/>
  </r>
  <r>
    <s v="S001036"/>
    <s v="FOO-2024-00233"/>
    <x v="1"/>
    <x v="5"/>
    <x v="1"/>
    <x v="430"/>
    <s v="g/ml"/>
    <n v="0.88"/>
    <n v="0.97"/>
    <x v="37"/>
    <x v="5"/>
  </r>
  <r>
    <s v="S001401"/>
    <s v="FOO-2024-00312"/>
    <x v="1"/>
    <x v="8"/>
    <x v="6"/>
    <x v="945"/>
    <s v="CFU/g"/>
    <n v="0"/>
    <n v="100"/>
    <x v="247"/>
    <x v="8"/>
  </r>
  <r>
    <s v="S000244"/>
    <s v="ESS-2025-00055"/>
    <x v="2"/>
    <x v="1"/>
    <x v="1"/>
    <x v="314"/>
    <s v="g/ml"/>
    <n v="0.88"/>
    <n v="0.97"/>
    <x v="47"/>
    <x v="5"/>
  </r>
  <r>
    <s v="S001112"/>
    <s v="FRA-2024-00250"/>
    <x v="3"/>
    <x v="2"/>
    <x v="4"/>
    <x v="49"/>
    <s v="%"/>
    <n v="0"/>
    <n v="1"/>
    <x v="351"/>
    <x v="8"/>
  </r>
  <r>
    <s v="S000215"/>
    <s v="FLA-2024-00049"/>
    <x v="4"/>
    <x v="1"/>
    <x v="0"/>
    <x v="946"/>
    <s v="ppm"/>
    <n v="0"/>
    <n v="120"/>
    <x v="405"/>
    <x v="4"/>
  </r>
  <r>
    <s v="S001985"/>
    <s v="ESS-2025-00443"/>
    <x v="2"/>
    <x v="3"/>
    <x v="3"/>
    <x v="947"/>
    <s v="%"/>
    <n v="97"/>
    <n v="100"/>
    <x v="55"/>
    <x v="1"/>
  </r>
  <r>
    <s v="S001198"/>
    <s v="ARO-2024-00268"/>
    <x v="0"/>
    <x v="3"/>
    <x v="6"/>
    <x v="948"/>
    <s v="CFU/g"/>
    <n v="0"/>
    <n v="100"/>
    <x v="215"/>
    <x v="3"/>
  </r>
  <r>
    <s v="S000999"/>
    <s v="FLA-2024-00226"/>
    <x v="4"/>
    <x v="1"/>
    <x v="2"/>
    <x v="949"/>
    <s v="um"/>
    <n v="150"/>
    <n v="400"/>
    <x v="238"/>
    <x v="6"/>
  </r>
  <r>
    <s v="S000854"/>
    <s v="ARO-2024-00194"/>
    <x v="0"/>
    <x v="8"/>
    <x v="3"/>
    <x v="950"/>
    <s v="%"/>
    <n v="97"/>
    <n v="100"/>
    <x v="175"/>
    <x v="0"/>
  </r>
  <r>
    <s v="S000426"/>
    <s v="ESS-2024-00097"/>
    <x v="2"/>
    <x v="2"/>
    <x v="3"/>
    <x v="357"/>
    <s v="%"/>
    <n v="97"/>
    <n v="100"/>
    <x v="93"/>
    <x v="0"/>
  </r>
  <r>
    <s v="S001764"/>
    <s v="ESS-2025-00394"/>
    <x v="2"/>
    <x v="2"/>
    <x v="0"/>
    <x v="951"/>
    <s v="ppm"/>
    <n v="0"/>
    <n v="120"/>
    <x v="148"/>
    <x v="6"/>
  </r>
  <r>
    <s v="S001143"/>
    <s v="ARO-2025-00256"/>
    <x v="0"/>
    <x v="3"/>
    <x v="1"/>
    <x v="1"/>
    <s v="g/ml"/>
    <n v="0.88"/>
    <n v="0.97"/>
    <x v="189"/>
    <x v="7"/>
  </r>
  <r>
    <s v="S001144"/>
    <s v="ARO-2024-00257"/>
    <x v="0"/>
    <x v="10"/>
    <x v="5"/>
    <x v="761"/>
    <m/>
    <n v="6"/>
    <n v="7.5"/>
    <x v="262"/>
    <x v="6"/>
  </r>
  <r>
    <s v="S000227"/>
    <s v="ARO-2025-00052"/>
    <x v="0"/>
    <x v="4"/>
    <x v="6"/>
    <x v="952"/>
    <s v="CFU/g"/>
    <n v="0"/>
    <n v="100"/>
    <x v="187"/>
    <x v="6"/>
  </r>
  <r>
    <s v="S001628"/>
    <s v="FLA-2024-00364"/>
    <x v="4"/>
    <x v="1"/>
    <x v="0"/>
    <x v="953"/>
    <s v="ppm"/>
    <n v="0"/>
    <n v="120"/>
    <x v="358"/>
    <x v="6"/>
  </r>
  <r>
    <s v="S000001"/>
    <s v="ESS-2025-00001"/>
    <x v="2"/>
    <x v="1"/>
    <x v="3"/>
    <x v="954"/>
    <s v="%"/>
    <n v="97"/>
    <n v="100"/>
    <x v="25"/>
    <x v="5"/>
  </r>
  <r>
    <s v="S001419"/>
    <s v="ARO-2025-00316"/>
    <x v="0"/>
    <x v="3"/>
    <x v="3"/>
    <x v="725"/>
    <s v="%"/>
    <n v="97"/>
    <n v="100"/>
    <x v="101"/>
    <x v="6"/>
  </r>
  <r>
    <s v="S000402"/>
    <s v="FLA-2024-00091"/>
    <x v="4"/>
    <x v="1"/>
    <x v="5"/>
    <x v="169"/>
    <m/>
    <n v="6"/>
    <n v="7.5"/>
    <x v="406"/>
    <x v="5"/>
  </r>
  <r>
    <s v="S001429"/>
    <s v="ARO-2024-00318"/>
    <x v="0"/>
    <x v="5"/>
    <x v="5"/>
    <x v="549"/>
    <m/>
    <n v="6"/>
    <n v="7.5"/>
    <x v="62"/>
    <x v="4"/>
  </r>
  <r>
    <s v="S001104"/>
    <s v="ARO-2024-00248"/>
    <x v="0"/>
    <x v="10"/>
    <x v="1"/>
    <x v="75"/>
    <s v="g/ml"/>
    <n v="0.88"/>
    <n v="0.97"/>
    <x v="241"/>
    <x v="3"/>
  </r>
  <r>
    <s v="S000085"/>
    <s v="FRA-2025-00020"/>
    <x v="3"/>
    <x v="0"/>
    <x v="2"/>
    <x v="955"/>
    <s v="um"/>
    <n v="150"/>
    <n v="400"/>
    <x v="339"/>
    <x v="8"/>
  </r>
  <r>
    <s v="S000163"/>
    <s v="FRA-2024-00038"/>
    <x v="3"/>
    <x v="0"/>
    <x v="2"/>
    <x v="956"/>
    <s v="um"/>
    <n v="150"/>
    <n v="400"/>
    <x v="353"/>
    <x v="7"/>
  </r>
  <r>
    <s v="S000115"/>
    <s v="ESS-2025-00027"/>
    <x v="2"/>
    <x v="2"/>
    <x v="3"/>
    <x v="490"/>
    <s v="%"/>
    <n v="97"/>
    <n v="100"/>
    <x v="191"/>
    <x v="5"/>
  </r>
  <r>
    <s v="S000671"/>
    <s v="FOO-2025-00153"/>
    <x v="1"/>
    <x v="5"/>
    <x v="2"/>
    <x v="957"/>
    <s v="um"/>
    <n v="150"/>
    <n v="400"/>
    <x v="36"/>
    <x v="2"/>
  </r>
  <r>
    <s v="S001175"/>
    <s v="ARO-2024-00263"/>
    <x v="0"/>
    <x v="10"/>
    <x v="3"/>
    <x v="272"/>
    <s v="%"/>
    <n v="97"/>
    <n v="100"/>
    <x v="68"/>
    <x v="4"/>
  </r>
  <r>
    <s v="S001529"/>
    <s v="FRA-2024-00340"/>
    <x v="3"/>
    <x v="5"/>
    <x v="0"/>
    <x v="958"/>
    <s v="ppm"/>
    <n v="0"/>
    <n v="120"/>
    <x v="90"/>
    <x v="7"/>
  </r>
  <r>
    <s v="S001519"/>
    <s v="ARO-2024-00339"/>
    <x v="0"/>
    <x v="7"/>
    <x v="2"/>
    <x v="959"/>
    <s v="um"/>
    <n v="150"/>
    <n v="400"/>
    <x v="140"/>
    <x v="3"/>
  </r>
  <r>
    <s v="S001393"/>
    <s v="ARO-2024-00311"/>
    <x v="0"/>
    <x v="2"/>
    <x v="2"/>
    <x v="48"/>
    <s v="um"/>
    <n v="150"/>
    <n v="400"/>
    <x v="4"/>
    <x v="6"/>
  </r>
  <r>
    <s v="S000890"/>
    <s v="FLA-2025-00201"/>
    <x v="4"/>
    <x v="0"/>
    <x v="4"/>
    <x v="52"/>
    <s v="%"/>
    <n v="0"/>
    <n v="1"/>
    <x v="178"/>
    <x v="0"/>
  </r>
  <r>
    <s v="S001502"/>
    <s v="ESS-2025-00335"/>
    <x v="2"/>
    <x v="8"/>
    <x v="2"/>
    <x v="960"/>
    <s v="um"/>
    <n v="150"/>
    <n v="400"/>
    <x v="186"/>
    <x v="2"/>
  </r>
  <r>
    <s v="S000626"/>
    <s v="ESS-2025-00141"/>
    <x v="2"/>
    <x v="5"/>
    <x v="1"/>
    <x v="1"/>
    <s v="g/ml"/>
    <n v="0.88"/>
    <n v="0.97"/>
    <x v="76"/>
    <x v="0"/>
  </r>
  <r>
    <s v="S001963"/>
    <s v="FRA-2025-00439"/>
    <x v="3"/>
    <x v="5"/>
    <x v="0"/>
    <x v="961"/>
    <s v="ppm"/>
    <n v="0"/>
    <n v="120"/>
    <x v="341"/>
    <x v="3"/>
  </r>
  <r>
    <s v="S000953"/>
    <s v="FLA-2024-00216"/>
    <x v="4"/>
    <x v="2"/>
    <x v="5"/>
    <x v="90"/>
    <m/>
    <n v="6"/>
    <n v="7.5"/>
    <x v="215"/>
    <x v="1"/>
  </r>
  <r>
    <s v="S000808"/>
    <s v="ESS-2025-00183"/>
    <x v="2"/>
    <x v="6"/>
    <x v="2"/>
    <x v="24"/>
    <s v="um"/>
    <n v="150"/>
    <n v="400"/>
    <x v="176"/>
    <x v="4"/>
  </r>
  <r>
    <s v="S000259"/>
    <s v="ESS-2025-00059"/>
    <x v="2"/>
    <x v="1"/>
    <x v="5"/>
    <x v="58"/>
    <m/>
    <n v="6"/>
    <n v="7.5"/>
    <x v="3"/>
    <x v="7"/>
  </r>
  <r>
    <s v="S000625"/>
    <s v="ESS-2025-00141"/>
    <x v="2"/>
    <x v="8"/>
    <x v="3"/>
    <x v="239"/>
    <s v="%"/>
    <n v="97"/>
    <n v="100"/>
    <x v="407"/>
    <x v="3"/>
  </r>
  <r>
    <s v="S000827"/>
    <s v="FRA-2024-00187"/>
    <x v="3"/>
    <x v="1"/>
    <x v="2"/>
    <x v="962"/>
    <s v="um"/>
    <n v="150"/>
    <n v="400"/>
    <x v="340"/>
    <x v="3"/>
  </r>
  <r>
    <s v="S000235"/>
    <s v="FLA-2024-00053"/>
    <x v="4"/>
    <x v="7"/>
    <x v="0"/>
    <x v="963"/>
    <s v="ppm"/>
    <n v="0"/>
    <n v="120"/>
    <x v="87"/>
    <x v="8"/>
  </r>
  <r>
    <s v="S000136"/>
    <s v="FRA-2024-00032"/>
    <x v="3"/>
    <x v="3"/>
    <x v="5"/>
    <x v="964"/>
    <m/>
    <n v="6"/>
    <n v="7.5"/>
    <x v="139"/>
    <x v="3"/>
  </r>
  <r>
    <s v="S000617"/>
    <s v="ARO-2024-00140"/>
    <x v="0"/>
    <x v="9"/>
    <x v="1"/>
    <x v="75"/>
    <s v="g/ml"/>
    <n v="0.88"/>
    <n v="0.97"/>
    <x v="408"/>
    <x v="4"/>
  </r>
  <r>
    <s v="S001964"/>
    <s v="FRA-2025-00439"/>
    <x v="3"/>
    <x v="8"/>
    <x v="3"/>
    <x v="51"/>
    <s v="%"/>
    <n v="97"/>
    <n v="100"/>
    <x v="341"/>
    <x v="2"/>
  </r>
  <r>
    <s v="S000837"/>
    <s v="FLA-2025-00190"/>
    <x v="4"/>
    <x v="0"/>
    <x v="5"/>
    <x v="783"/>
    <m/>
    <n v="6"/>
    <n v="7.5"/>
    <x v="65"/>
    <x v="3"/>
  </r>
  <r>
    <s v="S000843"/>
    <s v="FOO-2025-00191"/>
    <x v="1"/>
    <x v="5"/>
    <x v="2"/>
    <x v="965"/>
    <s v="um"/>
    <n v="150"/>
    <n v="400"/>
    <x v="34"/>
    <x v="5"/>
  </r>
  <r>
    <s v="S000960"/>
    <s v="FLA-2025-00217"/>
    <x v="4"/>
    <x v="6"/>
    <x v="2"/>
    <x v="966"/>
    <s v="um"/>
    <n v="150"/>
    <n v="400"/>
    <x v="378"/>
    <x v="3"/>
  </r>
  <r>
    <s v="S000593"/>
    <s v="ARO-2025-00133"/>
    <x v="0"/>
    <x v="8"/>
    <x v="6"/>
    <x v="967"/>
    <s v="CFU/g"/>
    <n v="0"/>
    <n v="100"/>
    <x v="110"/>
    <x v="4"/>
  </r>
  <r>
    <s v="S001315"/>
    <s v="FOO-2025-00293"/>
    <x v="1"/>
    <x v="1"/>
    <x v="6"/>
    <x v="968"/>
    <s v="CFU/g"/>
    <n v="0"/>
    <n v="100"/>
    <x v="133"/>
    <x v="5"/>
  </r>
  <r>
    <s v="S001526"/>
    <s v="FRA-2024-00340"/>
    <x v="3"/>
    <x v="8"/>
    <x v="5"/>
    <x v="969"/>
    <m/>
    <n v="6"/>
    <n v="7.5"/>
    <x v="90"/>
    <x v="3"/>
  </r>
  <r>
    <s v="S001292"/>
    <s v="ARO-2024-00288"/>
    <x v="0"/>
    <x v="7"/>
    <x v="2"/>
    <x v="970"/>
    <s v="um"/>
    <n v="150"/>
    <n v="400"/>
    <x v="217"/>
    <x v="8"/>
  </r>
  <r>
    <s v="S000344"/>
    <s v="ESS-2025-00078"/>
    <x v="2"/>
    <x v="6"/>
    <x v="2"/>
    <x v="971"/>
    <s v="um"/>
    <n v="150"/>
    <n v="400"/>
    <x v="227"/>
    <x v="5"/>
  </r>
  <r>
    <s v="S001651"/>
    <s v="ARO-2025-00369"/>
    <x v="0"/>
    <x v="6"/>
    <x v="0"/>
    <x v="972"/>
    <s v="ppm"/>
    <n v="0"/>
    <n v="120"/>
    <x v="106"/>
    <x v="0"/>
  </r>
  <r>
    <s v="S001577"/>
    <s v="ARO-2024-00352"/>
    <x v="0"/>
    <x v="0"/>
    <x v="4"/>
    <x v="124"/>
    <s v="%"/>
    <n v="0"/>
    <n v="1"/>
    <x v="33"/>
    <x v="6"/>
  </r>
  <r>
    <s v="S000294"/>
    <s v="ARO-2025-00066"/>
    <x v="0"/>
    <x v="5"/>
    <x v="6"/>
    <x v="973"/>
    <s v="CFU/g"/>
    <n v="0"/>
    <n v="100"/>
    <x v="335"/>
    <x v="3"/>
  </r>
  <r>
    <s v="S000365"/>
    <s v="FLA-2025-00082"/>
    <x v="4"/>
    <x v="3"/>
    <x v="6"/>
    <x v="974"/>
    <s v="CFU/g"/>
    <n v="0"/>
    <n v="100"/>
    <x v="24"/>
    <x v="6"/>
  </r>
  <r>
    <s v="S000179"/>
    <s v="ARO-2025-00042"/>
    <x v="0"/>
    <x v="1"/>
    <x v="1"/>
    <x v="224"/>
    <s v="g/ml"/>
    <n v="0.88"/>
    <n v="0.97"/>
    <x v="18"/>
    <x v="6"/>
  </r>
  <r>
    <s v="S000660"/>
    <s v="FRA-2025-00150"/>
    <x v="3"/>
    <x v="1"/>
    <x v="0"/>
    <x v="975"/>
    <s v="ppm"/>
    <n v="0"/>
    <n v="120"/>
    <x v="31"/>
    <x v="6"/>
  </r>
  <r>
    <s v="S000997"/>
    <s v="ARO-2025-00225"/>
    <x v="0"/>
    <x v="8"/>
    <x v="4"/>
    <x v="653"/>
    <s v="%"/>
    <n v="0"/>
    <n v="1"/>
    <x v="409"/>
    <x v="2"/>
  </r>
  <r>
    <s v="S000015"/>
    <s v="FRA-2025-00004"/>
    <x v="3"/>
    <x v="9"/>
    <x v="0"/>
    <x v="976"/>
    <s v="ppm"/>
    <n v="0"/>
    <n v="120"/>
    <x v="145"/>
    <x v="0"/>
  </r>
  <r>
    <s v="S001111"/>
    <s v="FRA-2024-00250"/>
    <x v="3"/>
    <x v="2"/>
    <x v="3"/>
    <x v="977"/>
    <s v="%"/>
    <n v="97"/>
    <n v="100"/>
    <x v="351"/>
    <x v="8"/>
  </r>
  <r>
    <s v="S001395"/>
    <s v="ARO-2024-00311"/>
    <x v="0"/>
    <x v="2"/>
    <x v="1"/>
    <x v="314"/>
    <s v="g/ml"/>
    <n v="0.88"/>
    <n v="0.97"/>
    <x v="410"/>
    <x v="3"/>
  </r>
  <r>
    <s v="S000166"/>
    <s v="ESS-2024-00039"/>
    <x v="2"/>
    <x v="3"/>
    <x v="2"/>
    <x v="978"/>
    <s v="um"/>
    <n v="150"/>
    <n v="400"/>
    <x v="248"/>
    <x v="3"/>
  </r>
  <r>
    <s v="S001882"/>
    <s v="FLA-2025-00421"/>
    <x v="4"/>
    <x v="2"/>
    <x v="4"/>
    <x v="127"/>
    <s v="%"/>
    <n v="0"/>
    <n v="1"/>
    <x v="133"/>
    <x v="2"/>
  </r>
  <r>
    <s v="S001360"/>
    <s v="FOO-2024-00304"/>
    <x v="1"/>
    <x v="6"/>
    <x v="2"/>
    <x v="979"/>
    <s v="um"/>
    <n v="150"/>
    <n v="400"/>
    <x v="61"/>
    <x v="5"/>
  </r>
  <r>
    <s v="S000060"/>
    <s v="ARO-2025-00014"/>
    <x v="0"/>
    <x v="5"/>
    <x v="5"/>
    <x v="980"/>
    <m/>
    <n v="6"/>
    <n v="7.5"/>
    <x v="97"/>
    <x v="3"/>
  </r>
  <r>
    <s v="S000710"/>
    <s v="ARO-2025-00161"/>
    <x v="0"/>
    <x v="9"/>
    <x v="0"/>
    <x v="981"/>
    <s v="ppm"/>
    <n v="0"/>
    <n v="120"/>
    <x v="272"/>
    <x v="7"/>
  </r>
  <r>
    <s v="S000677"/>
    <s v="FRA-2024-00154"/>
    <x v="3"/>
    <x v="1"/>
    <x v="4"/>
    <x v="52"/>
    <s v="%"/>
    <n v="0"/>
    <n v="1"/>
    <x v="252"/>
    <x v="7"/>
  </r>
  <r>
    <s v="S001379"/>
    <s v="FLA-2024-00308"/>
    <x v="4"/>
    <x v="7"/>
    <x v="4"/>
    <x v="57"/>
    <s v="%"/>
    <n v="0"/>
    <n v="1"/>
    <x v="221"/>
    <x v="3"/>
  </r>
  <r>
    <s v="S000781"/>
    <s v="ARO-2025-00177"/>
    <x v="0"/>
    <x v="7"/>
    <x v="0"/>
    <x v="24"/>
    <s v="ppm"/>
    <n v="0"/>
    <n v="120"/>
    <x v="187"/>
    <x v="6"/>
  </r>
  <r>
    <s v="S000425"/>
    <s v="FOO-2025-00096"/>
    <x v="1"/>
    <x v="6"/>
    <x v="3"/>
    <x v="982"/>
    <s v="%"/>
    <n v="97"/>
    <n v="100"/>
    <x v="231"/>
    <x v="5"/>
  </r>
  <r>
    <s v="S000293"/>
    <s v="ARO-2025-00066"/>
    <x v="0"/>
    <x v="5"/>
    <x v="3"/>
    <x v="305"/>
    <s v="%"/>
    <n v="97"/>
    <n v="100"/>
    <x v="335"/>
    <x v="1"/>
  </r>
  <r>
    <s v="S001066"/>
    <s v="ARO-2024-00238"/>
    <x v="0"/>
    <x v="3"/>
    <x v="6"/>
    <x v="983"/>
    <s v="CFU/g"/>
    <n v="0"/>
    <n v="100"/>
    <x v="91"/>
    <x v="1"/>
  </r>
  <r>
    <s v="S001793"/>
    <s v="ARO-2024-00401"/>
    <x v="0"/>
    <x v="7"/>
    <x v="4"/>
    <x v="688"/>
    <s v="%"/>
    <n v="0"/>
    <n v="1"/>
    <x v="174"/>
    <x v="3"/>
  </r>
  <r>
    <s v="S000330"/>
    <s v="FRA-2024-00075"/>
    <x v="3"/>
    <x v="2"/>
    <x v="1"/>
    <x v="80"/>
    <s v="g/ml"/>
    <n v="0.88"/>
    <n v="0.97"/>
    <x v="85"/>
    <x v="2"/>
  </r>
  <r>
    <s v="S000430"/>
    <s v="ESS-2024-00097"/>
    <x v="2"/>
    <x v="2"/>
    <x v="5"/>
    <x v="984"/>
    <m/>
    <n v="6"/>
    <n v="7.5"/>
    <x v="93"/>
    <x v="3"/>
  </r>
  <r>
    <s v="S001013"/>
    <s v="FRA-2024-00228"/>
    <x v="3"/>
    <x v="5"/>
    <x v="1"/>
    <x v="33"/>
    <s v="g/ml"/>
    <n v="0.88"/>
    <n v="0.97"/>
    <x v="60"/>
    <x v="6"/>
  </r>
  <r>
    <s v="S000080"/>
    <s v="FLA-2025-00019"/>
    <x v="4"/>
    <x v="1"/>
    <x v="0"/>
    <x v="985"/>
    <s v="ppm"/>
    <n v="0"/>
    <n v="120"/>
    <x v="338"/>
    <x v="1"/>
  </r>
  <r>
    <s v="S001053"/>
    <s v="FLA-2024-00236"/>
    <x v="4"/>
    <x v="1"/>
    <x v="1"/>
    <x v="17"/>
    <s v="g/ml"/>
    <n v="0.88"/>
    <n v="0.97"/>
    <x v="259"/>
    <x v="5"/>
  </r>
  <r>
    <s v="S000938"/>
    <s v="ESS-2025-00213"/>
    <x v="2"/>
    <x v="0"/>
    <x v="0"/>
    <x v="24"/>
    <s v="ppm"/>
    <n v="0"/>
    <n v="120"/>
    <x v="88"/>
    <x v="5"/>
  </r>
  <r>
    <s v="S000835"/>
    <s v="ESS-2024-00189"/>
    <x v="2"/>
    <x v="1"/>
    <x v="1"/>
    <x v="292"/>
    <s v="g/ml"/>
    <n v="0.88"/>
    <n v="0.97"/>
    <x v="104"/>
    <x v="8"/>
  </r>
  <r>
    <s v="S000750"/>
    <s v="FOO-2024-00169"/>
    <x v="1"/>
    <x v="6"/>
    <x v="3"/>
    <x v="578"/>
    <s v="%"/>
    <n v="97"/>
    <n v="100"/>
    <x v="197"/>
    <x v="7"/>
  </r>
  <r>
    <s v="S000891"/>
    <s v="ESS-2024-00202"/>
    <x v="2"/>
    <x v="2"/>
    <x v="5"/>
    <x v="986"/>
    <m/>
    <n v="6"/>
    <n v="7.5"/>
    <x v="155"/>
    <x v="4"/>
  </r>
  <r>
    <s v="S000255"/>
    <s v="FLA-2025-00058"/>
    <x v="4"/>
    <x v="1"/>
    <x v="3"/>
    <x v="987"/>
    <s v="%"/>
    <n v="97"/>
    <n v="100"/>
    <x v="334"/>
    <x v="2"/>
  </r>
  <r>
    <s v="S001814"/>
    <s v="ARO-2024-00405"/>
    <x v="0"/>
    <x v="7"/>
    <x v="5"/>
    <x v="235"/>
    <m/>
    <n v="6"/>
    <n v="7.5"/>
    <x v="202"/>
    <x v="1"/>
  </r>
  <r>
    <s v="S001483"/>
    <s v="ESS-2024-00330"/>
    <x v="2"/>
    <x v="6"/>
    <x v="2"/>
    <x v="988"/>
    <s v="um"/>
    <n v="150"/>
    <n v="400"/>
    <x v="27"/>
    <x v="5"/>
  </r>
  <r>
    <s v="S001961"/>
    <s v="FRA-2024-00438"/>
    <x v="3"/>
    <x v="7"/>
    <x v="2"/>
    <x v="989"/>
    <s v="um"/>
    <n v="150"/>
    <n v="400"/>
    <x v="35"/>
    <x v="3"/>
  </r>
  <r>
    <s v="S001408"/>
    <s v="FRA-2024-00314"/>
    <x v="3"/>
    <x v="1"/>
    <x v="3"/>
    <x v="43"/>
    <s v="%"/>
    <n v="97"/>
    <n v="100"/>
    <x v="239"/>
    <x v="5"/>
  </r>
  <r>
    <s v="S001338"/>
    <s v="ESS-2024-00299"/>
    <x v="2"/>
    <x v="4"/>
    <x v="1"/>
    <x v="24"/>
    <s v="g/ml"/>
    <n v="0.88"/>
    <n v="0.97"/>
    <x v="263"/>
    <x v="7"/>
  </r>
  <r>
    <s v="S001109"/>
    <s v="FOO-2025-00249"/>
    <x v="1"/>
    <x v="2"/>
    <x v="3"/>
    <x v="267"/>
    <s v="%"/>
    <n v="97"/>
    <n v="100"/>
    <x v="237"/>
    <x v="2"/>
  </r>
  <r>
    <s v="S000137"/>
    <s v="FRA-2024-00032"/>
    <x v="3"/>
    <x v="3"/>
    <x v="4"/>
    <x v="23"/>
    <s v="%"/>
    <n v="0"/>
    <n v="1"/>
    <x v="139"/>
    <x v="5"/>
  </r>
  <r>
    <s v="S001136"/>
    <s v="FRA-2025-00255"/>
    <x v="3"/>
    <x v="2"/>
    <x v="2"/>
    <x v="990"/>
    <s v="um"/>
    <n v="150"/>
    <n v="400"/>
    <x v="145"/>
    <x v="7"/>
  </r>
  <r>
    <s v="S001219"/>
    <s v="FLA-2024-00272"/>
    <x v="4"/>
    <x v="8"/>
    <x v="6"/>
    <x v="991"/>
    <s v="CFU/g"/>
    <n v="0"/>
    <n v="100"/>
    <x v="37"/>
    <x v="7"/>
  </r>
  <r>
    <s v="S000853"/>
    <s v="ARO-2024-00194"/>
    <x v="0"/>
    <x v="5"/>
    <x v="1"/>
    <x v="430"/>
    <s v="g/ml"/>
    <n v="0.88"/>
    <n v="0.97"/>
    <x v="175"/>
    <x v="6"/>
  </r>
  <r>
    <s v="S001203"/>
    <s v="FRA-2024-00269"/>
    <x v="3"/>
    <x v="8"/>
    <x v="3"/>
    <x v="689"/>
    <s v="%"/>
    <n v="97"/>
    <n v="100"/>
    <x v="315"/>
    <x v="6"/>
  </r>
  <r>
    <s v="S001888"/>
    <s v="FLA-2025-00422"/>
    <x v="4"/>
    <x v="0"/>
    <x v="5"/>
    <x v="992"/>
    <m/>
    <n v="6"/>
    <n v="7.5"/>
    <x v="318"/>
    <x v="4"/>
  </r>
  <r>
    <s v="S000724"/>
    <s v="FLA-2025-00164"/>
    <x v="4"/>
    <x v="6"/>
    <x v="3"/>
    <x v="993"/>
    <s v="%"/>
    <n v="97"/>
    <n v="100"/>
    <x v="166"/>
    <x v="7"/>
  </r>
  <r>
    <s v="S000860"/>
    <s v="FOO-2024-00195"/>
    <x v="1"/>
    <x v="2"/>
    <x v="2"/>
    <x v="48"/>
    <s v="um"/>
    <n v="150"/>
    <n v="400"/>
    <x v="98"/>
    <x v="4"/>
  </r>
  <r>
    <s v="S000970"/>
    <s v="FRA-2025-00219"/>
    <x v="3"/>
    <x v="1"/>
    <x v="1"/>
    <x v="314"/>
    <s v="g/ml"/>
    <n v="0.88"/>
    <n v="0.97"/>
    <x v="132"/>
    <x v="8"/>
  </r>
  <r>
    <s v="S000497"/>
    <s v="ARO-2024-00111"/>
    <x v="0"/>
    <x v="5"/>
    <x v="4"/>
    <x v="274"/>
    <s v="%"/>
    <n v="0"/>
    <n v="1"/>
    <x v="364"/>
    <x v="3"/>
  </r>
  <r>
    <s v="S000951"/>
    <s v="ARO-2024-00215"/>
    <x v="0"/>
    <x v="2"/>
    <x v="2"/>
    <x v="994"/>
    <s v="um"/>
    <n v="150"/>
    <n v="400"/>
    <x v="280"/>
    <x v="5"/>
  </r>
  <r>
    <s v="S000806"/>
    <s v="ESS-2025-00183"/>
    <x v="2"/>
    <x v="2"/>
    <x v="1"/>
    <x v="80"/>
    <s v="g/ml"/>
    <n v="0.88"/>
    <n v="0.97"/>
    <x v="176"/>
    <x v="0"/>
  </r>
  <r>
    <s v="S000130"/>
    <s v="FOO-2025-00030"/>
    <x v="1"/>
    <x v="3"/>
    <x v="3"/>
    <x v="24"/>
    <s v="%"/>
    <n v="97"/>
    <n v="100"/>
    <x v="49"/>
    <x v="0"/>
  </r>
  <r>
    <s v="S000338"/>
    <s v="ARO-2025-00076"/>
    <x v="0"/>
    <x v="5"/>
    <x v="4"/>
    <x v="127"/>
    <s v="%"/>
    <n v="0"/>
    <n v="1"/>
    <x v="134"/>
    <x v="8"/>
  </r>
  <r>
    <s v="S001999"/>
    <s v="FOO-2025-00446"/>
    <x v="1"/>
    <x v="8"/>
    <x v="2"/>
    <x v="995"/>
    <s v="um"/>
    <n v="150"/>
    <n v="400"/>
    <x v="8"/>
    <x v="4"/>
  </r>
  <r>
    <s v="S000609"/>
    <s v="ARO-2024-00137"/>
    <x v="0"/>
    <x v="4"/>
    <x v="5"/>
    <x v="996"/>
    <m/>
    <n v="6"/>
    <n v="7.5"/>
    <x v="42"/>
    <x v="2"/>
  </r>
  <r>
    <s v="S001149"/>
    <s v="ARO-2024-00257"/>
    <x v="0"/>
    <x v="7"/>
    <x v="3"/>
    <x v="161"/>
    <s v="%"/>
    <n v="97"/>
    <n v="100"/>
    <x v="262"/>
    <x v="3"/>
  </r>
  <r>
    <s v="S000196"/>
    <s v="ESS-2025-00045"/>
    <x v="2"/>
    <x v="5"/>
    <x v="3"/>
    <x v="997"/>
    <s v="%"/>
    <n v="97"/>
    <n v="100"/>
    <x v="20"/>
    <x v="1"/>
  </r>
  <r>
    <s v="S001251"/>
    <s v="FLA-2024-00280"/>
    <x v="4"/>
    <x v="7"/>
    <x v="5"/>
    <x v="24"/>
    <m/>
    <n v="6"/>
    <n v="7.5"/>
    <x v="95"/>
    <x v="0"/>
  </r>
  <r>
    <s v="S001293"/>
    <s v="FOO-2024-00289"/>
    <x v="1"/>
    <x v="6"/>
    <x v="3"/>
    <x v="487"/>
    <s v="%"/>
    <n v="97"/>
    <n v="100"/>
    <x v="171"/>
    <x v="1"/>
  </r>
  <r>
    <s v="S001980"/>
    <s v="FLA-2025-00442"/>
    <x v="4"/>
    <x v="0"/>
    <x v="3"/>
    <x v="229"/>
    <s v="%"/>
    <n v="97"/>
    <n v="100"/>
    <x v="165"/>
    <x v="7"/>
  </r>
  <r>
    <s v="S000910"/>
    <s v="FOO-2024-00206"/>
    <x v="1"/>
    <x v="3"/>
    <x v="2"/>
    <x v="998"/>
    <s v="um"/>
    <n v="150"/>
    <n v="400"/>
    <x v="274"/>
    <x v="2"/>
  </r>
  <r>
    <s v="S000585"/>
    <s v="FOO-2024-00131"/>
    <x v="1"/>
    <x v="5"/>
    <x v="3"/>
    <x v="999"/>
    <s v="%"/>
    <n v="97"/>
    <n v="100"/>
    <x v="193"/>
    <x v="0"/>
  </r>
  <r>
    <s v="S000104"/>
    <s v="ESS-2025-00024"/>
    <x v="2"/>
    <x v="8"/>
    <x v="2"/>
    <x v="1000"/>
    <s v="um"/>
    <n v="150"/>
    <n v="400"/>
    <x v="371"/>
    <x v="0"/>
  </r>
  <r>
    <s v="S001851"/>
    <s v="FLA-2025-00414"/>
    <x v="4"/>
    <x v="6"/>
    <x v="6"/>
    <x v="1001"/>
    <s v="CFU/g"/>
    <n v="0"/>
    <n v="100"/>
    <x v="322"/>
    <x v="0"/>
  </r>
  <r>
    <s v="S001870"/>
    <s v="ARO-2025-00418"/>
    <x v="0"/>
    <x v="7"/>
    <x v="2"/>
    <x v="1002"/>
    <s v="um"/>
    <n v="150"/>
    <n v="400"/>
    <x v="120"/>
    <x v="2"/>
  </r>
  <r>
    <s v="S000720"/>
    <s v="FRA-2025-00163"/>
    <x v="3"/>
    <x v="10"/>
    <x v="1"/>
    <x v="224"/>
    <s v="g/ml"/>
    <n v="0.88"/>
    <n v="0.97"/>
    <x v="124"/>
    <x v="3"/>
  </r>
  <r>
    <s v="S000885"/>
    <s v="FOO-2024-00200"/>
    <x v="1"/>
    <x v="4"/>
    <x v="5"/>
    <x v="293"/>
    <m/>
    <n v="6"/>
    <n v="7.5"/>
    <x v="347"/>
    <x v="2"/>
  </r>
  <r>
    <s v="S000777"/>
    <s v="ARO-2024-00176"/>
    <x v="0"/>
    <x v="6"/>
    <x v="2"/>
    <x v="1003"/>
    <s v="um"/>
    <n v="150"/>
    <n v="400"/>
    <x v="337"/>
    <x v="6"/>
  </r>
  <r>
    <s v="S001570"/>
    <s v="FRA-2025-00350"/>
    <x v="3"/>
    <x v="1"/>
    <x v="1"/>
    <x v="820"/>
    <s v="g/ml"/>
    <n v="0.88"/>
    <n v="0.97"/>
    <x v="121"/>
    <x v="3"/>
  </r>
  <r>
    <s v="S000850"/>
    <s v="FRA-2024-00193"/>
    <x v="3"/>
    <x v="8"/>
    <x v="3"/>
    <x v="281"/>
    <s v="%"/>
    <n v="97"/>
    <n v="100"/>
    <x v="257"/>
    <x v="0"/>
  </r>
  <r>
    <s v="S000895"/>
    <s v="ESS-2024-00202"/>
    <x v="2"/>
    <x v="2"/>
    <x v="2"/>
    <x v="1004"/>
    <s v="um"/>
    <n v="150"/>
    <n v="400"/>
    <x v="155"/>
    <x v="2"/>
  </r>
  <r>
    <s v="S000228"/>
    <s v="ARO-2025-00052"/>
    <x v="0"/>
    <x v="4"/>
    <x v="0"/>
    <x v="1005"/>
    <s v="ppm"/>
    <n v="0"/>
    <n v="120"/>
    <x v="187"/>
    <x v="8"/>
  </r>
  <r>
    <s v="S001884"/>
    <s v="FLA-2025-00422"/>
    <x v="4"/>
    <x v="3"/>
    <x v="6"/>
    <x v="533"/>
    <s v="CFU/g"/>
    <n v="0"/>
    <n v="100"/>
    <x v="318"/>
    <x v="0"/>
  </r>
  <r>
    <s v="S001326"/>
    <s v="FLA-2024-00295"/>
    <x v="4"/>
    <x v="2"/>
    <x v="0"/>
    <x v="1006"/>
    <s v="ppm"/>
    <n v="0"/>
    <n v="120"/>
    <x v="161"/>
    <x v="0"/>
  </r>
  <r>
    <s v="S001300"/>
    <s v="FRA-2025-00290"/>
    <x v="3"/>
    <x v="4"/>
    <x v="1"/>
    <x v="1"/>
    <s v="g/ml"/>
    <n v="0.88"/>
    <n v="0.97"/>
    <x v="51"/>
    <x v="0"/>
  </r>
  <r>
    <s v="S000127"/>
    <s v="FLA-2024-00029"/>
    <x v="4"/>
    <x v="2"/>
    <x v="4"/>
    <x v="101"/>
    <s v="%"/>
    <n v="0"/>
    <n v="1"/>
    <x v="411"/>
    <x v="5"/>
  </r>
  <r>
    <s v="S000406"/>
    <s v="ARO-2024-00092"/>
    <x v="0"/>
    <x v="9"/>
    <x v="0"/>
    <x v="24"/>
    <s v="ppm"/>
    <n v="0"/>
    <n v="120"/>
    <x v="287"/>
    <x v="3"/>
  </r>
  <r>
    <s v="S000776"/>
    <s v="ARO-2024-00176"/>
    <x v="0"/>
    <x v="6"/>
    <x v="4"/>
    <x v="460"/>
    <s v="%"/>
    <n v="0"/>
    <n v="1"/>
    <x v="337"/>
    <x v="1"/>
  </r>
  <r>
    <s v="S000822"/>
    <s v="ESS-2024-00186"/>
    <x v="2"/>
    <x v="7"/>
    <x v="5"/>
    <x v="864"/>
    <m/>
    <n v="6"/>
    <n v="7.5"/>
    <x v="150"/>
    <x v="0"/>
  </r>
  <r>
    <s v="S000712"/>
    <s v="ARO-2025-00161"/>
    <x v="0"/>
    <x v="9"/>
    <x v="4"/>
    <x v="29"/>
    <s v="%"/>
    <n v="0"/>
    <n v="1"/>
    <x v="272"/>
    <x v="3"/>
  </r>
  <r>
    <s v="S001892"/>
    <s v="FOO-2025-00423"/>
    <x v="1"/>
    <x v="5"/>
    <x v="3"/>
    <x v="1007"/>
    <s v="%"/>
    <n v="97"/>
    <n v="100"/>
    <x v="182"/>
    <x v="5"/>
  </r>
  <r>
    <s v="S001061"/>
    <s v="FOO-2024-00237"/>
    <x v="1"/>
    <x v="10"/>
    <x v="2"/>
    <x v="1008"/>
    <s v="um"/>
    <n v="150"/>
    <n v="400"/>
    <x v="9"/>
    <x v="8"/>
  </r>
  <r>
    <s v="S001164"/>
    <s v="ARO-2025-00261"/>
    <x v="0"/>
    <x v="9"/>
    <x v="2"/>
    <x v="1009"/>
    <s v="um"/>
    <n v="150"/>
    <n v="400"/>
    <x v="99"/>
    <x v="4"/>
  </r>
  <r>
    <s v="S000304"/>
    <s v="FRA-2024-00069"/>
    <x v="3"/>
    <x v="4"/>
    <x v="2"/>
    <x v="403"/>
    <s v="um"/>
    <n v="150"/>
    <n v="400"/>
    <x v="180"/>
    <x v="2"/>
  </r>
  <r>
    <s v="S000268"/>
    <s v="FLA-2024-00061"/>
    <x v="4"/>
    <x v="2"/>
    <x v="0"/>
    <x v="1010"/>
    <s v="ppm"/>
    <n v="0"/>
    <n v="120"/>
    <x v="276"/>
    <x v="7"/>
  </r>
  <r>
    <s v="S001558"/>
    <s v="FRA-2024-00347"/>
    <x v="3"/>
    <x v="0"/>
    <x v="0"/>
    <x v="1011"/>
    <s v="ppm"/>
    <n v="0"/>
    <n v="120"/>
    <x v="412"/>
    <x v="6"/>
  </r>
  <r>
    <s v="S000546"/>
    <s v="FLA-2024-00123"/>
    <x v="4"/>
    <x v="5"/>
    <x v="0"/>
    <x v="1012"/>
    <s v="ppm"/>
    <n v="0"/>
    <n v="120"/>
    <x v="39"/>
    <x v="7"/>
  </r>
  <r>
    <s v="S000213"/>
    <s v="ARO-2025-00048"/>
    <x v="0"/>
    <x v="9"/>
    <x v="6"/>
    <x v="1013"/>
    <s v="CFU/g"/>
    <n v="0"/>
    <n v="100"/>
    <x v="233"/>
    <x v="0"/>
  </r>
  <r>
    <s v="S000897"/>
    <s v="FRA-2025-00203"/>
    <x v="3"/>
    <x v="2"/>
    <x v="4"/>
    <x v="867"/>
    <s v="%"/>
    <n v="0"/>
    <n v="1"/>
    <x v="233"/>
    <x v="3"/>
  </r>
  <r>
    <s v="S001493"/>
    <s v="FOO-2024-00332"/>
    <x v="1"/>
    <x v="3"/>
    <x v="2"/>
    <x v="1014"/>
    <s v="um"/>
    <n v="150"/>
    <n v="400"/>
    <x v="292"/>
    <x v="2"/>
  </r>
  <r>
    <s v="S001223"/>
    <s v="FOO-2024-00273"/>
    <x v="1"/>
    <x v="7"/>
    <x v="3"/>
    <x v="24"/>
    <s v="%"/>
    <n v="97"/>
    <n v="100"/>
    <x v="277"/>
    <x v="1"/>
  </r>
  <r>
    <s v="S000917"/>
    <s v="ESS-2024-00208"/>
    <x v="2"/>
    <x v="6"/>
    <x v="2"/>
    <x v="24"/>
    <s v="um"/>
    <n v="150"/>
    <n v="400"/>
    <x v="274"/>
    <x v="8"/>
  </r>
  <r>
    <s v="S001552"/>
    <s v="ESS-2024-00345"/>
    <x v="2"/>
    <x v="2"/>
    <x v="4"/>
    <x v="559"/>
    <s v="%"/>
    <n v="0"/>
    <n v="1"/>
    <x v="62"/>
    <x v="1"/>
  </r>
  <r>
    <s v="S000676"/>
    <s v="FRA-2024-00154"/>
    <x v="3"/>
    <x v="4"/>
    <x v="1"/>
    <x v="17"/>
    <s v="g/ml"/>
    <n v="0.88"/>
    <n v="0.97"/>
    <x v="252"/>
    <x v="7"/>
  </r>
  <r>
    <s v="S001290"/>
    <s v="ARO-2024-00288"/>
    <x v="0"/>
    <x v="9"/>
    <x v="3"/>
    <x v="725"/>
    <s v="%"/>
    <n v="97"/>
    <n v="100"/>
    <x v="217"/>
    <x v="5"/>
  </r>
  <r>
    <s v="S000815"/>
    <s v="FRA-2025-00185"/>
    <x v="3"/>
    <x v="3"/>
    <x v="4"/>
    <x v="1015"/>
    <s v="%"/>
    <n v="0"/>
    <n v="1"/>
    <x v="121"/>
    <x v="6"/>
  </r>
  <r>
    <s v="S001266"/>
    <s v="FLA-2025-00283"/>
    <x v="4"/>
    <x v="10"/>
    <x v="4"/>
    <x v="29"/>
    <s v="%"/>
    <n v="0"/>
    <n v="1"/>
    <x v="320"/>
    <x v="3"/>
  </r>
  <r>
    <s v="S000343"/>
    <s v="FRA-2024-00077"/>
    <x v="3"/>
    <x v="1"/>
    <x v="2"/>
    <x v="1016"/>
    <s v="um"/>
    <n v="150"/>
    <n v="400"/>
    <x v="58"/>
    <x v="6"/>
  </r>
  <r>
    <s v="S000550"/>
    <s v="FRA-2024-00124"/>
    <x v="3"/>
    <x v="7"/>
    <x v="6"/>
    <x v="1017"/>
    <s v="CFU/g"/>
    <n v="0"/>
    <n v="100"/>
    <x v="388"/>
    <x v="2"/>
  </r>
  <r>
    <s v="S001411"/>
    <s v="ESS-2024-00315"/>
    <x v="2"/>
    <x v="3"/>
    <x v="3"/>
    <x v="160"/>
    <s v="%"/>
    <n v="97"/>
    <n v="100"/>
    <x v="313"/>
    <x v="3"/>
  </r>
  <r>
    <s v="S001215"/>
    <s v="FLA-2024-00271"/>
    <x v="4"/>
    <x v="3"/>
    <x v="6"/>
    <x v="1018"/>
    <s v="CFU/g"/>
    <n v="0"/>
    <n v="100"/>
    <x v="361"/>
    <x v="8"/>
  </r>
  <r>
    <s v="S000967"/>
    <s v="FRA-2024-00218"/>
    <x v="3"/>
    <x v="3"/>
    <x v="4"/>
    <x v="29"/>
    <s v="%"/>
    <n v="0"/>
    <n v="1"/>
    <x v="173"/>
    <x v="3"/>
  </r>
  <r>
    <s v="S001231"/>
    <s v="FRA-2024-00275"/>
    <x v="3"/>
    <x v="1"/>
    <x v="0"/>
    <x v="1019"/>
    <s v="ppm"/>
    <n v="0"/>
    <n v="120"/>
    <x v="78"/>
    <x v="8"/>
  </r>
  <r>
    <s v="S000296"/>
    <s v="FRA-2024-00067"/>
    <x v="3"/>
    <x v="1"/>
    <x v="3"/>
    <x v="34"/>
    <s v="%"/>
    <n v="97"/>
    <n v="100"/>
    <x v="137"/>
    <x v="1"/>
  </r>
  <r>
    <s v="S000696"/>
    <s v="FOO-2025-00158"/>
    <x v="1"/>
    <x v="6"/>
    <x v="2"/>
    <x v="1020"/>
    <s v="um"/>
    <n v="150"/>
    <n v="400"/>
    <x v="50"/>
    <x v="2"/>
  </r>
  <r>
    <s v="S001453"/>
    <s v="FOO-2024-00324"/>
    <x v="1"/>
    <x v="8"/>
    <x v="1"/>
    <x v="85"/>
    <s v="g/ml"/>
    <n v="0.88"/>
    <n v="0.97"/>
    <x v="413"/>
    <x v="0"/>
  </r>
  <r>
    <s v="S000074"/>
    <s v="FRA-2025-00018"/>
    <x v="3"/>
    <x v="1"/>
    <x v="2"/>
    <x v="456"/>
    <s v="um"/>
    <n v="150"/>
    <n v="400"/>
    <x v="390"/>
    <x v="3"/>
  </r>
  <r>
    <s v="S000606"/>
    <s v="ARO-2024-00137"/>
    <x v="0"/>
    <x v="4"/>
    <x v="6"/>
    <x v="1021"/>
    <s v="CFU/g"/>
    <n v="0"/>
    <n v="100"/>
    <x v="42"/>
    <x v="8"/>
  </r>
  <r>
    <s v="S000105"/>
    <s v="ESS-2025-00024"/>
    <x v="2"/>
    <x v="5"/>
    <x v="5"/>
    <x v="1022"/>
    <m/>
    <n v="6"/>
    <n v="7.5"/>
    <x v="371"/>
    <x v="3"/>
  </r>
  <r>
    <s v="S000646"/>
    <s v="ESS-2024-00147"/>
    <x v="2"/>
    <x v="4"/>
    <x v="2"/>
    <x v="1023"/>
    <s v="um"/>
    <n v="150"/>
    <n v="400"/>
    <x v="140"/>
    <x v="2"/>
  </r>
  <r>
    <s v="S001405"/>
    <s v="ESS-2024-00313"/>
    <x v="2"/>
    <x v="10"/>
    <x v="6"/>
    <x v="1024"/>
    <s v="CFU/g"/>
    <n v="0"/>
    <n v="100"/>
    <x v="230"/>
    <x v="3"/>
  </r>
  <r>
    <s v="S001968"/>
    <s v="FRA-2025-00440"/>
    <x v="3"/>
    <x v="8"/>
    <x v="6"/>
    <x v="1025"/>
    <s v="CFU/g"/>
    <n v="0"/>
    <n v="100"/>
    <x v="160"/>
    <x v="0"/>
  </r>
  <r>
    <s v="S001041"/>
    <s v="FOO-2024-00233"/>
    <x v="1"/>
    <x v="8"/>
    <x v="4"/>
    <x v="1026"/>
    <s v="%"/>
    <n v="0"/>
    <n v="1"/>
    <x v="37"/>
    <x v="4"/>
  </r>
  <r>
    <s v="S000440"/>
    <s v="ESS-2024-00099"/>
    <x v="2"/>
    <x v="4"/>
    <x v="4"/>
    <x v="1027"/>
    <s v="%"/>
    <n v="0"/>
    <n v="1"/>
    <x v="162"/>
    <x v="1"/>
  </r>
  <r>
    <s v="S001020"/>
    <s v="FRA-2025-00229"/>
    <x v="3"/>
    <x v="7"/>
    <x v="0"/>
    <x v="1028"/>
    <s v="ppm"/>
    <n v="0"/>
    <n v="120"/>
    <x v="76"/>
    <x v="1"/>
  </r>
  <r>
    <s v="S000092"/>
    <s v="ESS-2025-00022"/>
    <x v="2"/>
    <x v="7"/>
    <x v="0"/>
    <x v="1029"/>
    <s v="ppm"/>
    <n v="0"/>
    <n v="120"/>
    <x v="294"/>
    <x v="6"/>
  </r>
  <r>
    <s v="S001113"/>
    <s v="FRA-2024-00250"/>
    <x v="3"/>
    <x v="2"/>
    <x v="1"/>
    <x v="430"/>
    <s v="g/ml"/>
    <n v="0.88"/>
    <n v="0.97"/>
    <x v="351"/>
    <x v="1"/>
  </r>
  <r>
    <s v="S001759"/>
    <s v="FRA-2024-00392"/>
    <x v="3"/>
    <x v="1"/>
    <x v="5"/>
    <x v="698"/>
    <m/>
    <n v="6"/>
    <n v="7.5"/>
    <x v="139"/>
    <x v="8"/>
  </r>
  <r>
    <s v="S000909"/>
    <s v="FOO-2024-00205"/>
    <x v="1"/>
    <x v="9"/>
    <x v="0"/>
    <x v="1030"/>
    <s v="ppm"/>
    <n v="0"/>
    <n v="120"/>
    <x v="389"/>
    <x v="6"/>
  </r>
  <r>
    <s v="S001475"/>
    <s v="ESS-2024-00328"/>
    <x v="2"/>
    <x v="3"/>
    <x v="2"/>
    <x v="1031"/>
    <s v="um"/>
    <n v="150"/>
    <n v="400"/>
    <x v="1"/>
    <x v="1"/>
  </r>
  <r>
    <s v="S000103"/>
    <s v="ESS-2025-00024"/>
    <x v="2"/>
    <x v="8"/>
    <x v="0"/>
    <x v="1032"/>
    <s v="ppm"/>
    <n v="0"/>
    <n v="120"/>
    <x v="371"/>
    <x v="4"/>
  </r>
  <r>
    <s v="S000239"/>
    <s v="FRA-2024-00054"/>
    <x v="3"/>
    <x v="6"/>
    <x v="6"/>
    <x v="1033"/>
    <s v="CFU/g"/>
    <n v="0"/>
    <n v="100"/>
    <x v="155"/>
    <x v="2"/>
  </r>
  <r>
    <s v="S001706"/>
    <s v="ARO-2025-00381"/>
    <x v="0"/>
    <x v="10"/>
    <x v="1"/>
    <x v="96"/>
    <s v="g/ml"/>
    <n v="0.88"/>
    <n v="0.97"/>
    <x v="372"/>
    <x v="3"/>
  </r>
  <r>
    <s v="S000943"/>
    <s v="FLA-2024-00214"/>
    <x v="4"/>
    <x v="6"/>
    <x v="5"/>
    <x v="241"/>
    <m/>
    <n v="6"/>
    <n v="7.5"/>
    <x v="38"/>
    <x v="7"/>
  </r>
  <r>
    <s v="S001271"/>
    <s v="FLA-2024-00284"/>
    <x v="4"/>
    <x v="1"/>
    <x v="0"/>
    <x v="1034"/>
    <s v="ppm"/>
    <n v="0"/>
    <n v="120"/>
    <x v="96"/>
    <x v="7"/>
  </r>
  <r>
    <s v="S000939"/>
    <s v="ESS-2025-00213"/>
    <x v="2"/>
    <x v="0"/>
    <x v="2"/>
    <x v="1035"/>
    <s v="um"/>
    <n v="150"/>
    <n v="400"/>
    <x v="88"/>
    <x v="1"/>
  </r>
  <r>
    <s v="S001696"/>
    <s v="ESS-2024-00379"/>
    <x v="2"/>
    <x v="2"/>
    <x v="5"/>
    <x v="871"/>
    <m/>
    <n v="6"/>
    <n v="7.5"/>
    <x v="22"/>
    <x v="6"/>
  </r>
  <r>
    <s v="S001182"/>
    <s v="ARO-2024-00265"/>
    <x v="0"/>
    <x v="3"/>
    <x v="2"/>
    <x v="1036"/>
    <s v="um"/>
    <n v="150"/>
    <n v="400"/>
    <x v="77"/>
    <x v="8"/>
  </r>
  <r>
    <s v="S001504"/>
    <s v="ESS-2025-00335"/>
    <x v="2"/>
    <x v="5"/>
    <x v="0"/>
    <x v="1037"/>
    <s v="ppm"/>
    <n v="0"/>
    <n v="120"/>
    <x v="186"/>
    <x v="5"/>
  </r>
  <r>
    <s v="S000006"/>
    <s v="ARO-2025-00002"/>
    <x v="0"/>
    <x v="6"/>
    <x v="4"/>
    <x v="109"/>
    <s v="%"/>
    <n v="0"/>
    <n v="1"/>
    <x v="115"/>
    <x v="7"/>
  </r>
  <r>
    <s v="S001819"/>
    <s v="FRA-2025-00407"/>
    <x v="3"/>
    <x v="4"/>
    <x v="1"/>
    <x v="17"/>
    <s v="g/ml"/>
    <n v="0.88"/>
    <n v="0.97"/>
    <x v="126"/>
    <x v="4"/>
  </r>
  <r>
    <s v="S000966"/>
    <s v="FRA-2024-00218"/>
    <x v="3"/>
    <x v="0"/>
    <x v="1"/>
    <x v="80"/>
    <s v="g/ml"/>
    <n v="0.88"/>
    <n v="0.97"/>
    <x v="173"/>
    <x v="5"/>
  </r>
  <r>
    <s v="S000019"/>
    <s v="FRA-2025-00004"/>
    <x v="3"/>
    <x v="7"/>
    <x v="2"/>
    <x v="1038"/>
    <s v="um"/>
    <n v="150"/>
    <n v="400"/>
    <x v="145"/>
    <x v="1"/>
  </r>
  <r>
    <s v="S001431"/>
    <s v="ARO-2025-00319"/>
    <x v="0"/>
    <x v="5"/>
    <x v="3"/>
    <x v="87"/>
    <s v="%"/>
    <n v="97"/>
    <n v="100"/>
    <x v="414"/>
    <x v="6"/>
  </r>
  <r>
    <s v="S000122"/>
    <s v="ESS-2025-00028"/>
    <x v="2"/>
    <x v="3"/>
    <x v="2"/>
    <x v="1039"/>
    <s v="um"/>
    <n v="150"/>
    <n v="400"/>
    <x v="264"/>
    <x v="3"/>
  </r>
  <r>
    <s v="S000662"/>
    <s v="ARO-2025-00151"/>
    <x v="0"/>
    <x v="6"/>
    <x v="5"/>
    <x v="189"/>
    <m/>
    <n v="6"/>
    <n v="7.5"/>
    <x v="164"/>
    <x v="2"/>
  </r>
  <r>
    <s v="S001831"/>
    <s v="FRA-2025-00409"/>
    <x v="3"/>
    <x v="7"/>
    <x v="2"/>
    <x v="1040"/>
    <s v="um"/>
    <n v="150"/>
    <n v="400"/>
    <x v="178"/>
    <x v="4"/>
  </r>
  <r>
    <s v="S000275"/>
    <s v="FRA-2024-00063"/>
    <x v="3"/>
    <x v="7"/>
    <x v="3"/>
    <x v="954"/>
    <s v="%"/>
    <n v="97"/>
    <n v="100"/>
    <x v="224"/>
    <x v="3"/>
  </r>
  <r>
    <s v="S000434"/>
    <s v="FRA-2025-00098"/>
    <x v="3"/>
    <x v="5"/>
    <x v="2"/>
    <x v="1041"/>
    <s v="um"/>
    <n v="150"/>
    <n v="400"/>
    <x v="200"/>
    <x v="5"/>
  </r>
  <r>
    <s v="S000812"/>
    <s v="FRA-2024-00184"/>
    <x v="3"/>
    <x v="7"/>
    <x v="4"/>
    <x v="384"/>
    <s v="%"/>
    <n v="0"/>
    <n v="1"/>
    <x v="244"/>
    <x v="3"/>
  </r>
  <r>
    <s v="S001301"/>
    <s v="FRA-2025-00290"/>
    <x v="3"/>
    <x v="4"/>
    <x v="3"/>
    <x v="987"/>
    <s v="%"/>
    <n v="97"/>
    <n v="100"/>
    <x v="51"/>
    <x v="7"/>
  </r>
  <r>
    <s v="S001336"/>
    <s v="FRA-2024-00298"/>
    <x v="3"/>
    <x v="3"/>
    <x v="6"/>
    <x v="1042"/>
    <s v="CFU/g"/>
    <n v="0"/>
    <n v="100"/>
    <x v="185"/>
    <x v="2"/>
  </r>
  <r>
    <s v="S001871"/>
    <s v="ESS-2024-00419"/>
    <x v="2"/>
    <x v="6"/>
    <x v="1"/>
    <x v="17"/>
    <s v="g/ml"/>
    <n v="0.88"/>
    <n v="0.97"/>
    <x v="103"/>
    <x v="3"/>
  </r>
  <r>
    <s v="S001894"/>
    <s v="ARO-2025-00424"/>
    <x v="0"/>
    <x v="5"/>
    <x v="1"/>
    <x v="75"/>
    <s v="g/ml"/>
    <n v="0.88"/>
    <n v="0.97"/>
    <x v="380"/>
    <x v="8"/>
  </r>
  <r>
    <s v="S001571"/>
    <s v="FRA-2025-00350"/>
    <x v="3"/>
    <x v="1"/>
    <x v="0"/>
    <x v="1043"/>
    <s v="ppm"/>
    <n v="0"/>
    <n v="120"/>
    <x v="121"/>
    <x v="3"/>
  </r>
  <r>
    <s v="S000182"/>
    <s v="ARO-2025-00042"/>
    <x v="0"/>
    <x v="1"/>
    <x v="2"/>
    <x v="1044"/>
    <s v="um"/>
    <n v="150"/>
    <n v="400"/>
    <x v="18"/>
    <x v="0"/>
  </r>
  <r>
    <s v="S000185"/>
    <s v="FRA-2025-00043"/>
    <x v="3"/>
    <x v="1"/>
    <x v="2"/>
    <x v="1045"/>
    <s v="um"/>
    <n v="150"/>
    <n v="400"/>
    <x v="67"/>
    <x v="1"/>
  </r>
  <r>
    <s v="S000407"/>
    <s v="ARO-2024-00092"/>
    <x v="0"/>
    <x v="10"/>
    <x v="4"/>
    <x v="127"/>
    <s v="%"/>
    <n v="0"/>
    <n v="1"/>
    <x v="287"/>
    <x v="6"/>
  </r>
  <r>
    <s v="S000866"/>
    <s v="ESS-2024-00196"/>
    <x v="2"/>
    <x v="5"/>
    <x v="5"/>
    <x v="1046"/>
    <m/>
    <n v="6"/>
    <n v="7.5"/>
    <x v="154"/>
    <x v="2"/>
  </r>
  <r>
    <s v="S001631"/>
    <s v="FOO-2025-00365"/>
    <x v="1"/>
    <x v="1"/>
    <x v="3"/>
    <x v="631"/>
    <s v="%"/>
    <n v="97"/>
    <n v="100"/>
    <x v="125"/>
    <x v="6"/>
  </r>
  <r>
    <s v="S000521"/>
    <s v="FRA-2024-00117"/>
    <x v="3"/>
    <x v="3"/>
    <x v="4"/>
    <x v="59"/>
    <s v="%"/>
    <n v="0"/>
    <n v="1"/>
    <x v="302"/>
    <x v="6"/>
  </r>
  <r>
    <s v="S001004"/>
    <s v="ARO-2025-00227"/>
    <x v="0"/>
    <x v="6"/>
    <x v="1"/>
    <x v="1"/>
    <s v="g/ml"/>
    <n v="0.88"/>
    <n v="0.97"/>
    <x v="331"/>
    <x v="8"/>
  </r>
  <r>
    <s v="S000381"/>
    <s v="ESS-2025-00087"/>
    <x v="2"/>
    <x v="6"/>
    <x v="6"/>
    <x v="1047"/>
    <s v="CFU/g"/>
    <n v="0"/>
    <n v="100"/>
    <x v="49"/>
    <x v="1"/>
  </r>
  <r>
    <s v="S001435"/>
    <s v="ARO-2025-00320"/>
    <x v="0"/>
    <x v="1"/>
    <x v="2"/>
    <x v="1048"/>
    <s v="um"/>
    <n v="150"/>
    <n v="400"/>
    <x v="79"/>
    <x v="3"/>
  </r>
  <r>
    <s v="S001659"/>
    <s v="FRA-2024-00371"/>
    <x v="3"/>
    <x v="1"/>
    <x v="1"/>
    <x v="97"/>
    <s v="g/ml"/>
    <n v="0.88"/>
    <n v="0.97"/>
    <x v="38"/>
    <x v="1"/>
  </r>
  <r>
    <s v="S001394"/>
    <s v="ARO-2024-00311"/>
    <x v="0"/>
    <x v="2"/>
    <x v="5"/>
    <x v="1049"/>
    <m/>
    <n v="6"/>
    <n v="7.5"/>
    <x v="4"/>
    <x v="4"/>
  </r>
  <r>
    <s v="S001425"/>
    <s v="FOO-2024-00317"/>
    <x v="1"/>
    <x v="10"/>
    <x v="3"/>
    <x v="839"/>
    <s v="%"/>
    <n v="97"/>
    <n v="100"/>
    <x v="234"/>
    <x v="3"/>
  </r>
  <r>
    <s v="S001613"/>
    <s v="FOO-2025-00360"/>
    <x v="1"/>
    <x v="3"/>
    <x v="6"/>
    <x v="1050"/>
    <s v="CFU/g"/>
    <n v="0"/>
    <n v="100"/>
    <x v="47"/>
    <x v="2"/>
  </r>
  <r>
    <s v="S000428"/>
    <s v="ESS-2024-00097"/>
    <x v="2"/>
    <x v="2"/>
    <x v="6"/>
    <x v="1051"/>
    <s v="CFU/g"/>
    <n v="0"/>
    <n v="100"/>
    <x v="93"/>
    <x v="6"/>
  </r>
  <r>
    <s v="S000079"/>
    <s v="FLA-2025-00019"/>
    <x v="4"/>
    <x v="1"/>
    <x v="2"/>
    <x v="1052"/>
    <s v="um"/>
    <n v="150"/>
    <n v="400"/>
    <x v="338"/>
    <x v="6"/>
  </r>
  <r>
    <s v="S001598"/>
    <s v="FOO-2025-00356"/>
    <x v="1"/>
    <x v="2"/>
    <x v="4"/>
    <x v="93"/>
    <s v="%"/>
    <n v="0"/>
    <n v="1"/>
    <x v="415"/>
    <x v="5"/>
  </r>
  <r>
    <s v="S001010"/>
    <s v="FRA-2024-00228"/>
    <x v="3"/>
    <x v="8"/>
    <x v="2"/>
    <x v="1053"/>
    <s v="um"/>
    <n v="150"/>
    <n v="400"/>
    <x v="60"/>
    <x v="1"/>
  </r>
  <r>
    <s v="S001976"/>
    <s v="FLA-2025-00442"/>
    <x v="4"/>
    <x v="0"/>
    <x v="1"/>
    <x v="1"/>
    <s v="g/ml"/>
    <n v="0.88"/>
    <n v="0.97"/>
    <x v="165"/>
    <x v="2"/>
  </r>
  <r>
    <s v="S001662"/>
    <s v="FRA-2025-00372"/>
    <x v="3"/>
    <x v="3"/>
    <x v="2"/>
    <x v="1054"/>
    <s v="um"/>
    <n v="150"/>
    <n v="400"/>
    <x v="66"/>
    <x v="7"/>
  </r>
  <r>
    <s v="S000608"/>
    <s v="ARO-2024-00137"/>
    <x v="0"/>
    <x v="4"/>
    <x v="0"/>
    <x v="1055"/>
    <s v="ppm"/>
    <n v="0"/>
    <n v="120"/>
    <x v="42"/>
    <x v="3"/>
  </r>
  <r>
    <s v="S001890"/>
    <s v="FOO-2025-00423"/>
    <x v="1"/>
    <x v="5"/>
    <x v="2"/>
    <x v="1056"/>
    <s v="um"/>
    <n v="150"/>
    <n v="400"/>
    <x v="182"/>
    <x v="4"/>
  </r>
  <r>
    <s v="S001996"/>
    <s v="FOO-2024-00445"/>
    <x v="1"/>
    <x v="3"/>
    <x v="0"/>
    <x v="1057"/>
    <s v="ppm"/>
    <n v="0"/>
    <n v="120"/>
    <x v="367"/>
    <x v="4"/>
  </r>
  <r>
    <s v="S001826"/>
    <s v="ESS-2024-00408"/>
    <x v="2"/>
    <x v="10"/>
    <x v="4"/>
    <x v="24"/>
    <s v="%"/>
    <n v="0"/>
    <n v="1"/>
    <x v="33"/>
    <x v="4"/>
  </r>
  <r>
    <s v="S001058"/>
    <s v="FOO-2024-00237"/>
    <x v="1"/>
    <x v="9"/>
    <x v="6"/>
    <x v="1058"/>
    <s v="CFU/g"/>
    <n v="0"/>
    <n v="100"/>
    <x v="9"/>
    <x v="2"/>
  </r>
  <r>
    <s v="S001441"/>
    <s v="ESS-2024-00321"/>
    <x v="2"/>
    <x v="5"/>
    <x v="2"/>
    <x v="1059"/>
    <s v="um"/>
    <n v="150"/>
    <n v="400"/>
    <x v="282"/>
    <x v="6"/>
  </r>
  <r>
    <s v="S001515"/>
    <s v="FRA-2024-00338"/>
    <x v="3"/>
    <x v="8"/>
    <x v="1"/>
    <x v="645"/>
    <s v="g/ml"/>
    <n v="0.88"/>
    <n v="0.97"/>
    <x v="7"/>
    <x v="6"/>
  </r>
  <r>
    <s v="S001586"/>
    <s v="ESS-2025-00354"/>
    <x v="2"/>
    <x v="7"/>
    <x v="0"/>
    <x v="133"/>
    <s v="ppm"/>
    <n v="0"/>
    <n v="120"/>
    <x v="176"/>
    <x v="5"/>
  </r>
  <r>
    <s v="S001092"/>
    <s v="FOO-2025-00245"/>
    <x v="1"/>
    <x v="2"/>
    <x v="0"/>
    <x v="210"/>
    <s v="ppm"/>
    <n v="0"/>
    <n v="120"/>
    <x v="317"/>
    <x v="3"/>
  </r>
  <r>
    <s v="S001561"/>
    <s v="FRA-2024-00347"/>
    <x v="3"/>
    <x v="0"/>
    <x v="5"/>
    <x v="302"/>
    <m/>
    <n v="6"/>
    <n v="7.5"/>
    <x v="375"/>
    <x v="3"/>
  </r>
  <r>
    <s v="S001102"/>
    <s v="FRA-2024-00247"/>
    <x v="3"/>
    <x v="1"/>
    <x v="3"/>
    <x v="115"/>
    <s v="%"/>
    <n v="97"/>
    <n v="100"/>
    <x v="140"/>
    <x v="0"/>
  </r>
  <r>
    <s v="S001130"/>
    <s v="FLA-2024-00254"/>
    <x v="4"/>
    <x v="2"/>
    <x v="6"/>
    <x v="1060"/>
    <s v="CFU/g"/>
    <n v="0"/>
    <n v="100"/>
    <x v="344"/>
    <x v="0"/>
  </r>
  <r>
    <s v="S001236"/>
    <s v="ARO-2024-00276"/>
    <x v="0"/>
    <x v="1"/>
    <x v="2"/>
    <x v="1061"/>
    <s v="um"/>
    <n v="150"/>
    <n v="400"/>
    <x v="236"/>
    <x v="6"/>
  </r>
  <r>
    <s v="S001769"/>
    <s v="ESS-2024-00395"/>
    <x v="2"/>
    <x v="7"/>
    <x v="6"/>
    <x v="1062"/>
    <s v="CFU/g"/>
    <n v="0"/>
    <n v="100"/>
    <x v="116"/>
    <x v="5"/>
  </r>
  <r>
    <s v="S000959"/>
    <s v="FLA-2025-00217"/>
    <x v="4"/>
    <x v="2"/>
    <x v="5"/>
    <x v="986"/>
    <m/>
    <n v="6"/>
    <n v="7.5"/>
    <x v="378"/>
    <x v="3"/>
  </r>
  <r>
    <s v="S001663"/>
    <s v="FRA-2025-00372"/>
    <x v="3"/>
    <x v="3"/>
    <x v="1"/>
    <x v="96"/>
    <s v="g/ml"/>
    <n v="0.88"/>
    <n v="0.97"/>
    <x v="66"/>
    <x v="8"/>
  </r>
  <r>
    <s v="S000560"/>
    <s v="ARO-2024-00126"/>
    <x v="0"/>
    <x v="1"/>
    <x v="5"/>
    <x v="449"/>
    <m/>
    <n v="6"/>
    <n v="7.5"/>
    <x v="142"/>
    <x v="0"/>
  </r>
  <r>
    <s v="S000847"/>
    <s v="ARO-2024-00192"/>
    <x v="0"/>
    <x v="3"/>
    <x v="5"/>
    <x v="1063"/>
    <m/>
    <n v="6"/>
    <n v="7.5"/>
    <x v="21"/>
    <x v="6"/>
  </r>
  <r>
    <s v="S001749"/>
    <s v="ESS-2025-00391"/>
    <x v="2"/>
    <x v="1"/>
    <x v="5"/>
    <x v="1064"/>
    <m/>
    <n v="6"/>
    <n v="7.5"/>
    <x v="324"/>
    <x v="2"/>
  </r>
  <r>
    <s v="S000691"/>
    <s v="FOO-2024-00157"/>
    <x v="1"/>
    <x v="7"/>
    <x v="4"/>
    <x v="11"/>
    <s v="%"/>
    <n v="0"/>
    <n v="1"/>
    <x v="281"/>
    <x v="7"/>
  </r>
  <r>
    <s v="S001520"/>
    <s v="ARO-2024-00339"/>
    <x v="0"/>
    <x v="9"/>
    <x v="6"/>
    <x v="1065"/>
    <s v="CFU/g"/>
    <n v="0"/>
    <n v="100"/>
    <x v="140"/>
    <x v="3"/>
  </r>
  <r>
    <s v="S001942"/>
    <s v="ESS-2024-00434"/>
    <x v="2"/>
    <x v="0"/>
    <x v="5"/>
    <x v="120"/>
    <m/>
    <n v="6"/>
    <n v="7.5"/>
    <x v="92"/>
    <x v="3"/>
  </r>
  <r>
    <s v="S001869"/>
    <s v="ARO-2025-00418"/>
    <x v="0"/>
    <x v="10"/>
    <x v="6"/>
    <x v="78"/>
    <s v="CFU/g"/>
    <n v="0"/>
    <n v="100"/>
    <x v="120"/>
    <x v="0"/>
  </r>
  <r>
    <s v="S000437"/>
    <s v="ESS-2024-00099"/>
    <x v="2"/>
    <x v="1"/>
    <x v="6"/>
    <x v="780"/>
    <s v="CFU/g"/>
    <n v="0"/>
    <n v="100"/>
    <x v="162"/>
    <x v="6"/>
  </r>
  <r>
    <s v="S000491"/>
    <s v="ARO-2025-00110"/>
    <x v="0"/>
    <x v="1"/>
    <x v="4"/>
    <x v="113"/>
    <s v="%"/>
    <n v="0"/>
    <n v="1"/>
    <x v="220"/>
    <x v="0"/>
  </r>
  <r>
    <s v="S000675"/>
    <s v="FRA-2024-00154"/>
    <x v="3"/>
    <x v="1"/>
    <x v="2"/>
    <x v="320"/>
    <s v="um"/>
    <n v="150"/>
    <n v="400"/>
    <x v="252"/>
    <x v="6"/>
  </r>
  <r>
    <s v="S001895"/>
    <s v="ARO-2025-00424"/>
    <x v="0"/>
    <x v="8"/>
    <x v="3"/>
    <x v="730"/>
    <s v="%"/>
    <n v="97"/>
    <n v="100"/>
    <x v="380"/>
    <x v="3"/>
  </r>
  <r>
    <s v="S001630"/>
    <s v="FLA-2024-00364"/>
    <x v="4"/>
    <x v="1"/>
    <x v="5"/>
    <x v="783"/>
    <m/>
    <n v="6"/>
    <n v="7.5"/>
    <x v="358"/>
    <x v="1"/>
  </r>
  <r>
    <s v="S001388"/>
    <s v="FLA-2025-00310"/>
    <x v="4"/>
    <x v="2"/>
    <x v="1"/>
    <x v="80"/>
    <s v="g/ml"/>
    <n v="0.88"/>
    <n v="0.97"/>
    <x v="8"/>
    <x v="1"/>
  </r>
  <r>
    <s v="S000070"/>
    <s v="ARO-2024-00016"/>
    <x v="0"/>
    <x v="6"/>
    <x v="1"/>
    <x v="75"/>
    <s v="g/ml"/>
    <n v="0.88"/>
    <n v="0.97"/>
    <x v="306"/>
    <x v="5"/>
  </r>
  <r>
    <s v="S001573"/>
    <s v="FRA-2025-00350"/>
    <x v="3"/>
    <x v="1"/>
    <x v="5"/>
    <x v="1066"/>
    <m/>
    <n v="6"/>
    <n v="7.5"/>
    <x v="121"/>
    <x v="6"/>
  </r>
  <r>
    <s v="S000809"/>
    <s v="ESS-2025-00183"/>
    <x v="2"/>
    <x v="2"/>
    <x v="4"/>
    <x v="274"/>
    <s v="%"/>
    <n v="0"/>
    <n v="1"/>
    <x v="176"/>
    <x v="6"/>
  </r>
  <r>
    <s v="S001185"/>
    <s v="ARO-2024-00266"/>
    <x v="0"/>
    <x v="8"/>
    <x v="3"/>
    <x v="607"/>
    <s v="%"/>
    <n v="97"/>
    <n v="100"/>
    <x v="295"/>
    <x v="7"/>
  </r>
  <r>
    <s v="S000012"/>
    <s v="ESS-2025-00003"/>
    <x v="2"/>
    <x v="7"/>
    <x v="2"/>
    <x v="1067"/>
    <s v="um"/>
    <n v="150"/>
    <n v="400"/>
    <x v="203"/>
    <x v="6"/>
  </r>
  <r>
    <s v="S000145"/>
    <s v="FOO-2024-00034"/>
    <x v="1"/>
    <x v="1"/>
    <x v="5"/>
    <x v="1068"/>
    <m/>
    <n v="6"/>
    <n v="7.5"/>
    <x v="1"/>
    <x v="7"/>
  </r>
  <r>
    <s v="S000918"/>
    <s v="ESS-2024-00208"/>
    <x v="2"/>
    <x v="2"/>
    <x v="1"/>
    <x v="80"/>
    <s v="g/ml"/>
    <n v="0.88"/>
    <n v="0.97"/>
    <x v="274"/>
    <x v="3"/>
  </r>
  <r>
    <s v="S001542"/>
    <s v="ESS-2025-00343"/>
    <x v="2"/>
    <x v="8"/>
    <x v="3"/>
    <x v="4"/>
    <s v="%"/>
    <n v="97"/>
    <n v="100"/>
    <x v="179"/>
    <x v="5"/>
  </r>
  <r>
    <s v="S001452"/>
    <s v="FOO-2024-00324"/>
    <x v="1"/>
    <x v="8"/>
    <x v="4"/>
    <x v="262"/>
    <s v="%"/>
    <n v="0"/>
    <n v="1"/>
    <x v="260"/>
    <x v="1"/>
  </r>
  <r>
    <s v="S000640"/>
    <s v="ESS-2024-00146"/>
    <x v="2"/>
    <x v="10"/>
    <x v="6"/>
    <x v="1069"/>
    <s v="CFU/g"/>
    <n v="0"/>
    <n v="100"/>
    <x v="228"/>
    <x v="3"/>
  </r>
  <r>
    <s v="S000177"/>
    <s v="FOO-2025-00041"/>
    <x v="1"/>
    <x v="8"/>
    <x v="6"/>
    <x v="1070"/>
    <s v="CFU/g"/>
    <n v="0"/>
    <n v="100"/>
    <x v="88"/>
    <x v="8"/>
  </r>
  <r>
    <s v="S000995"/>
    <s v="ARO-2025-00225"/>
    <x v="0"/>
    <x v="5"/>
    <x v="2"/>
    <x v="1071"/>
    <s v="um"/>
    <n v="150"/>
    <n v="400"/>
    <x v="164"/>
    <x v="3"/>
  </r>
  <r>
    <s v="S000441"/>
    <s v="FOO-2024-00100"/>
    <x v="1"/>
    <x v="1"/>
    <x v="6"/>
    <x v="1072"/>
    <s v="CFU/g"/>
    <n v="0"/>
    <n v="100"/>
    <x v="263"/>
    <x v="3"/>
  </r>
  <r>
    <s v="S000522"/>
    <s v="FRA-2024-00117"/>
    <x v="3"/>
    <x v="0"/>
    <x v="6"/>
    <x v="1073"/>
    <s v="CFU/g"/>
    <n v="0"/>
    <n v="100"/>
    <x v="302"/>
    <x v="4"/>
  </r>
  <r>
    <s v="S001984"/>
    <s v="ESS-2025-00443"/>
    <x v="2"/>
    <x v="3"/>
    <x v="4"/>
    <x v="119"/>
    <s v="%"/>
    <n v="0"/>
    <n v="1"/>
    <x v="55"/>
    <x v="0"/>
  </r>
  <r>
    <s v="S001946"/>
    <s v="ESS-2025-00436"/>
    <x v="2"/>
    <x v="2"/>
    <x v="5"/>
    <x v="762"/>
    <m/>
    <n v="6"/>
    <n v="7.5"/>
    <x v="178"/>
    <x v="4"/>
  </r>
  <r>
    <s v="S001713"/>
    <s v="FLA-2024-00383"/>
    <x v="4"/>
    <x v="5"/>
    <x v="4"/>
    <x v="119"/>
    <s v="%"/>
    <n v="0"/>
    <n v="1"/>
    <x v="157"/>
    <x v="7"/>
  </r>
  <r>
    <s v="S001005"/>
    <s v="ARO-2025-00227"/>
    <x v="0"/>
    <x v="2"/>
    <x v="3"/>
    <x v="170"/>
    <s v="%"/>
    <n v="97"/>
    <n v="100"/>
    <x v="416"/>
    <x v="5"/>
  </r>
  <r>
    <s v="S001256"/>
    <s v="FLA-2024-00281"/>
    <x v="4"/>
    <x v="7"/>
    <x v="4"/>
    <x v="52"/>
    <s v="%"/>
    <n v="0"/>
    <n v="1"/>
    <x v="153"/>
    <x v="6"/>
  </r>
  <r>
    <s v="S001235"/>
    <s v="ARO-2024-00276"/>
    <x v="0"/>
    <x v="4"/>
    <x v="3"/>
    <x v="315"/>
    <s v="%"/>
    <n v="97"/>
    <n v="100"/>
    <x v="236"/>
    <x v="5"/>
  </r>
  <r>
    <s v="S001665"/>
    <s v="FRA-2025-00372"/>
    <x v="3"/>
    <x v="0"/>
    <x v="0"/>
    <x v="1074"/>
    <s v="ppm"/>
    <n v="0"/>
    <n v="120"/>
    <x v="417"/>
    <x v="1"/>
  </r>
  <r>
    <s v="S000144"/>
    <s v="FOO-2024-00034"/>
    <x v="1"/>
    <x v="4"/>
    <x v="6"/>
    <x v="1075"/>
    <s v="CFU/g"/>
    <n v="0"/>
    <n v="100"/>
    <x v="418"/>
    <x v="8"/>
  </r>
  <r>
    <s v="S000754"/>
    <s v="ARO-2025-00171"/>
    <x v="0"/>
    <x v="3"/>
    <x v="2"/>
    <x v="1076"/>
    <s v="um"/>
    <n v="150"/>
    <n v="400"/>
    <x v="159"/>
    <x v="7"/>
  </r>
  <r>
    <s v="S000520"/>
    <s v="FRA-2024-00117"/>
    <x v="3"/>
    <x v="0"/>
    <x v="2"/>
    <x v="1077"/>
    <s v="um"/>
    <n v="150"/>
    <n v="400"/>
    <x v="302"/>
    <x v="5"/>
  </r>
  <r>
    <s v="S000614"/>
    <s v="FLA-2024-00139"/>
    <x v="4"/>
    <x v="5"/>
    <x v="6"/>
    <x v="892"/>
    <s v="CFU/g"/>
    <n v="0"/>
    <n v="100"/>
    <x v="398"/>
    <x v="1"/>
  </r>
  <r>
    <s v="S001323"/>
    <s v="FLA-2024-00295"/>
    <x v="4"/>
    <x v="2"/>
    <x v="4"/>
    <x v="653"/>
    <s v="%"/>
    <n v="0"/>
    <n v="1"/>
    <x v="161"/>
    <x v="5"/>
  </r>
  <r>
    <s v="S000823"/>
    <s v="FRA-2024-00187"/>
    <x v="3"/>
    <x v="1"/>
    <x v="1"/>
    <x v="75"/>
    <s v="g/ml"/>
    <n v="0.88"/>
    <n v="0.97"/>
    <x v="419"/>
    <x v="2"/>
  </r>
  <r>
    <s v="S000429"/>
    <s v="ESS-2024-00097"/>
    <x v="2"/>
    <x v="2"/>
    <x v="1"/>
    <x v="292"/>
    <s v="g/ml"/>
    <n v="0.88"/>
    <n v="0.97"/>
    <x v="93"/>
    <x v="7"/>
  </r>
  <r>
    <s v="S000613"/>
    <s v="FLA-2024-00138"/>
    <x v="4"/>
    <x v="3"/>
    <x v="2"/>
    <x v="1078"/>
    <s v="um"/>
    <n v="150"/>
    <n v="400"/>
    <x v="23"/>
    <x v="2"/>
  </r>
  <r>
    <s v="S001506"/>
    <s v="FLA-2025-00336"/>
    <x v="4"/>
    <x v="9"/>
    <x v="5"/>
    <x v="234"/>
    <m/>
    <n v="6"/>
    <n v="7.5"/>
    <x v="63"/>
    <x v="1"/>
  </r>
  <r>
    <s v="S001033"/>
    <s v="ARO-2025-00232"/>
    <x v="0"/>
    <x v="10"/>
    <x v="4"/>
    <x v="368"/>
    <s v="%"/>
    <n v="0"/>
    <n v="1"/>
    <x v="326"/>
    <x v="1"/>
  </r>
  <r>
    <s v="S000157"/>
    <s v="FLA-2024-00037"/>
    <x v="4"/>
    <x v="10"/>
    <x v="3"/>
    <x v="717"/>
    <s v="%"/>
    <n v="97"/>
    <n v="100"/>
    <x v="346"/>
    <x v="2"/>
  </r>
  <r>
    <s v="S000540"/>
    <s v="ESS-2025-00122"/>
    <x v="2"/>
    <x v="9"/>
    <x v="1"/>
    <x v="35"/>
    <s v="g/ml"/>
    <n v="0.88"/>
    <n v="0.97"/>
    <x v="255"/>
    <x v="2"/>
  </r>
  <r>
    <s v="S001531"/>
    <s v="ESS-2024-00341"/>
    <x v="2"/>
    <x v="2"/>
    <x v="5"/>
    <x v="404"/>
    <m/>
    <n v="6"/>
    <n v="7.5"/>
    <x v="80"/>
    <x v="3"/>
  </r>
  <r>
    <s v="S001461"/>
    <s v="FRA-2025-00326"/>
    <x v="3"/>
    <x v="1"/>
    <x v="6"/>
    <x v="1079"/>
    <s v="CFU/g"/>
    <n v="0"/>
    <n v="100"/>
    <x v="256"/>
    <x v="3"/>
  </r>
  <r>
    <s v="S001291"/>
    <s v="ARO-2024-00288"/>
    <x v="0"/>
    <x v="9"/>
    <x v="1"/>
    <x v="430"/>
    <s v="g/ml"/>
    <n v="0.88"/>
    <n v="0.97"/>
    <x v="217"/>
    <x v="6"/>
  </r>
  <r>
    <s v="S000462"/>
    <s v="ESS-2025-00104"/>
    <x v="2"/>
    <x v="6"/>
    <x v="4"/>
    <x v="106"/>
    <s v="%"/>
    <n v="0"/>
    <n v="1"/>
    <x v="136"/>
    <x v="4"/>
  </r>
  <r>
    <s v="S000577"/>
    <s v="FRA-2024-00129"/>
    <x v="3"/>
    <x v="3"/>
    <x v="3"/>
    <x v="43"/>
    <s v="%"/>
    <n v="97"/>
    <n v="100"/>
    <x v="141"/>
    <x v="0"/>
  </r>
  <r>
    <s v="S001363"/>
    <s v="ESS-2025-00305"/>
    <x v="2"/>
    <x v="0"/>
    <x v="5"/>
    <x v="1080"/>
    <m/>
    <n v="6"/>
    <n v="7.5"/>
    <x v="305"/>
    <x v="8"/>
  </r>
  <r>
    <s v="S000256"/>
    <s v="FLA-2025-00058"/>
    <x v="4"/>
    <x v="1"/>
    <x v="4"/>
    <x v="101"/>
    <s v="%"/>
    <n v="0"/>
    <n v="1"/>
    <x v="334"/>
    <x v="3"/>
  </r>
  <r>
    <s v="S000980"/>
    <s v="FLA-2025-00222"/>
    <x v="4"/>
    <x v="8"/>
    <x v="3"/>
    <x v="161"/>
    <s v="%"/>
    <n v="97"/>
    <n v="100"/>
    <x v="345"/>
    <x v="5"/>
  </r>
  <r>
    <s v="S001186"/>
    <s v="ARO-2024-00266"/>
    <x v="0"/>
    <x v="5"/>
    <x v="0"/>
    <x v="1081"/>
    <s v="ppm"/>
    <n v="0"/>
    <n v="120"/>
    <x v="295"/>
    <x v="6"/>
  </r>
  <r>
    <s v="S001007"/>
    <s v="ARO-2025-00227"/>
    <x v="0"/>
    <x v="2"/>
    <x v="4"/>
    <x v="688"/>
    <s v="%"/>
    <n v="0"/>
    <n v="1"/>
    <x v="331"/>
    <x v="7"/>
  </r>
  <r>
    <s v="S001522"/>
    <s v="ARO-2024-00339"/>
    <x v="0"/>
    <x v="9"/>
    <x v="0"/>
    <x v="1082"/>
    <s v="ppm"/>
    <n v="0"/>
    <n v="120"/>
    <x v="140"/>
    <x v="3"/>
  </r>
  <r>
    <s v="S001690"/>
    <s v="ESS-2025-00378"/>
    <x v="2"/>
    <x v="9"/>
    <x v="2"/>
    <x v="1083"/>
    <s v="um"/>
    <n v="150"/>
    <n v="400"/>
    <x v="376"/>
    <x v="4"/>
  </r>
  <r>
    <s v="S000561"/>
    <s v="ARO-2024-00126"/>
    <x v="0"/>
    <x v="4"/>
    <x v="3"/>
    <x v="1084"/>
    <s v="%"/>
    <n v="97"/>
    <n v="100"/>
    <x v="142"/>
    <x v="3"/>
  </r>
  <r>
    <s v="S000209"/>
    <s v="ARO-2025-00048"/>
    <x v="0"/>
    <x v="7"/>
    <x v="4"/>
    <x v="564"/>
    <s v="%"/>
    <n v="0"/>
    <n v="1"/>
    <x v="233"/>
    <x v="3"/>
  </r>
  <r>
    <s v="S000911"/>
    <s v="FOO-2024-00206"/>
    <x v="1"/>
    <x v="0"/>
    <x v="4"/>
    <x v="307"/>
    <s v="%"/>
    <n v="0"/>
    <n v="1"/>
    <x v="274"/>
    <x v="8"/>
  </r>
  <r>
    <s v="S001312"/>
    <s v="FOO-2025-00293"/>
    <x v="1"/>
    <x v="4"/>
    <x v="0"/>
    <x v="684"/>
    <s v="ppm"/>
    <n v="0"/>
    <n v="120"/>
    <x v="133"/>
    <x v="2"/>
  </r>
  <r>
    <s v="S000002"/>
    <s v="ESS-2025-00001"/>
    <x v="2"/>
    <x v="1"/>
    <x v="1"/>
    <x v="80"/>
    <s v="g/ml"/>
    <n v="0.88"/>
    <n v="0.97"/>
    <x v="25"/>
    <x v="6"/>
  </r>
  <r>
    <s v="S001366"/>
    <s v="ESS-2025-00305"/>
    <x v="2"/>
    <x v="3"/>
    <x v="1"/>
    <x v="75"/>
    <s v="g/ml"/>
    <n v="0.88"/>
    <n v="0.97"/>
    <x v="305"/>
    <x v="5"/>
  </r>
  <r>
    <s v="S000270"/>
    <s v="FLA-2024-00061"/>
    <x v="4"/>
    <x v="2"/>
    <x v="1"/>
    <x v="430"/>
    <s v="g/ml"/>
    <n v="0.88"/>
    <n v="0.97"/>
    <x v="276"/>
    <x v="0"/>
  </r>
  <r>
    <s v="S000266"/>
    <s v="FLA-2024-00061"/>
    <x v="4"/>
    <x v="6"/>
    <x v="2"/>
    <x v="1085"/>
    <s v="um"/>
    <n v="150"/>
    <n v="400"/>
    <x v="276"/>
    <x v="7"/>
  </r>
  <r>
    <s v="S000915"/>
    <s v="FLA-2024-00207"/>
    <x v="4"/>
    <x v="2"/>
    <x v="5"/>
    <x v="197"/>
    <m/>
    <n v="6"/>
    <n v="7.5"/>
    <x v="364"/>
    <x v="5"/>
  </r>
  <r>
    <s v="S000231"/>
    <s v="FLA-2024-00053"/>
    <x v="4"/>
    <x v="7"/>
    <x v="2"/>
    <x v="1086"/>
    <s v="um"/>
    <n v="150"/>
    <n v="400"/>
    <x v="87"/>
    <x v="8"/>
  </r>
  <r>
    <s v="S001979"/>
    <s v="FLA-2025-00442"/>
    <x v="4"/>
    <x v="3"/>
    <x v="0"/>
    <x v="1087"/>
    <s v="ppm"/>
    <n v="0"/>
    <n v="120"/>
    <x v="165"/>
    <x v="6"/>
  </r>
  <r>
    <s v="S001120"/>
    <s v="FOO-2025-00251"/>
    <x v="1"/>
    <x v="7"/>
    <x v="0"/>
    <x v="1088"/>
    <s v="ppm"/>
    <n v="0"/>
    <n v="120"/>
    <x v="28"/>
    <x v="2"/>
  </r>
  <r>
    <s v="S001974"/>
    <s v="ESS-2025-00441"/>
    <x v="2"/>
    <x v="2"/>
    <x v="4"/>
    <x v="125"/>
    <s v="%"/>
    <n v="0"/>
    <n v="1"/>
    <x v="79"/>
    <x v="1"/>
  </r>
  <r>
    <s v="S000865"/>
    <s v="ESS-2024-00196"/>
    <x v="2"/>
    <x v="5"/>
    <x v="6"/>
    <x v="1089"/>
    <s v="CFU/g"/>
    <n v="0"/>
    <n v="100"/>
    <x v="154"/>
    <x v="4"/>
  </r>
  <r>
    <s v="S001067"/>
    <s v="ESS-2025-00239"/>
    <x v="2"/>
    <x v="1"/>
    <x v="3"/>
    <x v="1090"/>
    <s v="%"/>
    <n v="97"/>
    <n v="100"/>
    <x v="373"/>
    <x v="7"/>
  </r>
  <r>
    <s v="S000874"/>
    <s v="FOO-2025-00198"/>
    <x v="1"/>
    <x v="2"/>
    <x v="5"/>
    <x v="663"/>
    <m/>
    <n v="6"/>
    <n v="7.5"/>
    <x v="48"/>
    <x v="4"/>
  </r>
  <r>
    <s v="S001798"/>
    <s v="FLA-2024-00402"/>
    <x v="4"/>
    <x v="8"/>
    <x v="2"/>
    <x v="1091"/>
    <s v="um"/>
    <n v="150"/>
    <n v="400"/>
    <x v="91"/>
    <x v="2"/>
  </r>
  <r>
    <s v="S000399"/>
    <s v="FLA-2024-00091"/>
    <x v="4"/>
    <x v="4"/>
    <x v="6"/>
    <x v="1092"/>
    <s v="CFU/g"/>
    <n v="0"/>
    <n v="100"/>
    <x v="355"/>
    <x v="5"/>
  </r>
  <r>
    <s v="S001829"/>
    <s v="ESS-2024-00408"/>
    <x v="2"/>
    <x v="7"/>
    <x v="5"/>
    <x v="1093"/>
    <m/>
    <n v="6"/>
    <n v="7.5"/>
    <x v="33"/>
    <x v="3"/>
  </r>
  <r>
    <s v="S001653"/>
    <s v="ESS-2024-00370"/>
    <x v="2"/>
    <x v="5"/>
    <x v="2"/>
    <x v="1094"/>
    <s v="um"/>
    <n v="150"/>
    <n v="400"/>
    <x v="300"/>
    <x v="4"/>
  </r>
  <r>
    <s v="S000046"/>
    <s v="FOO-2024-00011"/>
    <x v="1"/>
    <x v="9"/>
    <x v="4"/>
    <x v="23"/>
    <s v="%"/>
    <n v="0"/>
    <n v="1"/>
    <x v="193"/>
    <x v="7"/>
  </r>
  <r>
    <s v="S000162"/>
    <s v="FRA-2024-00038"/>
    <x v="3"/>
    <x v="0"/>
    <x v="0"/>
    <x v="1095"/>
    <s v="ppm"/>
    <n v="0"/>
    <n v="120"/>
    <x v="353"/>
    <x v="0"/>
  </r>
  <r>
    <s v="S000992"/>
    <s v="FOO-2025-00224"/>
    <x v="1"/>
    <x v="9"/>
    <x v="0"/>
    <x v="1096"/>
    <s v="ppm"/>
    <n v="0"/>
    <n v="120"/>
    <x v="420"/>
    <x v="5"/>
  </r>
  <r>
    <s v="S000728"/>
    <s v="FRA-2024-00165"/>
    <x v="3"/>
    <x v="2"/>
    <x v="6"/>
    <x v="1097"/>
    <s v="CFU/g"/>
    <n v="0"/>
    <n v="100"/>
    <x v="37"/>
    <x v="1"/>
  </r>
  <r>
    <s v="S000630"/>
    <s v="FRA-2025-00143"/>
    <x v="3"/>
    <x v="0"/>
    <x v="1"/>
    <x v="46"/>
    <s v="g/ml"/>
    <n v="0.88"/>
    <n v="0.97"/>
    <x v="107"/>
    <x v="5"/>
  </r>
  <r>
    <s v="S000289"/>
    <s v="ARO-2025-00066"/>
    <x v="0"/>
    <x v="5"/>
    <x v="5"/>
    <x v="65"/>
    <m/>
    <n v="6"/>
    <n v="7.5"/>
    <x v="335"/>
    <x v="3"/>
  </r>
  <r>
    <s v="S001614"/>
    <s v="FOO-2025-00360"/>
    <x v="1"/>
    <x v="3"/>
    <x v="0"/>
    <x v="1098"/>
    <s v="ppm"/>
    <n v="0"/>
    <n v="120"/>
    <x v="47"/>
    <x v="3"/>
  </r>
  <r>
    <s v="S001060"/>
    <s v="FOO-2024-00237"/>
    <x v="1"/>
    <x v="9"/>
    <x v="1"/>
    <x v="85"/>
    <s v="g/ml"/>
    <n v="0.88"/>
    <n v="0.97"/>
    <x v="9"/>
    <x v="8"/>
  </r>
  <r>
    <s v="S001958"/>
    <s v="FRA-2024-00438"/>
    <x v="3"/>
    <x v="9"/>
    <x v="1"/>
    <x v="80"/>
    <s v="g/ml"/>
    <n v="0.88"/>
    <n v="0.97"/>
    <x v="35"/>
    <x v="7"/>
  </r>
  <r>
    <s v="S000576"/>
    <s v="FRA-2024-00129"/>
    <x v="3"/>
    <x v="3"/>
    <x v="4"/>
    <x v="52"/>
    <s v="%"/>
    <n v="0"/>
    <n v="1"/>
    <x v="141"/>
    <x v="0"/>
  </r>
  <r>
    <s v="S000851"/>
    <s v="FRA-2024-00193"/>
    <x v="3"/>
    <x v="5"/>
    <x v="0"/>
    <x v="1099"/>
    <s v="ppm"/>
    <n v="0"/>
    <n v="120"/>
    <x v="257"/>
    <x v="2"/>
  </r>
  <r>
    <s v="S001340"/>
    <s v="ESS-2024-00299"/>
    <x v="2"/>
    <x v="1"/>
    <x v="2"/>
    <x v="1100"/>
    <s v="um"/>
    <n v="150"/>
    <n v="400"/>
    <x v="263"/>
    <x v="2"/>
  </r>
  <r>
    <s v="S000912"/>
    <s v="FOO-2024-00206"/>
    <x v="1"/>
    <x v="3"/>
    <x v="6"/>
    <x v="1101"/>
    <s v="CFU/g"/>
    <n v="0"/>
    <n v="100"/>
    <x v="274"/>
    <x v="3"/>
  </r>
  <r>
    <s v="S001255"/>
    <s v="FLA-2024-00281"/>
    <x v="4"/>
    <x v="10"/>
    <x v="1"/>
    <x v="33"/>
    <s v="g/ml"/>
    <n v="0.88"/>
    <n v="0.97"/>
    <x v="153"/>
    <x v="6"/>
  </r>
  <r>
    <s v="S001723"/>
    <s v="FRA-2024-00385"/>
    <x v="3"/>
    <x v="2"/>
    <x v="0"/>
    <x v="1102"/>
    <s v="ppm"/>
    <n v="0"/>
    <n v="120"/>
    <x v="329"/>
    <x v="1"/>
  </r>
  <r>
    <s v="S001878"/>
    <s v="FRA-2024-00420"/>
    <x v="3"/>
    <x v="6"/>
    <x v="0"/>
    <x v="1103"/>
    <s v="ppm"/>
    <n v="0"/>
    <n v="120"/>
    <x v="17"/>
    <x v="7"/>
  </r>
  <r>
    <s v="S001736"/>
    <s v="ARO-2024-00388"/>
    <x v="0"/>
    <x v="1"/>
    <x v="3"/>
    <x v="537"/>
    <s v="%"/>
    <n v="97"/>
    <n v="100"/>
    <x v="11"/>
    <x v="3"/>
  </r>
  <r>
    <s v="S000933"/>
    <s v="ARO-2025-00211"/>
    <x v="0"/>
    <x v="3"/>
    <x v="6"/>
    <x v="108"/>
    <s v="CFU/g"/>
    <n v="0"/>
    <n v="100"/>
    <x v="156"/>
    <x v="7"/>
  </r>
  <r>
    <s v="S001101"/>
    <s v="FRA-2024-00247"/>
    <x v="3"/>
    <x v="4"/>
    <x v="5"/>
    <x v="1104"/>
    <m/>
    <n v="6"/>
    <n v="7.5"/>
    <x v="140"/>
    <x v="7"/>
  </r>
  <r>
    <s v="S001658"/>
    <s v="FRA-2024-00371"/>
    <x v="3"/>
    <x v="1"/>
    <x v="0"/>
    <x v="1105"/>
    <s v="ppm"/>
    <n v="0"/>
    <n v="120"/>
    <x v="38"/>
    <x v="6"/>
  </r>
  <r>
    <s v="S001208"/>
    <s v="FLA-2024-00270"/>
    <x v="4"/>
    <x v="3"/>
    <x v="5"/>
    <x v="533"/>
    <m/>
    <n v="6"/>
    <n v="7.5"/>
    <x v="209"/>
    <x v="5"/>
  </r>
  <r>
    <s v="S000248"/>
    <s v="FRA-2025-00056"/>
    <x v="3"/>
    <x v="3"/>
    <x v="2"/>
    <x v="1106"/>
    <s v="um"/>
    <n v="150"/>
    <n v="400"/>
    <x v="129"/>
    <x v="4"/>
  </r>
  <r>
    <s v="S000477"/>
    <s v="FRA-2025-00107"/>
    <x v="3"/>
    <x v="2"/>
    <x v="4"/>
    <x v="384"/>
    <s v="%"/>
    <n v="0"/>
    <n v="1"/>
    <x v="49"/>
    <x v="7"/>
  </r>
  <r>
    <s v="S001695"/>
    <s v="ESS-2024-00379"/>
    <x v="2"/>
    <x v="2"/>
    <x v="3"/>
    <x v="1107"/>
    <s v="%"/>
    <n v="97"/>
    <n v="100"/>
    <x v="22"/>
    <x v="0"/>
  </r>
  <r>
    <s v="S000086"/>
    <s v="FRA-2025-00020"/>
    <x v="3"/>
    <x v="0"/>
    <x v="6"/>
    <x v="1108"/>
    <s v="CFU/g"/>
    <n v="0"/>
    <n v="100"/>
    <x v="339"/>
    <x v="4"/>
  </r>
  <r>
    <s v="S000470"/>
    <s v="FOO-2025-00105"/>
    <x v="1"/>
    <x v="7"/>
    <x v="6"/>
    <x v="1109"/>
    <s v="CFU/g"/>
    <n v="0"/>
    <n v="100"/>
    <x v="265"/>
    <x v="1"/>
  </r>
  <r>
    <s v="S000226"/>
    <s v="ARO-2025-00052"/>
    <x v="0"/>
    <x v="1"/>
    <x v="2"/>
    <x v="1110"/>
    <s v="um"/>
    <n v="150"/>
    <n v="400"/>
    <x v="187"/>
    <x v="0"/>
  </r>
  <r>
    <s v="S000775"/>
    <s v="FOO-2024-00175"/>
    <x v="1"/>
    <x v="1"/>
    <x v="3"/>
    <x v="1111"/>
    <s v="%"/>
    <n v="97"/>
    <n v="100"/>
    <x v="83"/>
    <x v="6"/>
  </r>
  <r>
    <s v="S000332"/>
    <s v="FRA-2024-00075"/>
    <x v="3"/>
    <x v="6"/>
    <x v="0"/>
    <x v="1112"/>
    <s v="ppm"/>
    <n v="0"/>
    <n v="120"/>
    <x v="85"/>
    <x v="6"/>
  </r>
  <r>
    <s v="S000234"/>
    <s v="FLA-2024-00053"/>
    <x v="4"/>
    <x v="10"/>
    <x v="1"/>
    <x v="80"/>
    <s v="g/ml"/>
    <n v="0.88"/>
    <n v="0.97"/>
    <x v="87"/>
    <x v="3"/>
  </r>
  <r>
    <s v="S000589"/>
    <s v="FLA-2024-00132"/>
    <x v="4"/>
    <x v="5"/>
    <x v="2"/>
    <x v="1113"/>
    <s v="um"/>
    <n v="150"/>
    <n v="400"/>
    <x v="114"/>
    <x v="1"/>
  </r>
  <r>
    <s v="S000476"/>
    <s v="FRA-2025-00107"/>
    <x v="3"/>
    <x v="2"/>
    <x v="0"/>
    <x v="1114"/>
    <s v="ppm"/>
    <n v="0"/>
    <n v="120"/>
    <x v="49"/>
    <x v="4"/>
  </r>
  <r>
    <s v="S001285"/>
    <s v="FLA-2025-00287"/>
    <x v="4"/>
    <x v="7"/>
    <x v="5"/>
    <x v="404"/>
    <m/>
    <n v="6"/>
    <n v="7.5"/>
    <x v="336"/>
    <x v="4"/>
  </r>
  <r>
    <s v="S001872"/>
    <s v="ESS-2024-00419"/>
    <x v="2"/>
    <x v="6"/>
    <x v="5"/>
    <x v="969"/>
    <m/>
    <n v="6"/>
    <n v="7.5"/>
    <x v="103"/>
    <x v="3"/>
  </r>
  <r>
    <s v="S000600"/>
    <s v="FLA-2025-00135"/>
    <x v="4"/>
    <x v="1"/>
    <x v="6"/>
    <x v="1115"/>
    <s v="CFU/g"/>
    <n v="0"/>
    <n v="100"/>
    <x v="399"/>
    <x v="4"/>
  </r>
  <r>
    <s v="S000422"/>
    <s v="FOO-2025-00096"/>
    <x v="1"/>
    <x v="2"/>
    <x v="0"/>
    <x v="1116"/>
    <s v="ppm"/>
    <n v="0"/>
    <n v="120"/>
    <x v="231"/>
    <x v="3"/>
  </r>
  <r>
    <s v="S001712"/>
    <s v="FLA-2024-00383"/>
    <x v="4"/>
    <x v="5"/>
    <x v="3"/>
    <x v="537"/>
    <s v="%"/>
    <n v="97"/>
    <n v="100"/>
    <x v="157"/>
    <x v="5"/>
  </r>
  <r>
    <s v="S000183"/>
    <s v="ARO-2025-00042"/>
    <x v="0"/>
    <x v="4"/>
    <x v="4"/>
    <x v="274"/>
    <s v="%"/>
    <n v="0"/>
    <n v="1"/>
    <x v="18"/>
    <x v="3"/>
  </r>
  <r>
    <s v="S000989"/>
    <s v="FOO-2025-00224"/>
    <x v="1"/>
    <x v="9"/>
    <x v="1"/>
    <x v="1"/>
    <s v="g/ml"/>
    <n v="0.88"/>
    <n v="0.97"/>
    <x v="129"/>
    <x v="4"/>
  </r>
  <r>
    <s v="S001001"/>
    <s v="FLA-2024-00226"/>
    <x v="4"/>
    <x v="1"/>
    <x v="5"/>
    <x v="24"/>
    <m/>
    <n v="6"/>
    <n v="7.5"/>
    <x v="238"/>
    <x v="6"/>
  </r>
  <r>
    <s v="S001642"/>
    <s v="ARO-2024-00368"/>
    <x v="0"/>
    <x v="1"/>
    <x v="6"/>
    <x v="1117"/>
    <s v="CFU/g"/>
    <n v="0"/>
    <n v="100"/>
    <x v="158"/>
    <x v="0"/>
  </r>
  <r>
    <s v="S001357"/>
    <s v="ESS-2024-00303"/>
    <x v="2"/>
    <x v="8"/>
    <x v="4"/>
    <x v="44"/>
    <s v="%"/>
    <n v="0"/>
    <n v="1"/>
    <x v="17"/>
    <x v="5"/>
  </r>
  <r>
    <s v="S001463"/>
    <s v="FRA-2025-00326"/>
    <x v="3"/>
    <x v="1"/>
    <x v="3"/>
    <x v="490"/>
    <s v="%"/>
    <n v="97"/>
    <n v="100"/>
    <x v="256"/>
    <x v="4"/>
  </r>
  <r>
    <s v="S000050"/>
    <s v="FOO-2024-00012"/>
    <x v="1"/>
    <x v="7"/>
    <x v="0"/>
    <x v="649"/>
    <s v="ppm"/>
    <n v="0"/>
    <n v="120"/>
    <x v="140"/>
    <x v="4"/>
  </r>
  <r>
    <s v="S001879"/>
    <s v="FLA-2025-00421"/>
    <x v="4"/>
    <x v="2"/>
    <x v="6"/>
    <x v="1118"/>
    <s v="CFU/g"/>
    <n v="0"/>
    <n v="100"/>
    <x v="133"/>
    <x v="1"/>
  </r>
  <r>
    <s v="S001030"/>
    <s v="FOO-2025-00231"/>
    <x v="1"/>
    <x v="7"/>
    <x v="3"/>
    <x v="217"/>
    <s v="%"/>
    <n v="97"/>
    <n v="100"/>
    <x v="147"/>
    <x v="8"/>
  </r>
  <r>
    <s v="S000530"/>
    <s v="ARO-2024-00119"/>
    <x v="0"/>
    <x v="2"/>
    <x v="4"/>
    <x v="291"/>
    <s v="%"/>
    <n v="0"/>
    <n v="1"/>
    <x v="27"/>
    <x v="6"/>
  </r>
  <r>
    <s v="S001259"/>
    <s v="FLA-2024-00282"/>
    <x v="4"/>
    <x v="10"/>
    <x v="0"/>
    <x v="133"/>
    <s v="ppm"/>
    <n v="0"/>
    <n v="120"/>
    <x v="138"/>
    <x v="3"/>
  </r>
  <r>
    <s v="S000487"/>
    <s v="FLA-2025-00109"/>
    <x v="4"/>
    <x v="9"/>
    <x v="1"/>
    <x v="75"/>
    <s v="g/ml"/>
    <n v="0.88"/>
    <n v="0.97"/>
    <x v="294"/>
    <x v="5"/>
  </r>
  <r>
    <s v="S001955"/>
    <s v="ESS-2024-00437"/>
    <x v="2"/>
    <x v="1"/>
    <x v="0"/>
    <x v="1119"/>
    <s v="ppm"/>
    <n v="0"/>
    <n v="120"/>
    <x v="98"/>
    <x v="7"/>
  </r>
  <r>
    <s v="S000498"/>
    <s v="FLA-2025-00112"/>
    <x v="4"/>
    <x v="7"/>
    <x v="5"/>
    <x v="128"/>
    <m/>
    <n v="6"/>
    <n v="7.5"/>
    <x v="421"/>
    <x v="7"/>
  </r>
  <r>
    <s v="S001647"/>
    <s v="ARO-2025-00369"/>
    <x v="0"/>
    <x v="2"/>
    <x v="5"/>
    <x v="185"/>
    <m/>
    <n v="6"/>
    <n v="7.5"/>
    <x v="106"/>
    <x v="7"/>
  </r>
  <r>
    <s v="S000107"/>
    <s v="ARO-2025-00025"/>
    <x v="0"/>
    <x v="2"/>
    <x v="5"/>
    <x v="980"/>
    <m/>
    <n v="6"/>
    <n v="7.5"/>
    <x v="74"/>
    <x v="2"/>
  </r>
  <r>
    <s v="S000444"/>
    <s v="FOO-2024-00100"/>
    <x v="1"/>
    <x v="1"/>
    <x v="5"/>
    <x v="1120"/>
    <m/>
    <n v="6"/>
    <n v="7.5"/>
    <x v="263"/>
    <x v="1"/>
  </r>
  <r>
    <s v="S001513"/>
    <s v="ARO-2024-00337"/>
    <x v="0"/>
    <x v="2"/>
    <x v="3"/>
    <x v="363"/>
    <s v="%"/>
    <n v="97"/>
    <n v="100"/>
    <x v="140"/>
    <x v="6"/>
  </r>
  <r>
    <s v="S000647"/>
    <s v="ESS-2024-00147"/>
    <x v="2"/>
    <x v="1"/>
    <x v="3"/>
    <x v="1121"/>
    <s v="%"/>
    <n v="97"/>
    <n v="100"/>
    <x v="140"/>
    <x v="8"/>
  </r>
  <r>
    <s v="S001037"/>
    <s v="FOO-2024-00233"/>
    <x v="1"/>
    <x v="8"/>
    <x v="3"/>
    <x v="366"/>
    <s v="%"/>
    <n v="97"/>
    <n v="100"/>
    <x v="37"/>
    <x v="4"/>
  </r>
  <r>
    <s v="S001763"/>
    <s v="ESS-2025-00394"/>
    <x v="2"/>
    <x v="2"/>
    <x v="3"/>
    <x v="494"/>
    <s v="%"/>
    <n v="97"/>
    <n v="100"/>
    <x v="148"/>
    <x v="4"/>
  </r>
  <r>
    <s v="S000727"/>
    <s v="FRA-2024-00165"/>
    <x v="3"/>
    <x v="6"/>
    <x v="5"/>
    <x v="1122"/>
    <m/>
    <n v="6"/>
    <n v="7.5"/>
    <x v="37"/>
    <x v="2"/>
  </r>
  <r>
    <s v="S000191"/>
    <s v="FLA-2025-00044"/>
    <x v="4"/>
    <x v="3"/>
    <x v="6"/>
    <x v="1123"/>
    <s v="CFU/g"/>
    <n v="0"/>
    <n v="100"/>
    <x v="383"/>
    <x v="1"/>
  </r>
  <r>
    <s v="S001789"/>
    <s v="FLA-2024-00400"/>
    <x v="4"/>
    <x v="7"/>
    <x v="1"/>
    <x v="24"/>
    <s v="g/ml"/>
    <n v="0.88"/>
    <n v="0.97"/>
    <x v="80"/>
    <x v="2"/>
  </r>
  <r>
    <s v="S001857"/>
    <s v="ESS-2025-00416"/>
    <x v="2"/>
    <x v="3"/>
    <x v="6"/>
    <x v="1124"/>
    <s v="CFU/g"/>
    <n v="0"/>
    <n v="100"/>
    <x v="73"/>
    <x v="0"/>
  </r>
  <r>
    <s v="S000283"/>
    <s v="FLA-2025-00065"/>
    <x v="4"/>
    <x v="6"/>
    <x v="5"/>
    <x v="863"/>
    <m/>
    <n v="6"/>
    <n v="7.5"/>
    <x v="51"/>
    <x v="2"/>
  </r>
  <r>
    <s v="S000030"/>
    <s v="FOO-2025-00007"/>
    <x v="1"/>
    <x v="2"/>
    <x v="2"/>
    <x v="48"/>
    <s v="um"/>
    <n v="150"/>
    <n v="400"/>
    <x v="299"/>
    <x v="1"/>
  </r>
  <r>
    <s v="S000170"/>
    <s v="FRA-2024-00040"/>
    <x v="3"/>
    <x v="7"/>
    <x v="5"/>
    <x v="180"/>
    <m/>
    <n v="6"/>
    <n v="7.5"/>
    <x v="422"/>
    <x v="1"/>
  </r>
  <r>
    <s v="S001002"/>
    <s v="FLA-2024-00226"/>
    <x v="4"/>
    <x v="4"/>
    <x v="1"/>
    <x v="1"/>
    <s v="g/ml"/>
    <n v="0.88"/>
    <n v="0.97"/>
    <x v="238"/>
    <x v="3"/>
  </r>
  <r>
    <s v="S001205"/>
    <s v="FRA-2024-00269"/>
    <x v="3"/>
    <x v="8"/>
    <x v="0"/>
    <x v="1125"/>
    <s v="ppm"/>
    <n v="0"/>
    <n v="120"/>
    <x v="315"/>
    <x v="6"/>
  </r>
  <r>
    <s v="S000101"/>
    <s v="ESS-2025-00024"/>
    <x v="2"/>
    <x v="8"/>
    <x v="3"/>
    <x v="1126"/>
    <s v="%"/>
    <n v="97"/>
    <n v="100"/>
    <x v="371"/>
    <x v="3"/>
  </r>
  <r>
    <s v="S000198"/>
    <s v="ESS-2025-00045"/>
    <x v="2"/>
    <x v="8"/>
    <x v="6"/>
    <x v="1127"/>
    <s v="CFU/g"/>
    <n v="0"/>
    <n v="100"/>
    <x v="20"/>
    <x v="7"/>
  </r>
  <r>
    <s v="S000496"/>
    <s v="ARO-2024-00111"/>
    <x v="0"/>
    <x v="8"/>
    <x v="3"/>
    <x v="693"/>
    <s v="%"/>
    <n v="97"/>
    <n v="100"/>
    <x v="364"/>
    <x v="2"/>
  </r>
  <r>
    <s v="S001746"/>
    <s v="FLA-2025-00390"/>
    <x v="4"/>
    <x v="7"/>
    <x v="3"/>
    <x v="286"/>
    <s v="%"/>
    <n v="97"/>
    <n v="100"/>
    <x v="199"/>
    <x v="1"/>
  </r>
  <r>
    <s v="S000648"/>
    <s v="FRA-2025-00148"/>
    <x v="3"/>
    <x v="3"/>
    <x v="0"/>
    <x v="1128"/>
    <s v="ppm"/>
    <n v="0"/>
    <n v="120"/>
    <x v="235"/>
    <x v="0"/>
  </r>
  <r>
    <s v="S000988"/>
    <s v="FOO-2025-00224"/>
    <x v="1"/>
    <x v="10"/>
    <x v="4"/>
    <x v="24"/>
    <s v="%"/>
    <n v="0"/>
    <n v="1"/>
    <x v="129"/>
    <x v="2"/>
  </r>
  <r>
    <s v="S000045"/>
    <s v="FRA-2025-00010"/>
    <x v="3"/>
    <x v="0"/>
    <x v="4"/>
    <x v="1129"/>
    <s v="%"/>
    <n v="0"/>
    <n v="1"/>
    <x v="249"/>
    <x v="2"/>
  </r>
  <r>
    <s v="S001939"/>
    <s v="ESS-2024-00434"/>
    <x v="2"/>
    <x v="3"/>
    <x v="1"/>
    <x v="80"/>
    <s v="g/ml"/>
    <n v="0.88"/>
    <n v="0.97"/>
    <x v="92"/>
    <x v="2"/>
  </r>
  <r>
    <s v="S000711"/>
    <s v="ARO-2025-00161"/>
    <x v="0"/>
    <x v="7"/>
    <x v="2"/>
    <x v="1130"/>
    <s v="um"/>
    <n v="150"/>
    <n v="400"/>
    <x v="272"/>
    <x v="4"/>
  </r>
  <r>
    <s v="S000374"/>
    <s v="FLA-2025-00084"/>
    <x v="4"/>
    <x v="5"/>
    <x v="5"/>
    <x v="364"/>
    <m/>
    <n v="6"/>
    <n v="7.5"/>
    <x v="206"/>
    <x v="7"/>
  </r>
  <r>
    <s v="S000679"/>
    <s v="FRA-2024-00154"/>
    <x v="3"/>
    <x v="4"/>
    <x v="6"/>
    <x v="1131"/>
    <s v="CFU/g"/>
    <n v="0"/>
    <n v="100"/>
    <x v="252"/>
    <x v="4"/>
  </r>
  <r>
    <s v="S000567"/>
    <s v="FLA-2024-00128"/>
    <x v="4"/>
    <x v="2"/>
    <x v="4"/>
    <x v="62"/>
    <s v="%"/>
    <n v="0"/>
    <n v="1"/>
    <x v="423"/>
    <x v="5"/>
  </r>
  <r>
    <s v="S001673"/>
    <s v="FRA-2025-00374"/>
    <x v="3"/>
    <x v="6"/>
    <x v="4"/>
    <x v="149"/>
    <s v="%"/>
    <n v="0"/>
    <n v="1"/>
    <x v="41"/>
    <x v="1"/>
  </r>
  <r>
    <s v="S001822"/>
    <s v="FRA-2025-00407"/>
    <x v="3"/>
    <x v="4"/>
    <x v="0"/>
    <x v="1132"/>
    <s v="ppm"/>
    <n v="0"/>
    <n v="120"/>
    <x v="126"/>
    <x v="7"/>
  </r>
  <r>
    <s v="S000848"/>
    <s v="ARO-2024-00192"/>
    <x v="0"/>
    <x v="0"/>
    <x v="3"/>
    <x v="1133"/>
    <s v="%"/>
    <n v="97"/>
    <n v="100"/>
    <x v="21"/>
    <x v="2"/>
  </r>
  <r>
    <s v="S000461"/>
    <s v="ESS-2025-00104"/>
    <x v="2"/>
    <x v="6"/>
    <x v="0"/>
    <x v="1134"/>
    <s v="ppm"/>
    <n v="0"/>
    <n v="120"/>
    <x v="342"/>
    <x v="0"/>
  </r>
  <r>
    <s v="S001438"/>
    <s v="ESS-2024-00321"/>
    <x v="2"/>
    <x v="5"/>
    <x v="0"/>
    <x v="1135"/>
    <s v="ppm"/>
    <n v="0"/>
    <n v="120"/>
    <x v="282"/>
    <x v="6"/>
  </r>
  <r>
    <s v="S001156"/>
    <s v="ESS-2025-00259"/>
    <x v="2"/>
    <x v="1"/>
    <x v="6"/>
    <x v="1136"/>
    <s v="CFU/g"/>
    <n v="0"/>
    <n v="100"/>
    <x v="424"/>
    <x v="1"/>
  </r>
  <r>
    <s v="S000040"/>
    <s v="FLA-2024-00009"/>
    <x v="4"/>
    <x v="1"/>
    <x v="3"/>
    <x v="193"/>
    <s v="%"/>
    <n v="97"/>
    <n v="100"/>
    <x v="92"/>
    <x v="5"/>
  </r>
  <r>
    <s v="S000435"/>
    <s v="ESS-2024-00099"/>
    <x v="2"/>
    <x v="1"/>
    <x v="2"/>
    <x v="1137"/>
    <s v="um"/>
    <n v="150"/>
    <n v="400"/>
    <x v="162"/>
    <x v="8"/>
  </r>
  <r>
    <s v="S000974"/>
    <s v="FLA-2024-00220"/>
    <x v="4"/>
    <x v="7"/>
    <x v="2"/>
    <x v="1138"/>
    <s v="um"/>
    <n v="150"/>
    <n v="400"/>
    <x v="259"/>
    <x v="3"/>
  </r>
  <r>
    <s v="S001240"/>
    <s v="FRA-2025-00277"/>
    <x v="3"/>
    <x v="3"/>
    <x v="1"/>
    <x v="17"/>
    <s v="g/ml"/>
    <n v="0.88"/>
    <n v="0.97"/>
    <x v="359"/>
    <x v="5"/>
  </r>
  <r>
    <s v="S001008"/>
    <s v="ARO-2025-00227"/>
    <x v="0"/>
    <x v="2"/>
    <x v="5"/>
    <x v="1139"/>
    <m/>
    <n v="6"/>
    <n v="7.5"/>
    <x v="331"/>
    <x v="7"/>
  </r>
  <r>
    <s v="S001580"/>
    <s v="ARO-2024-00352"/>
    <x v="0"/>
    <x v="0"/>
    <x v="1"/>
    <x v="85"/>
    <s v="g/ml"/>
    <n v="0.88"/>
    <n v="0.97"/>
    <x v="33"/>
    <x v="3"/>
  </r>
  <r>
    <s v="S001591"/>
    <s v="FOO-2025-00355"/>
    <x v="1"/>
    <x v="1"/>
    <x v="1"/>
    <x v="292"/>
    <s v="g/ml"/>
    <n v="0.88"/>
    <n v="0.97"/>
    <x v="89"/>
    <x v="2"/>
  </r>
  <r>
    <s v="S001787"/>
    <s v="FLA-2024-00400"/>
    <x v="4"/>
    <x v="10"/>
    <x v="2"/>
    <x v="1140"/>
    <s v="um"/>
    <n v="150"/>
    <n v="400"/>
    <x v="80"/>
    <x v="7"/>
  </r>
  <r>
    <s v="S001499"/>
    <s v="FRA-2024-00334"/>
    <x v="3"/>
    <x v="2"/>
    <x v="3"/>
    <x v="1141"/>
    <s v="%"/>
    <n v="97"/>
    <n v="100"/>
    <x v="83"/>
    <x v="2"/>
  </r>
  <r>
    <s v="S000457"/>
    <s v="FRA-2024-00103"/>
    <x v="3"/>
    <x v="2"/>
    <x v="4"/>
    <x v="179"/>
    <s v="%"/>
    <n v="0"/>
    <n v="1"/>
    <x v="195"/>
    <x v="8"/>
  </r>
  <r>
    <s v="S001836"/>
    <s v="FOO-2025-00410"/>
    <x v="1"/>
    <x v="1"/>
    <x v="5"/>
    <x v="102"/>
    <m/>
    <n v="6"/>
    <n v="7.5"/>
    <x v="237"/>
    <x v="3"/>
  </r>
  <r>
    <s v="S000261"/>
    <s v="ESS-2025-00059"/>
    <x v="2"/>
    <x v="4"/>
    <x v="1"/>
    <x v="224"/>
    <s v="g/ml"/>
    <n v="0.88"/>
    <n v="0.97"/>
    <x v="3"/>
    <x v="1"/>
  </r>
  <r>
    <s v="S001841"/>
    <s v="ARO-2025-00411"/>
    <x v="0"/>
    <x v="2"/>
    <x v="5"/>
    <x v="791"/>
    <m/>
    <n v="6"/>
    <n v="7.5"/>
    <x v="425"/>
    <x v="0"/>
  </r>
  <r>
    <s v="S000036"/>
    <s v="ARO-2024-00008"/>
    <x v="0"/>
    <x v="4"/>
    <x v="2"/>
    <x v="24"/>
    <s v="um"/>
    <n v="150"/>
    <n v="400"/>
    <x v="103"/>
    <x v="0"/>
  </r>
  <r>
    <s v="S000828"/>
    <s v="ARO-2024-00188"/>
    <x v="0"/>
    <x v="3"/>
    <x v="5"/>
    <x v="986"/>
    <m/>
    <n v="6"/>
    <n v="7.5"/>
    <x v="194"/>
    <x v="7"/>
  </r>
  <r>
    <s v="S000310"/>
    <s v="FLA-2025-00070"/>
    <x v="4"/>
    <x v="9"/>
    <x v="1"/>
    <x v="17"/>
    <s v="g/ml"/>
    <n v="0.88"/>
    <n v="0.97"/>
    <x v="169"/>
    <x v="3"/>
  </r>
  <r>
    <s v="S000277"/>
    <s v="FRA-2024-00063"/>
    <x v="3"/>
    <x v="9"/>
    <x v="6"/>
    <x v="1142"/>
    <s v="CFU/g"/>
    <n v="0"/>
    <n v="100"/>
    <x v="224"/>
    <x v="3"/>
  </r>
  <r>
    <s v="S000637"/>
    <s v="ESS-2025-00145"/>
    <x v="2"/>
    <x v="3"/>
    <x v="1"/>
    <x v="75"/>
    <s v="g/ml"/>
    <n v="0.88"/>
    <n v="0.97"/>
    <x v="67"/>
    <x v="0"/>
  </r>
  <r>
    <s v="S000655"/>
    <s v="FRA-2024-00149"/>
    <x v="3"/>
    <x v="10"/>
    <x v="0"/>
    <x v="1143"/>
    <s v="ppm"/>
    <n v="0"/>
    <n v="120"/>
    <x v="60"/>
    <x v="3"/>
  </r>
  <r>
    <s v="S000623"/>
    <s v="ESS-2025-00141"/>
    <x v="2"/>
    <x v="8"/>
    <x v="6"/>
    <x v="1144"/>
    <s v="CFU/g"/>
    <n v="0"/>
    <n v="100"/>
    <x v="76"/>
    <x v="5"/>
  </r>
  <r>
    <s v="S001860"/>
    <s v="ESS-2025-00416"/>
    <x v="2"/>
    <x v="0"/>
    <x v="3"/>
    <x v="1145"/>
    <s v="%"/>
    <n v="97"/>
    <n v="100"/>
    <x v="73"/>
    <x v="3"/>
  </r>
  <r>
    <s v="S000845"/>
    <s v="ARO-2024-00192"/>
    <x v="0"/>
    <x v="3"/>
    <x v="2"/>
    <x v="24"/>
    <s v="um"/>
    <n v="150"/>
    <n v="400"/>
    <x v="21"/>
    <x v="2"/>
  </r>
  <r>
    <s v="S000394"/>
    <s v="FOO-2024-00090"/>
    <x v="1"/>
    <x v="5"/>
    <x v="2"/>
    <x v="1146"/>
    <s v="um"/>
    <n v="150"/>
    <n v="400"/>
    <x v="130"/>
    <x v="1"/>
  </r>
  <r>
    <s v="S001770"/>
    <s v="FOO-2025-00396"/>
    <x v="1"/>
    <x v="9"/>
    <x v="1"/>
    <x v="80"/>
    <s v="g/ml"/>
    <n v="0.88"/>
    <n v="0.97"/>
    <x v="301"/>
    <x v="1"/>
  </r>
  <r>
    <s v="S000108"/>
    <s v="ARO-2025-00025"/>
    <x v="0"/>
    <x v="2"/>
    <x v="0"/>
    <x v="1147"/>
    <s v="ppm"/>
    <n v="0"/>
    <n v="120"/>
    <x v="74"/>
    <x v="7"/>
  </r>
  <r>
    <s v="S000350"/>
    <s v="FRA-2025-00079"/>
    <x v="3"/>
    <x v="3"/>
    <x v="1"/>
    <x v="85"/>
    <s v="g/ml"/>
    <n v="0.88"/>
    <n v="0.97"/>
    <x v="146"/>
    <x v="2"/>
  </r>
  <r>
    <s v="S000525"/>
    <s v="FRA-2024-00118"/>
    <x v="3"/>
    <x v="1"/>
    <x v="6"/>
    <x v="24"/>
    <s v="CFU/g"/>
    <n v="0"/>
    <n v="100"/>
    <x v="149"/>
    <x v="7"/>
  </r>
  <r>
    <s v="S000785"/>
    <s v="ESS-2024-00178"/>
    <x v="2"/>
    <x v="6"/>
    <x v="2"/>
    <x v="1148"/>
    <s v="um"/>
    <n v="150"/>
    <n v="400"/>
    <x v="354"/>
    <x v="2"/>
  </r>
  <r>
    <s v="S000048"/>
    <s v="FOO-2024-00011"/>
    <x v="1"/>
    <x v="7"/>
    <x v="5"/>
    <x v="375"/>
    <m/>
    <n v="6"/>
    <n v="7.5"/>
    <x v="193"/>
    <x v="8"/>
  </r>
  <r>
    <s v="S000204"/>
    <s v="FOO-2024-00047"/>
    <x v="1"/>
    <x v="3"/>
    <x v="4"/>
    <x v="653"/>
    <s v="%"/>
    <n v="0"/>
    <n v="1"/>
    <x v="94"/>
    <x v="6"/>
  </r>
  <r>
    <s v="S001497"/>
    <s v="ESS-2025-00333"/>
    <x v="2"/>
    <x v="7"/>
    <x v="5"/>
    <x v="863"/>
    <m/>
    <n v="6"/>
    <n v="7.5"/>
    <x v="44"/>
    <x v="8"/>
  </r>
  <r>
    <s v="S001656"/>
    <s v="ESS-2024-00370"/>
    <x v="2"/>
    <x v="5"/>
    <x v="3"/>
    <x v="845"/>
    <s v="%"/>
    <n v="97"/>
    <n v="100"/>
    <x v="300"/>
    <x v="6"/>
  </r>
  <r>
    <s v="S000022"/>
    <s v="ARO-2025-00005"/>
    <x v="0"/>
    <x v="1"/>
    <x v="2"/>
    <x v="1149"/>
    <s v="um"/>
    <n v="150"/>
    <n v="400"/>
    <x v="118"/>
    <x v="3"/>
  </r>
  <r>
    <s v="S000403"/>
    <s v="FLA-2024-00091"/>
    <x v="4"/>
    <x v="1"/>
    <x v="0"/>
    <x v="1150"/>
    <s v="ppm"/>
    <n v="0"/>
    <n v="120"/>
    <x v="355"/>
    <x v="6"/>
  </r>
  <r>
    <s v="S001108"/>
    <s v="FOO-2025-00249"/>
    <x v="1"/>
    <x v="6"/>
    <x v="6"/>
    <x v="1151"/>
    <s v="CFU/g"/>
    <n v="0"/>
    <n v="100"/>
    <x v="237"/>
    <x v="1"/>
  </r>
  <r>
    <s v="S001155"/>
    <s v="ESS-2025-00259"/>
    <x v="2"/>
    <x v="1"/>
    <x v="1"/>
    <x v="80"/>
    <s v="g/ml"/>
    <n v="0.88"/>
    <n v="0.97"/>
    <x v="119"/>
    <x v="0"/>
  </r>
  <r>
    <s v="S001440"/>
    <s v="ESS-2024-00321"/>
    <x v="2"/>
    <x v="5"/>
    <x v="4"/>
    <x v="1152"/>
    <s v="%"/>
    <n v="0"/>
    <n v="1"/>
    <x v="282"/>
    <x v="3"/>
  </r>
  <r>
    <s v="S001994"/>
    <s v="FOO-2024-00445"/>
    <x v="1"/>
    <x v="3"/>
    <x v="2"/>
    <x v="1153"/>
    <s v="um"/>
    <n v="150"/>
    <n v="400"/>
    <x v="367"/>
    <x v="8"/>
  </r>
  <r>
    <s v="S000990"/>
    <s v="FOO-2025-00224"/>
    <x v="1"/>
    <x v="7"/>
    <x v="5"/>
    <x v="767"/>
    <m/>
    <n v="6"/>
    <n v="7.5"/>
    <x v="129"/>
    <x v="1"/>
  </r>
  <r>
    <s v="S001866"/>
    <s v="FRA-2025-00417"/>
    <x v="3"/>
    <x v="7"/>
    <x v="0"/>
    <x v="1154"/>
    <s v="ppm"/>
    <n v="0"/>
    <n v="120"/>
    <x v="212"/>
    <x v="3"/>
  </r>
  <r>
    <s v="S000742"/>
    <s v="FLA-2025-00168"/>
    <x v="4"/>
    <x v="2"/>
    <x v="4"/>
    <x v="384"/>
    <s v="%"/>
    <n v="0"/>
    <n v="1"/>
    <x v="216"/>
    <x v="8"/>
  </r>
  <r>
    <s v="S001722"/>
    <s v="FRA-2024-00385"/>
    <x v="3"/>
    <x v="2"/>
    <x v="6"/>
    <x v="1155"/>
    <s v="CFU/g"/>
    <n v="0"/>
    <n v="100"/>
    <x v="329"/>
    <x v="4"/>
  </r>
  <r>
    <s v="S001311"/>
    <s v="ESS-2025-00292"/>
    <x v="2"/>
    <x v="2"/>
    <x v="4"/>
    <x v="6"/>
    <s v="%"/>
    <n v="0"/>
    <n v="1"/>
    <x v="279"/>
    <x v="2"/>
  </r>
  <r>
    <s v="S001148"/>
    <s v="ARO-2024-00257"/>
    <x v="0"/>
    <x v="10"/>
    <x v="4"/>
    <x v="179"/>
    <s v="%"/>
    <n v="0"/>
    <n v="1"/>
    <x v="262"/>
    <x v="2"/>
  </r>
  <r>
    <s v="S000034"/>
    <s v="ARO-2024-00008"/>
    <x v="0"/>
    <x v="1"/>
    <x v="1"/>
    <x v="292"/>
    <s v="g/ml"/>
    <n v="0.88"/>
    <n v="0.97"/>
    <x v="103"/>
    <x v="3"/>
  </r>
  <r>
    <s v="S000788"/>
    <s v="FOO-2024-00179"/>
    <x v="1"/>
    <x v="1"/>
    <x v="4"/>
    <x v="274"/>
    <s v="%"/>
    <n v="0"/>
    <n v="1"/>
    <x v="198"/>
    <x v="1"/>
  </r>
  <r>
    <s v="S001541"/>
    <s v="ESS-2025-00343"/>
    <x v="2"/>
    <x v="8"/>
    <x v="1"/>
    <x v="35"/>
    <s v="g/ml"/>
    <n v="0.88"/>
    <n v="0.97"/>
    <x v="176"/>
    <x v="2"/>
  </r>
  <r>
    <s v="S000924"/>
    <s v="FOO-2024-00209"/>
    <x v="1"/>
    <x v="4"/>
    <x v="4"/>
    <x v="467"/>
    <s v="%"/>
    <n v="0"/>
    <n v="1"/>
    <x v="131"/>
    <x v="0"/>
  </r>
  <r>
    <s v="S001044"/>
    <s v="FLA-2024-00234"/>
    <x v="4"/>
    <x v="0"/>
    <x v="2"/>
    <x v="1156"/>
    <s v="um"/>
    <n v="150"/>
    <n v="400"/>
    <x v="208"/>
    <x v="4"/>
  </r>
  <r>
    <s v="S001936"/>
    <s v="ARO-2025-00433"/>
    <x v="0"/>
    <x v="3"/>
    <x v="2"/>
    <x v="1157"/>
    <s v="um"/>
    <n v="150"/>
    <n v="400"/>
    <x v="163"/>
    <x v="7"/>
  </r>
  <r>
    <s v="S001244"/>
    <s v="ESS-2025-00278"/>
    <x v="2"/>
    <x v="3"/>
    <x v="5"/>
    <x v="1060"/>
    <m/>
    <n v="6"/>
    <n v="7.5"/>
    <x v="426"/>
    <x v="5"/>
  </r>
  <r>
    <s v="S001916"/>
    <s v="FLA-2024-00429"/>
    <x v="4"/>
    <x v="1"/>
    <x v="3"/>
    <x v="531"/>
    <s v="%"/>
    <n v="97"/>
    <n v="100"/>
    <x v="32"/>
    <x v="0"/>
  </r>
  <r>
    <s v="S000580"/>
    <s v="FRA-2025-00130"/>
    <x v="3"/>
    <x v="1"/>
    <x v="0"/>
    <x v="1158"/>
    <s v="ppm"/>
    <n v="0"/>
    <n v="120"/>
    <x v="219"/>
    <x v="7"/>
  </r>
  <r>
    <s v="S000482"/>
    <s v="FRA-2024-00108"/>
    <x v="3"/>
    <x v="3"/>
    <x v="4"/>
    <x v="49"/>
    <s v="%"/>
    <n v="0"/>
    <n v="1"/>
    <x v="87"/>
    <x v="2"/>
  </r>
  <r>
    <s v="S000932"/>
    <s v="ARO-2025-00211"/>
    <x v="0"/>
    <x v="0"/>
    <x v="4"/>
    <x v="1159"/>
    <s v="%"/>
    <n v="0"/>
    <n v="1"/>
    <x v="156"/>
    <x v="2"/>
  </r>
  <r>
    <s v="S000357"/>
    <s v="FRA-2025-00080"/>
    <x v="3"/>
    <x v="5"/>
    <x v="0"/>
    <x v="1160"/>
    <s v="ppm"/>
    <n v="0"/>
    <n v="120"/>
    <x v="427"/>
    <x v="5"/>
  </r>
  <r>
    <s v="S001686"/>
    <s v="FRA-2024-00377"/>
    <x v="3"/>
    <x v="8"/>
    <x v="1"/>
    <x v="80"/>
    <s v="g/ml"/>
    <n v="0.88"/>
    <n v="0.97"/>
    <x v="172"/>
    <x v="5"/>
  </r>
  <r>
    <s v="S001249"/>
    <s v="FRA-2025-00279"/>
    <x v="3"/>
    <x v="7"/>
    <x v="4"/>
    <x v="11"/>
    <s v="%"/>
    <n v="0"/>
    <n v="1"/>
    <x v="46"/>
    <x v="1"/>
  </r>
  <r>
    <s v="S000760"/>
    <s v="ARO-2024-00172"/>
    <x v="0"/>
    <x v="7"/>
    <x v="6"/>
    <x v="625"/>
    <s v="CFU/g"/>
    <n v="0"/>
    <n v="100"/>
    <x v="9"/>
    <x v="3"/>
  </r>
  <r>
    <s v="S000093"/>
    <s v="ESS-2025-00022"/>
    <x v="2"/>
    <x v="9"/>
    <x v="5"/>
    <x v="533"/>
    <m/>
    <n v="6"/>
    <n v="7.5"/>
    <x v="294"/>
    <x v="8"/>
  </r>
  <r>
    <s v="S001176"/>
    <s v="FOO-2025-00264"/>
    <x v="1"/>
    <x v="6"/>
    <x v="2"/>
    <x v="1161"/>
    <s v="um"/>
    <n v="150"/>
    <n v="400"/>
    <x v="288"/>
    <x v="6"/>
  </r>
  <r>
    <s v="S001416"/>
    <s v="ARO-2025-00316"/>
    <x v="0"/>
    <x v="3"/>
    <x v="6"/>
    <x v="1162"/>
    <s v="CFU/g"/>
    <n v="0"/>
    <n v="100"/>
    <x v="101"/>
    <x v="3"/>
  </r>
  <r>
    <s v="S001342"/>
    <s v="ARO-2024-00300"/>
    <x v="0"/>
    <x v="1"/>
    <x v="3"/>
    <x v="1107"/>
    <s v="%"/>
    <n v="97"/>
    <n v="100"/>
    <x v="308"/>
    <x v="7"/>
  </r>
  <r>
    <s v="S001473"/>
    <s v="ESS-2024-00328"/>
    <x v="2"/>
    <x v="0"/>
    <x v="0"/>
    <x v="1163"/>
    <s v="ppm"/>
    <n v="0"/>
    <n v="120"/>
    <x v="1"/>
    <x v="8"/>
  </r>
  <r>
    <s v="S000804"/>
    <s v="FOO-2025-00182"/>
    <x v="1"/>
    <x v="3"/>
    <x v="0"/>
    <x v="1164"/>
    <s v="ppm"/>
    <n v="0"/>
    <n v="120"/>
    <x v="299"/>
    <x v="1"/>
  </r>
  <r>
    <s v="S000746"/>
    <s v="FOO-2024-00169"/>
    <x v="1"/>
    <x v="2"/>
    <x v="5"/>
    <x v="105"/>
    <m/>
    <n v="6"/>
    <n v="7.5"/>
    <x v="197"/>
    <x v="3"/>
  </r>
  <r>
    <s v="S001547"/>
    <s v="FLA-2024-00344"/>
    <x v="4"/>
    <x v="1"/>
    <x v="0"/>
    <x v="24"/>
    <s v="ppm"/>
    <n v="0"/>
    <n v="120"/>
    <x v="15"/>
    <x v="6"/>
  </r>
  <r>
    <s v="S000280"/>
    <s v="ARO-2024-00064"/>
    <x v="0"/>
    <x v="5"/>
    <x v="6"/>
    <x v="1165"/>
    <s v="CFU/g"/>
    <n v="0"/>
    <n v="100"/>
    <x v="194"/>
    <x v="1"/>
  </r>
  <r>
    <s v="S001608"/>
    <s v="ESS-2024-00359"/>
    <x v="2"/>
    <x v="0"/>
    <x v="0"/>
    <x v="1166"/>
    <s v="ppm"/>
    <n v="0"/>
    <n v="120"/>
    <x v="196"/>
    <x v="2"/>
  </r>
  <r>
    <s v="S000765"/>
    <s v="FLA-2025-00173"/>
    <x v="4"/>
    <x v="5"/>
    <x v="5"/>
    <x v="382"/>
    <m/>
    <n v="6"/>
    <n v="7.5"/>
    <x v="297"/>
    <x v="5"/>
  </r>
  <r>
    <s v="S000605"/>
    <s v="FRA-2025-00136"/>
    <x v="3"/>
    <x v="3"/>
    <x v="5"/>
    <x v="1120"/>
    <m/>
    <n v="6"/>
    <n v="7.5"/>
    <x v="30"/>
    <x v="1"/>
  </r>
  <r>
    <s v="S001992"/>
    <s v="FOO-2024-00445"/>
    <x v="1"/>
    <x v="3"/>
    <x v="5"/>
    <x v="382"/>
    <m/>
    <n v="6"/>
    <n v="7.5"/>
    <x v="367"/>
    <x v="3"/>
  </r>
  <r>
    <s v="S001374"/>
    <s v="ARO-2025-00307"/>
    <x v="0"/>
    <x v="7"/>
    <x v="3"/>
    <x v="8"/>
    <s v="%"/>
    <n v="97"/>
    <n v="100"/>
    <x v="49"/>
    <x v="4"/>
  </r>
  <r>
    <s v="S001952"/>
    <s v="ESS-2024-00437"/>
    <x v="2"/>
    <x v="4"/>
    <x v="2"/>
    <x v="1167"/>
    <s v="um"/>
    <n v="150"/>
    <n v="400"/>
    <x v="98"/>
    <x v="4"/>
  </r>
  <r>
    <s v="S001399"/>
    <s v="FOO-2024-00312"/>
    <x v="1"/>
    <x v="8"/>
    <x v="2"/>
    <x v="1168"/>
    <s v="um"/>
    <n v="150"/>
    <n v="400"/>
    <x v="247"/>
    <x v="7"/>
  </r>
  <r>
    <s v="S000401"/>
    <s v="FLA-2024-00091"/>
    <x v="4"/>
    <x v="1"/>
    <x v="3"/>
    <x v="1169"/>
    <s v="%"/>
    <n v="97"/>
    <n v="100"/>
    <x v="355"/>
    <x v="3"/>
  </r>
  <r>
    <s v="S001729"/>
    <s v="ESS-2025-00387"/>
    <x v="2"/>
    <x v="2"/>
    <x v="6"/>
    <x v="1170"/>
    <s v="CFU/g"/>
    <n v="0"/>
    <n v="100"/>
    <x v="325"/>
    <x v="1"/>
  </r>
  <r>
    <s v="S000258"/>
    <s v="ESS-2025-00059"/>
    <x v="2"/>
    <x v="1"/>
    <x v="0"/>
    <x v="1171"/>
    <s v="ppm"/>
    <n v="0"/>
    <n v="120"/>
    <x v="3"/>
    <x v="4"/>
  </r>
  <r>
    <s v="S000945"/>
    <s v="FLA-2024-00214"/>
    <x v="4"/>
    <x v="2"/>
    <x v="4"/>
    <x v="653"/>
    <s v="%"/>
    <n v="0"/>
    <n v="1"/>
    <x v="38"/>
    <x v="3"/>
  </r>
  <r>
    <s v="S001876"/>
    <s v="FRA-2024-00420"/>
    <x v="3"/>
    <x v="2"/>
    <x v="6"/>
    <x v="451"/>
    <s v="CFU/g"/>
    <n v="0"/>
    <n v="100"/>
    <x v="17"/>
    <x v="7"/>
  </r>
  <r>
    <s v="S001097"/>
    <s v="FLA-2025-00246"/>
    <x v="4"/>
    <x v="8"/>
    <x v="1"/>
    <x v="1"/>
    <s v="g/ml"/>
    <n v="0.88"/>
    <n v="0.97"/>
    <x v="428"/>
    <x v="3"/>
  </r>
  <r>
    <s v="S001220"/>
    <s v="FOO-2024-00273"/>
    <x v="1"/>
    <x v="9"/>
    <x v="0"/>
    <x v="1172"/>
    <s v="ppm"/>
    <n v="0"/>
    <n v="120"/>
    <x v="277"/>
    <x v="1"/>
  </r>
  <r>
    <s v="S001508"/>
    <s v="FLA-2025-00336"/>
    <x v="4"/>
    <x v="9"/>
    <x v="1"/>
    <x v="96"/>
    <s v="g/ml"/>
    <n v="0.88"/>
    <n v="0.97"/>
    <x v="63"/>
    <x v="2"/>
  </r>
  <r>
    <s v="S001880"/>
    <s v="FLA-2025-00421"/>
    <x v="4"/>
    <x v="2"/>
    <x v="2"/>
    <x v="1173"/>
    <s v="um"/>
    <n v="150"/>
    <n v="400"/>
    <x v="133"/>
    <x v="4"/>
  </r>
  <r>
    <s v="S001162"/>
    <s v="FOO-2024-00260"/>
    <x v="1"/>
    <x v="7"/>
    <x v="1"/>
    <x v="75"/>
    <s v="g/ml"/>
    <n v="0.88"/>
    <n v="0.97"/>
    <x v="303"/>
    <x v="7"/>
  </r>
  <r>
    <s v="S000495"/>
    <s v="ARO-2024-00111"/>
    <x v="0"/>
    <x v="5"/>
    <x v="2"/>
    <x v="1174"/>
    <s v="um"/>
    <n v="150"/>
    <n v="400"/>
    <x v="364"/>
    <x v="0"/>
  </r>
  <r>
    <s v="S000773"/>
    <s v="FOO-2024-00175"/>
    <x v="1"/>
    <x v="1"/>
    <x v="6"/>
    <x v="1175"/>
    <s v="CFU/g"/>
    <n v="0"/>
    <n v="100"/>
    <x v="83"/>
    <x v="1"/>
  </r>
  <r>
    <s v="S000551"/>
    <s v="FRA-2024-00124"/>
    <x v="3"/>
    <x v="9"/>
    <x v="0"/>
    <x v="1176"/>
    <s v="ppm"/>
    <n v="0"/>
    <n v="120"/>
    <x v="388"/>
    <x v="0"/>
  </r>
  <r>
    <s v="S001487"/>
    <s v="FOO-2024-00331"/>
    <x v="1"/>
    <x v="5"/>
    <x v="5"/>
    <x v="58"/>
    <m/>
    <n v="6"/>
    <n v="7.5"/>
    <x v="158"/>
    <x v="4"/>
  </r>
  <r>
    <s v="S000202"/>
    <s v="ARO-2025-00046"/>
    <x v="0"/>
    <x v="1"/>
    <x v="3"/>
    <x v="267"/>
    <s v="%"/>
    <n v="97"/>
    <n v="100"/>
    <x v="121"/>
    <x v="8"/>
  </r>
  <r>
    <s v="S000313"/>
    <s v="FLA-2024-00071"/>
    <x v="4"/>
    <x v="7"/>
    <x v="3"/>
    <x v="161"/>
    <s v="%"/>
    <n v="97"/>
    <n v="100"/>
    <x v="214"/>
    <x v="6"/>
  </r>
  <r>
    <s v="S000291"/>
    <s v="ARO-2025-00066"/>
    <x v="0"/>
    <x v="5"/>
    <x v="0"/>
    <x v="1177"/>
    <s v="ppm"/>
    <n v="0"/>
    <n v="120"/>
    <x v="335"/>
    <x v="2"/>
  </r>
  <r>
    <s v="S001214"/>
    <s v="FLA-2024-00271"/>
    <x v="4"/>
    <x v="3"/>
    <x v="2"/>
    <x v="1178"/>
    <s v="um"/>
    <n v="150"/>
    <n v="400"/>
    <x v="361"/>
    <x v="0"/>
  </r>
  <r>
    <s v="S000764"/>
    <s v="FLA-2025-00173"/>
    <x v="4"/>
    <x v="8"/>
    <x v="2"/>
    <x v="1179"/>
    <s v="um"/>
    <n v="150"/>
    <n v="400"/>
    <x v="297"/>
    <x v="5"/>
  </r>
  <r>
    <s v="S001137"/>
    <s v="FRA-2025-00255"/>
    <x v="3"/>
    <x v="6"/>
    <x v="0"/>
    <x v="1180"/>
    <s v="ppm"/>
    <n v="0"/>
    <n v="120"/>
    <x v="145"/>
    <x v="4"/>
  </r>
  <r>
    <s v="S000950"/>
    <s v="ARO-2024-00215"/>
    <x v="0"/>
    <x v="2"/>
    <x v="6"/>
    <x v="1051"/>
    <s v="CFU/g"/>
    <n v="0"/>
    <n v="100"/>
    <x v="280"/>
    <x v="3"/>
  </r>
  <r>
    <s v="S000184"/>
    <s v="ARO-2025-00042"/>
    <x v="0"/>
    <x v="1"/>
    <x v="6"/>
    <x v="1181"/>
    <s v="CFU/g"/>
    <n v="0"/>
    <n v="100"/>
    <x v="18"/>
    <x v="8"/>
  </r>
  <r>
    <s v="S001177"/>
    <s v="FOO-2025-00264"/>
    <x v="1"/>
    <x v="2"/>
    <x v="4"/>
    <x v="19"/>
    <s v="%"/>
    <n v="0"/>
    <n v="1"/>
    <x v="429"/>
    <x v="3"/>
  </r>
  <r>
    <s v="S001849"/>
    <s v="FLA-2025-00413"/>
    <x v="4"/>
    <x v="7"/>
    <x v="5"/>
    <x v="920"/>
    <m/>
    <n v="6"/>
    <n v="7.5"/>
    <x v="136"/>
    <x v="3"/>
  </r>
  <r>
    <s v="S001350"/>
    <s v="FRA-2024-00301"/>
    <x v="3"/>
    <x v="6"/>
    <x v="3"/>
    <x v="487"/>
    <s v="%"/>
    <n v="97"/>
    <n v="100"/>
    <x v="38"/>
    <x v="6"/>
  </r>
  <r>
    <s v="S001728"/>
    <s v="FRA-2025-00386"/>
    <x v="3"/>
    <x v="3"/>
    <x v="5"/>
    <x v="449"/>
    <m/>
    <n v="6"/>
    <n v="7.5"/>
    <x v="181"/>
    <x v="3"/>
  </r>
  <r>
    <s v="S001069"/>
    <s v="ESS-2025-00239"/>
    <x v="2"/>
    <x v="4"/>
    <x v="2"/>
    <x v="1182"/>
    <s v="um"/>
    <n v="150"/>
    <n v="400"/>
    <x v="373"/>
    <x v="3"/>
  </r>
  <r>
    <s v="S001469"/>
    <s v="ESS-2025-00327"/>
    <x v="2"/>
    <x v="3"/>
    <x v="4"/>
    <x v="113"/>
    <s v="%"/>
    <n v="0"/>
    <n v="1"/>
    <x v="82"/>
    <x v="2"/>
  </r>
  <r>
    <s v="S001812"/>
    <s v="ARO-2024-00405"/>
    <x v="0"/>
    <x v="7"/>
    <x v="2"/>
    <x v="1183"/>
    <s v="um"/>
    <n v="150"/>
    <n v="400"/>
    <x v="202"/>
    <x v="8"/>
  </r>
  <r>
    <s v="S001031"/>
    <s v="ARO-2025-00232"/>
    <x v="0"/>
    <x v="9"/>
    <x v="0"/>
    <x v="1184"/>
    <s v="ppm"/>
    <n v="0"/>
    <n v="120"/>
    <x v="326"/>
    <x v="8"/>
  </r>
  <r>
    <s v="S000251"/>
    <s v="FRA-2025-00056"/>
    <x v="3"/>
    <x v="0"/>
    <x v="6"/>
    <x v="1185"/>
    <s v="CFU/g"/>
    <n v="0"/>
    <n v="100"/>
    <x v="129"/>
    <x v="0"/>
  </r>
  <r>
    <s v="S000824"/>
    <s v="FRA-2024-00187"/>
    <x v="3"/>
    <x v="4"/>
    <x v="0"/>
    <x v="1186"/>
    <s v="ppm"/>
    <n v="0"/>
    <n v="120"/>
    <x v="340"/>
    <x v="3"/>
  </r>
  <r>
    <s v="S001100"/>
    <s v="FRA-2024-00247"/>
    <x v="3"/>
    <x v="4"/>
    <x v="1"/>
    <x v="1"/>
    <s v="g/ml"/>
    <n v="0.88"/>
    <n v="0.97"/>
    <x v="140"/>
    <x v="6"/>
  </r>
  <r>
    <s v="S001537"/>
    <s v="FOO-2024-00342"/>
    <x v="1"/>
    <x v="10"/>
    <x v="5"/>
    <x v="382"/>
    <m/>
    <n v="6"/>
    <n v="7.5"/>
    <x v="309"/>
    <x v="6"/>
  </r>
  <r>
    <s v="S000941"/>
    <s v="ESS-2025-00213"/>
    <x v="2"/>
    <x v="0"/>
    <x v="6"/>
    <x v="1075"/>
    <s v="CFU/g"/>
    <n v="0"/>
    <n v="100"/>
    <x v="88"/>
    <x v="3"/>
  </r>
  <r>
    <s v="S000392"/>
    <s v="ARO-2024-00089"/>
    <x v="0"/>
    <x v="5"/>
    <x v="1"/>
    <x v="645"/>
    <s v="g/ml"/>
    <n v="0.88"/>
    <n v="0.97"/>
    <x v="128"/>
    <x v="4"/>
  </r>
  <r>
    <s v="S001920"/>
    <s v="ARO-2024-00430"/>
    <x v="0"/>
    <x v="6"/>
    <x v="1"/>
    <x v="17"/>
    <s v="g/ml"/>
    <n v="0.88"/>
    <n v="0.97"/>
    <x v="10"/>
    <x v="2"/>
  </r>
  <r>
    <s v="S001457"/>
    <s v="ESS-2024-00325"/>
    <x v="2"/>
    <x v="3"/>
    <x v="4"/>
    <x v="125"/>
    <s v="%"/>
    <n v="0"/>
    <n v="1"/>
    <x v="40"/>
    <x v="6"/>
  </r>
  <r>
    <s v="S001093"/>
    <s v="FOO-2025-00245"/>
    <x v="1"/>
    <x v="2"/>
    <x v="3"/>
    <x v="1187"/>
    <s v="%"/>
    <n v="97"/>
    <n v="100"/>
    <x v="317"/>
    <x v="4"/>
  </r>
  <r>
    <s v="S001192"/>
    <s v="FLA-2025-00267"/>
    <x v="4"/>
    <x v="10"/>
    <x v="1"/>
    <x v="224"/>
    <s v="g/ml"/>
    <n v="0.88"/>
    <n v="0.97"/>
    <x v="120"/>
    <x v="3"/>
  </r>
  <r>
    <s v="S000905"/>
    <s v="ARO-2025-00204"/>
    <x v="0"/>
    <x v="1"/>
    <x v="6"/>
    <x v="1188"/>
    <s v="CFU/g"/>
    <n v="0"/>
    <n v="100"/>
    <x v="59"/>
    <x v="7"/>
  </r>
  <r>
    <s v="S000731"/>
    <s v="FOO-2025-00166"/>
    <x v="1"/>
    <x v="2"/>
    <x v="5"/>
    <x v="980"/>
    <m/>
    <n v="6"/>
    <n v="7.5"/>
    <x v="126"/>
    <x v="4"/>
  </r>
  <r>
    <s v="S000555"/>
    <s v="FOO-2024-00125"/>
    <x v="1"/>
    <x v="1"/>
    <x v="2"/>
    <x v="1053"/>
    <s v="um"/>
    <n v="150"/>
    <n v="400"/>
    <x v="262"/>
    <x v="3"/>
  </r>
  <r>
    <s v="S000367"/>
    <s v="FLA-2025-00082"/>
    <x v="4"/>
    <x v="0"/>
    <x v="1"/>
    <x v="1"/>
    <s v="g/ml"/>
    <n v="0.88"/>
    <n v="0.97"/>
    <x v="24"/>
    <x v="6"/>
  </r>
  <r>
    <s v="S000346"/>
    <s v="ESS-2025-00078"/>
    <x v="2"/>
    <x v="2"/>
    <x v="4"/>
    <x v="455"/>
    <s v="%"/>
    <n v="0"/>
    <n v="1"/>
    <x v="227"/>
    <x v="2"/>
  </r>
  <r>
    <s v="S001609"/>
    <s v="ESS-2024-00359"/>
    <x v="2"/>
    <x v="3"/>
    <x v="5"/>
    <x v="1189"/>
    <m/>
    <n v="6"/>
    <n v="7.5"/>
    <x v="196"/>
    <x v="2"/>
  </r>
  <r>
    <s v="S000536"/>
    <s v="ARO-2024-00120"/>
    <x v="0"/>
    <x v="2"/>
    <x v="0"/>
    <x v="1190"/>
    <s v="ppm"/>
    <n v="0"/>
    <n v="120"/>
    <x v="314"/>
    <x v="6"/>
  </r>
  <r>
    <s v="S001423"/>
    <s v="FOO-2024-00317"/>
    <x v="1"/>
    <x v="10"/>
    <x v="2"/>
    <x v="1191"/>
    <s v="um"/>
    <n v="150"/>
    <n v="400"/>
    <x v="234"/>
    <x v="3"/>
  </r>
  <r>
    <s v="S001210"/>
    <s v="FLA-2024-00270"/>
    <x v="4"/>
    <x v="3"/>
    <x v="0"/>
    <x v="24"/>
    <s v="ppm"/>
    <n v="0"/>
    <n v="120"/>
    <x v="209"/>
    <x v="8"/>
  </r>
  <r>
    <s v="S001373"/>
    <s v="ARO-2025-00307"/>
    <x v="0"/>
    <x v="9"/>
    <x v="6"/>
    <x v="1192"/>
    <s v="CFU/g"/>
    <n v="0"/>
    <n v="100"/>
    <x v="49"/>
    <x v="1"/>
  </r>
  <r>
    <s v="S001640"/>
    <s v="FOO-2024-00367"/>
    <x v="1"/>
    <x v="5"/>
    <x v="4"/>
    <x v="49"/>
    <s v="%"/>
    <n v="0"/>
    <n v="1"/>
    <x v="430"/>
    <x v="3"/>
  </r>
  <r>
    <s v="S000920"/>
    <s v="FOO-2024-00209"/>
    <x v="1"/>
    <x v="1"/>
    <x v="1"/>
    <x v="24"/>
    <s v="g/ml"/>
    <n v="0.88"/>
    <n v="0.97"/>
    <x v="131"/>
    <x v="8"/>
  </r>
  <r>
    <s v="S000212"/>
    <s v="ARO-2025-00048"/>
    <x v="0"/>
    <x v="7"/>
    <x v="2"/>
    <x v="1193"/>
    <s v="um"/>
    <n v="150"/>
    <n v="400"/>
    <x v="233"/>
    <x v="3"/>
  </r>
  <r>
    <s v="S001604"/>
    <s v="FRA-2024-00358"/>
    <x v="3"/>
    <x v="0"/>
    <x v="2"/>
    <x v="1194"/>
    <s v="um"/>
    <n v="150"/>
    <n v="400"/>
    <x v="81"/>
    <x v="7"/>
  </r>
  <r>
    <s v="S000503"/>
    <s v="FOO-2025-00113"/>
    <x v="1"/>
    <x v="0"/>
    <x v="4"/>
    <x v="149"/>
    <s v="%"/>
    <n v="0"/>
    <n v="1"/>
    <x v="431"/>
    <x v="0"/>
  </r>
  <r>
    <s v="S000538"/>
    <s v="FLA-2024-00121"/>
    <x v="4"/>
    <x v="5"/>
    <x v="4"/>
    <x v="460"/>
    <s v="%"/>
    <n v="0"/>
    <n v="1"/>
    <x v="69"/>
    <x v="4"/>
  </r>
  <r>
    <s v="S001221"/>
    <s v="FOO-2024-00273"/>
    <x v="1"/>
    <x v="7"/>
    <x v="5"/>
    <x v="517"/>
    <m/>
    <n v="6"/>
    <n v="7.5"/>
    <x v="277"/>
    <x v="4"/>
  </r>
  <r>
    <s v="S000176"/>
    <s v="FOO-2025-00041"/>
    <x v="1"/>
    <x v="8"/>
    <x v="5"/>
    <x v="327"/>
    <m/>
    <n v="6"/>
    <n v="7.5"/>
    <x v="88"/>
    <x v="0"/>
  </r>
  <r>
    <m/>
    <m/>
    <x v="5"/>
    <x v="11"/>
    <x v="7"/>
    <x v="24"/>
    <m/>
    <m/>
    <m/>
    <x v="432"/>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5">
  <r>
    <s v="S001578"/>
    <s v="ARO-2024-00352"/>
    <s v="Aroma Chemical"/>
    <s v="Ashford UK"/>
    <x v="0"/>
    <n v="1"/>
    <x v="0"/>
    <s v="Pending"/>
    <n v="18.09"/>
    <s v="ppm"/>
    <n v="0"/>
    <n v="120"/>
    <x v="0"/>
    <s v="A. Kovacs"/>
  </r>
  <r>
    <s v="S000141"/>
    <s v="FOO-2024-00034"/>
    <s v="Food Ingredient Extract"/>
    <s v="Vernier CH"/>
    <x v="1"/>
    <n v="1"/>
    <x v="0"/>
    <s v="Pass"/>
    <n v="0.92"/>
    <s v="g/ml"/>
    <n v="0.88"/>
    <n v="0.97"/>
    <x v="1"/>
    <s v="J NAGY"/>
  </r>
  <r>
    <s v="S000111"/>
    <s v="ARO-2025-00025"/>
    <s v="Aroma Chemical"/>
    <s v="East Hanover"/>
    <x v="2"/>
    <n v="1"/>
    <x v="0"/>
    <s v="Pass"/>
    <n v="224.54"/>
    <s v="um"/>
    <n v="150"/>
    <n v="400"/>
    <x v="2"/>
    <s v="J NAGY"/>
  </r>
  <r>
    <s v="S000260"/>
    <s v="ESS-2025-00059"/>
    <s v="Essential Oil Blend"/>
    <s v="Vernier CH"/>
    <x v="3"/>
    <n v="1"/>
    <x v="0"/>
    <s v="Pass"/>
    <n v="97.98"/>
    <s v="%"/>
    <n v="97"/>
    <n v="100"/>
    <x v="3"/>
    <s v="A. Kovacs"/>
  </r>
  <r>
    <s v="S001392"/>
    <s v="ARO-2024-00311"/>
    <s v="Aroma Chemical"/>
    <s v="East Hanover"/>
    <x v="3"/>
    <n v="1"/>
    <x v="1"/>
    <s v="Fail"/>
    <n v="95.2"/>
    <s v="%"/>
    <n v="97"/>
    <n v="100"/>
    <x v="4"/>
    <s v="S. Fischer"/>
  </r>
  <r>
    <s v="S001745"/>
    <s v="FOO-2024-00389"/>
    <s v="Food Ingredient Extract"/>
    <s v="Ashford UK"/>
    <x v="2"/>
    <n v="1"/>
    <x v="0"/>
    <s v="Pass"/>
    <n v="227.62"/>
    <s v="um"/>
    <n v="150"/>
    <n v="400"/>
    <x v="5"/>
    <s v="M. Toth"/>
  </r>
  <r>
    <s v="S000515"/>
    <s v="FOO-2025-00116"/>
    <s v="Food Ingredient Extract"/>
    <s v="Vernier CH"/>
    <x v="4"/>
    <n v="1"/>
    <x v="0"/>
    <s v="Fail"/>
    <n v="0.38"/>
    <s v="%"/>
    <n v="0"/>
    <n v="1"/>
    <x v="6"/>
    <s v="J NAGY"/>
  </r>
  <r>
    <s v="S001518"/>
    <s v="FRA-2024-00338"/>
    <s v="Fragrance Oil"/>
    <s v="Dortmund DE"/>
    <x v="2"/>
    <n v="1"/>
    <x v="0"/>
    <s v="Fail"/>
    <n v="318.47000000000003"/>
    <s v="um"/>
    <n v="150"/>
    <n v="400"/>
    <x v="7"/>
    <s v="A. Kovacs"/>
  </r>
  <r>
    <s v="S001387"/>
    <s v="FLA-2025-00310"/>
    <s v="Flavor Compound"/>
    <s v="East Hanover"/>
    <x v="3"/>
    <n v="1"/>
    <x v="0"/>
    <s v="Pass"/>
    <n v="98.21"/>
    <s v="%"/>
    <n v="97"/>
    <n v="100"/>
    <x v="8"/>
    <s v="J NAGY"/>
  </r>
  <r>
    <s v="S001059"/>
    <s v="FOO-2024-00237"/>
    <s v="Food Ingredient Extract"/>
    <s v="Budapest"/>
    <x v="0"/>
    <n v="1"/>
    <x v="0"/>
    <s v="Pass"/>
    <n v="33.35"/>
    <s v="ppm"/>
    <n v="0"/>
    <n v="120"/>
    <x v="9"/>
    <s v="K. Varga"/>
  </r>
  <r>
    <s v="S001922"/>
    <s v="ARO-2024-00430"/>
    <s v="Aroma Chemical"/>
    <s v="East Hanover"/>
    <x v="3"/>
    <n v="1"/>
    <x v="0"/>
    <s v="Fail"/>
    <n v="97.78"/>
    <s v="%"/>
    <n v="97"/>
    <n v="100"/>
    <x v="10"/>
    <s v="M. Toth"/>
  </r>
  <r>
    <s v="S001737"/>
    <s v="ARO-2024-00388"/>
    <s v="Aroma Chemical"/>
    <s v="Vernier CH"/>
    <x v="4"/>
    <n v="1"/>
    <x v="0"/>
    <s v="Pending"/>
    <n v="0.37"/>
    <s v="%"/>
    <n v="0"/>
    <n v="1"/>
    <x v="11"/>
    <s v="S. Fischer"/>
  </r>
  <r>
    <s v="S000472"/>
    <s v="FRA-2025-00106"/>
    <s v="Fragrance Oil"/>
    <s v="East Hanover"/>
    <x v="0"/>
    <n v="1"/>
    <x v="0"/>
    <s v="Pass"/>
    <n v="34.119999999999997"/>
    <s v="ppm"/>
    <n v="0"/>
    <n v="120"/>
    <x v="12"/>
    <s v="M. Toth"/>
  </r>
  <r>
    <s v="S001274"/>
    <s v="ARO-2024-00285"/>
    <s v="Aroma Chemical"/>
    <s v="Vernier CH"/>
    <x v="0"/>
    <n v="1"/>
    <x v="0"/>
    <s v="Fail"/>
    <n v="48.04"/>
    <s v="ppm"/>
    <n v="0"/>
    <n v="120"/>
    <x v="13"/>
    <s v="P. Meier"/>
  </r>
  <r>
    <s v="S001927"/>
    <s v="FOO-2024-00431"/>
    <s v="Food Ingredient Extract"/>
    <s v="East Hanover"/>
    <x v="5"/>
    <n v="1"/>
    <x v="0"/>
    <s v="Fail"/>
    <n v="6.7"/>
    <m/>
    <n v="6"/>
    <n v="7.5"/>
    <x v="14"/>
    <s v="T. Weber"/>
  </r>
  <r>
    <s v="S001545"/>
    <s v="FLA-2024-00344"/>
    <s v="Flavor Compound"/>
    <s v="Vernier CH"/>
    <x v="3"/>
    <n v="1"/>
    <x v="1"/>
    <s v="Fail"/>
    <n v="101.8"/>
    <s v="%"/>
    <n v="97"/>
    <n v="100"/>
    <x v="15"/>
    <s v="J. Nagy"/>
  </r>
  <r>
    <s v="S001090"/>
    <s v="FOO-2025-00245"/>
    <s v="Food Ingredient Extract"/>
    <s v="East Hanover"/>
    <x v="2"/>
    <n v="1"/>
    <x v="0"/>
    <s v="Pass"/>
    <n v="184.37"/>
    <s v="um"/>
    <n v="150"/>
    <n v="400"/>
    <x v="16"/>
    <s v="A. Kovacs"/>
  </r>
  <r>
    <s v="S001355"/>
    <s v="ESS-2024-00303"/>
    <s v="Essential Oil Blend"/>
    <s v="Dortmund DE"/>
    <x v="1"/>
    <n v="1"/>
    <x v="0"/>
    <s v="Pass"/>
    <n v="0.9"/>
    <s v="g/ml"/>
    <n v="0.88"/>
    <n v="0.97"/>
    <x v="17"/>
    <s v="K. Varga"/>
  </r>
  <r>
    <s v="S000359"/>
    <s v="ESS-2025-00081"/>
    <s v="Essential Oil Blend"/>
    <s v="Dortmund DE"/>
    <x v="2"/>
    <n v="1"/>
    <x v="0"/>
    <s v="Pass"/>
    <n v="239.92"/>
    <s v="um"/>
    <n v="150"/>
    <n v="400"/>
    <x v="18"/>
    <s v="P. Meier"/>
  </r>
  <r>
    <s v="S001328"/>
    <s v="ARO-2024-00296"/>
    <s v="Aroma Chemical"/>
    <s v="Vernier CH"/>
    <x v="4"/>
    <n v="1"/>
    <x v="0"/>
    <s v="Pass"/>
    <n v="0.34"/>
    <s v="%"/>
    <n v="0"/>
    <n v="1"/>
    <x v="19"/>
    <s v="A. Kovacs"/>
  </r>
  <r>
    <s v="S000197"/>
    <s v="ESS-2025-00045"/>
    <s v="Essential Oil Blend"/>
    <s v="Dortmund DE"/>
    <x v="0"/>
    <n v="1"/>
    <x v="0"/>
    <s v="Fail"/>
    <n v="41.98"/>
    <s v="ppm"/>
    <n v="0"/>
    <n v="120"/>
    <x v="20"/>
    <s v="T. Weber"/>
  </r>
  <r>
    <s v="S001683"/>
    <s v="FRA-2024-00376"/>
    <s v="Fragrance Oil"/>
    <s v="Ashford UK"/>
    <x v="6"/>
    <n v="1"/>
    <x v="0"/>
    <s v="Fail"/>
    <n v="4.6900000000000004"/>
    <s v="CFU/g"/>
    <n v="0"/>
    <n v="100"/>
    <x v="21"/>
    <s v="J. Nagy"/>
  </r>
  <r>
    <s v="S001692"/>
    <s v="ESS-2024-00379"/>
    <s v="Essential Oil Blend"/>
    <s v="East Hanover"/>
    <x v="6"/>
    <n v="1"/>
    <x v="1"/>
    <s v="Fail"/>
    <n v="-25"/>
    <s v="CFU/g"/>
    <n v="0"/>
    <n v="100"/>
    <x v="22"/>
    <s v="S. Fischer"/>
  </r>
  <r>
    <s v="S000611"/>
    <s v="FLA-2024-00138"/>
    <s v="Flavor Compound"/>
    <s v="Ashford UK"/>
    <x v="4"/>
    <n v="1"/>
    <x v="0"/>
    <s v="Fail"/>
    <n v="0.31"/>
    <s v="%"/>
    <n v="0"/>
    <n v="1"/>
    <x v="23"/>
    <s v="M. Toth"/>
  </r>
  <r>
    <s v="S000362"/>
    <s v="FLA-2025-00082"/>
    <s v="Flavor Compound"/>
    <s v="Ashford UK"/>
    <x v="3"/>
    <n v="0"/>
    <x v="2"/>
    <s v="Pending"/>
    <m/>
    <s v="%"/>
    <n v="97"/>
    <n v="100"/>
    <x v="24"/>
    <s v="M. Toth"/>
  </r>
  <r>
    <s v="S000003"/>
    <s v="ESS-2025-00001"/>
    <s v="Essential Oil Blend"/>
    <s v="Vernier CH"/>
    <x v="2"/>
    <n v="1"/>
    <x v="0"/>
    <s v="Pass"/>
    <n v="215.63"/>
    <s v="um"/>
    <n v="150"/>
    <n v="400"/>
    <x v="25"/>
    <s v="M. Toth"/>
  </r>
  <r>
    <s v="S000667"/>
    <s v="FLA-2024-00152"/>
    <s v="Flavor Compound"/>
    <s v="Budapest"/>
    <x v="2"/>
    <n v="1"/>
    <x v="0"/>
    <s v="Pass"/>
    <n v="253.19"/>
    <s v="um"/>
    <n v="150"/>
    <n v="400"/>
    <x v="26"/>
    <s v="S. Fischer"/>
  </r>
  <r>
    <s v="S000528"/>
    <s v="ARO-2024-00119"/>
    <s v="Aroma Chemical"/>
    <s v="East Hanover"/>
    <x v="0"/>
    <n v="1"/>
    <x v="0"/>
    <s v="Pass"/>
    <n v="45.4"/>
    <s v="ppm"/>
    <n v="0"/>
    <n v="120"/>
    <x v="27"/>
    <s v="A. Kovacs"/>
  </r>
  <r>
    <s v="S001118"/>
    <s v="FOO-2025-00251"/>
    <s v="Food Ingredient Extract"/>
    <s v="Budapest"/>
    <x v="3"/>
    <n v="1"/>
    <x v="0"/>
    <s v="Fail"/>
    <n v="97.88"/>
    <s v="%"/>
    <n v="97"/>
    <n v="100"/>
    <x v="28"/>
    <s v="J NAGY"/>
  </r>
  <r>
    <s v="S000703"/>
    <s v="FRA-2024-00160"/>
    <s v="Fragrance Oil"/>
    <s v="Dortmund DE"/>
    <x v="4"/>
    <n v="1"/>
    <x v="0"/>
    <s v="Fail"/>
    <n v="0.4"/>
    <s v="%"/>
    <n v="0"/>
    <n v="1"/>
    <x v="29"/>
    <s v="K. Varga"/>
  </r>
  <r>
    <s v="S000603"/>
    <s v="FRA-2025-00136"/>
    <s v="Fragrance Oil"/>
    <s v="Ashford UK"/>
    <x v="0"/>
    <n v="1"/>
    <x v="0"/>
    <s v="Pass"/>
    <n v="50.68"/>
    <s v="ppm"/>
    <n v="0"/>
    <n v="120"/>
    <x v="30"/>
    <s v="A. Kovacs"/>
  </r>
  <r>
    <s v="S000659"/>
    <s v="FRA-2025-00150"/>
    <s v="Fragrance Oil"/>
    <s v="Vernier CH"/>
    <x v="2"/>
    <n v="1"/>
    <x v="0"/>
    <s v="Fail"/>
    <n v="244.91"/>
    <s v="um"/>
    <n v="150"/>
    <n v="400"/>
    <x v="31"/>
    <s v="P. Meier"/>
  </r>
  <r>
    <s v="S001918"/>
    <s v="FLA-2024-00429"/>
    <s v="Flavor Compound"/>
    <s v="Vernier CH"/>
    <x v="5"/>
    <n v="1"/>
    <x v="0"/>
    <s v="Pass"/>
    <n v="6.76"/>
    <m/>
    <n v="6"/>
    <n v="7.5"/>
    <x v="32"/>
    <s v="J. Nagy"/>
  </r>
  <r>
    <s v="S001825"/>
    <s v="ESS-2024-00408"/>
    <s v="Essential Oil Blend"/>
    <s v="Budapest"/>
    <x v="1"/>
    <n v="1"/>
    <x v="0"/>
    <s v="Pending"/>
    <n v="0.89"/>
    <s v="g/ml"/>
    <n v="0.88"/>
    <n v="0.97"/>
    <x v="0"/>
    <s v="A. Kovacs"/>
  </r>
  <r>
    <s v="S000763"/>
    <s v="ARO-2024-00172"/>
    <s v="Aroma Chemical"/>
    <s v="Budapest"/>
    <x v="3"/>
    <n v="1"/>
    <x v="0"/>
    <s v="Pass"/>
    <n v="98.67"/>
    <s v="%"/>
    <n v="97"/>
    <n v="100"/>
    <x v="9"/>
    <s v="S. Fischer"/>
  </r>
  <r>
    <s v="S000375"/>
    <s v="ARO-2025-00085"/>
    <s v="Aroma Chemical"/>
    <s v="Dortmund DE"/>
    <x v="1"/>
    <n v="1"/>
    <x v="1"/>
    <s v="Fail"/>
    <n v="0.79"/>
    <s v="g/ml"/>
    <n v="0.88"/>
    <n v="0.97"/>
    <x v="33"/>
    <s v="M. Toth"/>
  </r>
  <r>
    <s v="S001960"/>
    <s v="FRA-2024-00438"/>
    <s v="Fragrance Oil"/>
    <s v="Budapest"/>
    <x v="4"/>
    <n v="1"/>
    <x v="0"/>
    <s v="Pass"/>
    <n v="0.21"/>
    <s v="%"/>
    <n v="0"/>
    <n v="1"/>
    <x v="34"/>
    <s v="P. Meier"/>
  </r>
  <r>
    <s v="S000673"/>
    <s v="FOO-2025-00153"/>
    <s v="Food Ingredient Extract"/>
    <s v="Dortmund DE"/>
    <x v="3"/>
    <n v="1"/>
    <x v="0"/>
    <s v="Fail"/>
    <n v="98.78"/>
    <s v="%"/>
    <n v="97"/>
    <n v="100"/>
    <x v="35"/>
    <s v="A. Kovacs"/>
  </r>
  <r>
    <s v="S001038"/>
    <s v="FOO-2024-00233"/>
    <s v="Food Ingredient Extract"/>
    <s v="Dortmund DE"/>
    <x v="6"/>
    <n v="1"/>
    <x v="1"/>
    <s v="Fail"/>
    <n v="-27.76"/>
    <s v="CFU/g"/>
    <n v="0"/>
    <n v="100"/>
    <x v="36"/>
    <s v="K. Varga"/>
  </r>
  <r>
    <s v="S000946"/>
    <s v="FLA-2024-00214"/>
    <s v="Flavor Compound"/>
    <s v="East Hanover"/>
    <x v="6"/>
    <n v="1"/>
    <x v="0"/>
    <s v="Pass"/>
    <n v="30.04"/>
    <s v="CFU/g"/>
    <n v="0"/>
    <n v="100"/>
    <x v="37"/>
    <s v="M. Toth"/>
  </r>
  <r>
    <s v="S000545"/>
    <s v="FLA-2024-00123"/>
    <s v="Flavor Compound"/>
    <s v="Dortmund DE"/>
    <x v="2"/>
    <n v="1"/>
    <x v="0"/>
    <s v="Fail"/>
    <n v="231.5"/>
    <s v="um"/>
    <n v="150"/>
    <n v="400"/>
    <x v="38"/>
    <s v="K. Varga"/>
  </r>
  <r>
    <s v="S001697"/>
    <s v="FRA-2024-00380"/>
    <s v="Fragrance Oil"/>
    <s v="East Hanover"/>
    <x v="0"/>
    <n v="1"/>
    <x v="0"/>
    <s v="Fail"/>
    <n v="14.22"/>
    <s v="ppm"/>
    <n v="0"/>
    <n v="120"/>
    <x v="39"/>
    <s v="K. Varga"/>
  </r>
  <r>
    <s v="S001670"/>
    <s v="FRA-2025-00374"/>
    <s v="Fragrance Oil"/>
    <s v="East Hanover"/>
    <x v="0"/>
    <n v="1"/>
    <x v="0"/>
    <s v="Pass"/>
    <n v="45.13"/>
    <s v="ppm"/>
    <n v="0"/>
    <n v="120"/>
    <x v="40"/>
    <s v="M. Toth"/>
  </r>
  <r>
    <s v="S000607"/>
    <s v="ARO-2024-00137"/>
    <s v="Aroma Chemical"/>
    <s v="Vernier CH"/>
    <x v="3"/>
    <n v="1"/>
    <x v="0"/>
    <s v="Fail"/>
    <n v="98.61"/>
    <s v="%"/>
    <n v="97"/>
    <n v="100"/>
    <x v="41"/>
    <s v="P. Meier"/>
  </r>
  <r>
    <s v="S000502"/>
    <s v="FLA-2025-00112"/>
    <s v="Flavor Compound"/>
    <s v="Budapest"/>
    <x v="4"/>
    <n v="1"/>
    <x v="0"/>
    <s v="Pass"/>
    <n v="0.11"/>
    <s v="%"/>
    <n v="0"/>
    <n v="1"/>
    <x v="42"/>
    <s v="T. Weber"/>
  </r>
  <r>
    <s v="S001496"/>
    <s v="ESS-2025-00333"/>
    <s v="Essential Oil Blend"/>
    <s v="Budapest"/>
    <x v="6"/>
    <n v="1"/>
    <x v="0"/>
    <s v="Pass"/>
    <n v="4.34"/>
    <s v="CFU/g"/>
    <n v="0"/>
    <n v="100"/>
    <x v="43"/>
    <s v="J NAGY"/>
  </r>
  <r>
    <s v="S001818"/>
    <s v="FLA-2025-00406"/>
    <s v="Flavor Compound"/>
    <s v="Ashford UK"/>
    <x v="1"/>
    <n v="1"/>
    <x v="1"/>
    <s v="Fail"/>
    <n v="0.86"/>
    <s v="g/ml"/>
    <n v="0.88"/>
    <n v="0.97"/>
    <x v="44"/>
    <s v="K. Varga"/>
  </r>
  <r>
    <s v="S001245"/>
    <s v="FRA-2025-00279"/>
    <s v="Fragrance Oil"/>
    <s v="Budapest"/>
    <x v="2"/>
    <n v="1"/>
    <x v="0"/>
    <s v="Pass"/>
    <n v="325.49"/>
    <s v="um"/>
    <n v="150"/>
    <n v="400"/>
    <x v="45"/>
    <s v="S. Fischer"/>
  </r>
  <r>
    <s v="S000242"/>
    <s v="ESS-2025-00055"/>
    <s v="Essential Oil Blend"/>
    <s v="Vernier CH"/>
    <x v="2"/>
    <n v="1"/>
    <x v="1"/>
    <s v="Fail"/>
    <n v="520"/>
    <s v="um"/>
    <n v="150"/>
    <n v="400"/>
    <x v="46"/>
    <s v="J. Nagy"/>
  </r>
  <r>
    <s v="S000877"/>
    <s v="FOO-2025-00198"/>
    <s v="Food Ingredient Extract"/>
    <s v="East Hanover"/>
    <x v="4"/>
    <n v="1"/>
    <x v="0"/>
    <s v="Fail"/>
    <n v="0.54"/>
    <s v="%"/>
    <n v="0"/>
    <n v="1"/>
    <x v="47"/>
    <s v="S. Fischer"/>
  </r>
  <r>
    <s v="S001375"/>
    <s v="ARO-2025-00307"/>
    <s v="Aroma Chemical"/>
    <s v="Budapest"/>
    <x v="1"/>
    <n v="1"/>
    <x v="0"/>
    <s v="Pass"/>
    <n v="0.9"/>
    <s v="g/ml"/>
    <n v="0.88"/>
    <n v="0.97"/>
    <x v="48"/>
    <s v="S. Fischer"/>
  </r>
  <r>
    <s v="S000695"/>
    <s v="FOO-2025-00158"/>
    <s v="Food Ingredient Extract"/>
    <s v="East Hanover"/>
    <x v="4"/>
    <n v="1"/>
    <x v="0"/>
    <s v="Pass"/>
    <n v="0.2"/>
    <s v="%"/>
    <n v="0"/>
    <n v="1"/>
    <x v="35"/>
    <s v="J. Nagy"/>
  </r>
  <r>
    <s v="S000285"/>
    <s v="FLA-2025-00065"/>
    <s v="Flavor Compound"/>
    <s v="East Hanover"/>
    <x v="2"/>
    <n v="0"/>
    <x v="2"/>
    <s v="Fail"/>
    <m/>
    <s v="um"/>
    <n v="150"/>
    <n v="400"/>
    <x v="49"/>
    <s v="S. Fischer"/>
  </r>
  <r>
    <s v="S000413"/>
    <s v="FOO-2025-00094"/>
    <s v="Food Ingredient Extract"/>
    <s v="Vernier CH"/>
    <x v="3"/>
    <n v="1"/>
    <x v="0"/>
    <s v="Pass"/>
    <n v="98.92"/>
    <s v="%"/>
    <n v="97"/>
    <n v="100"/>
    <x v="50"/>
    <s v="L. Rossi"/>
  </r>
  <r>
    <s v="S001305"/>
    <s v="ESS-2025-00291"/>
    <s v="Essential Oil Blend"/>
    <s v="East Hanover"/>
    <x v="4"/>
    <n v="1"/>
    <x v="0"/>
    <s v="Pass"/>
    <n v="0.36"/>
    <s v="%"/>
    <n v="0"/>
    <n v="1"/>
    <x v="51"/>
    <s v="S. Fischer"/>
  </r>
  <r>
    <s v="S001412"/>
    <s v="ESS-2024-00315"/>
    <s v="Essential Oil Blend"/>
    <s v="Ashford UK"/>
    <x v="2"/>
    <n v="1"/>
    <x v="0"/>
    <s v="Pass"/>
    <n v="246.32"/>
    <s v="um"/>
    <n v="150"/>
    <n v="400"/>
    <x v="52"/>
    <s v="P. Meier"/>
  </r>
  <r>
    <s v="S001982"/>
    <s v="ESS-2025-00443"/>
    <s v="Essential Oil Blend"/>
    <s v="Ashford UK"/>
    <x v="6"/>
    <n v="1"/>
    <x v="1"/>
    <s v="Fail"/>
    <n v="-50.75"/>
    <s v="CFU/g"/>
    <n v="0"/>
    <n v="100"/>
    <x v="53"/>
    <s v="L. Rossi"/>
  </r>
  <r>
    <s v="S001842"/>
    <s v="ESS-2025-00412"/>
    <s v="Essential Oil Blend"/>
    <s v="Budapest"/>
    <x v="6"/>
    <n v="1"/>
    <x v="0"/>
    <s v="Fail"/>
    <n v="23.3"/>
    <s v="CFU/g"/>
    <n v="0"/>
    <n v="100"/>
    <x v="54"/>
    <s v="A. Kovacs"/>
  </r>
  <r>
    <s v="S001443"/>
    <s v="FOO-2025-00322"/>
    <s v="Food Ingredient Extract"/>
    <s v="East Hanover"/>
    <x v="6"/>
    <n v="1"/>
    <x v="1"/>
    <s v="Fail"/>
    <n v="-21.13"/>
    <s v="CFU/g"/>
    <n v="0"/>
    <n v="100"/>
    <x v="55"/>
    <s v="S. Fischer"/>
  </r>
  <r>
    <s v="S000340"/>
    <s v="FRA-2024-00077"/>
    <s v="Fragrance Oil"/>
    <s v="Vernier CH"/>
    <x v="4"/>
    <n v="1"/>
    <x v="0"/>
    <s v="Pass"/>
    <n v="0.46"/>
    <s v="%"/>
    <n v="0"/>
    <n v="1"/>
    <x v="56"/>
    <s v="A. Kovacs"/>
  </r>
  <r>
    <s v="S000364"/>
    <s v="FLA-2025-00082"/>
    <s v="Flavor Compound"/>
    <s v="Ashford UK"/>
    <x v="5"/>
    <n v="1"/>
    <x v="0"/>
    <s v="Pending"/>
    <n v="7.06"/>
    <m/>
    <n v="6"/>
    <n v="7.5"/>
    <x v="24"/>
    <s v="M. Toth"/>
  </r>
  <r>
    <s v="S000904"/>
    <s v="ARO-2025-00204"/>
    <s v="Aroma Chemical"/>
    <s v="Vernier CH"/>
    <x v="4"/>
    <n v="1"/>
    <x v="0"/>
    <s v="Fail"/>
    <n v="0.44"/>
    <s v="%"/>
    <n v="0"/>
    <n v="1"/>
    <x v="57"/>
    <s v="M. Toth"/>
  </r>
  <r>
    <s v="S001012"/>
    <s v="FRA-2024-00228"/>
    <s v="Fragrance Oil"/>
    <s v="Dortmund DE"/>
    <x v="6"/>
    <n v="1"/>
    <x v="0"/>
    <s v="Pass"/>
    <n v="18.95"/>
    <s v="CFU/g"/>
    <n v="0"/>
    <n v="100"/>
    <x v="58"/>
    <s v="L. Rossi"/>
  </r>
  <r>
    <s v="S001679"/>
    <s v="FRA-2024-00376"/>
    <s v="Fragrance Oil"/>
    <s v="Ashford UK"/>
    <x v="3"/>
    <n v="1"/>
    <x v="1"/>
    <s v="Fail"/>
    <n v="101.8"/>
    <s v="%"/>
    <n v="97"/>
    <n v="100"/>
    <x v="21"/>
    <s v="M. Toth"/>
  </r>
  <r>
    <s v="S000736"/>
    <s v="ARO-2024-00167"/>
    <s v="Aroma Chemical"/>
    <s v="Dortmund DE"/>
    <x v="0"/>
    <n v="1"/>
    <x v="0"/>
    <s v="Pending"/>
    <n v="52.51"/>
    <s v="ppm"/>
    <n v="0"/>
    <n v="120"/>
    <x v="59"/>
    <s v="S. Fischer"/>
  </r>
  <r>
    <s v="S000387"/>
    <s v="ARO-2024-00088"/>
    <s v="Aroma Chemical"/>
    <s v="Ashford UK"/>
    <x v="4"/>
    <n v="1"/>
    <x v="0"/>
    <s v="Pass"/>
    <n v="0.41"/>
    <s v="%"/>
    <n v="0"/>
    <n v="1"/>
    <x v="60"/>
    <s v="T. Weber"/>
  </r>
  <r>
    <s v="S001509"/>
    <s v="FLA-2025-00336"/>
    <s v="Flavor Compound"/>
    <s v="Budapest"/>
    <x v="0"/>
    <n v="1"/>
    <x v="0"/>
    <s v="Pass"/>
    <n v="34.86"/>
    <s v="ppm"/>
    <n v="0"/>
    <n v="120"/>
    <x v="61"/>
    <s v="T. Weber"/>
  </r>
  <r>
    <s v="S001150"/>
    <s v="FOO-2025-00258"/>
    <s v="Food Ingredient Extract"/>
    <s v="East Hanover"/>
    <x v="0"/>
    <n v="1"/>
    <x v="0"/>
    <s v="Pass"/>
    <n v="65.31"/>
    <s v="ppm"/>
    <n v="0"/>
    <n v="120"/>
    <x v="62"/>
    <s v="P. Meier"/>
  </r>
  <r>
    <s v="S000838"/>
    <s v="FLA-2025-00190"/>
    <s v="Flavor Compound"/>
    <s v="Ashford UK"/>
    <x v="4"/>
    <n v="1"/>
    <x v="0"/>
    <s v="Pass"/>
    <n v="0.34"/>
    <s v="%"/>
    <n v="0"/>
    <n v="1"/>
    <x v="63"/>
    <s v="A. Kovacs"/>
  </r>
  <r>
    <s v="S001664"/>
    <s v="FRA-2025-00372"/>
    <s v="Fragrance Oil"/>
    <s v="Ashford UK"/>
    <x v="5"/>
    <n v="1"/>
    <x v="0"/>
    <s v="Pass"/>
    <n v="6.37"/>
    <m/>
    <n v="6"/>
    <n v="7.5"/>
    <x v="64"/>
    <s v="P. Meier"/>
  </r>
  <r>
    <s v="S000639"/>
    <s v="ESS-2025-00145"/>
    <s v="Essential Oil Blend"/>
    <s v="Ashford UK"/>
    <x v="2"/>
    <n v="1"/>
    <x v="0"/>
    <s v="Pass"/>
    <n v="237.51"/>
    <s v="um"/>
    <n v="150"/>
    <n v="400"/>
    <x v="65"/>
    <s v="S. Fischer"/>
  </r>
  <r>
    <s v="S001171"/>
    <s v="ARO-2024-00263"/>
    <s v="Aroma Chemical"/>
    <s v="Budapest"/>
    <x v="1"/>
    <n v="1"/>
    <x v="0"/>
    <s v="Pending"/>
    <n v="0.92"/>
    <s v="g/ml"/>
    <n v="0.88"/>
    <n v="0.97"/>
    <x v="66"/>
    <s v="J. Nagy"/>
  </r>
  <r>
    <s v="S001638"/>
    <s v="FOO-2024-00367"/>
    <s v="Food Ingredient Extract"/>
    <s v="Dortmund DE"/>
    <x v="0"/>
    <n v="1"/>
    <x v="0"/>
    <s v="Pass"/>
    <n v="54.35"/>
    <s v="ppm"/>
    <n v="0"/>
    <n v="120"/>
    <x v="67"/>
    <s v="T. Weber"/>
  </r>
  <r>
    <s v="S001446"/>
    <s v="FLA-2024-00323"/>
    <s v="Flavor Compound"/>
    <s v="Ashford UK"/>
    <x v="2"/>
    <n v="1"/>
    <x v="0"/>
    <s v="Pass"/>
    <n v="242.7"/>
    <s v="um"/>
    <n v="150"/>
    <n v="400"/>
    <x v="68"/>
    <s v="P. Meier"/>
  </r>
  <r>
    <s v="S001280"/>
    <s v="ESS-2025-00286"/>
    <s v="Essential Oil Blend"/>
    <s v="Ashford UK"/>
    <x v="1"/>
    <n v="1"/>
    <x v="0"/>
    <s v="Pass"/>
    <n v="0.92"/>
    <s v="g/ml"/>
    <n v="0.88"/>
    <n v="0.97"/>
    <x v="69"/>
    <s v="P. Meier"/>
  </r>
  <r>
    <s v="S000300"/>
    <s v="FOO-2025-00068"/>
    <s v="Food Ingredient Extract"/>
    <s v="Ashford UK"/>
    <x v="4"/>
    <n v="1"/>
    <x v="0"/>
    <s v="Pass"/>
    <n v="0.41"/>
    <s v="%"/>
    <n v="0"/>
    <n v="1"/>
    <x v="70"/>
    <s v="A. Kovacs"/>
  </r>
  <r>
    <s v="S000977"/>
    <s v="FLA-2025-00221"/>
    <s v="Flavor Compound"/>
    <s v="Dortmund DE"/>
    <x v="3"/>
    <n v="1"/>
    <x v="0"/>
    <s v="Fail"/>
    <n v="98.76"/>
    <s v="%"/>
    <n v="97"/>
    <n v="100"/>
    <x v="6"/>
    <s v="J. Nagy"/>
  </r>
  <r>
    <s v="S001859"/>
    <s v="ESS-2025-00416"/>
    <s v="Essential Oil Blend"/>
    <s v="Ashford UK"/>
    <x v="0"/>
    <n v="1"/>
    <x v="1"/>
    <s v="Fail"/>
    <n v="-13.42"/>
    <s v="ppm"/>
    <n v="0"/>
    <n v="120"/>
    <x v="71"/>
    <s v="T. Weber"/>
  </r>
  <r>
    <s v="S000109"/>
    <s v="ARO-2025-00025"/>
    <s v="Aroma Chemical"/>
    <s v="East Hanover"/>
    <x v="1"/>
    <n v="1"/>
    <x v="0"/>
    <s v="Pass"/>
    <n v="0.9"/>
    <s v="g/ml"/>
    <n v="0.88"/>
    <n v="0.97"/>
    <x v="2"/>
    <s v="J NAGY"/>
  </r>
  <r>
    <s v="S001472"/>
    <s v="ESS-2024-00328"/>
    <s v="Essential Oil Blend"/>
    <s v="Ashford UK"/>
    <x v="6"/>
    <n v="1"/>
    <x v="0"/>
    <s v="Pass"/>
    <n v="40.64"/>
    <s v="CFU/g"/>
    <n v="0"/>
    <n v="100"/>
    <x v="1"/>
    <s v="K. Varga"/>
  </r>
  <r>
    <s v="S001583"/>
    <s v="FLA-2025-00353"/>
    <s v="Flavor Compound"/>
    <s v="Budapest"/>
    <x v="2"/>
    <n v="1"/>
    <x v="0"/>
    <s v="Pass"/>
    <n v="239.96"/>
    <s v="um"/>
    <n v="150"/>
    <n v="400"/>
    <x v="72"/>
    <s v="K. Varga"/>
  </r>
  <r>
    <s v="S000518"/>
    <s v="FOO-2025-00116"/>
    <s v="Food Ingredient Extract"/>
    <s v="Vernier CH"/>
    <x v="5"/>
    <n v="1"/>
    <x v="0"/>
    <s v="Fail"/>
    <n v="7.19"/>
    <m/>
    <n v="6"/>
    <n v="7.5"/>
    <x v="6"/>
    <s v="J. Nagy"/>
  </r>
  <r>
    <s v="S001017"/>
    <s v="FRA-2025-00229"/>
    <s v="Fragrance Oil"/>
    <s v="Budapest"/>
    <x v="2"/>
    <n v="1"/>
    <x v="0"/>
    <s v="Pass"/>
    <n v="308.02999999999997"/>
    <s v="um"/>
    <n v="150"/>
    <n v="400"/>
    <x v="73"/>
    <s v="J NAGY"/>
  </r>
  <r>
    <s v="S001016"/>
    <s v="FRA-2025-00229"/>
    <s v="Fragrance Oil"/>
    <s v="Budapest"/>
    <x v="1"/>
    <n v="1"/>
    <x v="0"/>
    <s v="Pass"/>
    <n v="0.93"/>
    <s v="g/ml"/>
    <n v="0.88"/>
    <n v="0.97"/>
    <x v="73"/>
    <s v="M. Toth"/>
  </r>
  <r>
    <s v="S001184"/>
    <s v="ARO-2024-00265"/>
    <s v="Aroma Chemical"/>
    <s v="Ashford UK"/>
    <x v="6"/>
    <n v="1"/>
    <x v="1"/>
    <s v="Fail"/>
    <n v="-1.3"/>
    <s v="CFU/g"/>
    <n v="0"/>
    <n v="100"/>
    <x v="74"/>
    <s v="A. Kovacs"/>
  </r>
  <r>
    <s v="S001230"/>
    <s v="FRA-2024-00275"/>
    <s v="Fragrance Oil"/>
    <s v="Vernier CH"/>
    <x v="6"/>
    <n v="1"/>
    <x v="0"/>
    <s v="Pass"/>
    <n v="13.81"/>
    <s v="CFU/g"/>
    <n v="0"/>
    <n v="100"/>
    <x v="75"/>
    <s v="T. Weber"/>
  </r>
  <r>
    <s v="S001973"/>
    <s v="ESS-2025-00441"/>
    <s v="Essential Oil Blend"/>
    <s v="East Hanover"/>
    <x v="0"/>
    <n v="1"/>
    <x v="0"/>
    <s v="Fail"/>
    <n v="28.51"/>
    <s v="ppm"/>
    <n v="0"/>
    <n v="120"/>
    <x v="76"/>
    <s v="M. Toth"/>
  </r>
  <r>
    <s v="S001532"/>
    <s v="ESS-2024-00341"/>
    <s v="Essential Oil Blend"/>
    <s v="East Hanover"/>
    <x v="3"/>
    <n v="1"/>
    <x v="1"/>
    <s v="Fail"/>
    <n v="95.2"/>
    <s v="%"/>
    <n v="97"/>
    <n v="100"/>
    <x v="77"/>
    <s v="J NAGY"/>
  </r>
  <r>
    <s v="S001606"/>
    <s v="FRA-2024-00358"/>
    <s v="Fragrance Oil"/>
    <s v="Ashford UK"/>
    <x v="5"/>
    <n v="1"/>
    <x v="0"/>
    <s v="Fail"/>
    <n v="6.05"/>
    <m/>
    <n v="6"/>
    <n v="7.5"/>
    <x v="78"/>
    <s v="S. Fischer"/>
  </r>
  <r>
    <s v="S001466"/>
    <s v="ESS-2025-00327"/>
    <s v="Essential Oil Blend"/>
    <s v="Ashford UK"/>
    <x v="1"/>
    <n v="1"/>
    <x v="0"/>
    <s v="Pending"/>
    <n v="0.94"/>
    <s v="g/ml"/>
    <n v="0.88"/>
    <n v="0.97"/>
    <x v="79"/>
    <s v="T. Weber"/>
  </r>
  <r>
    <s v="S001498"/>
    <s v="FRA-2024-00334"/>
    <s v="Fragrance Oil"/>
    <s v="East Hanover"/>
    <x v="4"/>
    <n v="1"/>
    <x v="0"/>
    <s v="Pass"/>
    <n v="0.38"/>
    <s v="%"/>
    <n v="0"/>
    <n v="1"/>
    <x v="80"/>
    <s v="S. Fischer"/>
  </r>
  <r>
    <s v="S001331"/>
    <s v="ARO-2025-00297"/>
    <s v="Aroma Chemical"/>
    <s v="East Hanover"/>
    <x v="4"/>
    <n v="1"/>
    <x v="0"/>
    <s v="Pass"/>
    <n v="0.56999999999999995"/>
    <s v="%"/>
    <n v="0"/>
    <n v="1"/>
    <x v="81"/>
    <s v="K. Varga"/>
  </r>
  <r>
    <s v="S000331"/>
    <s v="FRA-2024-00075"/>
    <s v="Fragrance Oil"/>
    <s v="East Hanover"/>
    <x v="4"/>
    <n v="1"/>
    <x v="0"/>
    <s v="Pass"/>
    <n v="0.45"/>
    <s v="%"/>
    <n v="0"/>
    <n v="1"/>
    <x v="82"/>
    <s v="A. Kovacs"/>
  </r>
  <r>
    <s v="S001432"/>
    <s v="ARO-2025-00319"/>
    <s v="Aroma Chemical"/>
    <s v="Dortmund DE"/>
    <x v="4"/>
    <n v="1"/>
    <x v="0"/>
    <s v="Pass"/>
    <n v="0.57999999999999996"/>
    <s v="%"/>
    <n v="0"/>
    <n v="1"/>
    <x v="83"/>
    <s v="P. Meier"/>
  </r>
  <r>
    <s v="S000230"/>
    <s v="FLA-2024-00053"/>
    <s v="Flavor Compound"/>
    <s v="Budapest"/>
    <x v="3"/>
    <n v="1"/>
    <x v="0"/>
    <s v="Pass"/>
    <n v="98.9"/>
    <s v="%"/>
    <n v="97"/>
    <n v="100"/>
    <x v="84"/>
    <s v="P. Meier"/>
  </r>
  <r>
    <s v="S000173"/>
    <s v="FOO-2025-00041"/>
    <s v="Food Ingredient Extract"/>
    <s v="Dortmund DE"/>
    <x v="1"/>
    <n v="1"/>
    <x v="0"/>
    <s v="Pass"/>
    <n v="0.96"/>
    <s v="g/ml"/>
    <n v="0.88"/>
    <n v="0.97"/>
    <x v="85"/>
    <s v="T. Weber"/>
  </r>
  <r>
    <s v="S000451"/>
    <s v="FLA-2025-00101"/>
    <s v="Flavor Compound"/>
    <s v="Vernier CH"/>
    <x v="3"/>
    <n v="1"/>
    <x v="0"/>
    <s v="Pass"/>
    <n v="99.01"/>
    <s v="%"/>
    <n v="97"/>
    <n v="100"/>
    <x v="86"/>
    <s v="P. Meier"/>
  </r>
  <r>
    <s v="S001525"/>
    <s v="FRA-2024-00340"/>
    <s v="Fragrance Oil"/>
    <s v="Dortmund DE"/>
    <x v="3"/>
    <n v="1"/>
    <x v="0"/>
    <s v="Pass"/>
    <n v="98.96"/>
    <s v="%"/>
    <n v="97"/>
    <n v="100"/>
    <x v="87"/>
    <s v="K. Varga"/>
  </r>
  <r>
    <s v="S000128"/>
    <s v="FOO-2025-00030"/>
    <s v="Food Ingredient Extract"/>
    <s v="Ashford UK"/>
    <x v="6"/>
    <n v="1"/>
    <x v="1"/>
    <s v="Fail"/>
    <n v="-75"/>
    <s v="CFU/g"/>
    <n v="0"/>
    <n v="100"/>
    <x v="48"/>
    <s v="M. Toth"/>
  </r>
  <r>
    <s v="S001065"/>
    <s v="ARO-2024-00238"/>
    <s v="Aroma Chemical"/>
    <s v="Ashford UK"/>
    <x v="3"/>
    <n v="1"/>
    <x v="0"/>
    <s v="Pass"/>
    <n v="99.97"/>
    <s v="%"/>
    <n v="97"/>
    <n v="100"/>
    <x v="88"/>
    <s v="J NAGY"/>
  </r>
  <r>
    <s v="S000038"/>
    <s v="FLA-2024-00009"/>
    <s v="Flavor Compound"/>
    <s v="Vernier CH"/>
    <x v="5"/>
    <n v="1"/>
    <x v="0"/>
    <s v="Fail"/>
    <n v="7"/>
    <m/>
    <n v="6"/>
    <n v="7.5"/>
    <x v="89"/>
    <s v="L. Rossi"/>
  </r>
  <r>
    <s v="S000427"/>
    <s v="ESS-2024-00097"/>
    <s v="Essential Oil Blend"/>
    <s v="East Hanover"/>
    <x v="0"/>
    <n v="1"/>
    <x v="0"/>
    <s v="Pass"/>
    <n v="74.599999999999994"/>
    <s v="ppm"/>
    <n v="0"/>
    <n v="120"/>
    <x v="90"/>
    <s v="L. Rossi"/>
  </r>
  <r>
    <s v="S000205"/>
    <s v="FOO-2024-00047"/>
    <s v="Food Ingredient Extract"/>
    <s v="Ashford UK"/>
    <x v="3"/>
    <n v="1"/>
    <x v="0"/>
    <s v="Pass"/>
    <n v="99.56"/>
    <s v="%"/>
    <n v="97"/>
    <n v="100"/>
    <x v="91"/>
    <s v="J. Nagy"/>
  </r>
  <r>
    <s v="S001250"/>
    <s v="FLA-2024-00280"/>
    <s v="Flavor Compound"/>
    <s v="Budapest"/>
    <x v="4"/>
    <n v="1"/>
    <x v="0"/>
    <s v="Pending"/>
    <n v="0.37"/>
    <s v="%"/>
    <n v="0"/>
    <n v="1"/>
    <x v="92"/>
    <s v="L. Rossi"/>
  </r>
  <r>
    <s v="S000186"/>
    <s v="FRA-2025-00043"/>
    <s v="Fragrance Oil"/>
    <s v="Vernier CH"/>
    <x v="1"/>
    <n v="1"/>
    <x v="1"/>
    <s v="Fail"/>
    <n v="0.86"/>
    <s v="g/ml"/>
    <n v="0.88"/>
    <n v="0.97"/>
    <x v="65"/>
    <s v="J NAGY"/>
  </r>
  <r>
    <s v="S001269"/>
    <s v="FLA-2024-00284"/>
    <s v="Flavor Compound"/>
    <s v="Vernier CH"/>
    <x v="4"/>
    <n v="1"/>
    <x v="0"/>
    <s v="Pass"/>
    <n v="0.18"/>
    <s v="%"/>
    <n v="0"/>
    <n v="1"/>
    <x v="93"/>
    <s v="M. Toth"/>
  </r>
  <r>
    <s v="S000059"/>
    <s v="ARO-2025-00014"/>
    <s v="Aroma Chemical"/>
    <s v="Dortmund DE"/>
    <x v="2"/>
    <n v="1"/>
    <x v="0"/>
    <s v="Pass"/>
    <n v="275.5"/>
    <s v="um"/>
    <n v="150"/>
    <n v="400"/>
    <x v="94"/>
    <s v="J NAGY"/>
  </r>
  <r>
    <s v="S001507"/>
    <s v="FLA-2025-00336"/>
    <s v="Flavor Compound"/>
    <s v="Budapest"/>
    <x v="6"/>
    <n v="1"/>
    <x v="0"/>
    <s v="Pass"/>
    <n v="42.8"/>
    <s v="CFU/g"/>
    <n v="0"/>
    <n v="100"/>
    <x v="61"/>
    <s v="A. Kovacs"/>
  </r>
  <r>
    <s v="S000863"/>
    <s v="FOO-2024-00195"/>
    <s v="Food Ingredient Extract"/>
    <s v="East Hanover"/>
    <x v="1"/>
    <n v="1"/>
    <x v="0"/>
    <s v="Fail"/>
    <n v="0.88"/>
    <s v="g/ml"/>
    <n v="0.88"/>
    <n v="0.97"/>
    <x v="95"/>
    <s v="S. Fischer"/>
  </r>
  <r>
    <s v="S001877"/>
    <s v="FRA-2024-00420"/>
    <s v="Fragrance Oil"/>
    <s v="East Hanover"/>
    <x v="1"/>
    <n v="1"/>
    <x v="1"/>
    <s v="Fail"/>
    <n v="0.99"/>
    <s v="g/ml"/>
    <n v="0.88"/>
    <n v="0.97"/>
    <x v="17"/>
    <s v="K. Varga"/>
  </r>
  <r>
    <s v="S001333"/>
    <s v="ARO-2025-00297"/>
    <s v="Aroma Chemical"/>
    <s v="East Hanover"/>
    <x v="6"/>
    <n v="1"/>
    <x v="0"/>
    <s v="Pass"/>
    <n v="16.61"/>
    <s v="CFU/g"/>
    <n v="0"/>
    <n v="100"/>
    <x v="81"/>
    <s v="M. Toth"/>
  </r>
  <r>
    <s v="S001165"/>
    <s v="ARO-2025-00261"/>
    <s v="Aroma Chemical"/>
    <s v="Budapest"/>
    <x v="5"/>
    <n v="1"/>
    <x v="0"/>
    <s v="Pass"/>
    <n v="6.63"/>
    <m/>
    <n v="6"/>
    <n v="7.5"/>
    <x v="96"/>
    <s v="K. Varga"/>
  </r>
  <r>
    <s v="S001316"/>
    <s v="FLA-2024-00294"/>
    <s v="Flavor Compound"/>
    <s v="Dortmund DE"/>
    <x v="6"/>
    <n v="1"/>
    <x v="0"/>
    <s v="Pass"/>
    <n v="26.67"/>
    <s v="CFU/g"/>
    <n v="0"/>
    <n v="100"/>
    <x v="97"/>
    <s v="K. Varga"/>
  </r>
  <r>
    <s v="S001415"/>
    <s v="ARO-2025-00316"/>
    <s v="Aroma Chemical"/>
    <s v="Ashford UK"/>
    <x v="4"/>
    <n v="1"/>
    <x v="0"/>
    <s v="Fail"/>
    <n v="0.28999999999999998"/>
    <s v="%"/>
    <n v="0"/>
    <n v="1"/>
    <x v="98"/>
    <s v="J NAGY"/>
  </r>
  <r>
    <s v="S000612"/>
    <s v="FLA-2024-00138"/>
    <s v="Flavor Compound"/>
    <s v="Ashford UK"/>
    <x v="5"/>
    <n v="1"/>
    <x v="0"/>
    <s v="Fail"/>
    <n v="6.56"/>
    <m/>
    <n v="6"/>
    <n v="7.5"/>
    <x v="23"/>
    <s v="K. Varga"/>
  </r>
  <r>
    <s v="S000035"/>
    <s v="ARO-2024-00008"/>
    <s v="Aroma Chemical"/>
    <s v="Vernier CH"/>
    <x v="4"/>
    <n v="1"/>
    <x v="0"/>
    <s v="Pending"/>
    <n v="0.18"/>
    <s v="%"/>
    <n v="0"/>
    <n v="1"/>
    <x v="99"/>
    <s v="S. Fischer"/>
  </r>
  <r>
    <s v="S000831"/>
    <s v="ESS-2024-00189"/>
    <s v="Essential Oil Blend"/>
    <s v="Vernier CH"/>
    <x v="5"/>
    <n v="1"/>
    <x v="0"/>
    <s v="Pass"/>
    <n v="6.26"/>
    <m/>
    <n v="6"/>
    <n v="7.5"/>
    <x v="100"/>
    <s v="S. Fischer"/>
  </r>
  <r>
    <s v="S001827"/>
    <s v="ESS-2024-00408"/>
    <s v="Essential Oil Blend"/>
    <s v="Budapest"/>
    <x v="6"/>
    <n v="1"/>
    <x v="0"/>
    <s v="Pending"/>
    <n v="6.07"/>
    <s v="CFU/g"/>
    <n v="0"/>
    <n v="100"/>
    <x v="0"/>
    <s v="P. Meier"/>
  </r>
  <r>
    <s v="S000361"/>
    <s v="ESS-2025-00081"/>
    <s v="Essential Oil Blend"/>
    <s v="Dortmund DE"/>
    <x v="5"/>
    <n v="1"/>
    <x v="0"/>
    <s v="Pass"/>
    <n v="7.02"/>
    <m/>
    <n v="6"/>
    <n v="7.5"/>
    <x v="18"/>
    <s v="M. Toth"/>
  </r>
  <r>
    <s v="S001050"/>
    <s v="ESS-2024-00235"/>
    <s v="Essential Oil Blend"/>
    <s v="Vernier CH"/>
    <x v="1"/>
    <n v="1"/>
    <x v="0"/>
    <s v="Fail"/>
    <n v="0.96"/>
    <s v="g/ml"/>
    <n v="0.88"/>
    <n v="0.97"/>
    <x v="101"/>
    <s v="M. Toth"/>
  </r>
  <r>
    <s v="S001649"/>
    <s v="ARO-2025-00369"/>
    <s v="Aroma Chemical"/>
    <s v="East Hanover"/>
    <x v="4"/>
    <n v="1"/>
    <x v="0"/>
    <s v="Fail"/>
    <n v="0.3"/>
    <s v="%"/>
    <n v="0"/>
    <n v="1"/>
    <x v="102"/>
    <s v="J NAGY"/>
  </r>
  <r>
    <s v="S001900"/>
    <s v="ARO-2025-00425"/>
    <s v="Aroma Chemical"/>
    <s v="East Hanover"/>
    <x v="6"/>
    <n v="1"/>
    <x v="1"/>
    <s v="Fail"/>
    <n v="175"/>
    <s v="CFU/g"/>
    <n v="0"/>
    <n v="100"/>
    <x v="103"/>
    <s v="P. Meier"/>
  </r>
  <r>
    <s v="S000596"/>
    <s v="ARO-2025-00134"/>
    <s v="Aroma Chemical"/>
    <s v="Dortmund DE"/>
    <x v="0"/>
    <n v="1"/>
    <x v="0"/>
    <s v="Pass"/>
    <n v="17.82"/>
    <s v="ppm"/>
    <n v="0"/>
    <n v="120"/>
    <x v="104"/>
    <s v="J. Nagy"/>
  </r>
  <r>
    <s v="S001279"/>
    <s v="ESS-2025-00286"/>
    <s v="Essential Oil Blend"/>
    <s v="Ashford UK"/>
    <x v="4"/>
    <n v="1"/>
    <x v="0"/>
    <s v="Pass"/>
    <n v="0.52"/>
    <s v="%"/>
    <n v="0"/>
    <n v="1"/>
    <x v="69"/>
    <s v="S. Fischer"/>
  </r>
  <r>
    <s v="S000591"/>
    <s v="ARO-2025-00133"/>
    <s v="Aroma Chemical"/>
    <s v="Dortmund DE"/>
    <x v="0"/>
    <n v="1"/>
    <x v="0"/>
    <s v="Pass"/>
    <n v="38.25"/>
    <s v="ppm"/>
    <n v="0"/>
    <n v="120"/>
    <x v="105"/>
    <s v="M. Toth"/>
  </r>
  <r>
    <s v="S000654"/>
    <s v="FRA-2024-00149"/>
    <s v="Fragrance Oil"/>
    <s v="Budapest"/>
    <x v="4"/>
    <n v="1"/>
    <x v="0"/>
    <s v="Pass"/>
    <n v="0.47"/>
    <s v="%"/>
    <n v="0"/>
    <n v="1"/>
    <x v="58"/>
    <s v="T. Weber"/>
  </r>
  <r>
    <s v="S000916"/>
    <s v="FLA-2024-00207"/>
    <s v="Flavor Compound"/>
    <s v="East Hanover"/>
    <x v="4"/>
    <n v="1"/>
    <x v="0"/>
    <s v="Pass"/>
    <n v="0.2"/>
    <s v="%"/>
    <n v="0"/>
    <n v="1"/>
    <x v="106"/>
    <s v="M. Toth"/>
  </r>
  <r>
    <s v="S000770"/>
    <s v="ESS-2025-00174"/>
    <s v="Essential Oil Blend"/>
    <s v="Vernier CH"/>
    <x v="6"/>
    <n v="1"/>
    <x v="0"/>
    <s v="Pass"/>
    <n v="20.11"/>
    <s v="CFU/g"/>
    <n v="0"/>
    <n v="100"/>
    <x v="107"/>
    <s v="J NAGY"/>
  </r>
  <r>
    <s v="S000453"/>
    <s v="FOO-2024-00102"/>
    <s v="Food Ingredient Extract"/>
    <s v="Budapest"/>
    <x v="4"/>
    <n v="1"/>
    <x v="0"/>
    <s v="Pass"/>
    <n v="0.53"/>
    <s v="%"/>
    <n v="0"/>
    <n v="1"/>
    <x v="108"/>
    <s v="M. Toth"/>
  </r>
  <r>
    <s v="S001817"/>
    <s v="FLA-2025-00406"/>
    <s v="Flavor Compound"/>
    <s v="Ashford UK"/>
    <x v="3"/>
    <n v="1"/>
    <x v="0"/>
    <s v="Fail"/>
    <n v="99.78"/>
    <s v="%"/>
    <n v="97"/>
    <n v="100"/>
    <x v="44"/>
    <s v="K. Varga"/>
  </r>
  <r>
    <s v="S000588"/>
    <s v="FLA-2024-00132"/>
    <s v="Flavor Compound"/>
    <s v="Dortmund DE"/>
    <x v="3"/>
    <n v="1"/>
    <x v="0"/>
    <s v="Pass"/>
    <n v="97.81"/>
    <s v="%"/>
    <n v="97"/>
    <n v="100"/>
    <x v="109"/>
    <s v="M. Toth"/>
  </r>
  <r>
    <s v="S000008"/>
    <s v="ARO-2025-00002"/>
    <s v="Aroma Chemical"/>
    <s v="East Hanover"/>
    <x v="1"/>
    <n v="1"/>
    <x v="0"/>
    <s v="Pass"/>
    <n v="0.94"/>
    <s v="g/ml"/>
    <n v="0.88"/>
    <n v="0.97"/>
    <x v="110"/>
    <s v="M. Toth"/>
  </r>
  <r>
    <s v="S001767"/>
    <s v="ESS-2024-00395"/>
    <s v="Essential Oil Blend"/>
    <s v="Budapest"/>
    <x v="4"/>
    <n v="1"/>
    <x v="0"/>
    <s v="Fail"/>
    <n v="0.53"/>
    <s v="%"/>
    <n v="0"/>
    <n v="1"/>
    <x v="111"/>
    <s v="M. Toth"/>
  </r>
  <r>
    <s v="S000706"/>
    <s v="FRA-2024-00160"/>
    <s v="Fragrance Oil"/>
    <s v="Dortmund DE"/>
    <x v="2"/>
    <n v="1"/>
    <x v="0"/>
    <s v="Fail"/>
    <n v="220.97"/>
    <s v="um"/>
    <n v="150"/>
    <n v="400"/>
    <x v="29"/>
    <s v="M. Toth"/>
  </r>
  <r>
    <s v="S001319"/>
    <s v="FLA-2024-00294"/>
    <s v="Flavor Compound"/>
    <s v="Dortmund DE"/>
    <x v="1"/>
    <n v="1"/>
    <x v="0"/>
    <s v="Pass"/>
    <n v="0.9"/>
    <s v="g/ml"/>
    <n v="0.88"/>
    <n v="0.97"/>
    <x v="97"/>
    <s v="M. Toth"/>
  </r>
  <r>
    <s v="S001354"/>
    <s v="ARO-2024-00302"/>
    <s v="Aroma Chemical"/>
    <s v="Budapest"/>
    <x v="4"/>
    <n v="1"/>
    <x v="0"/>
    <s v="Fail"/>
    <n v="0.38"/>
    <s v="%"/>
    <n v="0"/>
    <n v="1"/>
    <x v="112"/>
    <s v="K. Varga"/>
  </r>
  <r>
    <s v="S000021"/>
    <s v="ARO-2025-00005"/>
    <s v="Aroma Chemical"/>
    <s v="Vernier CH"/>
    <x v="1"/>
    <n v="1"/>
    <x v="0"/>
    <s v="Pass"/>
    <n v="0.92"/>
    <s v="g/ml"/>
    <n v="0.88"/>
    <n v="0.97"/>
    <x v="113"/>
    <s v="A. Kovacs"/>
  </r>
  <r>
    <s v="S001154"/>
    <s v="ESS-2025-00259"/>
    <s v="Essential Oil Blend"/>
    <s v="Vernier CH"/>
    <x v="2"/>
    <n v="1"/>
    <x v="0"/>
    <s v="Pass"/>
    <n v="332.82"/>
    <s v="um"/>
    <n v="150"/>
    <n v="400"/>
    <x v="114"/>
    <s v="K. Varga"/>
  </r>
  <r>
    <s v="S001191"/>
    <s v="FLA-2025-00267"/>
    <s v="Flavor Compound"/>
    <s v="Budapest"/>
    <x v="2"/>
    <n v="1"/>
    <x v="0"/>
    <s v="Pass"/>
    <n v="244.96"/>
    <s v="um"/>
    <n v="150"/>
    <n v="400"/>
    <x v="115"/>
    <s v="A. Kovacs"/>
  </r>
  <r>
    <s v="S001076"/>
    <s v="FOO-2024-00241"/>
    <s v="Food Ingredient Extract"/>
    <s v="Dortmund DE"/>
    <x v="4"/>
    <n v="1"/>
    <x v="0"/>
    <s v="Pending"/>
    <n v="0.25"/>
    <s v="%"/>
    <n v="0"/>
    <n v="1"/>
    <x v="74"/>
    <s v="P. Meier"/>
  </r>
  <r>
    <s v="S000207"/>
    <s v="FOO-2024-00047"/>
    <s v="Food Ingredient Extract"/>
    <s v="Ashford UK"/>
    <x v="5"/>
    <n v="1"/>
    <x v="0"/>
    <s v="Pass"/>
    <n v="6.73"/>
    <m/>
    <n v="6"/>
    <n v="7.5"/>
    <x v="91"/>
    <s v="T. Weber"/>
  </r>
  <r>
    <s v="S000817"/>
    <s v="FRA-2025-00185"/>
    <s v="Fragrance Oil"/>
    <s v="Ashford UK"/>
    <x v="2"/>
    <n v="1"/>
    <x v="0"/>
    <s v="Pass"/>
    <n v="262.94"/>
    <s v="um"/>
    <n v="150"/>
    <n v="400"/>
    <x v="116"/>
    <s v="K. Varga"/>
  </r>
  <r>
    <s v="S000416"/>
    <s v="FOO-2025-00094"/>
    <s v="Food Ingredient Extract"/>
    <s v="Vernier CH"/>
    <x v="4"/>
    <n v="1"/>
    <x v="0"/>
    <s v="Pass"/>
    <n v="0.27"/>
    <s v="%"/>
    <n v="0"/>
    <n v="1"/>
    <x v="50"/>
    <s v="M. Toth"/>
  </r>
  <r>
    <s v="S001626"/>
    <s v="ARO-2025-00363"/>
    <s v="Aroma Chemical"/>
    <s v="Dortmund DE"/>
    <x v="4"/>
    <n v="1"/>
    <x v="0"/>
    <s v="Fail"/>
    <n v="0.03"/>
    <s v="%"/>
    <n v="0"/>
    <n v="1"/>
    <x v="117"/>
    <s v="S. Fischer"/>
  </r>
  <r>
    <s v="S000928"/>
    <s v="FRA-2024-00210"/>
    <s v="Fragrance Oil"/>
    <s v="Dortmund DE"/>
    <x v="4"/>
    <n v="1"/>
    <x v="0"/>
    <s v="Pass"/>
    <n v="0.32"/>
    <s v="%"/>
    <n v="0"/>
    <n v="1"/>
    <x v="118"/>
    <s v="S. Fischer"/>
  </r>
  <r>
    <s v="S000721"/>
    <s v="FRA-2025-00163"/>
    <s v="Fragrance Oil"/>
    <s v="Budapest"/>
    <x v="6"/>
    <n v="1"/>
    <x v="1"/>
    <s v="Fail"/>
    <n v="-0.45"/>
    <s v="CFU/g"/>
    <n v="0"/>
    <n v="100"/>
    <x v="119"/>
    <s v="P. Meier"/>
  </r>
  <r>
    <s v="S001632"/>
    <s v="FOO-2025-00365"/>
    <s v="Food Ingredient Extract"/>
    <s v="Vernier CH"/>
    <x v="1"/>
    <n v="1"/>
    <x v="0"/>
    <s v="Pass"/>
    <n v="0.9"/>
    <s v="g/ml"/>
    <n v="0.88"/>
    <n v="0.97"/>
    <x v="120"/>
    <s v="T. Weber"/>
  </r>
  <r>
    <s v="S000732"/>
    <s v="FOO-2025-00166"/>
    <s v="Food Ingredient Extract"/>
    <s v="East Hanover"/>
    <x v="3"/>
    <n v="1"/>
    <x v="0"/>
    <s v="Fail"/>
    <n v="98.07"/>
    <s v="%"/>
    <n v="97"/>
    <n v="100"/>
    <x v="121"/>
    <s v="P. Meier"/>
  </r>
  <r>
    <s v="S000218"/>
    <s v="FRA-2024-00050"/>
    <s v="Fragrance Oil"/>
    <s v="Dortmund DE"/>
    <x v="4"/>
    <n v="1"/>
    <x v="0"/>
    <s v="Pass"/>
    <n v="0.19"/>
    <s v="%"/>
    <n v="0"/>
    <n v="1"/>
    <x v="122"/>
    <s v="A. Kovacs"/>
  </r>
  <r>
    <s v="S000420"/>
    <s v="FLA-2024-00095"/>
    <s v="Flavor Compound"/>
    <s v="East Hanover"/>
    <x v="5"/>
    <n v="1"/>
    <x v="0"/>
    <s v="Fail"/>
    <n v="7.26"/>
    <m/>
    <n v="6"/>
    <n v="7.5"/>
    <x v="123"/>
    <s v="T. Weber"/>
  </r>
  <r>
    <s v="S001252"/>
    <s v="FLA-2024-00280"/>
    <s v="Flavor Compound"/>
    <s v="Budapest"/>
    <x v="2"/>
    <n v="1"/>
    <x v="0"/>
    <s v="Pending"/>
    <n v="208.78"/>
    <s v="um"/>
    <n v="150"/>
    <n v="400"/>
    <x v="92"/>
    <s v="L. Rossi"/>
  </r>
  <r>
    <s v="S000987"/>
    <s v="FOO-2025-00224"/>
    <s v="Food Ingredient Extract"/>
    <s v="Budapest"/>
    <x v="2"/>
    <n v="1"/>
    <x v="0"/>
    <s v="Pending"/>
    <n v="272.8"/>
    <s v="um"/>
    <n v="150"/>
    <n v="400"/>
    <x v="124"/>
    <s v="P. Meier"/>
  </r>
  <r>
    <s v="S001636"/>
    <s v="ESS-2024-00366"/>
    <s v="Essential Oil Blend"/>
    <s v="Budapest"/>
    <x v="5"/>
    <n v="1"/>
    <x v="0"/>
    <s v="Pass"/>
    <n v="6.57"/>
    <m/>
    <n v="6"/>
    <n v="7.5"/>
    <x v="125"/>
    <s v="T. Weber"/>
  </r>
  <r>
    <s v="S000922"/>
    <s v="FOO-2024-00209"/>
    <s v="Food Ingredient Extract"/>
    <s v="Vernier CH"/>
    <x v="3"/>
    <n v="1"/>
    <x v="0"/>
    <s v="Pending"/>
    <n v="97.64"/>
    <s v="%"/>
    <n v="97"/>
    <n v="100"/>
    <x v="126"/>
    <s v="J. Nagy"/>
  </r>
  <r>
    <s v="S000971"/>
    <s v="FRA-2025-00219"/>
    <s v="Fragrance Oil"/>
    <s v="Vernier CH"/>
    <x v="0"/>
    <n v="1"/>
    <x v="1"/>
    <s v="Fail"/>
    <n v="180"/>
    <s v="ppm"/>
    <n v="0"/>
    <n v="120"/>
    <x v="127"/>
    <s v="K. Varga"/>
  </r>
  <r>
    <s v="S001313"/>
    <s v="FOO-2025-00293"/>
    <s v="Food Ingredient Extract"/>
    <s v="Vernier CH"/>
    <x v="1"/>
    <n v="1"/>
    <x v="0"/>
    <s v="Fail"/>
    <n v="0.9"/>
    <s v="g/ml"/>
    <n v="0.88"/>
    <n v="0.97"/>
    <x v="128"/>
    <s v="M. Toth"/>
  </r>
  <r>
    <s v="S001718"/>
    <s v="ESS-2025-00384"/>
    <s v="Essential Oil Blend"/>
    <s v="Dortmund DE"/>
    <x v="0"/>
    <n v="1"/>
    <x v="0"/>
    <s v="Pass"/>
    <n v="4.59"/>
    <s v="ppm"/>
    <n v="0"/>
    <n v="120"/>
    <x v="129"/>
    <s v="L. Rossi"/>
  </r>
  <r>
    <s v="S001565"/>
    <s v="FOO-2024-00348"/>
    <s v="Food Ingredient Extract"/>
    <s v="East Hanover"/>
    <x v="2"/>
    <n v="1"/>
    <x v="0"/>
    <s v="Fail"/>
    <n v="220.05"/>
    <s v="um"/>
    <n v="150"/>
    <n v="400"/>
    <x v="130"/>
    <s v="P. Meier"/>
  </r>
  <r>
    <s v="S001847"/>
    <s v="FLA-2025-00413"/>
    <s v="Flavor Compound"/>
    <s v="Budapest"/>
    <x v="6"/>
    <n v="1"/>
    <x v="1"/>
    <s v="Fail"/>
    <n v="-15.7"/>
    <s v="CFU/g"/>
    <n v="0"/>
    <n v="100"/>
    <x v="131"/>
    <s v="L. Rossi"/>
  </r>
  <r>
    <s v="S000798"/>
    <s v="FLA-2024-00180"/>
    <s v="Flavor Compound"/>
    <s v="Budapest"/>
    <x v="2"/>
    <n v="1"/>
    <x v="0"/>
    <s v="Fail"/>
    <n v="274.44"/>
    <s v="um"/>
    <n v="150"/>
    <n v="400"/>
    <x v="132"/>
    <s v="S. Fischer"/>
  </r>
  <r>
    <s v="S001261"/>
    <s v="FLA-2024-00282"/>
    <s v="Flavor Compound"/>
    <s v="Budapest"/>
    <x v="6"/>
    <n v="1"/>
    <x v="0"/>
    <s v="Fail"/>
    <n v="1.31"/>
    <s v="CFU/g"/>
    <n v="0"/>
    <n v="100"/>
    <x v="133"/>
    <s v="P. Meier"/>
  </r>
  <r>
    <s v="S001795"/>
    <s v="FLA-2024-00402"/>
    <s v="Flavor Compound"/>
    <s v="Dortmund DE"/>
    <x v="1"/>
    <n v="1"/>
    <x v="0"/>
    <s v="Pass"/>
    <n v="0.96"/>
    <s v="g/ml"/>
    <n v="0.88"/>
    <n v="0.97"/>
    <x v="88"/>
    <s v="L. Rossi"/>
  </r>
  <r>
    <s v="S000529"/>
    <s v="ARO-2024-00119"/>
    <s v="Aroma Chemical"/>
    <s v="East Hanover"/>
    <x v="6"/>
    <n v="1"/>
    <x v="0"/>
    <s v="Pass"/>
    <n v="62.2"/>
    <s v="CFU/g"/>
    <n v="0"/>
    <n v="100"/>
    <x v="27"/>
    <s v="K. Varga"/>
  </r>
  <r>
    <s v="S001754"/>
    <s v="FRA-2024-00392"/>
    <s v="Fragrance Oil"/>
    <s v="Vernier CH"/>
    <x v="3"/>
    <n v="1"/>
    <x v="0"/>
    <s v="Fail"/>
    <n v="98.86"/>
    <s v="%"/>
    <n v="97"/>
    <n v="100"/>
    <x v="134"/>
    <s v="S. Fischer"/>
  </r>
  <r>
    <s v="S000052"/>
    <s v="FOO-2024-00012"/>
    <s v="Food Ingredient Extract"/>
    <s v="Budapest"/>
    <x v="1"/>
    <n v="1"/>
    <x v="0"/>
    <s v="Fail"/>
    <n v="0.92"/>
    <s v="g/ml"/>
    <n v="0.88"/>
    <n v="0.97"/>
    <x v="135"/>
    <s v="L. Rossi"/>
  </r>
  <r>
    <s v="S000037"/>
    <s v="FLA-2024-00009"/>
    <s v="Flavor Compound"/>
    <s v="Vernier CH"/>
    <x v="2"/>
    <n v="1"/>
    <x v="0"/>
    <s v="Fail"/>
    <n v="286.64"/>
    <s v="um"/>
    <n v="150"/>
    <n v="400"/>
    <x v="89"/>
    <s v="T. Weber"/>
  </r>
  <r>
    <s v="S001047"/>
    <s v="ESS-2024-00235"/>
    <s v="Essential Oil Blend"/>
    <s v="Vernier CH"/>
    <x v="3"/>
    <n v="1"/>
    <x v="0"/>
    <s v="Fail"/>
    <n v="98.6"/>
    <s v="%"/>
    <n v="97"/>
    <n v="100"/>
    <x v="101"/>
    <s v="P. Meier"/>
  </r>
  <r>
    <s v="S001281"/>
    <s v="ESS-2025-00286"/>
    <s v="Essential Oil Blend"/>
    <s v="Ashford UK"/>
    <x v="6"/>
    <n v="1"/>
    <x v="0"/>
    <s v="Pass"/>
    <n v="39.93"/>
    <s v="CFU/g"/>
    <n v="0"/>
    <n v="100"/>
    <x v="69"/>
    <s v="M. Toth"/>
  </r>
  <r>
    <s v="S001484"/>
    <s v="ESS-2024-00330"/>
    <s v="Essential Oil Blend"/>
    <s v="East Hanover"/>
    <x v="0"/>
    <n v="1"/>
    <x v="0"/>
    <s v="Pass"/>
    <n v="31.26"/>
    <s v="ppm"/>
    <n v="0"/>
    <n v="120"/>
    <x v="27"/>
    <s v="S. Fischer"/>
  </r>
  <r>
    <s v="S000563"/>
    <s v="ARO-2024-00126"/>
    <s v="Aroma Chemical"/>
    <s v="Vernier CH"/>
    <x v="4"/>
    <n v="1"/>
    <x v="0"/>
    <s v="Pass"/>
    <n v="0.55000000000000004"/>
    <s v="%"/>
    <n v="0"/>
    <n v="1"/>
    <x v="136"/>
    <s v="K. Varga"/>
  </r>
  <r>
    <s v="S000397"/>
    <s v="FOO-2024-00090"/>
    <s v="Food Ingredient Extract"/>
    <s v="Dortmund DE"/>
    <x v="5"/>
    <n v="1"/>
    <x v="0"/>
    <s v="Pass"/>
    <n v="6.87"/>
    <m/>
    <n v="6"/>
    <n v="7.5"/>
    <x v="125"/>
    <s v="J. Nagy"/>
  </r>
  <r>
    <s v="S001648"/>
    <s v="ARO-2025-00369"/>
    <s v="Aroma Chemical"/>
    <s v="East Hanover"/>
    <x v="6"/>
    <n v="1"/>
    <x v="0"/>
    <s v="Fail"/>
    <n v="12.06"/>
    <s v="CFU/g"/>
    <n v="0"/>
    <n v="100"/>
    <x v="102"/>
    <s v="L. Rossi"/>
  </r>
  <r>
    <s v="S001126"/>
    <s v="ESS-2025-00253"/>
    <s v="Essential Oil Blend"/>
    <s v="Dortmund DE"/>
    <x v="0"/>
    <n v="1"/>
    <x v="0"/>
    <s v="Pass"/>
    <n v="30.03"/>
    <s v="ppm"/>
    <n v="0"/>
    <n v="120"/>
    <x v="137"/>
    <s v="P. Meier"/>
  </r>
  <r>
    <s v="S000752"/>
    <s v="ESS-2025-00170"/>
    <s v="Essential Oil Blend"/>
    <s v="East Hanover"/>
    <x v="4"/>
    <n v="1"/>
    <x v="0"/>
    <s v="Pass"/>
    <n v="0.33"/>
    <s v="%"/>
    <n v="0"/>
    <n v="1"/>
    <x v="138"/>
    <s v="M. Toth"/>
  </r>
  <r>
    <s v="S001139"/>
    <s v="FRA-2025-00255"/>
    <s v="Fragrance Oil"/>
    <s v="East Hanover"/>
    <x v="6"/>
    <n v="1"/>
    <x v="1"/>
    <s v="Fail"/>
    <n v="-13.67"/>
    <s v="CFU/g"/>
    <n v="0"/>
    <n v="100"/>
    <x v="139"/>
    <s v="L. Rossi"/>
  </r>
  <r>
    <s v="S001318"/>
    <s v="FLA-2024-00294"/>
    <s v="Flavor Compound"/>
    <s v="Dortmund DE"/>
    <x v="0"/>
    <n v="1"/>
    <x v="0"/>
    <s v="Pass"/>
    <n v="42.98"/>
    <s v="ppm"/>
    <n v="0"/>
    <n v="120"/>
    <x v="97"/>
    <s v="M. Toth"/>
  </r>
  <r>
    <s v="S000351"/>
    <s v="FRA-2025-00079"/>
    <s v="Fragrance Oil"/>
    <s v="Ashford UK"/>
    <x v="6"/>
    <n v="1"/>
    <x v="1"/>
    <s v="Fail"/>
    <n v="-14.05"/>
    <s v="CFU/g"/>
    <n v="0"/>
    <n v="100"/>
    <x v="140"/>
    <s v="S. Fischer"/>
  </r>
  <r>
    <s v="S001026"/>
    <s v="FOO-2025-00231"/>
    <s v="Food Ingredient Extract"/>
    <s v="Budapest"/>
    <x v="5"/>
    <n v="1"/>
    <x v="0"/>
    <s v="Pass"/>
    <n v="6.69"/>
    <m/>
    <n v="6"/>
    <n v="7.5"/>
    <x v="141"/>
    <s v="A. Kovacs"/>
  </r>
  <r>
    <s v="S001905"/>
    <s v="ESS-2025-00426"/>
    <s v="Essential Oil Blend"/>
    <s v="Dortmund DE"/>
    <x v="4"/>
    <n v="1"/>
    <x v="0"/>
    <s v="Pass"/>
    <n v="0.03"/>
    <s v="%"/>
    <n v="0"/>
    <n v="1"/>
    <x v="142"/>
    <s v="S. Fischer"/>
  </r>
  <r>
    <s v="S000526"/>
    <s v="FRA-2024-00118"/>
    <s v="Fragrance Oil"/>
    <s v="Vernier CH"/>
    <x v="2"/>
    <n v="1"/>
    <x v="0"/>
    <s v="Pending"/>
    <n v="224.47"/>
    <s v="um"/>
    <n v="150"/>
    <n v="400"/>
    <x v="143"/>
    <s v="T. Weber"/>
  </r>
  <r>
    <s v="S000821"/>
    <s v="ESS-2024-00186"/>
    <s v="Essential Oil Blend"/>
    <s v="Budapest"/>
    <x v="0"/>
    <n v="1"/>
    <x v="0"/>
    <s v="Pass"/>
    <n v="39.22"/>
    <s v="ppm"/>
    <n v="0"/>
    <n v="120"/>
    <x v="144"/>
    <s v="P. Meier"/>
  </r>
  <r>
    <s v="S000442"/>
    <s v="FOO-2024-00100"/>
    <s v="Food Ingredient Extract"/>
    <s v="Vernier CH"/>
    <x v="3"/>
    <n v="1"/>
    <x v="0"/>
    <s v="Pass"/>
    <n v="98.94"/>
    <s v="%"/>
    <n v="97"/>
    <n v="100"/>
    <x v="145"/>
    <s v="M. Toth"/>
  </r>
  <r>
    <s v="S000147"/>
    <s v="ESS-2025-00035"/>
    <s v="Essential Oil Blend"/>
    <s v="Budapest"/>
    <x v="1"/>
    <n v="1"/>
    <x v="0"/>
    <s v="Fail"/>
    <n v="0.9"/>
    <s v="g/ml"/>
    <n v="0.88"/>
    <n v="0.97"/>
    <x v="146"/>
    <s v="P. Meier"/>
  </r>
  <r>
    <s v="S001619"/>
    <s v="ESS-2024-00361"/>
    <s v="Essential Oil Blend"/>
    <s v="Ashford UK"/>
    <x v="4"/>
    <n v="1"/>
    <x v="0"/>
    <s v="Fail"/>
    <n v="0.22"/>
    <s v="%"/>
    <n v="0"/>
    <n v="1"/>
    <x v="147"/>
    <s v="T. Weber"/>
  </r>
  <r>
    <s v="S000947"/>
    <s v="FLA-2024-00214"/>
    <s v="Flavor Compound"/>
    <s v="East Hanover"/>
    <x v="2"/>
    <n v="1"/>
    <x v="0"/>
    <s v="Pass"/>
    <n v="265.68"/>
    <s v="um"/>
    <n v="150"/>
    <n v="400"/>
    <x v="37"/>
    <s v="S. Fischer"/>
  </r>
  <r>
    <s v="S000864"/>
    <s v="ESS-2024-00196"/>
    <s v="Essential Oil Blend"/>
    <s v="Dortmund DE"/>
    <x v="2"/>
    <n v="1"/>
    <x v="0"/>
    <s v="Fail"/>
    <n v="298.23"/>
    <s v="um"/>
    <n v="150"/>
    <n v="400"/>
    <x v="148"/>
    <s v="L. Rossi"/>
  </r>
  <r>
    <s v="S000238"/>
    <s v="FRA-2024-00054"/>
    <s v="Fragrance Oil"/>
    <s v="East Hanover"/>
    <x v="3"/>
    <n v="1"/>
    <x v="0"/>
    <s v="Pass"/>
    <n v="99.24"/>
    <s v="%"/>
    <n v="97"/>
    <n v="100"/>
    <x v="149"/>
    <s v="J NAGY"/>
  </r>
  <r>
    <s v="S001873"/>
    <s v="ESS-2024-00419"/>
    <s v="Essential Oil Blend"/>
    <s v="East Hanover"/>
    <x v="3"/>
    <n v="1"/>
    <x v="0"/>
    <s v="Pass"/>
    <n v="98.18"/>
    <s v="%"/>
    <n v="97"/>
    <n v="100"/>
    <x v="99"/>
    <s v="M. Toth"/>
  </r>
  <r>
    <s v="S000562"/>
    <s v="ARO-2024-00126"/>
    <s v="Aroma Chemical"/>
    <s v="Vernier CH"/>
    <x v="2"/>
    <n v="1"/>
    <x v="0"/>
    <s v="Pass"/>
    <n v="287.5"/>
    <s v="um"/>
    <n v="150"/>
    <n v="400"/>
    <x v="136"/>
    <s v="M. Toth"/>
  </r>
  <r>
    <s v="S000670"/>
    <s v="FOO-2025-00153"/>
    <s v="Food Ingredient Extract"/>
    <s v="Dortmund DE"/>
    <x v="0"/>
    <n v="1"/>
    <x v="0"/>
    <s v="Fail"/>
    <n v="23.76"/>
    <s v="ppm"/>
    <n v="0"/>
    <n v="120"/>
    <x v="35"/>
    <s v="J NAGY"/>
  </r>
  <r>
    <s v="S000929"/>
    <s v="ARO-2025-00211"/>
    <s v="Aroma Chemical"/>
    <s v="Ashford UK"/>
    <x v="0"/>
    <n v="1"/>
    <x v="0"/>
    <s v="Fail"/>
    <n v="46.63"/>
    <s v="ppm"/>
    <n v="0"/>
    <n v="120"/>
    <x v="150"/>
    <s v="M. Toth"/>
  </r>
  <r>
    <s v="S001716"/>
    <s v="FLA-2024-00383"/>
    <s v="Flavor Compound"/>
    <s v="Dortmund DE"/>
    <x v="2"/>
    <n v="1"/>
    <x v="0"/>
    <s v="Pass"/>
    <n v="211.86"/>
    <s v="um"/>
    <n v="150"/>
    <n v="400"/>
    <x v="151"/>
    <s v="M. Toth"/>
  </r>
  <r>
    <s v="S001641"/>
    <s v="ARO-2024-00368"/>
    <s v="Aroma Chemical"/>
    <s v="Vernier CH"/>
    <x v="3"/>
    <n v="1"/>
    <x v="0"/>
    <s v="Fail"/>
    <n v="98.8"/>
    <s v="%"/>
    <n v="97"/>
    <n v="100"/>
    <x v="152"/>
    <s v="M. Toth"/>
  </r>
  <r>
    <s v="S000755"/>
    <s v="ARO-2025-00171"/>
    <s v="Aroma Chemical"/>
    <s v="Ashford UK"/>
    <x v="3"/>
    <n v="1"/>
    <x v="0"/>
    <s v="Pass"/>
    <n v="99.3"/>
    <s v="%"/>
    <n v="97"/>
    <n v="100"/>
    <x v="153"/>
    <s v="M. Toth"/>
  </r>
  <r>
    <s v="S001969"/>
    <s v="FRA-2025-00440"/>
    <s v="Fragrance Oil"/>
    <s v="Dortmund DE"/>
    <x v="4"/>
    <n v="1"/>
    <x v="0"/>
    <s v="Pass"/>
    <n v="0.46"/>
    <s v="%"/>
    <n v="0"/>
    <n v="1"/>
    <x v="154"/>
    <s v="T. Weber"/>
  </r>
  <r>
    <s v="S001324"/>
    <s v="FLA-2024-00295"/>
    <s v="Flavor Compound"/>
    <s v="East Hanover"/>
    <x v="3"/>
    <n v="1"/>
    <x v="0"/>
    <s v="Pass"/>
    <n v="99.25"/>
    <s v="%"/>
    <n v="97"/>
    <n v="100"/>
    <x v="155"/>
    <s v="M. Toth"/>
  </r>
  <r>
    <s v="S001447"/>
    <s v="FLA-2024-00323"/>
    <s v="Flavor Compound"/>
    <s v="Ashford UK"/>
    <x v="5"/>
    <n v="1"/>
    <x v="0"/>
    <s v="Pass"/>
    <n v="6.83"/>
    <m/>
    <n v="6"/>
    <n v="7.5"/>
    <x v="68"/>
    <s v="A. Kovacs"/>
  </r>
  <r>
    <s v="S000501"/>
    <s v="FLA-2025-00112"/>
    <s v="Flavor Compound"/>
    <s v="Budapest"/>
    <x v="3"/>
    <n v="1"/>
    <x v="0"/>
    <s v="Pass"/>
    <n v="98.7"/>
    <s v="%"/>
    <n v="97"/>
    <n v="100"/>
    <x v="42"/>
    <s v="K. Varga"/>
  </r>
  <r>
    <s v="S000439"/>
    <s v="ESS-2024-00099"/>
    <s v="Essential Oil Blend"/>
    <s v="Vernier CH"/>
    <x v="5"/>
    <n v="1"/>
    <x v="0"/>
    <s v="Fail"/>
    <n v="7.25"/>
    <m/>
    <n v="6"/>
    <n v="7.5"/>
    <x v="156"/>
    <s v="J. Nagy"/>
  </r>
  <r>
    <s v="S001935"/>
    <s v="ARO-2025-00433"/>
    <s v="Aroma Chemical"/>
    <s v="Ashford UK"/>
    <x v="4"/>
    <n v="1"/>
    <x v="0"/>
    <s v="Pass"/>
    <n v="0.37"/>
    <s v="%"/>
    <n v="0"/>
    <n v="1"/>
    <x v="157"/>
    <s v="M. Toth"/>
  </r>
  <r>
    <s v="S000664"/>
    <s v="ARO-2025-00151"/>
    <s v="Aroma Chemical"/>
    <s v="East Hanover"/>
    <x v="6"/>
    <n v="1"/>
    <x v="0"/>
    <s v="Pass"/>
    <n v="15.37"/>
    <s v="CFU/g"/>
    <n v="0"/>
    <n v="100"/>
    <x v="158"/>
    <s v="L. Rossi"/>
  </r>
  <r>
    <s v="S001977"/>
    <s v="FLA-2025-00442"/>
    <s v="Flavor Compound"/>
    <s v="Ashford UK"/>
    <x v="2"/>
    <n v="1"/>
    <x v="0"/>
    <s v="Pass"/>
    <n v="279.37"/>
    <s v="um"/>
    <n v="150"/>
    <n v="400"/>
    <x v="159"/>
    <s v="K. Varga"/>
  </r>
  <r>
    <s v="S000726"/>
    <s v="FLA-2025-00164"/>
    <s v="Flavor Compound"/>
    <s v="East Hanover"/>
    <x v="0"/>
    <n v="1"/>
    <x v="0"/>
    <s v="Pass"/>
    <n v="65.23"/>
    <s v="ppm"/>
    <n v="0"/>
    <n v="120"/>
    <x v="160"/>
    <s v="T. Weber"/>
  </r>
  <r>
    <s v="S001288"/>
    <s v="ARO-2024-00288"/>
    <s v="Aroma Chemical"/>
    <s v="Budapest"/>
    <x v="5"/>
    <n v="1"/>
    <x v="0"/>
    <s v="Pass"/>
    <n v="6.13"/>
    <m/>
    <n v="6"/>
    <n v="7.5"/>
    <x v="161"/>
    <s v="S. Fischer"/>
  </r>
  <r>
    <s v="S000263"/>
    <s v="ARO-2025-00060"/>
    <s v="Aroma Chemical"/>
    <s v="Ashford UK"/>
    <x v="2"/>
    <n v="1"/>
    <x v="0"/>
    <s v="Pass"/>
    <n v="236.98"/>
    <s v="um"/>
    <n v="150"/>
    <n v="400"/>
    <x v="162"/>
    <s v="M. Toth"/>
  </r>
  <r>
    <s v="S000142"/>
    <s v="FOO-2024-00034"/>
    <s v="Food Ingredient Extract"/>
    <s v="Vernier CH"/>
    <x v="2"/>
    <n v="1"/>
    <x v="0"/>
    <s v="Pass"/>
    <n v="250.46"/>
    <s v="um"/>
    <n v="150"/>
    <n v="400"/>
    <x v="1"/>
    <s v="P. Meier"/>
  </r>
  <r>
    <s v="S000352"/>
    <s v="FRA-2025-00079"/>
    <s v="Fragrance Oil"/>
    <s v="Ashford UK"/>
    <x v="4"/>
    <n v="1"/>
    <x v="0"/>
    <s v="Fail"/>
    <n v="0.36"/>
    <s v="%"/>
    <n v="0"/>
    <n v="1"/>
    <x v="140"/>
    <s v="K. Varga"/>
  </r>
  <r>
    <s v="S000368"/>
    <s v="ARO-2025-00083"/>
    <s v="Aroma Chemical"/>
    <s v="Ashford UK"/>
    <x v="6"/>
    <n v="1"/>
    <x v="0"/>
    <s v="Pass"/>
    <n v="5.08"/>
    <s v="CFU/g"/>
    <n v="0"/>
    <n v="100"/>
    <x v="128"/>
    <s v="L. Rossi"/>
  </r>
  <r>
    <s v="S001862"/>
    <s v="ESS-2025-00416"/>
    <s v="Essential Oil Blend"/>
    <s v="Ashford UK"/>
    <x v="4"/>
    <n v="1"/>
    <x v="0"/>
    <s v="Fail"/>
    <n v="0.43"/>
    <s v="%"/>
    <n v="0"/>
    <n v="1"/>
    <x v="71"/>
    <s v="J NAGY"/>
  </r>
  <r>
    <s v="S000312"/>
    <s v="FLA-2025-00070"/>
    <s v="Flavor Compound"/>
    <s v="Budapest"/>
    <x v="5"/>
    <n v="1"/>
    <x v="0"/>
    <s v="Pass"/>
    <n v="7.04"/>
    <m/>
    <n v="6"/>
    <n v="7.5"/>
    <x v="163"/>
    <s v="S. Fischer"/>
  </r>
  <r>
    <s v="S001128"/>
    <s v="ESS-2025-00253"/>
    <s v="Essential Oil Blend"/>
    <s v="Dortmund DE"/>
    <x v="2"/>
    <n v="1"/>
    <x v="0"/>
    <s v="Pass"/>
    <n v="306.43"/>
    <s v="um"/>
    <n v="150"/>
    <n v="400"/>
    <x v="137"/>
    <s v="A. Kovacs"/>
  </r>
  <r>
    <s v="S001986"/>
    <s v="ESS-2025-00443"/>
    <s v="Essential Oil Blend"/>
    <s v="Ashford UK"/>
    <x v="1"/>
    <n v="1"/>
    <x v="0"/>
    <s v="Fail"/>
    <n v="0.96"/>
    <s v="g/ml"/>
    <n v="0.88"/>
    <n v="0.97"/>
    <x v="53"/>
    <s v="M. Toth"/>
  </r>
  <r>
    <s v="S000455"/>
    <s v="FOO-2024-00102"/>
    <s v="Food Ingredient Extract"/>
    <s v="Budapest"/>
    <x v="1"/>
    <n v="1"/>
    <x v="0"/>
    <s v="Pass"/>
    <n v="0.93"/>
    <s v="g/ml"/>
    <n v="0.88"/>
    <n v="0.97"/>
    <x v="108"/>
    <s v="K. Varga"/>
  </r>
  <r>
    <s v="S001294"/>
    <s v="FOO-2024-00289"/>
    <s v="Food Ingredient Extract"/>
    <s v="East Hanover"/>
    <x v="4"/>
    <n v="1"/>
    <x v="0"/>
    <s v="Pass"/>
    <n v="0.44"/>
    <s v="%"/>
    <n v="0"/>
    <n v="1"/>
    <x v="164"/>
    <s v="K. Varga"/>
  </r>
  <r>
    <s v="S001684"/>
    <s v="FRA-2024-00377"/>
    <s v="Fragrance Oil"/>
    <s v="Dortmund DE"/>
    <x v="5"/>
    <n v="1"/>
    <x v="0"/>
    <s v="Pass"/>
    <n v="7.05"/>
    <m/>
    <n v="6"/>
    <n v="7.5"/>
    <x v="165"/>
    <s v="L. Rossi"/>
  </r>
  <r>
    <s v="S001635"/>
    <s v="ESS-2024-00366"/>
    <s v="Essential Oil Blend"/>
    <s v="Budapest"/>
    <x v="0"/>
    <n v="1"/>
    <x v="0"/>
    <s v="Pass"/>
    <n v="80.27"/>
    <s v="ppm"/>
    <n v="0"/>
    <n v="120"/>
    <x v="125"/>
    <s v="M. Toth"/>
  </r>
  <r>
    <s v="S001173"/>
    <s v="ARO-2024-00263"/>
    <s v="Aroma Chemical"/>
    <s v="Budapest"/>
    <x v="0"/>
    <n v="0"/>
    <x v="2"/>
    <s v="Pending"/>
    <m/>
    <s v="ppm"/>
    <n v="0"/>
    <n v="120"/>
    <x v="66"/>
    <s v="S. Fischer"/>
  </r>
  <r>
    <s v="S000342"/>
    <s v="FRA-2024-00077"/>
    <s v="Fragrance Oil"/>
    <s v="Vernier CH"/>
    <x v="5"/>
    <n v="1"/>
    <x v="0"/>
    <s v="Pass"/>
    <n v="6"/>
    <m/>
    <n v="6"/>
    <n v="7.5"/>
    <x v="56"/>
    <s v="K. Varga"/>
  </r>
  <r>
    <s v="S000684"/>
    <s v="ARO-2025-00156"/>
    <s v="Aroma Chemical"/>
    <s v="Dortmund DE"/>
    <x v="5"/>
    <n v="1"/>
    <x v="0"/>
    <s v="Pass"/>
    <n v="6.97"/>
    <m/>
    <n v="6"/>
    <n v="7.5"/>
    <x v="116"/>
    <s v="M. Toth"/>
  </r>
  <r>
    <s v="S000962"/>
    <s v="FRA-2024-00218"/>
    <s v="Fragrance Oil"/>
    <s v="Ashford UK"/>
    <x v="0"/>
    <n v="1"/>
    <x v="0"/>
    <s v="Pass"/>
    <n v="54.84"/>
    <s v="ppm"/>
    <n v="0"/>
    <n v="120"/>
    <x v="166"/>
    <s v="J. Nagy"/>
  </r>
  <r>
    <s v="S001792"/>
    <s v="ARO-2024-00401"/>
    <s v="Aroma Chemical"/>
    <s v="Budapest"/>
    <x v="2"/>
    <n v="1"/>
    <x v="0"/>
    <s v="Pending"/>
    <n v="200.64"/>
    <s v="um"/>
    <n v="150"/>
    <n v="400"/>
    <x v="167"/>
    <s v="J. Nagy"/>
  </r>
  <r>
    <s v="S000856"/>
    <s v="ARO-2024-00194"/>
    <s v="Aroma Chemical"/>
    <s v="Dortmund DE"/>
    <x v="6"/>
    <n v="1"/>
    <x v="0"/>
    <s v="Pass"/>
    <n v="25.66"/>
    <s v="CFU/g"/>
    <n v="0"/>
    <n v="100"/>
    <x v="168"/>
    <s v="T. Weber"/>
  </r>
  <r>
    <s v="S001418"/>
    <s v="ARO-2025-00316"/>
    <s v="Aroma Chemical"/>
    <s v="Ashford UK"/>
    <x v="5"/>
    <n v="1"/>
    <x v="0"/>
    <s v="Fail"/>
    <n v="7.14"/>
    <m/>
    <n v="6"/>
    <n v="7.5"/>
    <x v="98"/>
    <s v="P. Meier"/>
  </r>
  <r>
    <s v="S000180"/>
    <s v="ARO-2025-00042"/>
    <s v="Aroma Chemical"/>
    <s v="Vernier CH"/>
    <x v="0"/>
    <n v="1"/>
    <x v="0"/>
    <s v="Pass"/>
    <n v="80.89"/>
    <s v="ppm"/>
    <n v="0"/>
    <n v="120"/>
    <x v="18"/>
    <s v="T. Weber"/>
  </r>
  <r>
    <s v="S000978"/>
    <s v="FLA-2025-00221"/>
    <s v="Flavor Compound"/>
    <s v="Dortmund DE"/>
    <x v="5"/>
    <n v="1"/>
    <x v="0"/>
    <s v="Fail"/>
    <n v="6.09"/>
    <m/>
    <n v="6"/>
    <n v="7.5"/>
    <x v="6"/>
    <s v="M. Toth"/>
  </r>
  <r>
    <s v="S000807"/>
    <s v="ESS-2025-00183"/>
    <s v="Essential Oil Blend"/>
    <s v="East Hanover"/>
    <x v="0"/>
    <n v="1"/>
    <x v="0"/>
    <s v="Pending"/>
    <n v="1.84"/>
    <s v="ppm"/>
    <n v="0"/>
    <n v="120"/>
    <x v="169"/>
    <s v="S. Fischer"/>
  </r>
  <r>
    <s v="S000398"/>
    <s v="FOO-2024-00090"/>
    <s v="Food Ingredient Extract"/>
    <s v="Dortmund DE"/>
    <x v="3"/>
    <n v="1"/>
    <x v="0"/>
    <s v="Pass"/>
    <n v="98.37"/>
    <s v="%"/>
    <n v="97"/>
    <n v="100"/>
    <x v="125"/>
    <s v="L. Rossi"/>
  </r>
  <r>
    <s v="S001314"/>
    <s v="FOO-2025-00293"/>
    <s v="Food Ingredient Extract"/>
    <s v="Vernier CH"/>
    <x v="4"/>
    <n v="1"/>
    <x v="0"/>
    <s v="Fail"/>
    <n v="0.21"/>
    <s v="%"/>
    <n v="0"/>
    <n v="1"/>
    <x v="128"/>
    <s v="S. Fischer"/>
  </r>
  <r>
    <s v="S000341"/>
    <s v="FRA-2024-00077"/>
    <s v="Fragrance Oil"/>
    <s v="Vernier CH"/>
    <x v="6"/>
    <n v="1"/>
    <x v="0"/>
    <s v="Pass"/>
    <n v="33.119999999999997"/>
    <s v="CFU/g"/>
    <n v="0"/>
    <n v="100"/>
    <x v="56"/>
    <s v="L. Rossi"/>
  </r>
  <r>
    <s v="S000597"/>
    <s v="ARO-2025-00134"/>
    <s v="Aroma Chemical"/>
    <s v="Dortmund DE"/>
    <x v="5"/>
    <n v="1"/>
    <x v="0"/>
    <s v="Pass"/>
    <n v="6.71"/>
    <m/>
    <n v="6"/>
    <n v="7.5"/>
    <x v="104"/>
    <s v="L. Rossi"/>
  </r>
  <r>
    <s v="S001134"/>
    <s v="FRA-2025-00255"/>
    <s v="Fragrance Oil"/>
    <s v="East Hanover"/>
    <x v="1"/>
    <n v="1"/>
    <x v="0"/>
    <s v="Fail"/>
    <n v="0.96"/>
    <s v="g/ml"/>
    <n v="0.88"/>
    <n v="0.97"/>
    <x v="139"/>
    <s v="S. Fischer"/>
  </r>
  <r>
    <s v="S001950"/>
    <s v="ESS-2025-00436"/>
    <s v="Essential Oil Blend"/>
    <s v="East Hanover"/>
    <x v="2"/>
    <n v="1"/>
    <x v="0"/>
    <s v="Pass"/>
    <n v="196.59"/>
    <s v="um"/>
    <n v="150"/>
    <n v="400"/>
    <x v="170"/>
    <s v="J NAGY"/>
  </r>
  <r>
    <s v="S000480"/>
    <s v="FRA-2024-00108"/>
    <s v="Fragrance Oil"/>
    <s v="Ashford UK"/>
    <x v="1"/>
    <n v="1"/>
    <x v="0"/>
    <s v="Pass"/>
    <n v="0.92"/>
    <s v="g/ml"/>
    <n v="0.88"/>
    <n v="0.97"/>
    <x v="84"/>
    <s v="S. Fischer"/>
  </r>
  <r>
    <s v="S000805"/>
    <s v="ESS-2025-00183"/>
    <s v="Essential Oil Blend"/>
    <s v="East Hanover"/>
    <x v="5"/>
    <n v="1"/>
    <x v="0"/>
    <s v="Pending"/>
    <n v="6.95"/>
    <m/>
    <n v="6"/>
    <n v="7.5"/>
    <x v="169"/>
    <s v="L. Rossi"/>
  </r>
  <r>
    <s v="S000730"/>
    <s v="FOO-2025-00166"/>
    <s v="Food Ingredient Extract"/>
    <s v="East Hanover"/>
    <x v="2"/>
    <n v="1"/>
    <x v="0"/>
    <s v="Fail"/>
    <n v="224.25"/>
    <s v="um"/>
    <n v="150"/>
    <n v="400"/>
    <x v="121"/>
    <s v="P. Meier"/>
  </r>
  <r>
    <s v="S001028"/>
    <s v="FOO-2025-00231"/>
    <s v="Food Ingredient Extract"/>
    <s v="Budapest"/>
    <x v="0"/>
    <n v="1"/>
    <x v="0"/>
    <s v="Pass"/>
    <n v="33.9"/>
    <s v="ppm"/>
    <n v="0"/>
    <n v="120"/>
    <x v="141"/>
    <s v="M. Toth"/>
  </r>
  <r>
    <s v="S000072"/>
    <s v="ESS-2024-00017"/>
    <s v="Essential Oil Blend"/>
    <s v="Vernier CH"/>
    <x v="1"/>
    <n v="1"/>
    <x v="0"/>
    <s v="Pass"/>
    <n v="0.9"/>
    <s v="g/ml"/>
    <n v="0.88"/>
    <n v="0.97"/>
    <x v="171"/>
    <s v="J. Nagy"/>
  </r>
  <r>
    <s v="S001170"/>
    <s v="ARO-2024-00263"/>
    <s v="Aroma Chemical"/>
    <s v="Budapest"/>
    <x v="4"/>
    <n v="1"/>
    <x v="0"/>
    <s v="Pending"/>
    <n v="0.44"/>
    <s v="%"/>
    <n v="0"/>
    <n v="1"/>
    <x v="66"/>
    <s v="M. Toth"/>
  </r>
  <r>
    <s v="S001734"/>
    <s v="ARO-2024-00388"/>
    <s v="Aroma Chemical"/>
    <s v="Vernier CH"/>
    <x v="1"/>
    <n v="1"/>
    <x v="0"/>
    <s v="Pending"/>
    <n v="0.92"/>
    <s v="g/ml"/>
    <n v="0.88"/>
    <n v="0.97"/>
    <x v="11"/>
    <s v="P. Meier"/>
  </r>
  <r>
    <s v="S001724"/>
    <s v="FRA-2025-00386"/>
    <s v="Fragrance Oil"/>
    <s v="Ashford UK"/>
    <x v="0"/>
    <n v="1"/>
    <x v="0"/>
    <s v="Pass"/>
    <n v="57.87"/>
    <s v="ppm"/>
    <n v="0"/>
    <n v="120"/>
    <x v="172"/>
    <s v="M. Toth"/>
  </r>
  <r>
    <s v="S000309"/>
    <s v="FLA-2025-00070"/>
    <s v="Flavor Compound"/>
    <s v="Budapest"/>
    <x v="2"/>
    <n v="1"/>
    <x v="0"/>
    <s v="Pass"/>
    <n v="231.86"/>
    <s v="um"/>
    <n v="150"/>
    <n v="400"/>
    <x v="163"/>
    <s v="M. Toth"/>
  </r>
  <r>
    <s v="S000572"/>
    <s v="FRA-2024-00129"/>
    <s v="Fragrance Oil"/>
    <s v="Ashford UK"/>
    <x v="6"/>
    <n v="1"/>
    <x v="0"/>
    <s v="Pass"/>
    <n v="8.41"/>
    <s v="CFU/g"/>
    <n v="0"/>
    <n v="100"/>
    <x v="101"/>
    <s v="M. Toth"/>
  </r>
  <r>
    <s v="S001889"/>
    <s v="FOO-2025-00423"/>
    <s v="Food Ingredient Extract"/>
    <s v="Dortmund DE"/>
    <x v="6"/>
    <n v="1"/>
    <x v="1"/>
    <s v="Fail"/>
    <n v="-4.79"/>
    <s v="CFU/g"/>
    <n v="0"/>
    <n v="100"/>
    <x v="173"/>
    <s v="S. Fischer"/>
  </r>
  <r>
    <s v="S000299"/>
    <s v="FRA-2024-00067"/>
    <s v="Fragrance Oil"/>
    <s v="Vernier CH"/>
    <x v="6"/>
    <n v="1"/>
    <x v="0"/>
    <s v="Fail"/>
    <n v="12.02"/>
    <s v="CFU/g"/>
    <n v="0"/>
    <n v="100"/>
    <x v="132"/>
    <s v="P. Meier"/>
  </r>
  <r>
    <s v="S000201"/>
    <s v="ARO-2025-00046"/>
    <s v="Aroma Chemical"/>
    <s v="Vernier CH"/>
    <x v="1"/>
    <n v="1"/>
    <x v="0"/>
    <s v="Pass"/>
    <n v="0.89"/>
    <s v="g/ml"/>
    <n v="0.88"/>
    <n v="0.97"/>
    <x v="116"/>
    <s v="L. Rossi"/>
  </r>
  <r>
    <s v="S001906"/>
    <s v="FOO-2025-00427"/>
    <s v="Food Ingredient Extract"/>
    <s v="Dortmund DE"/>
    <x v="3"/>
    <n v="1"/>
    <x v="0"/>
    <s v="Pass"/>
    <n v="98.81"/>
    <s v="%"/>
    <n v="97"/>
    <n v="100"/>
    <x v="174"/>
    <s v="J. Nagy"/>
  </r>
  <r>
    <s v="S001510"/>
    <s v="FLA-2025-00336"/>
    <s v="Flavor Compound"/>
    <s v="Budapest"/>
    <x v="2"/>
    <n v="1"/>
    <x v="0"/>
    <s v="Pass"/>
    <n v="287.08"/>
    <s v="um"/>
    <n v="150"/>
    <n v="400"/>
    <x v="61"/>
    <s v="K. Varga"/>
  </r>
  <r>
    <s v="S001123"/>
    <s v="FRA-2025-00252"/>
    <s v="Fragrance Oil"/>
    <s v="Budapest"/>
    <x v="0"/>
    <n v="1"/>
    <x v="0"/>
    <s v="Fail"/>
    <n v="65.19"/>
    <s v="ppm"/>
    <n v="0"/>
    <n v="120"/>
    <x v="175"/>
    <s v="P. Meier"/>
  </r>
  <r>
    <s v="S001742"/>
    <s v="FOO-2024-00389"/>
    <s v="Food Ingredient Extract"/>
    <s v="Ashford UK"/>
    <x v="6"/>
    <n v="1"/>
    <x v="0"/>
    <s v="Pass"/>
    <n v="57.12"/>
    <s v="CFU/g"/>
    <n v="0"/>
    <n v="100"/>
    <x v="5"/>
    <s v="P. Meier"/>
  </r>
  <r>
    <s v="S001335"/>
    <s v="FRA-2024-00298"/>
    <s v="Fragrance Oil"/>
    <s v="Ashford UK"/>
    <x v="5"/>
    <n v="1"/>
    <x v="0"/>
    <s v="Pass"/>
    <n v="7.02"/>
    <m/>
    <n v="6"/>
    <n v="7.5"/>
    <x v="176"/>
    <s v="K. Varga"/>
  </r>
  <r>
    <s v="S000505"/>
    <s v="FOO-2025-00113"/>
    <s v="Food Ingredient Extract"/>
    <s v="Ashford UK"/>
    <x v="6"/>
    <n v="1"/>
    <x v="1"/>
    <s v="Fail"/>
    <n v="-1.53"/>
    <s v="CFU/g"/>
    <n v="0"/>
    <n v="100"/>
    <x v="177"/>
    <s v="L. Rossi"/>
  </r>
  <r>
    <s v="S000780"/>
    <s v="ARO-2025-00177"/>
    <s v="Aroma Chemical"/>
    <s v="Budapest"/>
    <x v="1"/>
    <n v="1"/>
    <x v="0"/>
    <s v="Pending"/>
    <n v="0.96"/>
    <s v="g/ml"/>
    <n v="0.88"/>
    <n v="0.97"/>
    <x v="178"/>
    <s v="T. Weber"/>
  </r>
  <r>
    <s v="S000621"/>
    <s v="ARO-2024-00140"/>
    <s v="Aroma Chemical"/>
    <s v="Budapest"/>
    <x v="0"/>
    <n v="1"/>
    <x v="0"/>
    <s v="Fail"/>
    <n v="66.290000000000006"/>
    <s v="ppm"/>
    <n v="0"/>
    <n v="120"/>
    <x v="122"/>
    <s v="M. Toth"/>
  </r>
  <r>
    <s v="S001601"/>
    <s v="FRA-2024-00357"/>
    <s v="Fragrance Oil"/>
    <s v="Ashford UK"/>
    <x v="1"/>
    <n v="1"/>
    <x v="0"/>
    <s v="Pass"/>
    <n v="0.96"/>
    <s v="g/ml"/>
    <n v="0.88"/>
    <n v="0.97"/>
    <x v="179"/>
    <s v="L. Rossi"/>
  </r>
  <r>
    <s v="S001140"/>
    <s v="ARO-2025-00256"/>
    <s v="Aroma Chemical"/>
    <s v="Ashford UK"/>
    <x v="2"/>
    <n v="1"/>
    <x v="0"/>
    <s v="Pass"/>
    <n v="279.74"/>
    <s v="um"/>
    <n v="150"/>
    <n v="400"/>
    <x v="180"/>
    <s v="M. Toth"/>
  </r>
  <r>
    <s v="S001021"/>
    <s v="ARO-2025-00230"/>
    <s v="Aroma Chemical"/>
    <s v="Ashford UK"/>
    <x v="1"/>
    <n v="1"/>
    <x v="0"/>
    <s v="Pass"/>
    <n v="0.92"/>
    <s v="g/ml"/>
    <n v="0.88"/>
    <n v="0.97"/>
    <x v="181"/>
    <s v="M. Toth"/>
  </r>
  <r>
    <s v="S000117"/>
    <s v="ESS-2025-00027"/>
    <s v="Essential Oil Blend"/>
    <s v="East Hanover"/>
    <x v="0"/>
    <n v="1"/>
    <x v="0"/>
    <s v="Pass"/>
    <n v="15.11"/>
    <s v="ppm"/>
    <n v="0"/>
    <n v="120"/>
    <x v="182"/>
    <s v="M. Toth"/>
  </r>
  <r>
    <s v="S001672"/>
    <s v="FRA-2025-00374"/>
    <s v="Fragrance Oil"/>
    <s v="East Hanover"/>
    <x v="2"/>
    <n v="1"/>
    <x v="0"/>
    <s v="Pass"/>
    <n v="281.07"/>
    <s v="um"/>
    <n v="150"/>
    <n v="400"/>
    <x v="40"/>
    <s v="M. Toth"/>
  </r>
  <r>
    <s v="S001780"/>
    <s v="FOO-2025-00398"/>
    <s v="Food Ingredient Extract"/>
    <s v="Dortmund DE"/>
    <x v="5"/>
    <n v="1"/>
    <x v="0"/>
    <s v="Pass"/>
    <n v="7.02"/>
    <m/>
    <n v="6"/>
    <n v="7.5"/>
    <x v="183"/>
    <s v="P. Meier"/>
  </r>
  <r>
    <s v="S000005"/>
    <s v="ARO-2025-00002"/>
    <s v="Aroma Chemical"/>
    <s v="East Hanover"/>
    <x v="2"/>
    <n v="1"/>
    <x v="0"/>
    <s v="Pass"/>
    <n v="233.74"/>
    <s v="um"/>
    <n v="150"/>
    <n v="400"/>
    <x v="110"/>
    <s v="L. Rossi"/>
  </r>
  <r>
    <s v="S000652"/>
    <s v="FRA-2024-00149"/>
    <s v="Fragrance Oil"/>
    <s v="Budapest"/>
    <x v="2"/>
    <n v="1"/>
    <x v="0"/>
    <s v="Pass"/>
    <n v="288.73"/>
    <s v="um"/>
    <n v="150"/>
    <n v="400"/>
    <x v="58"/>
    <s v="L. Rossi"/>
  </r>
  <r>
    <s v="S000047"/>
    <s v="FOO-2024-00011"/>
    <s v="Food Ingredient Extract"/>
    <s v="Budapest"/>
    <x v="3"/>
    <n v="1"/>
    <x v="1"/>
    <s v="Fail"/>
    <n v="101.8"/>
    <s v="%"/>
    <n v="97"/>
    <n v="100"/>
    <x v="184"/>
    <s v="J. Nagy"/>
  </r>
  <r>
    <s v="S000329"/>
    <s v="FRA-2024-00075"/>
    <s v="Fragrance Oil"/>
    <s v="East Hanover"/>
    <x v="5"/>
    <n v="1"/>
    <x v="0"/>
    <s v="Pass"/>
    <n v="7.17"/>
    <m/>
    <n v="6"/>
    <n v="7.5"/>
    <x v="82"/>
    <s v="P. Meier"/>
  </r>
  <r>
    <s v="S000279"/>
    <s v="ARO-2024-00064"/>
    <s v="Aroma Chemical"/>
    <s v="Dortmund DE"/>
    <x v="3"/>
    <n v="1"/>
    <x v="0"/>
    <s v="Fail"/>
    <n v="98.64"/>
    <s v="%"/>
    <n v="97"/>
    <n v="100"/>
    <x v="185"/>
    <s v="T. Weber"/>
  </r>
  <r>
    <s v="S000456"/>
    <s v="FRA-2024-00103"/>
    <s v="Fragrance Oil"/>
    <s v="East Hanover"/>
    <x v="6"/>
    <n v="1"/>
    <x v="1"/>
    <s v="Fail"/>
    <n v="-27.79"/>
    <s v="CFU/g"/>
    <n v="0"/>
    <n v="100"/>
    <x v="186"/>
    <s v="S. Fischer"/>
  </r>
  <r>
    <s v="S000448"/>
    <s v="FLA-2025-00101"/>
    <s v="Flavor Compound"/>
    <s v="Vernier CH"/>
    <x v="4"/>
    <n v="1"/>
    <x v="0"/>
    <s v="Pass"/>
    <n v="0.36"/>
    <s v="%"/>
    <n v="0"/>
    <n v="1"/>
    <x v="86"/>
    <s v="P. Meier"/>
  </r>
  <r>
    <s v="S001436"/>
    <s v="ARO-2025-00320"/>
    <s v="Aroma Chemical"/>
    <s v="Vernier CH"/>
    <x v="3"/>
    <n v="1"/>
    <x v="0"/>
    <s v="Pass"/>
    <n v="98.05"/>
    <s v="%"/>
    <n v="97"/>
    <n v="100"/>
    <x v="76"/>
    <s v="J NAGY"/>
  </r>
  <r>
    <s v="S001489"/>
    <s v="FOO-2024-00331"/>
    <s v="Food Ingredient Extract"/>
    <s v="Dortmund DE"/>
    <x v="3"/>
    <n v="1"/>
    <x v="0"/>
    <s v="Pass"/>
    <n v="98.6"/>
    <s v="%"/>
    <n v="97"/>
    <n v="100"/>
    <x v="152"/>
    <s v="J NAGY"/>
  </r>
  <r>
    <s v="S001611"/>
    <s v="ESS-2024-00359"/>
    <s v="Essential Oil Blend"/>
    <s v="Ashford UK"/>
    <x v="4"/>
    <n v="1"/>
    <x v="0"/>
    <s v="Pass"/>
    <n v="0.22"/>
    <s v="%"/>
    <n v="0"/>
    <n v="1"/>
    <x v="187"/>
    <s v="M. Toth"/>
  </r>
  <r>
    <s v="S000745"/>
    <s v="FOO-2024-00169"/>
    <s v="Food Ingredient Extract"/>
    <s v="East Hanover"/>
    <x v="1"/>
    <n v="1"/>
    <x v="1"/>
    <s v="Fail"/>
    <n v="0.85"/>
    <s v="g/ml"/>
    <n v="0.88"/>
    <n v="0.97"/>
    <x v="188"/>
    <s v="K. Varga"/>
  </r>
  <r>
    <s v="S001078"/>
    <s v="FOO-2024-00241"/>
    <s v="Food Ingredient Extract"/>
    <s v="Dortmund DE"/>
    <x v="1"/>
    <n v="1"/>
    <x v="0"/>
    <s v="Pending"/>
    <n v="0.94"/>
    <s v="g/ml"/>
    <n v="0.88"/>
    <n v="0.97"/>
    <x v="74"/>
    <s v="M. Toth"/>
  </r>
  <r>
    <s v="S000573"/>
    <s v="FRA-2024-00129"/>
    <s v="Fragrance Oil"/>
    <s v="Ashford UK"/>
    <x v="2"/>
    <n v="1"/>
    <x v="0"/>
    <s v="Pass"/>
    <n v="271.87"/>
    <s v="um"/>
    <n v="150"/>
    <n v="400"/>
    <x v="101"/>
    <s v="S. Fischer"/>
  </r>
  <r>
    <s v="S000475"/>
    <s v="FRA-2025-00107"/>
    <s v="Fragrance Oil"/>
    <s v="East Hanover"/>
    <x v="3"/>
    <n v="1"/>
    <x v="0"/>
    <s v="Pass"/>
    <n v="98.09"/>
    <s v="%"/>
    <n v="97"/>
    <n v="100"/>
    <x v="48"/>
    <s v="K. Varga"/>
  </r>
  <r>
    <s v="S000195"/>
    <s v="ESS-2025-00045"/>
    <s v="Essential Oil Blend"/>
    <s v="Dortmund DE"/>
    <x v="4"/>
    <n v="1"/>
    <x v="0"/>
    <s v="Fail"/>
    <n v="0.11"/>
    <s v="%"/>
    <n v="0"/>
    <n v="1"/>
    <x v="20"/>
    <s v="J. Nagy"/>
  </r>
  <r>
    <s v="S001797"/>
    <s v="FLA-2024-00402"/>
    <s v="Flavor Compound"/>
    <s v="Dortmund DE"/>
    <x v="5"/>
    <n v="1"/>
    <x v="0"/>
    <s v="Pass"/>
    <n v="6.87"/>
    <m/>
    <n v="6"/>
    <n v="7.5"/>
    <x v="88"/>
    <s v="A. Kovacs"/>
  </r>
  <r>
    <s v="S000790"/>
    <s v="FOO-2024-00179"/>
    <s v="Food Ingredient Extract"/>
    <s v="Vernier CH"/>
    <x v="2"/>
    <n v="1"/>
    <x v="0"/>
    <s v="Fail"/>
    <n v="214.25"/>
    <s v="um"/>
    <n v="150"/>
    <n v="400"/>
    <x v="189"/>
    <s v="J NAGY"/>
  </r>
  <r>
    <s v="S001521"/>
    <s v="ARO-2024-00339"/>
    <s v="Aroma Chemical"/>
    <s v="Budapest"/>
    <x v="1"/>
    <n v="1"/>
    <x v="0"/>
    <s v="Pass"/>
    <n v="0.91"/>
    <s v="g/ml"/>
    <n v="0.88"/>
    <n v="0.97"/>
    <x v="135"/>
    <s v="P. Meier"/>
  </r>
  <r>
    <s v="S001908"/>
    <s v="FOO-2025-00427"/>
    <s v="Food Ingredient Extract"/>
    <s v="Dortmund DE"/>
    <x v="6"/>
    <n v="1"/>
    <x v="0"/>
    <s v="Pass"/>
    <n v="28.63"/>
    <s v="CFU/g"/>
    <n v="0"/>
    <n v="100"/>
    <x v="174"/>
    <s v="A. Kovacs"/>
  </r>
  <r>
    <s v="S000376"/>
    <s v="ARO-2025-00085"/>
    <s v="Aroma Chemical"/>
    <s v="Dortmund DE"/>
    <x v="4"/>
    <n v="1"/>
    <x v="1"/>
    <s v="Fail"/>
    <n v="-0.45"/>
    <s v="%"/>
    <n v="0"/>
    <n v="1"/>
    <x v="33"/>
    <s v="L. Rossi"/>
  </r>
  <r>
    <s v="S000738"/>
    <s v="ARO-2024-00167"/>
    <s v="Aroma Chemical"/>
    <s v="Dortmund DE"/>
    <x v="6"/>
    <n v="1"/>
    <x v="0"/>
    <s v="Pending"/>
    <n v="41.59"/>
    <s v="CFU/g"/>
    <n v="0"/>
    <n v="100"/>
    <x v="59"/>
    <s v="A. Kovacs"/>
  </r>
  <r>
    <s v="S001794"/>
    <s v="ARO-2024-00401"/>
    <s v="Aroma Chemical"/>
    <s v="Budapest"/>
    <x v="0"/>
    <n v="1"/>
    <x v="0"/>
    <s v="Pending"/>
    <n v="12.08"/>
    <s v="ppm"/>
    <n v="0"/>
    <n v="120"/>
    <x v="167"/>
    <s v="M. Toth"/>
  </r>
  <r>
    <s v="S000393"/>
    <s v="ARO-2024-00089"/>
    <s v="Aroma Chemical"/>
    <s v="Dortmund DE"/>
    <x v="0"/>
    <n v="1"/>
    <x v="0"/>
    <s v="Fail"/>
    <n v="23.45"/>
    <s v="ppm"/>
    <n v="0"/>
    <n v="120"/>
    <x v="123"/>
    <s v="T. Weber"/>
  </r>
  <r>
    <s v="S000870"/>
    <s v="FOO-2025-00197"/>
    <s v="Food Ingredient Extract"/>
    <s v="East Hanover"/>
    <x v="3"/>
    <n v="1"/>
    <x v="0"/>
    <s v="Fail"/>
    <n v="98.71"/>
    <s v="%"/>
    <n v="97"/>
    <n v="100"/>
    <x v="190"/>
    <s v="L. Rossi"/>
  </r>
  <r>
    <s v="S000432"/>
    <s v="FRA-2025-00098"/>
    <s v="Fragrance Oil"/>
    <s v="Dortmund DE"/>
    <x v="1"/>
    <n v="1"/>
    <x v="1"/>
    <s v="Fail"/>
    <n v="0.86"/>
    <s v="g/ml"/>
    <n v="0.88"/>
    <n v="0.97"/>
    <x v="191"/>
    <s v="J. Nagy"/>
  </r>
  <r>
    <s v="S000326"/>
    <s v="ARO-2025-00074"/>
    <s v="Aroma Chemical"/>
    <s v="Dortmund DE"/>
    <x v="0"/>
    <n v="1"/>
    <x v="0"/>
    <s v="Pass"/>
    <n v="42.04"/>
    <s v="ppm"/>
    <n v="0"/>
    <n v="120"/>
    <x v="114"/>
    <s v="J. Nagy"/>
  </r>
  <r>
    <s v="S000411"/>
    <s v="FLA-2024-00093"/>
    <s v="Flavor Compound"/>
    <s v="Budapest"/>
    <x v="2"/>
    <n v="1"/>
    <x v="0"/>
    <s v="Pass"/>
    <n v="275.25"/>
    <s v="um"/>
    <n v="150"/>
    <n v="400"/>
    <x v="15"/>
    <s v="T. Weber"/>
  </r>
  <r>
    <s v="S000869"/>
    <s v="FOO-2025-00197"/>
    <s v="Food Ingredient Extract"/>
    <s v="East Hanover"/>
    <x v="2"/>
    <n v="1"/>
    <x v="0"/>
    <s v="Fail"/>
    <n v="279.32"/>
    <s v="um"/>
    <n v="150"/>
    <n v="400"/>
    <x v="190"/>
    <s v="M. Toth"/>
  </r>
  <r>
    <s v="S000110"/>
    <s v="ARO-2025-00025"/>
    <s v="Aroma Chemical"/>
    <s v="East Hanover"/>
    <x v="6"/>
    <n v="1"/>
    <x v="0"/>
    <s v="Pass"/>
    <n v="27.89"/>
    <s v="CFU/g"/>
    <n v="0"/>
    <n v="100"/>
    <x v="2"/>
    <s v="T. Weber"/>
  </r>
  <r>
    <s v="S000801"/>
    <s v="FRA-2024-00181"/>
    <s v="Fragrance Oil"/>
    <s v="Ashford UK"/>
    <x v="5"/>
    <n v="1"/>
    <x v="0"/>
    <s v="Pass"/>
    <n v="6.77"/>
    <m/>
    <n v="6"/>
    <n v="7.5"/>
    <x v="192"/>
    <s v="L. Rossi"/>
  </r>
  <r>
    <s v="S001587"/>
    <s v="ESS-2025-00354"/>
    <s v="Essential Oil Blend"/>
    <s v="Budapest"/>
    <x v="4"/>
    <n v="1"/>
    <x v="0"/>
    <s v="Fail"/>
    <n v="0.25"/>
    <s v="%"/>
    <n v="0"/>
    <n v="1"/>
    <x v="169"/>
    <s v="L. Rossi"/>
  </r>
  <r>
    <s v="S000861"/>
    <s v="FOO-2024-00195"/>
    <s v="Food Ingredient Extract"/>
    <s v="East Hanover"/>
    <x v="5"/>
    <n v="1"/>
    <x v="0"/>
    <s v="Fail"/>
    <n v="6.76"/>
    <m/>
    <n v="6"/>
    <n v="7.5"/>
    <x v="95"/>
    <s v="S. Fischer"/>
  </r>
  <r>
    <s v="S000471"/>
    <s v="FRA-2025-00106"/>
    <s v="Fragrance Oil"/>
    <s v="East Hanover"/>
    <x v="5"/>
    <n v="1"/>
    <x v="0"/>
    <s v="Pass"/>
    <n v="7.3"/>
    <m/>
    <n v="6"/>
    <n v="7.5"/>
    <x v="12"/>
    <s v="L. Rossi"/>
  </r>
  <r>
    <s v="S001702"/>
    <s v="ARO-2025-00381"/>
    <s v="Aroma Chemical"/>
    <s v="Budapest"/>
    <x v="2"/>
    <n v="1"/>
    <x v="0"/>
    <s v="Pass"/>
    <n v="278.41000000000003"/>
    <s v="um"/>
    <n v="150"/>
    <n v="400"/>
    <x v="31"/>
    <s v="S. Fischer"/>
  </r>
  <r>
    <s v="S001540"/>
    <s v="ESS-2025-00343"/>
    <s v="Essential Oil Blend"/>
    <s v="Dortmund DE"/>
    <x v="6"/>
    <n v="1"/>
    <x v="0"/>
    <s v="Fail"/>
    <n v="6.25"/>
    <s v="CFU/g"/>
    <n v="0"/>
    <n v="100"/>
    <x v="169"/>
    <s v="P. Meier"/>
  </r>
  <r>
    <s v="S001809"/>
    <s v="ARO-2024-00405"/>
    <s v="Aroma Chemical"/>
    <s v="Budapest"/>
    <x v="1"/>
    <n v="1"/>
    <x v="0"/>
    <s v="Pass"/>
    <n v="0.94"/>
    <s v="g/ml"/>
    <n v="0.88"/>
    <n v="0.97"/>
    <x v="193"/>
    <s v="M. Toth"/>
  </r>
  <r>
    <s v="S000096"/>
    <s v="FOO-2025-00023"/>
    <s v="Food Ingredient Extract"/>
    <s v="Vernier CH"/>
    <x v="0"/>
    <n v="1"/>
    <x v="0"/>
    <s v="Pass"/>
    <n v="36.03"/>
    <s v="ppm"/>
    <n v="0"/>
    <n v="120"/>
    <x v="194"/>
    <s v="M. Toth"/>
  </r>
  <r>
    <s v="S000594"/>
    <s v="ARO-2025-00133"/>
    <s v="Aroma Chemical"/>
    <s v="Dortmund DE"/>
    <x v="3"/>
    <n v="1"/>
    <x v="0"/>
    <s v="Pass"/>
    <n v="98.3"/>
    <s v="%"/>
    <n v="97"/>
    <n v="100"/>
    <x v="105"/>
    <s v="L. Rossi"/>
  </r>
  <r>
    <s v="S000862"/>
    <s v="FOO-2024-00195"/>
    <s v="Food Ingredient Extract"/>
    <s v="East Hanover"/>
    <x v="6"/>
    <n v="1"/>
    <x v="1"/>
    <s v="Fail"/>
    <n v="-75"/>
    <s v="CFU/g"/>
    <n v="0"/>
    <n v="100"/>
    <x v="95"/>
    <s v="S. Fischer"/>
  </r>
  <r>
    <s v="S000020"/>
    <s v="FRA-2025-00004"/>
    <s v="Fragrance Oil"/>
    <s v="Budapest"/>
    <x v="5"/>
    <n v="1"/>
    <x v="0"/>
    <s v="Pass"/>
    <n v="6.43"/>
    <m/>
    <n v="6"/>
    <n v="7.5"/>
    <x v="139"/>
    <s v="S. Fischer"/>
  </r>
  <r>
    <s v="S001556"/>
    <s v="ESS-2024-00346"/>
    <s v="Essential Oil Blend"/>
    <s v="Vernier CH"/>
    <x v="5"/>
    <n v="1"/>
    <x v="0"/>
    <s v="Fail"/>
    <n v="6.4"/>
    <m/>
    <n v="6"/>
    <n v="7.5"/>
    <x v="195"/>
    <s v="M. Toth"/>
  </r>
  <r>
    <s v="S001039"/>
    <s v="FOO-2024-00233"/>
    <s v="Food Ingredient Extract"/>
    <s v="Dortmund DE"/>
    <x v="5"/>
    <n v="1"/>
    <x v="1"/>
    <s v="Fail"/>
    <n v="5.94"/>
    <m/>
    <n v="6"/>
    <n v="7.5"/>
    <x v="36"/>
    <s v="J. Nagy"/>
  </r>
  <r>
    <s v="S001868"/>
    <s v="ARO-2025-00418"/>
    <s v="Aroma Chemical"/>
    <s v="Budapest"/>
    <x v="4"/>
    <n v="1"/>
    <x v="0"/>
    <s v="Pass"/>
    <n v="0.3"/>
    <s v="%"/>
    <n v="0"/>
    <n v="1"/>
    <x v="115"/>
    <s v="K. Varga"/>
  </r>
  <r>
    <s v="S001898"/>
    <s v="ARO-2025-00425"/>
    <s v="Aroma Chemical"/>
    <s v="East Hanover"/>
    <x v="5"/>
    <n v="1"/>
    <x v="0"/>
    <s v="Fail"/>
    <n v="7.04"/>
    <m/>
    <n v="6"/>
    <n v="7.5"/>
    <x v="103"/>
    <s v="M. Toth"/>
  </r>
  <r>
    <s v="S001267"/>
    <s v="FLA-2024-00284"/>
    <s v="Flavor Compound"/>
    <s v="Vernier CH"/>
    <x v="2"/>
    <n v="1"/>
    <x v="0"/>
    <s v="Pass"/>
    <n v="328.77"/>
    <s v="um"/>
    <n v="150"/>
    <n v="400"/>
    <x v="93"/>
    <s v="L. Rossi"/>
  </r>
  <r>
    <s v="S000354"/>
    <s v="FRA-2025-00080"/>
    <s v="Fragrance Oil"/>
    <s v="Dortmund DE"/>
    <x v="1"/>
    <n v="1"/>
    <x v="0"/>
    <s v="Pass"/>
    <n v="0.88"/>
    <s v="g/ml"/>
    <n v="0.88"/>
    <n v="0.97"/>
    <x v="196"/>
    <s v="S. Fischer"/>
  </r>
  <r>
    <s v="S001833"/>
    <s v="FRA-2025-00409"/>
    <s v="Fragrance Oil"/>
    <s v="Budapest"/>
    <x v="5"/>
    <n v="1"/>
    <x v="0"/>
    <s v="Pass"/>
    <n v="6.26"/>
    <m/>
    <n v="6"/>
    <n v="7.5"/>
    <x v="170"/>
    <s v="T. Weber"/>
  </r>
  <r>
    <s v="S000373"/>
    <s v="FLA-2025-00084"/>
    <s v="Flavor Compound"/>
    <s v="Dortmund DE"/>
    <x v="3"/>
    <n v="1"/>
    <x v="0"/>
    <s v="Pass"/>
    <n v="98.14"/>
    <s v="%"/>
    <n v="97"/>
    <n v="100"/>
    <x v="197"/>
    <s v="A. Kovacs"/>
  </r>
  <r>
    <s v="S001776"/>
    <s v="FOO-2025-00397"/>
    <s v="Food Ingredient Extract"/>
    <s v="East Hanover"/>
    <x v="6"/>
    <n v="1"/>
    <x v="0"/>
    <s v="Pass"/>
    <n v="8.17"/>
    <s v="CFU/g"/>
    <n v="0"/>
    <n v="100"/>
    <x v="198"/>
    <s v="K. Varga"/>
  </r>
  <r>
    <s v="S000223"/>
    <s v="ARO-2024-00051"/>
    <s v="Aroma Chemical"/>
    <s v="Budapest"/>
    <x v="3"/>
    <n v="1"/>
    <x v="0"/>
    <s v="Pass"/>
    <n v="97.96"/>
    <s v="%"/>
    <n v="97"/>
    <n v="100"/>
    <x v="199"/>
    <s v="A. Kovacs"/>
  </r>
  <r>
    <s v="S001296"/>
    <s v="FRA-2025-00290"/>
    <s v="Fragrance Oil"/>
    <s v="Vernier CH"/>
    <x v="6"/>
    <n v="1"/>
    <x v="0"/>
    <s v="Pass"/>
    <n v="1.05"/>
    <s v="CFU/g"/>
    <n v="0"/>
    <n v="100"/>
    <x v="49"/>
    <s v="M. Toth"/>
  </r>
  <r>
    <s v="S001211"/>
    <s v="FLA-2024-00270"/>
    <s v="Flavor Compound"/>
    <s v="Ashford UK"/>
    <x v="6"/>
    <n v="1"/>
    <x v="1"/>
    <s v="Fail"/>
    <n v="-30.26"/>
    <s v="CFU/g"/>
    <n v="0"/>
    <n v="100"/>
    <x v="200"/>
    <s v="M. Toth"/>
  </r>
  <r>
    <s v="S001048"/>
    <s v="ESS-2024-00235"/>
    <s v="Essential Oil Blend"/>
    <s v="Vernier CH"/>
    <x v="0"/>
    <n v="1"/>
    <x v="0"/>
    <s v="Fail"/>
    <n v="14.25"/>
    <s v="ppm"/>
    <n v="0"/>
    <n v="120"/>
    <x v="101"/>
    <s v="S. Fischer"/>
  </r>
  <r>
    <s v="S000699"/>
    <s v="FRA-2025-00159"/>
    <s v="Fragrance Oil"/>
    <s v="Dortmund DE"/>
    <x v="1"/>
    <n v="1"/>
    <x v="0"/>
    <s v="Pass"/>
    <n v="0.92"/>
    <s v="g/ml"/>
    <n v="0.88"/>
    <n v="0.97"/>
    <x v="201"/>
    <s v="S. Fischer"/>
  </r>
  <r>
    <s v="S000112"/>
    <s v="FLA-2025-00026"/>
    <s v="Flavor Compound"/>
    <s v="Vernier CH"/>
    <x v="6"/>
    <n v="1"/>
    <x v="1"/>
    <s v="Fail"/>
    <n v="-5.16"/>
    <s v="CFU/g"/>
    <n v="0"/>
    <n v="100"/>
    <x v="202"/>
    <s v="T. Weber"/>
  </r>
  <r>
    <s v="S001863"/>
    <s v="FRA-2025-00417"/>
    <s v="Fragrance Oil"/>
    <s v="Budapest"/>
    <x v="3"/>
    <n v="1"/>
    <x v="0"/>
    <s v="Pass"/>
    <n v="99.26"/>
    <s v="%"/>
    <n v="97"/>
    <n v="100"/>
    <x v="203"/>
    <s v="P. Meier"/>
  </r>
  <r>
    <s v="S001698"/>
    <s v="FRA-2024-00380"/>
    <s v="Fragrance Oil"/>
    <s v="East Hanover"/>
    <x v="1"/>
    <n v="1"/>
    <x v="1"/>
    <s v="Fail"/>
    <n v="1"/>
    <s v="g/ml"/>
    <n v="0.88"/>
    <n v="0.97"/>
    <x v="39"/>
    <s v="S. Fischer"/>
  </r>
  <r>
    <s v="S001043"/>
    <s v="FLA-2024-00234"/>
    <s v="Flavor Compound"/>
    <s v="Ashford UK"/>
    <x v="4"/>
    <n v="1"/>
    <x v="0"/>
    <s v="Pass"/>
    <n v="0.52"/>
    <s v="%"/>
    <n v="0"/>
    <n v="1"/>
    <x v="199"/>
    <s v="M. Toth"/>
  </r>
  <r>
    <s v="S001125"/>
    <s v="FRA-2025-00252"/>
    <s v="Fragrance Oil"/>
    <s v="Budapest"/>
    <x v="6"/>
    <n v="1"/>
    <x v="1"/>
    <s v="Fail"/>
    <n v="-18.16"/>
    <s v="CFU/g"/>
    <n v="0"/>
    <n v="100"/>
    <x v="175"/>
    <s v="P. Meier"/>
  </r>
  <r>
    <s v="S000314"/>
    <s v="FLA-2024-00071"/>
    <s v="Flavor Compound"/>
    <s v="Budapest"/>
    <x v="2"/>
    <n v="1"/>
    <x v="0"/>
    <s v="Pass"/>
    <n v="248.77"/>
    <s v="um"/>
    <n v="150"/>
    <n v="400"/>
    <x v="204"/>
    <s v="P. Meier"/>
  </r>
  <r>
    <s v="S000288"/>
    <s v="FLA-2025-00065"/>
    <s v="Flavor Compound"/>
    <s v="East Hanover"/>
    <x v="0"/>
    <n v="1"/>
    <x v="1"/>
    <s v="Fail"/>
    <n v="-1.89"/>
    <s v="ppm"/>
    <n v="0"/>
    <n v="120"/>
    <x v="49"/>
    <s v="J. Nagy"/>
  </r>
  <r>
    <s v="S000796"/>
    <s v="FLA-2024-00180"/>
    <s v="Flavor Compound"/>
    <s v="Budapest"/>
    <x v="6"/>
    <n v="1"/>
    <x v="1"/>
    <s v="Fail"/>
    <n v="-18.11"/>
    <s v="CFU/g"/>
    <n v="0"/>
    <n v="100"/>
    <x v="132"/>
    <s v="L. Rossi"/>
  </r>
  <r>
    <s v="S001085"/>
    <s v="FLA-2024-00244"/>
    <s v="Flavor Compound"/>
    <s v="Dortmund DE"/>
    <x v="4"/>
    <n v="1"/>
    <x v="1"/>
    <s v="Fail"/>
    <n v="-0.02"/>
    <s v="%"/>
    <n v="0"/>
    <n v="1"/>
    <x v="89"/>
    <s v="J. Nagy"/>
  </r>
  <r>
    <s v="S000508"/>
    <s v="ARO-2025-00114"/>
    <s v="Aroma Chemical"/>
    <s v="Budapest"/>
    <x v="3"/>
    <n v="1"/>
    <x v="0"/>
    <s v="Pass"/>
    <n v="98.35"/>
    <s v="%"/>
    <n v="97"/>
    <n v="100"/>
    <x v="31"/>
    <s v="L. Rossi"/>
  </r>
  <r>
    <s v="S001196"/>
    <s v="ARO-2024-00268"/>
    <s v="Aroma Chemical"/>
    <s v="Ashford UK"/>
    <x v="1"/>
    <n v="1"/>
    <x v="0"/>
    <s v="Pass"/>
    <n v="0.92"/>
    <s v="g/ml"/>
    <n v="0.88"/>
    <n v="0.97"/>
    <x v="205"/>
    <s v="A. Kovacs"/>
  </r>
  <r>
    <s v="S000431"/>
    <s v="ESS-2024-00097"/>
    <s v="Essential Oil Blend"/>
    <s v="East Hanover"/>
    <x v="2"/>
    <n v="1"/>
    <x v="0"/>
    <s v="Pass"/>
    <n v="281.61"/>
    <s v="um"/>
    <n v="150"/>
    <n v="400"/>
    <x v="90"/>
    <s v="M. Toth"/>
  </r>
  <r>
    <s v="S000743"/>
    <s v="FLA-2025-00168"/>
    <s v="Flavor Compound"/>
    <s v="East Hanover"/>
    <x v="1"/>
    <n v="1"/>
    <x v="1"/>
    <s v="Fail"/>
    <n v="0.99"/>
    <s v="g/ml"/>
    <n v="0.88"/>
    <n v="0.97"/>
    <x v="206"/>
    <s v="J NAGY"/>
  </r>
  <r>
    <s v="S001287"/>
    <s v="ARO-2024-00288"/>
    <s v="Aroma Chemical"/>
    <s v="Budapest"/>
    <x v="0"/>
    <n v="1"/>
    <x v="0"/>
    <s v="Pass"/>
    <n v="32.299999999999997"/>
    <s v="ppm"/>
    <n v="0"/>
    <n v="120"/>
    <x v="161"/>
    <s v="J NAGY"/>
  </r>
  <r>
    <s v="S001774"/>
    <s v="FOO-2025-00397"/>
    <s v="Food Ingredient Extract"/>
    <s v="East Hanover"/>
    <x v="1"/>
    <n v="1"/>
    <x v="0"/>
    <s v="Pass"/>
    <n v="0.9"/>
    <s v="g/ml"/>
    <n v="0.88"/>
    <n v="0.97"/>
    <x v="198"/>
    <s v="L. Rossi"/>
  </r>
  <r>
    <s v="S001637"/>
    <s v="ESS-2024-00366"/>
    <s v="Essential Oil Blend"/>
    <s v="Budapest"/>
    <x v="1"/>
    <n v="1"/>
    <x v="0"/>
    <s v="Pass"/>
    <n v="0.9"/>
    <s v="g/ml"/>
    <n v="0.88"/>
    <n v="0.97"/>
    <x v="125"/>
    <s v="J NAGY"/>
  </r>
  <r>
    <s v="S000682"/>
    <s v="ARO-2024-00155"/>
    <s v="Aroma Chemical"/>
    <s v="Dortmund DE"/>
    <x v="2"/>
    <n v="1"/>
    <x v="0"/>
    <s v="Fail"/>
    <n v="199.13"/>
    <s v="um"/>
    <n v="150"/>
    <n v="400"/>
    <x v="123"/>
    <s v="T. Weber"/>
  </r>
  <r>
    <s v="S001390"/>
    <s v="FLA-2025-00310"/>
    <s v="Flavor Compound"/>
    <s v="East Hanover"/>
    <x v="4"/>
    <n v="1"/>
    <x v="0"/>
    <s v="Pass"/>
    <n v="0.53"/>
    <s v="%"/>
    <n v="0"/>
    <n v="1"/>
    <x v="8"/>
    <s v="L. Rossi"/>
  </r>
  <r>
    <s v="S000018"/>
    <s v="FRA-2025-00004"/>
    <s v="Fragrance Oil"/>
    <s v="Budapest"/>
    <x v="4"/>
    <n v="1"/>
    <x v="0"/>
    <s v="Pass"/>
    <n v="0.15"/>
    <s v="%"/>
    <n v="0"/>
    <n v="1"/>
    <x v="139"/>
    <s v="J NAGY"/>
  </r>
  <r>
    <s v="S000604"/>
    <s v="FRA-2025-00136"/>
    <s v="Fragrance Oil"/>
    <s v="Ashford UK"/>
    <x v="1"/>
    <n v="1"/>
    <x v="0"/>
    <s v="Pass"/>
    <n v="0.91"/>
    <s v="g/ml"/>
    <n v="0.88"/>
    <n v="0.97"/>
    <x v="30"/>
    <s v="L. Rossi"/>
  </r>
  <r>
    <s v="S001816"/>
    <s v="FLA-2025-00406"/>
    <s v="Flavor Compound"/>
    <s v="Ashford UK"/>
    <x v="4"/>
    <n v="1"/>
    <x v="0"/>
    <s v="Fail"/>
    <n v="0.36"/>
    <s v="%"/>
    <n v="0"/>
    <n v="1"/>
    <x v="44"/>
    <s v="J. Nagy"/>
  </r>
  <r>
    <s v="S000579"/>
    <s v="FRA-2025-00130"/>
    <s v="Fragrance Oil"/>
    <s v="Vernier CH"/>
    <x v="2"/>
    <n v="1"/>
    <x v="0"/>
    <s v="Pass"/>
    <n v="253.45"/>
    <s v="um"/>
    <n v="150"/>
    <n v="400"/>
    <x v="207"/>
    <s v="L. Rossi"/>
  </r>
  <r>
    <s v="S000493"/>
    <s v="ARO-2025-00110"/>
    <s v="Aroma Chemical"/>
    <s v="Vernier CH"/>
    <x v="5"/>
    <n v="1"/>
    <x v="0"/>
    <s v="Fail"/>
    <n v="7.08"/>
    <m/>
    <n v="6"/>
    <n v="7.5"/>
    <x v="208"/>
    <s v="T. Weber"/>
  </r>
  <r>
    <s v="S001378"/>
    <s v="FLA-2024-00308"/>
    <s v="Flavor Compound"/>
    <s v="Budapest"/>
    <x v="5"/>
    <n v="1"/>
    <x v="0"/>
    <s v="Pass"/>
    <n v="7.07"/>
    <m/>
    <n v="6"/>
    <n v="7.5"/>
    <x v="209"/>
    <s v="S. Fischer"/>
  </r>
  <r>
    <s v="S001810"/>
    <s v="ARO-2024-00405"/>
    <s v="Aroma Chemical"/>
    <s v="Budapest"/>
    <x v="4"/>
    <n v="1"/>
    <x v="0"/>
    <s v="Pass"/>
    <n v="0.1"/>
    <s v="%"/>
    <n v="0"/>
    <n v="1"/>
    <x v="193"/>
    <s v="T. Weber"/>
  </r>
  <r>
    <s v="S000846"/>
    <s v="ARO-2024-00192"/>
    <s v="Aroma Chemical"/>
    <s v="Ashford UK"/>
    <x v="1"/>
    <n v="1"/>
    <x v="0"/>
    <s v="Pending"/>
    <n v="0.92"/>
    <s v="g/ml"/>
    <n v="0.88"/>
    <n v="0.97"/>
    <x v="21"/>
    <s v="T. Weber"/>
  </r>
  <r>
    <s v="S001753"/>
    <s v="ESS-2025-00391"/>
    <s v="Essential Oil Blend"/>
    <s v="Vernier CH"/>
    <x v="6"/>
    <n v="1"/>
    <x v="1"/>
    <s v="Fail"/>
    <n v="175"/>
    <s v="CFU/g"/>
    <n v="0"/>
    <n v="100"/>
    <x v="210"/>
    <s v="P. Meier"/>
  </r>
  <r>
    <s v="S001129"/>
    <s v="ESS-2025-00253"/>
    <s v="Essential Oil Blend"/>
    <s v="Dortmund DE"/>
    <x v="1"/>
    <n v="1"/>
    <x v="0"/>
    <s v="Pass"/>
    <n v="0.9"/>
    <s v="g/ml"/>
    <n v="0.88"/>
    <n v="0.97"/>
    <x v="137"/>
    <s v="J NAGY"/>
  </r>
  <r>
    <s v="S000055"/>
    <s v="ESS-2024-00013"/>
    <s v="Essential Oil Blend"/>
    <s v="Dortmund DE"/>
    <x v="3"/>
    <n v="1"/>
    <x v="0"/>
    <s v="Pass"/>
    <n v="99.28"/>
    <s v="%"/>
    <n v="97"/>
    <n v="100"/>
    <x v="87"/>
    <s v="J NAGY"/>
  </r>
  <r>
    <s v="S000264"/>
    <s v="ARO-2025-00060"/>
    <s v="Aroma Chemical"/>
    <s v="Ashford UK"/>
    <x v="0"/>
    <n v="1"/>
    <x v="0"/>
    <s v="Pass"/>
    <n v="74.34"/>
    <s v="ppm"/>
    <n v="0"/>
    <n v="120"/>
    <x v="162"/>
    <s v="A. Kovacs"/>
  </r>
  <r>
    <s v="S000102"/>
    <s v="ESS-2025-00024"/>
    <s v="Essential Oil Blend"/>
    <s v="Dortmund DE"/>
    <x v="6"/>
    <n v="1"/>
    <x v="1"/>
    <s v="Fail"/>
    <n v="-4.1399999999999997"/>
    <s v="CFU/g"/>
    <n v="0"/>
    <n v="100"/>
    <x v="211"/>
    <s v="M. Toth"/>
  </r>
  <r>
    <s v="S000276"/>
    <s v="FRA-2024-00063"/>
    <s v="Fragrance Oil"/>
    <s v="Budapest"/>
    <x v="5"/>
    <n v="1"/>
    <x v="0"/>
    <s v="Pass"/>
    <n v="6.71"/>
    <m/>
    <n v="6"/>
    <n v="7.5"/>
    <x v="212"/>
    <s v="J NAGY"/>
  </r>
  <r>
    <s v="S001867"/>
    <s v="FRA-2025-00417"/>
    <s v="Fragrance Oil"/>
    <s v="Budapest"/>
    <x v="4"/>
    <n v="1"/>
    <x v="0"/>
    <s v="Pass"/>
    <n v="0.36"/>
    <s v="%"/>
    <n v="0"/>
    <n v="1"/>
    <x v="203"/>
    <s v="M. Toth"/>
  </r>
  <r>
    <s v="S001303"/>
    <s v="ESS-2025-00291"/>
    <s v="Essential Oil Blend"/>
    <s v="East Hanover"/>
    <x v="2"/>
    <n v="1"/>
    <x v="0"/>
    <s v="Pass"/>
    <n v="246.76"/>
    <s v="um"/>
    <n v="150"/>
    <n v="400"/>
    <x v="51"/>
    <s v="M. Toth"/>
  </r>
  <r>
    <s v="S000250"/>
    <s v="FRA-2025-00056"/>
    <s v="Fragrance Oil"/>
    <s v="Ashford UK"/>
    <x v="0"/>
    <n v="1"/>
    <x v="0"/>
    <s v="Pass"/>
    <n v="52.29"/>
    <s v="ppm"/>
    <n v="0"/>
    <n v="120"/>
    <x v="124"/>
    <s v="L. Rossi"/>
  </r>
  <r>
    <s v="S000834"/>
    <s v="ESS-2024-00189"/>
    <s v="Essential Oil Blend"/>
    <s v="Vernier CH"/>
    <x v="3"/>
    <n v="1"/>
    <x v="0"/>
    <s v="Pass"/>
    <n v="99.27"/>
    <s v="%"/>
    <n v="97"/>
    <n v="100"/>
    <x v="100"/>
    <s v="P. Meier"/>
  </r>
  <r>
    <s v="S001930"/>
    <s v="FRA-2025-00432"/>
    <s v="Fragrance Oil"/>
    <s v="East Hanover"/>
    <x v="2"/>
    <n v="1"/>
    <x v="0"/>
    <s v="Pass"/>
    <n v="198.92"/>
    <s v="um"/>
    <n v="150"/>
    <n v="400"/>
    <x v="213"/>
    <s v="J NAGY"/>
  </r>
  <r>
    <s v="S001806"/>
    <s v="ESS-2024-00404"/>
    <s v="Essential Oil Blend"/>
    <s v="East Hanover"/>
    <x v="4"/>
    <n v="1"/>
    <x v="0"/>
    <s v="Fail"/>
    <n v="0.47"/>
    <s v="%"/>
    <n v="0"/>
    <n v="1"/>
    <x v="214"/>
    <s v="S. Fischer"/>
  </r>
  <r>
    <s v="S001361"/>
    <s v="FOO-2024-00304"/>
    <s v="Food Ingredient Extract"/>
    <s v="East Hanover"/>
    <x v="1"/>
    <n v="1"/>
    <x v="0"/>
    <s v="Fail"/>
    <n v="0.93"/>
    <s v="g/ml"/>
    <n v="0.88"/>
    <n v="0.97"/>
    <x v="59"/>
    <s v="L. Rossi"/>
  </r>
  <r>
    <s v="S000345"/>
    <s v="ESS-2025-00078"/>
    <s v="Essential Oil Blend"/>
    <s v="East Hanover"/>
    <x v="6"/>
    <n v="0"/>
    <x v="2"/>
    <s v="Pending"/>
    <m/>
    <s v="CFU/g"/>
    <n v="0"/>
    <n v="100"/>
    <x v="215"/>
    <s v="P. Meier"/>
  </r>
  <r>
    <s v="S000641"/>
    <s v="ESS-2024-00146"/>
    <s v="Essential Oil Blend"/>
    <s v="Budapest"/>
    <x v="3"/>
    <n v="1"/>
    <x v="0"/>
    <s v="Pass"/>
    <n v="98.3"/>
    <s v="%"/>
    <n v="97"/>
    <n v="100"/>
    <x v="216"/>
    <s v="T. Weber"/>
  </r>
  <r>
    <s v="S000378"/>
    <s v="ESS-2025-00086"/>
    <s v="Essential Oil Blend"/>
    <s v="Ashford UK"/>
    <x v="1"/>
    <n v="1"/>
    <x v="0"/>
    <s v="Pass"/>
    <n v="0.92"/>
    <s v="g/ml"/>
    <n v="0.88"/>
    <n v="0.97"/>
    <x v="217"/>
    <s v="A. Kovacs"/>
  </r>
  <r>
    <s v="S001406"/>
    <s v="ESS-2024-00313"/>
    <s v="Essential Oil Blend"/>
    <s v="Budapest"/>
    <x v="4"/>
    <n v="1"/>
    <x v="0"/>
    <s v="Pass"/>
    <n v="0.35"/>
    <s v="%"/>
    <n v="0"/>
    <n v="1"/>
    <x v="218"/>
    <s v="S. Fischer"/>
  </r>
  <r>
    <s v="S000424"/>
    <s v="FOO-2025-00096"/>
    <s v="Food Ingredient Extract"/>
    <s v="East Hanover"/>
    <x v="2"/>
    <n v="1"/>
    <x v="0"/>
    <s v="Pass"/>
    <n v="282.47000000000003"/>
    <s v="um"/>
    <n v="150"/>
    <n v="400"/>
    <x v="219"/>
    <s v="J NAGY"/>
  </r>
  <r>
    <s v="S000061"/>
    <s v="ARO-2025-00014"/>
    <s v="Aroma Chemical"/>
    <s v="Dortmund DE"/>
    <x v="3"/>
    <n v="1"/>
    <x v="0"/>
    <s v="Pass"/>
    <n v="99.19"/>
    <s v="%"/>
    <n v="97"/>
    <n v="100"/>
    <x v="94"/>
    <s v="M. Toth"/>
  </r>
  <r>
    <s v="S001921"/>
    <s v="ARO-2024-00430"/>
    <s v="Aroma Chemical"/>
    <s v="East Hanover"/>
    <x v="6"/>
    <n v="1"/>
    <x v="1"/>
    <s v="Fail"/>
    <n v="-21.65"/>
    <s v="CFU/g"/>
    <n v="0"/>
    <n v="100"/>
    <x v="10"/>
    <s v="A. Kovacs"/>
  </r>
  <r>
    <s v="S000757"/>
    <s v="ARO-2025-00171"/>
    <s v="Aroma Chemical"/>
    <s v="Ashford UK"/>
    <x v="1"/>
    <n v="1"/>
    <x v="0"/>
    <s v="Pass"/>
    <n v="0.93"/>
    <s v="g/ml"/>
    <n v="0.88"/>
    <n v="0.97"/>
    <x v="153"/>
    <s v="M. Toth"/>
  </r>
  <r>
    <s v="S000985"/>
    <s v="FOO-2024-00223"/>
    <s v="Food Ingredient Extract"/>
    <s v="Vernier CH"/>
    <x v="5"/>
    <n v="1"/>
    <x v="0"/>
    <s v="Pass"/>
    <n v="6.93"/>
    <m/>
    <n v="6"/>
    <n v="7.5"/>
    <x v="220"/>
    <s v="M. Toth"/>
  </r>
  <r>
    <s v="S000211"/>
    <s v="ARO-2025-00048"/>
    <s v="Aroma Chemical"/>
    <s v="Budapest"/>
    <x v="0"/>
    <n v="1"/>
    <x v="0"/>
    <s v="Pass"/>
    <n v="16.649999999999999"/>
    <s v="ppm"/>
    <n v="0"/>
    <n v="120"/>
    <x v="221"/>
    <s v="K. Varga"/>
  </r>
  <r>
    <s v="S000282"/>
    <s v="ARO-2024-00064"/>
    <s v="Aroma Chemical"/>
    <s v="Dortmund DE"/>
    <x v="1"/>
    <n v="1"/>
    <x v="0"/>
    <s v="Fail"/>
    <n v="0.88"/>
    <s v="g/ml"/>
    <n v="0.88"/>
    <n v="0.97"/>
    <x v="185"/>
    <s v="M. Toth"/>
  </r>
  <r>
    <s v="S001666"/>
    <s v="ARO-2024-00373"/>
    <s v="Aroma Chemical"/>
    <s v="Budapest"/>
    <x v="0"/>
    <n v="1"/>
    <x v="0"/>
    <s v="Pass"/>
    <n v="62.27"/>
    <s v="ppm"/>
    <n v="0"/>
    <n v="120"/>
    <x v="222"/>
    <s v="L. Rossi"/>
  </r>
  <r>
    <s v="S000650"/>
    <s v="FRA-2025-00148"/>
    <s v="Fragrance Oil"/>
    <s v="Ashford UK"/>
    <x v="1"/>
    <n v="1"/>
    <x v="0"/>
    <s v="Pass"/>
    <n v="0.93"/>
    <s v="g/ml"/>
    <n v="0.88"/>
    <n v="0.97"/>
    <x v="223"/>
    <s v="M. Toth"/>
  </r>
  <r>
    <s v="S001121"/>
    <s v="FRA-2025-00252"/>
    <s v="Fragrance Oil"/>
    <s v="Budapest"/>
    <x v="1"/>
    <n v="1"/>
    <x v="0"/>
    <s v="Fail"/>
    <n v="0.9"/>
    <s v="g/ml"/>
    <n v="0.88"/>
    <n v="0.97"/>
    <x v="175"/>
    <s v="S. Fischer"/>
  </r>
  <r>
    <s v="S001625"/>
    <s v="ARO-2025-00363"/>
    <s v="Aroma Chemical"/>
    <s v="Dortmund DE"/>
    <x v="1"/>
    <n v="1"/>
    <x v="1"/>
    <s v="Fail"/>
    <n v="0.86"/>
    <s v="g/ml"/>
    <n v="0.88"/>
    <n v="0.97"/>
    <x v="117"/>
    <s v="J. Nagy"/>
  </r>
  <r>
    <s v="S001237"/>
    <s v="ARO-2024-00276"/>
    <s v="Aroma Chemical"/>
    <s v="Vernier CH"/>
    <x v="4"/>
    <n v="1"/>
    <x v="0"/>
    <s v="Pass"/>
    <n v="0.33"/>
    <s v="%"/>
    <n v="0"/>
    <n v="1"/>
    <x v="224"/>
    <s v="T. Weber"/>
  </r>
  <r>
    <s v="S000984"/>
    <s v="FOO-2024-00223"/>
    <s v="Food Ingredient Extract"/>
    <s v="Vernier CH"/>
    <x v="3"/>
    <n v="1"/>
    <x v="0"/>
    <s v="Pass"/>
    <n v="97.94"/>
    <s v="%"/>
    <n v="97"/>
    <n v="100"/>
    <x v="220"/>
    <s v="J. Nagy"/>
  </r>
  <r>
    <s v="S001193"/>
    <s v="FLA-2025-00267"/>
    <s v="Flavor Compound"/>
    <s v="Budapest"/>
    <x v="0"/>
    <n v="1"/>
    <x v="0"/>
    <s v="Pass"/>
    <n v="10.19"/>
    <s v="ppm"/>
    <n v="0"/>
    <n v="120"/>
    <x v="115"/>
    <s v="M. Toth"/>
  </r>
  <r>
    <s v="S000900"/>
    <s v="FRA-2025-00203"/>
    <s v="Fragrance Oil"/>
    <s v="East Hanover"/>
    <x v="3"/>
    <n v="1"/>
    <x v="0"/>
    <s v="Pass"/>
    <n v="97.22"/>
    <s v="%"/>
    <n v="97"/>
    <n v="100"/>
    <x v="221"/>
    <s v="J NAGY"/>
  </r>
  <r>
    <s v="S000325"/>
    <s v="ARO-2025-00074"/>
    <s v="Aroma Chemical"/>
    <s v="Dortmund DE"/>
    <x v="6"/>
    <n v="1"/>
    <x v="0"/>
    <s v="Pass"/>
    <n v="7.48"/>
    <s v="CFU/g"/>
    <n v="0"/>
    <n v="100"/>
    <x v="114"/>
    <s v="P. Meier"/>
  </r>
  <r>
    <s v="S001107"/>
    <s v="FOO-2025-00249"/>
    <s v="Food Ingredient Extract"/>
    <s v="East Hanover"/>
    <x v="2"/>
    <n v="1"/>
    <x v="0"/>
    <s v="Pass"/>
    <n v="237.02"/>
    <s v="um"/>
    <n v="150"/>
    <n v="400"/>
    <x v="225"/>
    <s v="S. Fischer"/>
  </r>
  <r>
    <s v="S001699"/>
    <s v="FRA-2024-00380"/>
    <s v="Fragrance Oil"/>
    <s v="East Hanover"/>
    <x v="3"/>
    <n v="1"/>
    <x v="0"/>
    <s v="Fail"/>
    <n v="99.47"/>
    <s v="%"/>
    <n v="97"/>
    <n v="100"/>
    <x v="39"/>
    <s v="J. Nagy"/>
  </r>
  <r>
    <s v="S000029"/>
    <s v="ESS-2024-00006"/>
    <s v="Essential Oil Blend"/>
    <s v="Dortmund DE"/>
    <x v="1"/>
    <n v="1"/>
    <x v="0"/>
    <s v="Pass"/>
    <n v="0.92"/>
    <s v="g/ml"/>
    <n v="0.88"/>
    <n v="0.97"/>
    <x v="214"/>
    <s v="T. Weber"/>
  </r>
  <r>
    <s v="S000833"/>
    <s v="ESS-2024-00189"/>
    <s v="Essential Oil Blend"/>
    <s v="Vernier CH"/>
    <x v="0"/>
    <n v="1"/>
    <x v="0"/>
    <s v="Pass"/>
    <n v="60.22"/>
    <s v="ppm"/>
    <n v="0"/>
    <n v="120"/>
    <x v="100"/>
    <s v="L. Rossi"/>
  </r>
  <r>
    <s v="S001029"/>
    <s v="FOO-2025-00231"/>
    <s v="Food Ingredient Extract"/>
    <s v="Budapest"/>
    <x v="2"/>
    <n v="1"/>
    <x v="0"/>
    <s v="Pass"/>
    <n v="236.87"/>
    <s v="um"/>
    <n v="150"/>
    <n v="400"/>
    <x v="141"/>
    <s v="K. Varga"/>
  </r>
  <r>
    <s v="S001485"/>
    <s v="ESS-2024-00330"/>
    <s v="Essential Oil Blend"/>
    <s v="East Hanover"/>
    <x v="3"/>
    <n v="1"/>
    <x v="0"/>
    <s v="Pass"/>
    <n v="98.79"/>
    <s v="%"/>
    <n v="97"/>
    <n v="100"/>
    <x v="27"/>
    <s v="S. Fischer"/>
  </r>
  <r>
    <s v="S001003"/>
    <s v="FLA-2024-00226"/>
    <s v="Flavor Compound"/>
    <s v="Vernier CH"/>
    <x v="6"/>
    <n v="1"/>
    <x v="0"/>
    <s v="Pending"/>
    <n v="19.16"/>
    <s v="CFU/g"/>
    <n v="0"/>
    <n v="100"/>
    <x v="226"/>
    <s v="L. Rossi"/>
  </r>
  <r>
    <s v="S001790"/>
    <s v="FLA-2024-00400"/>
    <s v="Flavor Compound"/>
    <s v="Budapest"/>
    <x v="4"/>
    <n v="1"/>
    <x v="0"/>
    <s v="Pending"/>
    <n v="0.64"/>
    <s v="%"/>
    <n v="0"/>
    <n v="1"/>
    <x v="77"/>
    <s v="S. Fischer"/>
  </r>
  <r>
    <s v="S000225"/>
    <s v="ARO-2025-00052"/>
    <s v="Aroma Chemical"/>
    <s v="Vernier CH"/>
    <x v="1"/>
    <n v="1"/>
    <x v="0"/>
    <s v="Fail"/>
    <n v="0.97"/>
    <s v="g/ml"/>
    <n v="0.88"/>
    <n v="0.97"/>
    <x v="178"/>
    <s v="T. Weber"/>
  </r>
  <r>
    <s v="S001843"/>
    <s v="ESS-2025-00412"/>
    <s v="Essential Oil Blend"/>
    <s v="Budapest"/>
    <x v="5"/>
    <n v="1"/>
    <x v="0"/>
    <s v="Fail"/>
    <n v="6.32"/>
    <m/>
    <n v="6"/>
    <n v="7.5"/>
    <x v="54"/>
    <s v="S. Fischer"/>
  </r>
  <r>
    <s v="S001183"/>
    <s v="ARO-2024-00265"/>
    <s v="Aroma Chemical"/>
    <s v="Ashford UK"/>
    <x v="0"/>
    <n v="1"/>
    <x v="0"/>
    <s v="Fail"/>
    <n v="33.82"/>
    <s v="ppm"/>
    <n v="0"/>
    <n v="120"/>
    <x v="74"/>
    <s v="J. Nagy"/>
  </r>
  <r>
    <s v="S000839"/>
    <s v="FOO-2025-00191"/>
    <s v="Food Ingredient Extract"/>
    <s v="Dortmund DE"/>
    <x v="0"/>
    <n v="1"/>
    <x v="1"/>
    <s v="Fail"/>
    <n v="180"/>
    <s v="ppm"/>
    <n v="0"/>
    <n v="120"/>
    <x v="33"/>
    <s v="M. Toth"/>
  </r>
  <r>
    <s v="S001410"/>
    <s v="FRA-2024-00314"/>
    <s v="Fragrance Oil"/>
    <s v="Vernier CH"/>
    <x v="6"/>
    <n v="1"/>
    <x v="1"/>
    <s v="Fail"/>
    <n v="-33.4"/>
    <s v="CFU/g"/>
    <n v="0"/>
    <n v="100"/>
    <x v="227"/>
    <s v="M. Toth"/>
  </r>
  <r>
    <s v="S000934"/>
    <s v="ARO-2025-00212"/>
    <s v="Aroma Chemical"/>
    <s v="Dortmund DE"/>
    <x v="4"/>
    <n v="1"/>
    <x v="0"/>
    <s v="Fail"/>
    <n v="0.22"/>
    <s v="%"/>
    <n v="0"/>
    <n v="1"/>
    <x v="228"/>
    <s v="T. Weber"/>
  </r>
  <r>
    <s v="S000873"/>
    <s v="FOO-2025-00197"/>
    <s v="Food Ingredient Extract"/>
    <s v="East Hanover"/>
    <x v="4"/>
    <n v="1"/>
    <x v="0"/>
    <s v="Fail"/>
    <n v="0.65"/>
    <s v="%"/>
    <n v="0"/>
    <n v="1"/>
    <x v="190"/>
    <s v="L. Rossi"/>
  </r>
  <r>
    <s v="S001482"/>
    <s v="ESS-2024-00330"/>
    <s v="Essential Oil Blend"/>
    <s v="East Hanover"/>
    <x v="1"/>
    <n v="1"/>
    <x v="0"/>
    <s v="Pass"/>
    <n v="0.89"/>
    <s v="g/ml"/>
    <n v="0.88"/>
    <n v="0.97"/>
    <x v="27"/>
    <s v="L. Rossi"/>
  </r>
  <r>
    <s v="S001103"/>
    <s v="ARO-2024-00248"/>
    <s v="Aroma Chemical"/>
    <s v="Budapest"/>
    <x v="0"/>
    <n v="1"/>
    <x v="0"/>
    <s v="Pass"/>
    <n v="86.04"/>
    <s v="ppm"/>
    <n v="0"/>
    <n v="120"/>
    <x v="229"/>
    <s v="A. Kovacs"/>
  </r>
  <r>
    <s v="S001966"/>
    <s v="FRA-2025-00440"/>
    <s v="Fragrance Oil"/>
    <s v="Dortmund DE"/>
    <x v="5"/>
    <n v="1"/>
    <x v="0"/>
    <s v="Pass"/>
    <n v="6.59"/>
    <m/>
    <n v="6"/>
    <n v="7.5"/>
    <x v="154"/>
    <s v="S. Fischer"/>
  </r>
  <r>
    <s v="S000620"/>
    <s v="ARO-2024-00140"/>
    <s v="Aroma Chemical"/>
    <s v="Budapest"/>
    <x v="5"/>
    <n v="0"/>
    <x v="2"/>
    <s v="Fail"/>
    <m/>
    <m/>
    <n v="6"/>
    <n v="7.5"/>
    <x v="122"/>
    <s v="J NAGY"/>
  </r>
  <r>
    <s v="S001467"/>
    <s v="ESS-2025-00327"/>
    <s v="Essential Oil Blend"/>
    <s v="Ashford UK"/>
    <x v="3"/>
    <n v="1"/>
    <x v="0"/>
    <s v="Pending"/>
    <n v="99.23"/>
    <s v="%"/>
    <n v="97"/>
    <n v="100"/>
    <x v="79"/>
    <s v="P. Meier"/>
  </r>
  <r>
    <s v="S001095"/>
    <s v="FLA-2025-00246"/>
    <s v="Flavor Compound"/>
    <s v="Dortmund DE"/>
    <x v="2"/>
    <n v="1"/>
    <x v="0"/>
    <s v="Pass"/>
    <n v="271.75"/>
    <s v="um"/>
    <n v="150"/>
    <n v="400"/>
    <x v="57"/>
    <s v="K. Varga"/>
  </r>
  <r>
    <s v="S000152"/>
    <s v="FOO-2025-00036"/>
    <s v="Food Ingredient Extract"/>
    <s v="East Hanover"/>
    <x v="1"/>
    <n v="1"/>
    <x v="0"/>
    <s v="Pass"/>
    <n v="0.91"/>
    <s v="g/ml"/>
    <n v="0.88"/>
    <n v="0.97"/>
    <x v="230"/>
    <s v="M. Toth"/>
  </r>
  <r>
    <s v="S000216"/>
    <s v="FLA-2024-00049"/>
    <s v="Flavor Compound"/>
    <s v="Vernier CH"/>
    <x v="6"/>
    <n v="1"/>
    <x v="1"/>
    <s v="Fail"/>
    <n v="-19.41"/>
    <s v="CFU/g"/>
    <n v="0"/>
    <n v="100"/>
    <x v="231"/>
    <s v="M. Toth"/>
  </r>
  <r>
    <s v="S000099"/>
    <s v="FOO-2025-00023"/>
    <s v="Food Ingredient Extract"/>
    <s v="Vernier CH"/>
    <x v="5"/>
    <n v="1"/>
    <x v="0"/>
    <s v="Pass"/>
    <n v="6.7"/>
    <m/>
    <n v="6"/>
    <n v="7.5"/>
    <x v="194"/>
    <s v="T. Weber"/>
  </r>
  <r>
    <s v="S000769"/>
    <s v="ESS-2025-00174"/>
    <s v="Essential Oil Blend"/>
    <s v="Vernier CH"/>
    <x v="5"/>
    <n v="1"/>
    <x v="0"/>
    <s v="Pass"/>
    <n v="6.42"/>
    <m/>
    <n v="6"/>
    <n v="7.5"/>
    <x v="107"/>
    <s v="M. Toth"/>
  </r>
  <r>
    <s v="S001500"/>
    <s v="FRA-2024-00334"/>
    <s v="Fragrance Oil"/>
    <s v="East Hanover"/>
    <x v="0"/>
    <n v="1"/>
    <x v="0"/>
    <s v="Pass"/>
    <n v="30.18"/>
    <s v="ppm"/>
    <n v="0"/>
    <n v="120"/>
    <x v="80"/>
    <s v="A. Kovacs"/>
  </r>
  <r>
    <s v="S001765"/>
    <s v="ESS-2025-00394"/>
    <s v="Essential Oil Blend"/>
    <s v="East Hanover"/>
    <x v="4"/>
    <n v="1"/>
    <x v="0"/>
    <s v="Pass"/>
    <n v="0.61"/>
    <s v="%"/>
    <n v="0"/>
    <n v="1"/>
    <x v="142"/>
    <s v="P. Meier"/>
  </r>
  <r>
    <s v="S000811"/>
    <s v="FRA-2024-00184"/>
    <s v="Fragrance Oil"/>
    <s v="Budapest"/>
    <x v="3"/>
    <n v="1"/>
    <x v="0"/>
    <s v="Pass"/>
    <n v="98.82"/>
    <s v="%"/>
    <n v="97"/>
    <n v="100"/>
    <x v="232"/>
    <s v="M. Toth"/>
  </r>
  <r>
    <s v="S001481"/>
    <s v="ESS-2025-00329"/>
    <s v="Essential Oil Blend"/>
    <s v="Vernier CH"/>
    <x v="0"/>
    <n v="1"/>
    <x v="0"/>
    <s v="Pass"/>
    <n v="41.46"/>
    <s v="ppm"/>
    <n v="0"/>
    <n v="120"/>
    <x v="233"/>
    <s v="M. Toth"/>
  </r>
  <r>
    <s v="S000013"/>
    <s v="ESS-2025-00003"/>
    <s v="Essential Oil Blend"/>
    <s v="Budapest"/>
    <x v="4"/>
    <n v="1"/>
    <x v="0"/>
    <s v="Fail"/>
    <n v="0.48"/>
    <s v="%"/>
    <n v="0"/>
    <n v="1"/>
    <x v="194"/>
    <s v="S. Fischer"/>
  </r>
  <r>
    <s v="S001595"/>
    <s v="FOO-2025-00356"/>
    <s v="Food Ingredient Extract"/>
    <s v="East Hanover"/>
    <x v="3"/>
    <n v="1"/>
    <x v="0"/>
    <s v="Pass"/>
    <n v="98.19"/>
    <s v="%"/>
    <n v="97"/>
    <n v="100"/>
    <x v="234"/>
    <s v="J NAGY"/>
  </r>
  <r>
    <s v="S001398"/>
    <s v="FOO-2024-00312"/>
    <s v="Food Ingredient Extract"/>
    <s v="Dortmund DE"/>
    <x v="0"/>
    <n v="1"/>
    <x v="0"/>
    <s v="Fail"/>
    <n v="68.59"/>
    <s v="ppm"/>
    <n v="0"/>
    <n v="120"/>
    <x v="235"/>
    <s v="T. Weber"/>
  </r>
  <r>
    <s v="S000168"/>
    <s v="ESS-2024-00039"/>
    <s v="Essential Oil Blend"/>
    <s v="Ashford UK"/>
    <x v="6"/>
    <n v="1"/>
    <x v="1"/>
    <s v="Fail"/>
    <n v="-6.68"/>
    <s v="CFU/g"/>
    <n v="0"/>
    <n v="100"/>
    <x v="236"/>
    <s v="M. Toth"/>
  </r>
  <r>
    <s v="S000644"/>
    <s v="ESS-2024-00147"/>
    <s v="Essential Oil Blend"/>
    <s v="Vernier CH"/>
    <x v="6"/>
    <n v="1"/>
    <x v="0"/>
    <s v="Pass"/>
    <n v="8.68"/>
    <s v="CFU/g"/>
    <n v="0"/>
    <n v="100"/>
    <x v="135"/>
    <s v="S. Fischer"/>
  </r>
  <r>
    <s v="S001099"/>
    <s v="FRA-2024-00247"/>
    <s v="Fragrance Oil"/>
    <s v="Vernier CH"/>
    <x v="2"/>
    <n v="1"/>
    <x v="0"/>
    <s v="Pass"/>
    <n v="240.64"/>
    <s v="um"/>
    <n v="150"/>
    <n v="400"/>
    <x v="135"/>
    <s v="S. Fischer"/>
  </r>
  <r>
    <s v="S000189"/>
    <s v="FRA-2025-00043"/>
    <s v="Fragrance Oil"/>
    <s v="Vernier CH"/>
    <x v="6"/>
    <n v="1"/>
    <x v="0"/>
    <s v="Fail"/>
    <n v="39.65"/>
    <s v="CFU/g"/>
    <n v="0"/>
    <n v="100"/>
    <x v="65"/>
    <s v="A. Kovacs"/>
  </r>
  <r>
    <s v="S001089"/>
    <s v="FLA-2024-00244"/>
    <s v="Flavor Compound"/>
    <s v="Dortmund DE"/>
    <x v="3"/>
    <n v="1"/>
    <x v="0"/>
    <s v="Fail"/>
    <n v="98.64"/>
    <s v="%"/>
    <n v="97"/>
    <n v="100"/>
    <x v="89"/>
    <s v="L. Rossi"/>
  </r>
  <r>
    <s v="S000044"/>
    <s v="FRA-2025-00010"/>
    <s v="Fragrance Oil"/>
    <s v="Ashford UK"/>
    <x v="1"/>
    <n v="1"/>
    <x v="0"/>
    <s v="Fail"/>
    <n v="0.89"/>
    <s v="g/ml"/>
    <n v="0.88"/>
    <n v="0.97"/>
    <x v="237"/>
    <s v="J. Nagy"/>
  </r>
  <r>
    <s v="S001990"/>
    <s v="FRA-2025-00444"/>
    <s v="Fragrance Oil"/>
    <s v="East Hanover"/>
    <x v="1"/>
    <n v="1"/>
    <x v="1"/>
    <s v="Fail"/>
    <n v="1.06"/>
    <s v="g/ml"/>
    <n v="0.88"/>
    <n v="0.97"/>
    <x v="238"/>
    <s v="P. Meier"/>
  </r>
  <r>
    <s v="S000010"/>
    <s v="ARO-2025-00002"/>
    <s v="Aroma Chemical"/>
    <s v="East Hanover"/>
    <x v="3"/>
    <n v="1"/>
    <x v="0"/>
    <s v="Pass"/>
    <n v="98.54"/>
    <s v="%"/>
    <n v="97"/>
    <n v="100"/>
    <x v="110"/>
    <s v="T. Weber"/>
  </r>
  <r>
    <s v="S001349"/>
    <s v="FRA-2024-00301"/>
    <s v="Fragrance Oil"/>
    <s v="East Hanover"/>
    <x v="2"/>
    <n v="1"/>
    <x v="0"/>
    <s v="Pass"/>
    <n v="199.45"/>
    <s v="um"/>
    <n v="150"/>
    <n v="400"/>
    <x v="37"/>
    <s v="T. Weber"/>
  </r>
  <r>
    <s v="S000148"/>
    <s v="ESS-2025-00035"/>
    <s v="Essential Oil Blend"/>
    <s v="Budapest"/>
    <x v="4"/>
    <n v="1"/>
    <x v="0"/>
    <s v="Fail"/>
    <n v="0.4"/>
    <s v="%"/>
    <n v="0"/>
    <n v="1"/>
    <x v="146"/>
    <s v="L. Rossi"/>
  </r>
  <r>
    <s v="S001593"/>
    <s v="FOO-2025-00355"/>
    <s v="Food Ingredient Extract"/>
    <s v="Vernier CH"/>
    <x v="5"/>
    <n v="1"/>
    <x v="0"/>
    <s v="Pass"/>
    <n v="6.87"/>
    <m/>
    <n v="6"/>
    <n v="7.5"/>
    <x v="86"/>
    <s v="T. Weber"/>
  </r>
  <r>
    <s v="S000014"/>
    <s v="ESS-2025-00003"/>
    <s v="Essential Oil Blend"/>
    <s v="Budapest"/>
    <x v="6"/>
    <n v="1"/>
    <x v="1"/>
    <s v="Fail"/>
    <n v="-7.99"/>
    <s v="CFU/g"/>
    <n v="0"/>
    <n v="100"/>
    <x v="194"/>
    <s v="M. Toth"/>
  </r>
  <r>
    <s v="S000390"/>
    <s v="ARO-2024-00088"/>
    <s v="Aroma Chemical"/>
    <s v="Ashford UK"/>
    <x v="2"/>
    <n v="1"/>
    <x v="0"/>
    <s v="Pass"/>
    <n v="274.04000000000002"/>
    <s v="um"/>
    <n v="150"/>
    <n v="400"/>
    <x v="60"/>
    <s v="L. Rossi"/>
  </r>
  <r>
    <s v="S001286"/>
    <s v="FLA-2025-00287"/>
    <s v="Flavor Compound"/>
    <s v="Budapest"/>
    <x v="6"/>
    <n v="1"/>
    <x v="0"/>
    <s v="Pass"/>
    <n v="44.53"/>
    <s v="CFU/g"/>
    <n v="0"/>
    <n v="100"/>
    <x v="239"/>
    <s v="K. Varga"/>
  </r>
  <r>
    <s v="S001671"/>
    <s v="FRA-2025-00374"/>
    <s v="Fragrance Oil"/>
    <s v="East Hanover"/>
    <x v="5"/>
    <n v="1"/>
    <x v="0"/>
    <s v="Pass"/>
    <n v="6.87"/>
    <m/>
    <n v="6"/>
    <n v="7.5"/>
    <x v="40"/>
    <s v="S. Fischer"/>
  </r>
  <r>
    <s v="S000675"/>
    <s v="FRA-2024-00154"/>
    <s v="Fragrance Oil"/>
    <s v="Vernier CH"/>
    <x v="2"/>
    <n v="1"/>
    <x v="0"/>
    <s v="Fail"/>
    <n v="259.14"/>
    <s v="um"/>
    <n v="150"/>
    <n v="400"/>
    <x v="240"/>
    <s v="T. Weber"/>
  </r>
  <r>
    <s v="S000979"/>
    <s v="FLA-2025-00221"/>
    <s v="Flavor Compound"/>
    <s v="Dortmund DE"/>
    <x v="0"/>
    <n v="1"/>
    <x v="0"/>
    <s v="Fail"/>
    <n v="18.53"/>
    <s v="ppm"/>
    <n v="0"/>
    <n v="120"/>
    <x v="6"/>
    <s v="T. Weber"/>
  </r>
  <r>
    <s v="S001207"/>
    <s v="FLA-2024-00270"/>
    <s v="Flavor Compound"/>
    <s v="Ashford UK"/>
    <x v="3"/>
    <n v="1"/>
    <x v="0"/>
    <s v="Fail"/>
    <n v="97.87"/>
    <s v="%"/>
    <n v="97"/>
    <n v="100"/>
    <x v="200"/>
    <s v="J. Nagy"/>
  </r>
  <r>
    <s v="S001523"/>
    <s v="ARO-2024-00339"/>
    <s v="Aroma Chemical"/>
    <s v="Budapest"/>
    <x v="5"/>
    <n v="1"/>
    <x v="0"/>
    <s v="Pass"/>
    <n v="7.38"/>
    <m/>
    <n v="6"/>
    <n v="7.5"/>
    <x v="135"/>
    <s v="A. Kovacs"/>
  </r>
  <r>
    <s v="S000976"/>
    <s v="FLA-2025-00221"/>
    <s v="Flavor Compound"/>
    <s v="Dortmund DE"/>
    <x v="6"/>
    <n v="1"/>
    <x v="1"/>
    <s v="Fail"/>
    <n v="-25.47"/>
    <s v="CFU/g"/>
    <n v="0"/>
    <n v="100"/>
    <x v="6"/>
    <s v="K. Varga"/>
  </r>
  <r>
    <s v="S001270"/>
    <s v="FLA-2024-00284"/>
    <s v="Flavor Compound"/>
    <s v="Vernier CH"/>
    <x v="5"/>
    <n v="1"/>
    <x v="0"/>
    <s v="Pass"/>
    <n v="6.59"/>
    <m/>
    <n v="6"/>
    <n v="7.5"/>
    <x v="93"/>
    <s v="A. Kovacs"/>
  </r>
  <r>
    <s v="S000595"/>
    <s v="ARO-2025-00133"/>
    <s v="Aroma Chemical"/>
    <s v="Dortmund DE"/>
    <x v="5"/>
    <n v="1"/>
    <x v="0"/>
    <s v="Pass"/>
    <n v="6.35"/>
    <m/>
    <n v="6"/>
    <n v="7.5"/>
    <x v="105"/>
    <s v="L. Rossi"/>
  </r>
  <r>
    <s v="S001332"/>
    <s v="ARO-2025-00297"/>
    <s v="Aroma Chemical"/>
    <s v="East Hanover"/>
    <x v="2"/>
    <n v="1"/>
    <x v="0"/>
    <s v="Pass"/>
    <n v="276.92"/>
    <s v="um"/>
    <n v="150"/>
    <n v="400"/>
    <x v="81"/>
    <s v="M. Toth"/>
  </r>
  <r>
    <s v="S000718"/>
    <s v="FRA-2025-00163"/>
    <s v="Fragrance Oil"/>
    <s v="Budapest"/>
    <x v="5"/>
    <n v="1"/>
    <x v="0"/>
    <s v="Fail"/>
    <n v="6.5"/>
    <m/>
    <n v="6"/>
    <n v="7.5"/>
    <x v="119"/>
    <s v="K. Varga"/>
  </r>
  <r>
    <s v="S001391"/>
    <s v="FLA-2025-00310"/>
    <s v="Flavor Compound"/>
    <s v="East Hanover"/>
    <x v="2"/>
    <n v="1"/>
    <x v="0"/>
    <s v="Pass"/>
    <n v="174.65"/>
    <s v="um"/>
    <n v="150"/>
    <n v="400"/>
    <x v="8"/>
    <s v="L. Rossi"/>
  </r>
  <r>
    <s v="S001386"/>
    <s v="ARO-2025-00309"/>
    <s v="Aroma Chemical"/>
    <s v="Budapest"/>
    <x v="4"/>
    <n v="1"/>
    <x v="0"/>
    <s v="Pass"/>
    <n v="0.31"/>
    <s v="%"/>
    <n v="0"/>
    <n v="1"/>
    <x v="241"/>
    <s v="J. Nagy"/>
  </r>
  <r>
    <s v="S001801"/>
    <s v="ARO-2025-00403"/>
    <s v="Aroma Chemical"/>
    <s v="Budapest"/>
    <x v="0"/>
    <n v="0"/>
    <x v="2"/>
    <s v="Fail"/>
    <m/>
    <s v="ppm"/>
    <n v="0"/>
    <n v="120"/>
    <x v="81"/>
    <s v="A. Kovacs"/>
  </r>
  <r>
    <s v="S001581"/>
    <s v="ARO-2024-00352"/>
    <s v="Aroma Chemical"/>
    <s v="Ashford UK"/>
    <x v="6"/>
    <n v="1"/>
    <x v="0"/>
    <s v="Pending"/>
    <n v="24.68"/>
    <s v="CFU/g"/>
    <n v="0"/>
    <n v="100"/>
    <x v="0"/>
    <s v="M. Toth"/>
  </r>
  <r>
    <s v="S001760"/>
    <s v="FLA-2024-00393"/>
    <s v="Flavor Compound"/>
    <s v="East Hanover"/>
    <x v="0"/>
    <n v="0"/>
    <x v="2"/>
    <s v="Pending"/>
    <m/>
    <s v="ppm"/>
    <n v="0"/>
    <n v="120"/>
    <x v="242"/>
    <s v="J NAGY"/>
  </r>
  <r>
    <s v="S000464"/>
    <s v="ESS-2025-00104"/>
    <s v="Essential Oil Blend"/>
    <s v="East Hanover"/>
    <x v="1"/>
    <n v="1"/>
    <x v="0"/>
    <s v="Fail"/>
    <n v="0.93"/>
    <s v="g/ml"/>
    <n v="0.88"/>
    <n v="0.97"/>
    <x v="131"/>
    <s v="S. Fischer"/>
  </r>
  <r>
    <s v="S001119"/>
    <s v="FOO-2025-00251"/>
    <s v="Food Ingredient Extract"/>
    <s v="Budapest"/>
    <x v="2"/>
    <n v="1"/>
    <x v="0"/>
    <s v="Fail"/>
    <n v="252.9"/>
    <s v="um"/>
    <n v="150"/>
    <n v="400"/>
    <x v="28"/>
    <s v="P. Meier"/>
  </r>
  <r>
    <s v="S001228"/>
    <s v="FLA-2024-00274"/>
    <s v="Flavor Compound"/>
    <s v="Ashford UK"/>
    <x v="0"/>
    <n v="1"/>
    <x v="0"/>
    <s v="Pass"/>
    <n v="29.03"/>
    <s v="ppm"/>
    <n v="0"/>
    <n v="120"/>
    <x v="204"/>
    <s v="S. Fischer"/>
  </r>
  <r>
    <s v="S000541"/>
    <s v="ESS-2025-00122"/>
    <s v="Essential Oil Blend"/>
    <s v="Budapest"/>
    <x v="2"/>
    <n v="1"/>
    <x v="1"/>
    <s v="Fail"/>
    <n v="520"/>
    <s v="um"/>
    <n v="150"/>
    <n v="400"/>
    <x v="243"/>
    <s v="M. Toth"/>
  </r>
  <r>
    <s v="S000026"/>
    <s v="ESS-2024-00006"/>
    <s v="Essential Oil Blend"/>
    <s v="Dortmund DE"/>
    <x v="3"/>
    <n v="1"/>
    <x v="0"/>
    <s v="Pass"/>
    <n v="97.22"/>
    <s v="%"/>
    <n v="97"/>
    <n v="100"/>
    <x v="214"/>
    <s v="S. Fischer"/>
  </r>
  <r>
    <s v="S000631"/>
    <s v="FRA-2025-00143"/>
    <s v="Fragrance Oil"/>
    <s v="Ashford UK"/>
    <x v="2"/>
    <n v="1"/>
    <x v="0"/>
    <s v="Fail"/>
    <n v="230.04"/>
    <s v="um"/>
    <n v="150"/>
    <n v="400"/>
    <x v="103"/>
    <s v="J. Nagy"/>
  </r>
  <r>
    <s v="S001464"/>
    <s v="FRA-2025-00326"/>
    <s v="Fragrance Oil"/>
    <s v="Vernier CH"/>
    <x v="0"/>
    <n v="1"/>
    <x v="0"/>
    <s v="Pass"/>
    <n v="70.540000000000006"/>
    <s v="ppm"/>
    <n v="0"/>
    <n v="120"/>
    <x v="244"/>
    <s v="M. Toth"/>
  </r>
  <r>
    <s v="S001347"/>
    <s v="FRA-2024-00301"/>
    <s v="Fragrance Oil"/>
    <s v="East Hanover"/>
    <x v="1"/>
    <n v="1"/>
    <x v="0"/>
    <s v="Pass"/>
    <n v="0.89"/>
    <s v="g/ml"/>
    <n v="0.88"/>
    <n v="0.97"/>
    <x v="37"/>
    <s v="A. Kovacs"/>
  </r>
  <r>
    <s v="S000849"/>
    <s v="FRA-2024-00193"/>
    <s v="Fragrance Oil"/>
    <s v="Dortmund DE"/>
    <x v="1"/>
    <n v="1"/>
    <x v="0"/>
    <s v="Fail"/>
    <n v="0.93"/>
    <s v="g/ml"/>
    <n v="0.88"/>
    <n v="0.97"/>
    <x v="245"/>
    <s v="J NAGY"/>
  </r>
  <r>
    <s v="S000116"/>
    <s v="ESS-2025-00027"/>
    <s v="Essential Oil Blend"/>
    <s v="East Hanover"/>
    <x v="1"/>
    <n v="1"/>
    <x v="0"/>
    <s v="Pass"/>
    <n v="0.91"/>
    <s v="g/ml"/>
    <n v="0.88"/>
    <n v="0.97"/>
    <x v="182"/>
    <s v="J. Nagy"/>
  </r>
  <r>
    <s v="S000025"/>
    <s v="ESS-2024-00006"/>
    <s v="Essential Oil Blend"/>
    <s v="Dortmund DE"/>
    <x v="0"/>
    <n v="1"/>
    <x v="0"/>
    <s v="Pass"/>
    <n v="84.93"/>
    <s v="ppm"/>
    <n v="0"/>
    <n v="120"/>
    <x v="214"/>
    <s v="A. Kovacs"/>
  </r>
  <r>
    <s v="S000371"/>
    <s v="ARO-2025-00083"/>
    <s v="Aroma Chemical"/>
    <s v="Ashford UK"/>
    <x v="5"/>
    <n v="1"/>
    <x v="0"/>
    <s v="Pass"/>
    <n v="6.4"/>
    <m/>
    <n v="6"/>
    <n v="7.5"/>
    <x v="128"/>
    <s v="P. Meier"/>
  </r>
  <r>
    <s v="S000587"/>
    <s v="FLA-2024-00132"/>
    <s v="Flavor Compound"/>
    <s v="Dortmund DE"/>
    <x v="5"/>
    <n v="1"/>
    <x v="0"/>
    <s v="Pass"/>
    <n v="7.02"/>
    <m/>
    <n v="6"/>
    <n v="7.5"/>
    <x v="109"/>
    <s v="T. Weber"/>
  </r>
  <r>
    <s v="S000097"/>
    <s v="FOO-2025-00023"/>
    <s v="Food Ingredient Extract"/>
    <s v="Vernier CH"/>
    <x v="2"/>
    <n v="1"/>
    <x v="0"/>
    <s v="Pass"/>
    <n v="228.45"/>
    <s v="um"/>
    <n v="150"/>
    <n v="400"/>
    <x v="194"/>
    <s v="P. Meier"/>
  </r>
  <r>
    <s v="S000566"/>
    <s v="ARO-2025-00127"/>
    <s v="Aroma Chemical"/>
    <s v="East Hanover"/>
    <x v="5"/>
    <n v="1"/>
    <x v="1"/>
    <s v="Fail"/>
    <n v="8.6999999999999993"/>
    <m/>
    <n v="6"/>
    <n v="7.5"/>
    <x v="246"/>
    <s v="P. Meier"/>
  </r>
  <r>
    <s v="S000973"/>
    <s v="FLA-2024-00220"/>
    <s v="Flavor Compound"/>
    <s v="Budapest"/>
    <x v="6"/>
    <n v="1"/>
    <x v="0"/>
    <s v="Pass"/>
    <n v="14.67"/>
    <s v="CFU/g"/>
    <n v="0"/>
    <n v="100"/>
    <x v="247"/>
    <s v="L. Rossi"/>
  </r>
  <r>
    <s v="S001454"/>
    <s v="FOO-2024-00324"/>
    <s v="Food Ingredient Extract"/>
    <s v="Dortmund DE"/>
    <x v="3"/>
    <n v="1"/>
    <x v="0"/>
    <s v="Pass"/>
    <n v="97.38"/>
    <s v="%"/>
    <n v="97"/>
    <n v="100"/>
    <x v="248"/>
    <s v="S. Fischer"/>
  </r>
  <r>
    <s v="S000100"/>
    <s v="FOO-2025-00023"/>
    <s v="Food Ingredient Extract"/>
    <s v="Vernier CH"/>
    <x v="3"/>
    <n v="1"/>
    <x v="0"/>
    <s v="Pass"/>
    <n v="98.92"/>
    <s v="%"/>
    <n v="97"/>
    <n v="100"/>
    <x v="194"/>
    <s v="L. Rossi"/>
  </r>
  <r>
    <s v="S001514"/>
    <s v="ARO-2024-00337"/>
    <s v="Aroma Chemical"/>
    <s v="East Hanover"/>
    <x v="6"/>
    <n v="1"/>
    <x v="0"/>
    <s v="Pass"/>
    <n v="55.82"/>
    <s v="CFU/g"/>
    <n v="0"/>
    <n v="100"/>
    <x v="135"/>
    <s v="J. Nagy"/>
  </r>
  <r>
    <s v="S001501"/>
    <s v="FRA-2024-00334"/>
    <s v="Fragrance Oil"/>
    <s v="East Hanover"/>
    <x v="2"/>
    <n v="1"/>
    <x v="0"/>
    <s v="Pass"/>
    <n v="260.11"/>
    <s v="um"/>
    <n v="150"/>
    <n v="400"/>
    <x v="80"/>
    <s v="P. Meier"/>
  </r>
  <r>
    <s v="S001928"/>
    <s v="FOO-2024-00431"/>
    <s v="Food Ingredient Extract"/>
    <s v="East Hanover"/>
    <x v="6"/>
    <n v="1"/>
    <x v="0"/>
    <s v="Fail"/>
    <n v="63.2"/>
    <s v="CFU/g"/>
    <n v="0"/>
    <n v="100"/>
    <x v="14"/>
    <s v="L. Rossi"/>
  </r>
  <r>
    <s v="S000358"/>
    <s v="ESS-2025-00081"/>
    <s v="Essential Oil Blend"/>
    <s v="Dortmund DE"/>
    <x v="3"/>
    <n v="1"/>
    <x v="0"/>
    <s v="Pass"/>
    <n v="98.79"/>
    <s v="%"/>
    <n v="97"/>
    <n v="100"/>
    <x v="18"/>
    <s v="L. Rossi"/>
  </r>
  <r>
    <s v="S001352"/>
    <s v="ARO-2024-00302"/>
    <s v="Aroma Chemical"/>
    <s v="Budapest"/>
    <x v="6"/>
    <n v="1"/>
    <x v="1"/>
    <s v="Fail"/>
    <n v="-3.63"/>
    <s v="CFU/g"/>
    <n v="0"/>
    <n v="100"/>
    <x v="112"/>
    <s v="L. Rossi"/>
  </r>
  <r>
    <s v="S000818"/>
    <s v="ESS-2024-00186"/>
    <s v="Essential Oil Blend"/>
    <s v="Budapest"/>
    <x v="1"/>
    <n v="1"/>
    <x v="0"/>
    <s v="Pass"/>
    <n v="0.94"/>
    <s v="g/ml"/>
    <n v="0.88"/>
    <n v="0.97"/>
    <x v="144"/>
    <s v="M. Toth"/>
  </r>
  <r>
    <s v="S001624"/>
    <s v="ARO-2025-00363"/>
    <s v="Aroma Chemical"/>
    <s v="Dortmund DE"/>
    <x v="0"/>
    <n v="1"/>
    <x v="0"/>
    <s v="Fail"/>
    <n v="22.64"/>
    <s v="ppm"/>
    <n v="0"/>
    <n v="120"/>
    <x v="117"/>
    <s v="T. Weber"/>
  </r>
  <r>
    <s v="S001147"/>
    <s v="ARO-2024-00257"/>
    <s v="Aroma Chemical"/>
    <s v="Budapest"/>
    <x v="1"/>
    <n v="1"/>
    <x v="0"/>
    <s v="Pass"/>
    <n v="0.94"/>
    <s v="g/ml"/>
    <n v="0.88"/>
    <n v="0.97"/>
    <x v="249"/>
    <s v="J. Nagy"/>
  </r>
  <r>
    <s v="S001748"/>
    <s v="FLA-2025-00390"/>
    <s v="Flavor Compound"/>
    <s v="Budapest"/>
    <x v="2"/>
    <n v="1"/>
    <x v="0"/>
    <s v="Pass"/>
    <n v="231.43"/>
    <s v="um"/>
    <n v="150"/>
    <n v="400"/>
    <x v="190"/>
    <s v="T. Weber"/>
  </r>
  <r>
    <s v="S001807"/>
    <s v="ESS-2024-00404"/>
    <s v="Essential Oil Blend"/>
    <s v="East Hanover"/>
    <x v="0"/>
    <n v="1"/>
    <x v="0"/>
    <s v="Fail"/>
    <n v="53.5"/>
    <s v="ppm"/>
    <n v="0"/>
    <n v="120"/>
    <x v="214"/>
    <s v="A. Kovacs"/>
  </r>
  <r>
    <s v="S001588"/>
    <s v="ESS-2025-00354"/>
    <s v="Essential Oil Blend"/>
    <s v="Budapest"/>
    <x v="6"/>
    <n v="1"/>
    <x v="1"/>
    <s v="Fail"/>
    <n v="-75"/>
    <s v="CFU/g"/>
    <n v="0"/>
    <n v="100"/>
    <x v="169"/>
    <s v="J. Nagy"/>
  </r>
  <r>
    <s v="S001717"/>
    <s v="ESS-2025-00384"/>
    <s v="Essential Oil Blend"/>
    <s v="Dortmund DE"/>
    <x v="6"/>
    <n v="1"/>
    <x v="0"/>
    <s v="Pass"/>
    <n v="8.7799999999999994"/>
    <s v="CFU/g"/>
    <n v="0"/>
    <n v="100"/>
    <x v="129"/>
    <s v="M. Toth"/>
  </r>
  <r>
    <s v="S001227"/>
    <s v="FLA-2024-00274"/>
    <s v="Flavor Compound"/>
    <s v="Ashford UK"/>
    <x v="6"/>
    <n v="1"/>
    <x v="0"/>
    <s v="Pass"/>
    <n v="14.61"/>
    <s v="CFU/g"/>
    <n v="0"/>
    <n v="100"/>
    <x v="204"/>
    <s v="J. Nagy"/>
  </r>
  <r>
    <s v="S000271"/>
    <s v="FLA-2024-00062"/>
    <s v="Flavor Compound"/>
    <s v="Budapest"/>
    <x v="0"/>
    <n v="1"/>
    <x v="0"/>
    <s v="Pass"/>
    <n v="51.46"/>
    <s v="ppm"/>
    <n v="0"/>
    <n v="120"/>
    <x v="145"/>
    <s v="P. Meier"/>
  </r>
  <r>
    <s v="S000119"/>
    <s v="ESS-2025-00028"/>
    <s v="Essential Oil Blend"/>
    <s v="Ashford UK"/>
    <x v="6"/>
    <n v="1"/>
    <x v="0"/>
    <s v="Pass"/>
    <n v="29.68"/>
    <s v="CFU/g"/>
    <n v="0"/>
    <n v="100"/>
    <x v="250"/>
    <s v="P. Meier"/>
  </r>
  <r>
    <s v="S000118"/>
    <s v="ESS-2025-00027"/>
    <s v="Essential Oil Blend"/>
    <s v="East Hanover"/>
    <x v="5"/>
    <n v="1"/>
    <x v="0"/>
    <s v="Pass"/>
    <n v="6.67"/>
    <m/>
    <n v="6"/>
    <n v="7.5"/>
    <x v="182"/>
    <s v="J. Nagy"/>
  </r>
  <r>
    <s v="S001915"/>
    <s v="FLA-2024-00429"/>
    <s v="Flavor Compound"/>
    <s v="Vernier CH"/>
    <x v="1"/>
    <n v="1"/>
    <x v="0"/>
    <s v="Pass"/>
    <n v="0.96"/>
    <s v="g/ml"/>
    <n v="0.88"/>
    <n v="0.97"/>
    <x v="32"/>
    <s v="K. Varga"/>
  </r>
  <r>
    <s v="S000557"/>
    <s v="FOO-2024-00125"/>
    <s v="Food Ingredient Extract"/>
    <s v="Vernier CH"/>
    <x v="3"/>
    <n v="1"/>
    <x v="0"/>
    <s v="Pass"/>
    <n v="98.5"/>
    <s v="%"/>
    <n v="97"/>
    <n v="100"/>
    <x v="249"/>
    <s v="L. Rossi"/>
  </r>
  <r>
    <s v="S000685"/>
    <s v="ARO-2025-00156"/>
    <s v="Aroma Chemical"/>
    <s v="Dortmund DE"/>
    <x v="1"/>
    <n v="1"/>
    <x v="0"/>
    <s v="Pass"/>
    <n v="0.89"/>
    <s v="g/ml"/>
    <n v="0.88"/>
    <n v="0.97"/>
    <x v="116"/>
    <s v="S. Fischer"/>
  </r>
  <r>
    <s v="S001242"/>
    <s v="ESS-2025-00278"/>
    <s v="Essential Oil Blend"/>
    <s v="Ashford UK"/>
    <x v="1"/>
    <n v="1"/>
    <x v="0"/>
    <s v="Pass"/>
    <n v="0.93"/>
    <s v="g/ml"/>
    <n v="0.88"/>
    <n v="0.97"/>
    <x v="206"/>
    <s v="S. Fischer"/>
  </r>
  <r>
    <s v="S000507"/>
    <s v="FOO-2025-00113"/>
    <s v="Food Ingredient Extract"/>
    <s v="Ashford UK"/>
    <x v="2"/>
    <n v="1"/>
    <x v="0"/>
    <s v="Fail"/>
    <n v="232.02"/>
    <s v="um"/>
    <n v="150"/>
    <n v="400"/>
    <x v="177"/>
    <s v="A. Kovacs"/>
  </r>
  <r>
    <s v="S001703"/>
    <s v="ARO-2025-00381"/>
    <s v="Aroma Chemical"/>
    <s v="Budapest"/>
    <x v="6"/>
    <n v="1"/>
    <x v="0"/>
    <s v="Pass"/>
    <n v="9.33"/>
    <s v="CFU/g"/>
    <n v="0"/>
    <n v="100"/>
    <x v="31"/>
    <s v="J. Nagy"/>
  </r>
  <r>
    <s v="S000165"/>
    <s v="ESS-2024-00039"/>
    <s v="Essential Oil Blend"/>
    <s v="Ashford UK"/>
    <x v="3"/>
    <n v="1"/>
    <x v="0"/>
    <s v="Fail"/>
    <n v="98.05"/>
    <s v="%"/>
    <n v="97"/>
    <n v="100"/>
    <x v="236"/>
    <s v="A. Kovacs"/>
  </r>
  <r>
    <s v="S000741"/>
    <s v="FLA-2025-00168"/>
    <s v="Flavor Compound"/>
    <s v="East Hanover"/>
    <x v="6"/>
    <n v="1"/>
    <x v="0"/>
    <s v="Fail"/>
    <n v="16.95"/>
    <s v="CFU/g"/>
    <n v="0"/>
    <n v="100"/>
    <x v="206"/>
    <s v="K. Varga"/>
  </r>
  <r>
    <s v="S001494"/>
    <s v="ESS-2025-00333"/>
    <s v="Essential Oil Blend"/>
    <s v="Budapest"/>
    <x v="1"/>
    <n v="1"/>
    <x v="0"/>
    <s v="Pass"/>
    <n v="0.9"/>
    <s v="g/ml"/>
    <n v="0.88"/>
    <n v="0.97"/>
    <x v="43"/>
    <s v="M. Toth"/>
  </r>
  <r>
    <s v="S001803"/>
    <s v="ARO-2025-00403"/>
    <s v="Aroma Chemical"/>
    <s v="Budapest"/>
    <x v="2"/>
    <n v="1"/>
    <x v="0"/>
    <s v="Fail"/>
    <n v="270.91000000000003"/>
    <s v="um"/>
    <n v="150"/>
    <n v="400"/>
    <x v="81"/>
    <s v="T. Weber"/>
  </r>
  <r>
    <s v="S000466"/>
    <s v="FOO-2025-00105"/>
    <s v="Food Ingredient Extract"/>
    <s v="Budapest"/>
    <x v="3"/>
    <n v="1"/>
    <x v="0"/>
    <s v="Pass"/>
    <n v="98.88"/>
    <s v="%"/>
    <n v="97"/>
    <n v="100"/>
    <x v="251"/>
    <s v="P. Meier"/>
  </r>
  <r>
    <s v="S001158"/>
    <s v="ESS-2025-00259"/>
    <s v="Essential Oil Blend"/>
    <s v="Vernier CH"/>
    <x v="3"/>
    <n v="1"/>
    <x v="0"/>
    <s v="Pass"/>
    <n v="97.9"/>
    <s v="%"/>
    <n v="97"/>
    <n v="100"/>
    <x v="114"/>
    <s v="M. Toth"/>
  </r>
  <r>
    <s v="S001234"/>
    <s v="ARO-2024-00276"/>
    <s v="Aroma Chemical"/>
    <s v="Vernier CH"/>
    <x v="0"/>
    <n v="1"/>
    <x v="0"/>
    <s v="Pass"/>
    <n v="59.89"/>
    <s v="ppm"/>
    <n v="0"/>
    <n v="120"/>
    <x v="224"/>
    <s v="A. Kovacs"/>
  </r>
  <r>
    <s v="S000143"/>
    <s v="FOO-2024-00034"/>
    <s v="Food Ingredient Extract"/>
    <s v="Vernier CH"/>
    <x v="3"/>
    <n v="1"/>
    <x v="0"/>
    <s v="Pass"/>
    <n v="97.85"/>
    <s v="%"/>
    <n v="97"/>
    <n v="100"/>
    <x v="1"/>
    <s v="J. Nagy"/>
  </r>
  <r>
    <s v="S000114"/>
    <s v="FLA-2025-00026"/>
    <s v="Flavor Compound"/>
    <s v="Vernier CH"/>
    <x v="2"/>
    <n v="1"/>
    <x v="0"/>
    <s v="Fail"/>
    <n v="260.76"/>
    <s v="um"/>
    <n v="150"/>
    <n v="400"/>
    <x v="202"/>
    <s v="S. Fischer"/>
  </r>
  <r>
    <s v="S001073"/>
    <s v="FLA-2025-00240"/>
    <s v="Flavor Compound"/>
    <s v="Ashford UK"/>
    <x v="5"/>
    <n v="1"/>
    <x v="0"/>
    <s v="Pass"/>
    <n v="6.74"/>
    <m/>
    <n v="6"/>
    <n v="7.5"/>
    <x v="252"/>
    <s v="K. Varga"/>
  </r>
  <r>
    <s v="S001385"/>
    <s v="ARO-2025-00309"/>
    <s v="Aroma Chemical"/>
    <s v="Budapest"/>
    <x v="6"/>
    <n v="1"/>
    <x v="0"/>
    <s v="Pass"/>
    <n v="35.799999999999997"/>
    <s v="CFU/g"/>
    <n v="0"/>
    <n v="100"/>
    <x v="241"/>
    <s v="T. Weber"/>
  </r>
  <r>
    <s v="S000379"/>
    <s v="ESS-2025-00086"/>
    <s v="Essential Oil Blend"/>
    <s v="Ashford UK"/>
    <x v="3"/>
    <n v="1"/>
    <x v="0"/>
    <s v="Pass"/>
    <n v="99.02"/>
    <s v="%"/>
    <n v="97"/>
    <n v="100"/>
    <x v="217"/>
    <s v="J NAGY"/>
  </r>
  <r>
    <s v="S000064"/>
    <s v="ESS-2025-00015"/>
    <s v="Essential Oil Blend"/>
    <s v="Dortmund DE"/>
    <x v="5"/>
    <n v="1"/>
    <x v="0"/>
    <s v="Pass"/>
    <n v="6.91"/>
    <m/>
    <n v="6"/>
    <n v="7.5"/>
    <x v="253"/>
    <s v="L. Rossi"/>
  </r>
  <r>
    <s v="S000489"/>
    <s v="ARO-2025-00110"/>
    <s v="Aroma Chemical"/>
    <s v="Vernier CH"/>
    <x v="6"/>
    <n v="1"/>
    <x v="0"/>
    <s v="Fail"/>
    <n v="38.86"/>
    <s v="CFU/g"/>
    <n v="0"/>
    <n v="100"/>
    <x v="208"/>
    <s v="K. Varga"/>
  </r>
  <r>
    <s v="S000638"/>
    <s v="ESS-2025-00145"/>
    <s v="Essential Oil Blend"/>
    <s v="Ashford UK"/>
    <x v="3"/>
    <n v="1"/>
    <x v="0"/>
    <s v="Pass"/>
    <n v="98.51"/>
    <s v="%"/>
    <n v="97"/>
    <n v="100"/>
    <x v="65"/>
    <s v="S. Fischer"/>
  </r>
  <r>
    <s v="S000187"/>
    <s v="FRA-2025-00043"/>
    <s v="Fragrance Oil"/>
    <s v="Vernier CH"/>
    <x v="0"/>
    <n v="1"/>
    <x v="0"/>
    <s v="Fail"/>
    <n v="44.91"/>
    <s v="ppm"/>
    <n v="0"/>
    <n v="120"/>
    <x v="65"/>
    <s v="L. Rossi"/>
  </r>
  <r>
    <s v="S001346"/>
    <s v="FRA-2024-00301"/>
    <s v="Fragrance Oil"/>
    <s v="East Hanover"/>
    <x v="4"/>
    <n v="1"/>
    <x v="0"/>
    <s v="Pass"/>
    <n v="0.26"/>
    <s v="%"/>
    <n v="0"/>
    <n v="1"/>
    <x v="37"/>
    <s v="K. Varga"/>
  </r>
  <r>
    <s v="S001276"/>
    <s v="ARO-2024-00285"/>
    <s v="Aroma Chemical"/>
    <s v="Vernier CH"/>
    <x v="4"/>
    <n v="1"/>
    <x v="0"/>
    <s v="Fail"/>
    <n v="0.26"/>
    <s v="%"/>
    <n v="0"/>
    <n v="1"/>
    <x v="13"/>
    <s v="L. Rossi"/>
  </r>
  <r>
    <s v="S000636"/>
    <s v="ESS-2025-00145"/>
    <s v="Essential Oil Blend"/>
    <s v="Ashford UK"/>
    <x v="4"/>
    <n v="1"/>
    <x v="0"/>
    <s v="Pass"/>
    <n v="0.26"/>
    <s v="%"/>
    <n v="0"/>
    <n v="1"/>
    <x v="65"/>
    <s v="J NAGY"/>
  </r>
  <r>
    <s v="S000295"/>
    <s v="FRA-2024-00067"/>
    <s v="Fragrance Oil"/>
    <s v="Vernier CH"/>
    <x v="0"/>
    <n v="1"/>
    <x v="0"/>
    <s v="Fail"/>
    <n v="20.6"/>
    <s v="ppm"/>
    <n v="0"/>
    <n v="120"/>
    <x v="132"/>
    <s v="K. Varga"/>
  </r>
  <r>
    <s v="S000876"/>
    <s v="FOO-2025-00198"/>
    <s v="Food Ingredient Extract"/>
    <s v="East Hanover"/>
    <x v="1"/>
    <n v="1"/>
    <x v="0"/>
    <s v="Fail"/>
    <n v="0.94"/>
    <s v="g/ml"/>
    <n v="0.88"/>
    <n v="0.97"/>
    <x v="47"/>
    <s v="P. Meier"/>
  </r>
  <r>
    <s v="S000454"/>
    <s v="FOO-2024-00102"/>
    <s v="Food Ingredient Extract"/>
    <s v="Budapest"/>
    <x v="2"/>
    <n v="1"/>
    <x v="0"/>
    <s v="Pass"/>
    <n v="269.38"/>
    <s v="um"/>
    <n v="150"/>
    <n v="400"/>
    <x v="108"/>
    <s v="K. Varga"/>
  </r>
  <r>
    <s v="S000287"/>
    <s v="FLA-2025-00065"/>
    <s v="Flavor Compound"/>
    <s v="East Hanover"/>
    <x v="3"/>
    <n v="1"/>
    <x v="0"/>
    <s v="Fail"/>
    <n v="98.83"/>
    <s v="%"/>
    <n v="97"/>
    <n v="100"/>
    <x v="49"/>
    <s v="M. Toth"/>
  </r>
  <r>
    <s v="S001874"/>
    <s v="ESS-2024-00419"/>
    <s v="Essential Oil Blend"/>
    <s v="East Hanover"/>
    <x v="2"/>
    <n v="1"/>
    <x v="0"/>
    <s v="Pass"/>
    <n v="246.33"/>
    <s v="um"/>
    <n v="150"/>
    <n v="400"/>
    <x v="99"/>
    <s v="M. Toth"/>
  </r>
  <r>
    <s v="S001967"/>
    <s v="FRA-2025-00440"/>
    <s v="Fragrance Oil"/>
    <s v="Dortmund DE"/>
    <x v="2"/>
    <n v="1"/>
    <x v="0"/>
    <s v="Pass"/>
    <n v="175.71"/>
    <s v="um"/>
    <n v="150"/>
    <n v="400"/>
    <x v="154"/>
    <s v="T. Weber"/>
  </r>
  <r>
    <s v="S000301"/>
    <s v="FOO-2025-00068"/>
    <s v="Food Ingredient Extract"/>
    <s v="Ashford UK"/>
    <x v="2"/>
    <n v="1"/>
    <x v="0"/>
    <s v="Pass"/>
    <n v="345.48"/>
    <s v="um"/>
    <n v="150"/>
    <n v="400"/>
    <x v="70"/>
    <s v="L. Rossi"/>
  </r>
  <r>
    <s v="S000842"/>
    <s v="FOO-2025-00191"/>
    <s v="Food Ingredient Extract"/>
    <s v="Dortmund DE"/>
    <x v="5"/>
    <n v="1"/>
    <x v="1"/>
    <s v="Fail"/>
    <n v="4.8"/>
    <m/>
    <n v="6"/>
    <n v="7.5"/>
    <x v="33"/>
    <s v="J. Nagy"/>
  </r>
  <r>
    <s v="S000316"/>
    <s v="FLA-2024-00072"/>
    <s v="Flavor Compound"/>
    <s v="East Hanover"/>
    <x v="6"/>
    <n v="1"/>
    <x v="1"/>
    <s v="Fail"/>
    <n v="-4.37"/>
    <s v="CFU/g"/>
    <n v="0"/>
    <n v="100"/>
    <x v="254"/>
    <s v="M. Toth"/>
  </r>
  <r>
    <s v="S000896"/>
    <s v="FRA-2025-00203"/>
    <s v="Fragrance Oil"/>
    <s v="East Hanover"/>
    <x v="2"/>
    <n v="1"/>
    <x v="0"/>
    <s v="Pass"/>
    <n v="229.14"/>
    <s v="um"/>
    <n v="150"/>
    <n v="400"/>
    <x v="221"/>
    <s v="A. Kovacs"/>
  </r>
  <r>
    <s v="S000708"/>
    <s v="ARO-2025-00161"/>
    <s v="Aroma Chemical"/>
    <s v="Budapest"/>
    <x v="5"/>
    <n v="1"/>
    <x v="0"/>
    <s v="Pass"/>
    <n v="6.15"/>
    <m/>
    <n v="6"/>
    <n v="7.5"/>
    <x v="255"/>
    <s v="A. Kovacs"/>
  </r>
  <r>
    <s v="S000360"/>
    <s v="ESS-2025-00081"/>
    <s v="Essential Oil Blend"/>
    <s v="Dortmund DE"/>
    <x v="1"/>
    <n v="1"/>
    <x v="0"/>
    <s v="Pass"/>
    <n v="0.9"/>
    <s v="g/ml"/>
    <n v="0.88"/>
    <n v="0.97"/>
    <x v="18"/>
    <s v="A. Kovacs"/>
  </r>
  <r>
    <s v="S000131"/>
    <s v="FLA-2024-00031"/>
    <s v="Flavor Compound"/>
    <s v="Ashford UK"/>
    <x v="6"/>
    <n v="1"/>
    <x v="0"/>
    <s v="Pending"/>
    <n v="43.2"/>
    <s v="CFU/g"/>
    <n v="0"/>
    <n v="100"/>
    <x v="155"/>
    <s v="S. Fischer"/>
  </r>
  <r>
    <s v="S001138"/>
    <s v="FRA-2025-00255"/>
    <s v="Fragrance Oil"/>
    <s v="East Hanover"/>
    <x v="3"/>
    <n v="1"/>
    <x v="0"/>
    <s v="Fail"/>
    <n v="98.79"/>
    <s v="%"/>
    <n v="97"/>
    <n v="100"/>
    <x v="139"/>
    <s v="T. Weber"/>
  </r>
  <r>
    <s v="S000729"/>
    <s v="FRA-2024-00165"/>
    <s v="Fragrance Oil"/>
    <s v="East Hanover"/>
    <x v="3"/>
    <n v="1"/>
    <x v="0"/>
    <s v="Pass"/>
    <n v="99.53"/>
    <s v="%"/>
    <n v="97"/>
    <n v="100"/>
    <x v="36"/>
    <s v="J NAGY"/>
  </r>
  <r>
    <s v="S000190"/>
    <s v="FRA-2025-00043"/>
    <s v="Fragrance Oil"/>
    <s v="Vernier CH"/>
    <x v="5"/>
    <n v="1"/>
    <x v="0"/>
    <s v="Fail"/>
    <n v="6.42"/>
    <m/>
    <n v="6"/>
    <n v="7.5"/>
    <x v="65"/>
    <s v="P. Meier"/>
  </r>
  <r>
    <s v="S000028"/>
    <s v="ESS-2024-00006"/>
    <s v="Essential Oil Blend"/>
    <s v="Dortmund DE"/>
    <x v="6"/>
    <n v="1"/>
    <x v="0"/>
    <s v="Pass"/>
    <n v="11.03"/>
    <s v="CFU/g"/>
    <n v="0"/>
    <n v="100"/>
    <x v="214"/>
    <s v="P. Meier"/>
  </r>
  <r>
    <s v="S001568"/>
    <s v="FLA-2024-00349"/>
    <s v="Flavor Compound"/>
    <s v="East Hanover"/>
    <x v="1"/>
    <n v="1"/>
    <x v="0"/>
    <s v="Fail"/>
    <n v="0.92"/>
    <s v="g/ml"/>
    <n v="0.88"/>
    <n v="0.97"/>
    <x v="1"/>
    <s v="J NAGY"/>
  </r>
  <r>
    <s v="S001924"/>
    <s v="ARO-2024-00430"/>
    <s v="Aroma Chemical"/>
    <s v="East Hanover"/>
    <x v="5"/>
    <n v="1"/>
    <x v="0"/>
    <s v="Fail"/>
    <n v="6.81"/>
    <m/>
    <n v="6"/>
    <n v="7.5"/>
    <x v="10"/>
    <s v="M. Toth"/>
  </r>
  <r>
    <s v="S000919"/>
    <s v="ESS-2024-00208"/>
    <s v="Essential Oil Blend"/>
    <s v="East Hanover"/>
    <x v="3"/>
    <n v="1"/>
    <x v="0"/>
    <s v="Pending"/>
    <n v="97.23"/>
    <s v="%"/>
    <n v="97"/>
    <n v="100"/>
    <x v="256"/>
    <s v="K. Varga"/>
  </r>
  <r>
    <s v="S000747"/>
    <s v="FOO-2024-00169"/>
    <s v="Food Ingredient Extract"/>
    <s v="East Hanover"/>
    <x v="4"/>
    <n v="1"/>
    <x v="0"/>
    <s v="Fail"/>
    <n v="0.23"/>
    <s v="%"/>
    <n v="0"/>
    <n v="1"/>
    <x v="188"/>
    <s v="L. Rossi"/>
  </r>
  <r>
    <s v="S001229"/>
    <s v="FRA-2024-00275"/>
    <s v="Fragrance Oil"/>
    <s v="Vernier CH"/>
    <x v="3"/>
    <n v="1"/>
    <x v="0"/>
    <s v="Pass"/>
    <n v="99.33"/>
    <s v="%"/>
    <n v="97"/>
    <n v="100"/>
    <x v="75"/>
    <s v="J NAGY"/>
  </r>
  <r>
    <s v="S000948"/>
    <s v="FLA-2024-00214"/>
    <s v="Flavor Compound"/>
    <s v="East Hanover"/>
    <x v="1"/>
    <n v="1"/>
    <x v="0"/>
    <s v="Pass"/>
    <n v="0.91"/>
    <s v="g/ml"/>
    <n v="0.88"/>
    <n v="0.97"/>
    <x v="37"/>
    <s v="K. Varga"/>
  </r>
  <r>
    <s v="S000758"/>
    <s v="ARO-2024-00172"/>
    <s v="Aroma Chemical"/>
    <s v="Budapest"/>
    <x v="5"/>
    <n v="1"/>
    <x v="0"/>
    <s v="Pass"/>
    <n v="6.96"/>
    <m/>
    <n v="6"/>
    <n v="7.5"/>
    <x v="9"/>
    <s v="P. Meier"/>
  </r>
  <r>
    <s v="S000739"/>
    <s v="FLA-2025-00168"/>
    <s v="Flavor Compound"/>
    <s v="East Hanover"/>
    <x v="3"/>
    <n v="1"/>
    <x v="0"/>
    <s v="Fail"/>
    <n v="97.77"/>
    <s v="%"/>
    <n v="97"/>
    <n v="100"/>
    <x v="206"/>
    <s v="S. Fischer"/>
  </r>
  <r>
    <s v="S001572"/>
    <s v="FRA-2025-00350"/>
    <s v="Fragrance Oil"/>
    <s v="Vernier CH"/>
    <x v="2"/>
    <n v="1"/>
    <x v="0"/>
    <s v="Fail"/>
    <n v="310.32"/>
    <s v="um"/>
    <n v="150"/>
    <n v="400"/>
    <x v="116"/>
    <s v="S. Fischer"/>
  </r>
  <r>
    <s v="S001172"/>
    <s v="ARO-2024-00263"/>
    <s v="Aroma Chemical"/>
    <s v="Budapest"/>
    <x v="2"/>
    <n v="1"/>
    <x v="0"/>
    <s v="Pending"/>
    <n v="231.86"/>
    <s v="um"/>
    <n v="150"/>
    <n v="400"/>
    <x v="66"/>
    <s v="M. Toth"/>
  </r>
  <r>
    <s v="S000267"/>
    <s v="FLA-2024-00061"/>
    <s v="Flavor Compound"/>
    <s v="East Hanover"/>
    <x v="5"/>
    <n v="1"/>
    <x v="0"/>
    <s v="Pass"/>
    <n v="6.72"/>
    <m/>
    <n v="6"/>
    <n v="7.5"/>
    <x v="257"/>
    <s v="S. Fischer"/>
  </r>
  <r>
    <s v="S001224"/>
    <s v="FOO-2024-00273"/>
    <s v="Food Ingredient Extract"/>
    <s v="Budapest"/>
    <x v="2"/>
    <n v="1"/>
    <x v="0"/>
    <s v="Pending"/>
    <n v="180.92"/>
    <s v="um"/>
    <n v="150"/>
    <n v="400"/>
    <x v="258"/>
    <s v="L. Rossi"/>
  </r>
  <r>
    <s v="S001505"/>
    <s v="ESS-2025-00335"/>
    <s v="Essential Oil Blend"/>
    <s v="Dortmund DE"/>
    <x v="6"/>
    <n v="1"/>
    <x v="0"/>
    <s v="Pending"/>
    <n v="10.5"/>
    <s v="CFU/g"/>
    <n v="0"/>
    <n v="100"/>
    <x v="177"/>
    <s v="M. Toth"/>
  </r>
  <r>
    <s v="S000076"/>
    <s v="FRA-2025-00018"/>
    <s v="Fragrance Oil"/>
    <s v="Vernier CH"/>
    <x v="0"/>
    <n v="1"/>
    <x v="0"/>
    <s v="Pass"/>
    <n v="46.84"/>
    <s v="ppm"/>
    <n v="0"/>
    <n v="120"/>
    <x v="259"/>
    <s v="M. Toth"/>
  </r>
  <r>
    <s v="S001444"/>
    <s v="FOO-2025-00322"/>
    <s v="Food Ingredient Extract"/>
    <s v="East Hanover"/>
    <x v="0"/>
    <n v="1"/>
    <x v="0"/>
    <s v="Fail"/>
    <n v="70.56"/>
    <s v="ppm"/>
    <n v="0"/>
    <n v="120"/>
    <x v="55"/>
    <s v="K. Varga"/>
  </r>
  <r>
    <s v="S001309"/>
    <s v="ESS-2025-00292"/>
    <s v="Essential Oil Blend"/>
    <s v="East Hanover"/>
    <x v="5"/>
    <n v="1"/>
    <x v="0"/>
    <s v="Fail"/>
    <n v="6.59"/>
    <m/>
    <n v="6"/>
    <n v="7.5"/>
    <x v="260"/>
    <s v="S. Fischer"/>
  </r>
  <r>
    <s v="S001708"/>
    <s v="FOO-2025-00382"/>
    <s v="Food Ingredient Extract"/>
    <s v="East Hanover"/>
    <x v="2"/>
    <n v="1"/>
    <x v="0"/>
    <s v="Pass"/>
    <n v="215.54"/>
    <s v="um"/>
    <n v="150"/>
    <n v="400"/>
    <x v="61"/>
    <s v="P. Meier"/>
  </r>
  <r>
    <s v="S000949"/>
    <s v="ARO-2024-00215"/>
    <s v="Aroma Chemical"/>
    <s v="East Hanover"/>
    <x v="5"/>
    <n v="1"/>
    <x v="0"/>
    <s v="Pass"/>
    <n v="6.51"/>
    <m/>
    <n v="6"/>
    <n v="7.5"/>
    <x v="261"/>
    <s v="A. Kovacs"/>
  </r>
  <r>
    <s v="S001195"/>
    <s v="ARO-2024-00268"/>
    <s v="Aroma Chemical"/>
    <s v="Ashford UK"/>
    <x v="4"/>
    <n v="1"/>
    <x v="0"/>
    <s v="Pass"/>
    <n v="0.11"/>
    <s v="%"/>
    <n v="0"/>
    <n v="1"/>
    <x v="205"/>
    <s v="M. Toth"/>
  </r>
  <r>
    <s v="S001278"/>
    <s v="ARO-2024-00285"/>
    <s v="Aroma Chemical"/>
    <s v="Vernier CH"/>
    <x v="3"/>
    <n v="1"/>
    <x v="0"/>
    <s v="Fail"/>
    <n v="98.8"/>
    <s v="%"/>
    <n v="97"/>
    <n v="100"/>
    <x v="13"/>
    <s v="J. Nagy"/>
  </r>
  <r>
    <s v="S001317"/>
    <s v="FLA-2024-00294"/>
    <s v="Flavor Compound"/>
    <s v="Dortmund DE"/>
    <x v="4"/>
    <n v="1"/>
    <x v="0"/>
    <s v="Pass"/>
    <n v="0.27"/>
    <s v="%"/>
    <n v="0"/>
    <n v="1"/>
    <x v="97"/>
    <s v="J NAGY"/>
  </r>
  <r>
    <s v="S001334"/>
    <s v="ARO-2025-00297"/>
    <s v="Aroma Chemical"/>
    <s v="East Hanover"/>
    <x v="1"/>
    <n v="1"/>
    <x v="0"/>
    <s v="Pass"/>
    <n v="0.92"/>
    <s v="g/ml"/>
    <n v="0.88"/>
    <n v="0.97"/>
    <x v="81"/>
    <s v="M. Toth"/>
  </r>
  <r>
    <s v="S001052"/>
    <s v="FLA-2024-00236"/>
    <s v="Flavor Compound"/>
    <s v="Vernier CH"/>
    <x v="0"/>
    <n v="1"/>
    <x v="0"/>
    <s v="Pending"/>
    <n v="38.78"/>
    <s v="ppm"/>
    <n v="0"/>
    <n v="120"/>
    <x v="247"/>
    <s v="L. Rossi"/>
  </r>
  <r>
    <s v="S000181"/>
    <s v="ARO-2025-00042"/>
    <s v="Aroma Chemical"/>
    <s v="Vernier CH"/>
    <x v="3"/>
    <n v="1"/>
    <x v="0"/>
    <s v="Pass"/>
    <n v="98.96"/>
    <s v="%"/>
    <n v="97"/>
    <n v="100"/>
    <x v="18"/>
    <s v="P. Meier"/>
  </r>
  <r>
    <s v="S000759"/>
    <s v="ARO-2024-00172"/>
    <s v="Aroma Chemical"/>
    <s v="Budapest"/>
    <x v="2"/>
    <n v="1"/>
    <x v="0"/>
    <s v="Pass"/>
    <n v="298.18"/>
    <s v="um"/>
    <n v="150"/>
    <n v="400"/>
    <x v="9"/>
    <s v="J NAGY"/>
  </r>
  <r>
    <s v="S000658"/>
    <s v="FRA-2025-00150"/>
    <s v="Fragrance Oil"/>
    <s v="Vernier CH"/>
    <x v="1"/>
    <n v="1"/>
    <x v="0"/>
    <s v="Fail"/>
    <n v="0.94"/>
    <s v="g/ml"/>
    <n v="0.88"/>
    <n v="0.97"/>
    <x v="31"/>
    <s v="A. Kovacs"/>
  </r>
  <r>
    <s v="S001735"/>
    <s v="ARO-2024-00388"/>
    <s v="Aroma Chemical"/>
    <s v="Vernier CH"/>
    <x v="2"/>
    <n v="1"/>
    <x v="0"/>
    <s v="Pending"/>
    <n v="232.28"/>
    <s v="um"/>
    <n v="150"/>
    <n v="400"/>
    <x v="11"/>
    <s v="T. Weber"/>
  </r>
  <r>
    <s v="S000377"/>
    <s v="ARO-2025-00085"/>
    <s v="Aroma Chemical"/>
    <s v="Dortmund DE"/>
    <x v="6"/>
    <n v="1"/>
    <x v="1"/>
    <s v="Fail"/>
    <n v="-75"/>
    <s v="CFU/g"/>
    <n v="0"/>
    <n v="100"/>
    <x v="33"/>
    <s v="P. Meier"/>
  </r>
  <r>
    <s v="S001901"/>
    <s v="ESS-2025-00426"/>
    <s v="Essential Oil Blend"/>
    <s v="Dortmund DE"/>
    <x v="6"/>
    <n v="1"/>
    <x v="0"/>
    <s v="Pass"/>
    <n v="22.45"/>
    <s v="CFU/g"/>
    <n v="0"/>
    <n v="100"/>
    <x v="142"/>
    <s v="S. Fischer"/>
  </r>
  <r>
    <s v="S000024"/>
    <s v="ESS-2024-00006"/>
    <s v="Essential Oil Blend"/>
    <s v="Dortmund DE"/>
    <x v="5"/>
    <n v="1"/>
    <x v="0"/>
    <s v="Pass"/>
    <n v="6.21"/>
    <m/>
    <n v="6"/>
    <n v="7.5"/>
    <x v="214"/>
    <s v="A. Kovacs"/>
  </r>
  <r>
    <s v="S000347"/>
    <s v="FRA-2025-00079"/>
    <s v="Fragrance Oil"/>
    <s v="Ashford UK"/>
    <x v="5"/>
    <n v="1"/>
    <x v="0"/>
    <s v="Fail"/>
    <n v="7.21"/>
    <m/>
    <n v="6"/>
    <n v="7.5"/>
    <x v="140"/>
    <s v="M. Toth"/>
  </r>
  <r>
    <s v="S001646"/>
    <s v="ARO-2025-00369"/>
    <s v="Aroma Chemical"/>
    <s v="East Hanover"/>
    <x v="2"/>
    <n v="1"/>
    <x v="0"/>
    <s v="Fail"/>
    <n v="268.32"/>
    <s v="um"/>
    <n v="150"/>
    <n v="400"/>
    <x v="102"/>
    <s v="S. Fischer"/>
  </r>
  <r>
    <s v="S001858"/>
    <s v="ESS-2025-00416"/>
    <s v="Essential Oil Blend"/>
    <s v="Ashford UK"/>
    <x v="2"/>
    <n v="1"/>
    <x v="0"/>
    <s v="Fail"/>
    <n v="238.78"/>
    <s v="um"/>
    <n v="150"/>
    <n v="400"/>
    <x v="71"/>
    <s v="S. Fischer"/>
  </r>
  <r>
    <s v="S001725"/>
    <s v="FRA-2025-00386"/>
    <s v="Fragrance Oil"/>
    <s v="Ashford UK"/>
    <x v="1"/>
    <n v="1"/>
    <x v="0"/>
    <s v="Pass"/>
    <n v="0.9"/>
    <s v="g/ml"/>
    <n v="0.88"/>
    <n v="0.97"/>
    <x v="172"/>
    <s v="J NAGY"/>
  </r>
  <r>
    <s v="S000009"/>
    <s v="ARO-2025-00002"/>
    <s v="Aroma Chemical"/>
    <s v="East Hanover"/>
    <x v="5"/>
    <n v="1"/>
    <x v="0"/>
    <s v="Pass"/>
    <n v="6.89"/>
    <m/>
    <n v="6"/>
    <n v="7.5"/>
    <x v="110"/>
    <s v="K. Varga"/>
  </r>
  <r>
    <s v="S000229"/>
    <s v="ARO-2025-00052"/>
    <s v="Aroma Chemical"/>
    <s v="Vernier CH"/>
    <x v="5"/>
    <n v="1"/>
    <x v="0"/>
    <s v="Fail"/>
    <n v="6.55"/>
    <m/>
    <n v="6"/>
    <n v="7.5"/>
    <x v="178"/>
    <s v="J NAGY"/>
  </r>
  <r>
    <s v="S000490"/>
    <s v="ARO-2025-00110"/>
    <s v="Aroma Chemical"/>
    <s v="Vernier CH"/>
    <x v="2"/>
    <n v="1"/>
    <x v="0"/>
    <s v="Fail"/>
    <n v="215.52"/>
    <s v="um"/>
    <n v="150"/>
    <n v="400"/>
    <x v="208"/>
    <s v="J. Nagy"/>
  </r>
  <r>
    <s v="S000214"/>
    <s v="FLA-2024-00049"/>
    <s v="Flavor Compound"/>
    <s v="Vernier CH"/>
    <x v="4"/>
    <n v="1"/>
    <x v="0"/>
    <s v="Fail"/>
    <n v="0.37"/>
    <s v="%"/>
    <n v="0"/>
    <n v="1"/>
    <x v="231"/>
    <s v="S. Fischer"/>
  </r>
  <r>
    <s v="S000836"/>
    <s v="FLA-2025-00190"/>
    <s v="Flavor Compound"/>
    <s v="Ashford UK"/>
    <x v="3"/>
    <n v="1"/>
    <x v="0"/>
    <s v="Pass"/>
    <n v="98.95"/>
    <s v="%"/>
    <n v="97"/>
    <n v="100"/>
    <x v="63"/>
    <s v="S. Fischer"/>
  </r>
  <r>
    <s v="S000689"/>
    <s v="FOO-2024-00157"/>
    <s v="Food Ingredient Extract"/>
    <s v="Budapest"/>
    <x v="6"/>
    <n v="1"/>
    <x v="0"/>
    <s v="Pass"/>
    <n v="13.75"/>
    <s v="CFU/g"/>
    <n v="0"/>
    <n v="100"/>
    <x v="262"/>
    <s v="J. Nagy"/>
  </r>
  <r>
    <s v="S000450"/>
    <s v="FLA-2025-00101"/>
    <s v="Flavor Compound"/>
    <s v="Vernier CH"/>
    <x v="1"/>
    <n v="1"/>
    <x v="0"/>
    <s v="Pass"/>
    <n v="0.92"/>
    <s v="g/ml"/>
    <n v="0.88"/>
    <n v="0.97"/>
    <x v="86"/>
    <s v="L. Rossi"/>
  </r>
  <r>
    <s v="S001413"/>
    <s v="ESS-2024-00315"/>
    <s v="Essential Oil Blend"/>
    <s v="Ashford UK"/>
    <x v="4"/>
    <n v="1"/>
    <x v="0"/>
    <s v="Pass"/>
    <n v="0.34"/>
    <s v="%"/>
    <n v="0"/>
    <n v="1"/>
    <x v="52"/>
    <s v="S. Fischer"/>
  </r>
  <r>
    <s v="S000016"/>
    <s v="FRA-2025-00004"/>
    <s v="Fragrance Oil"/>
    <s v="Budapest"/>
    <x v="1"/>
    <n v="1"/>
    <x v="0"/>
    <s v="Pass"/>
    <n v="0.93"/>
    <s v="g/ml"/>
    <n v="0.88"/>
    <n v="0.97"/>
    <x v="139"/>
    <s v="K. Varga"/>
  </r>
  <r>
    <s v="S001574"/>
    <s v="ARO-2024-00351"/>
    <s v="Aroma Chemical"/>
    <s v="Vernier CH"/>
    <x v="6"/>
    <n v="1"/>
    <x v="0"/>
    <s v="Pass"/>
    <n v="20.81"/>
    <s v="CFU/g"/>
    <n v="0"/>
    <n v="100"/>
    <x v="263"/>
    <s v="J. Nagy"/>
  </r>
  <r>
    <s v="S001784"/>
    <s v="FRA-2024-00399"/>
    <s v="Fragrance Oil"/>
    <s v="Dortmund DE"/>
    <x v="4"/>
    <n v="1"/>
    <x v="0"/>
    <s v="Pass"/>
    <n v="0.45"/>
    <s v="%"/>
    <n v="0"/>
    <n v="1"/>
    <x v="264"/>
    <s v="J. Nagy"/>
  </r>
  <r>
    <s v="S001783"/>
    <s v="FOO-2025-00398"/>
    <s v="Food Ingredient Extract"/>
    <s v="Dortmund DE"/>
    <x v="3"/>
    <n v="1"/>
    <x v="0"/>
    <s v="Pass"/>
    <n v="98.29"/>
    <s v="%"/>
    <n v="97"/>
    <n v="100"/>
    <x v="183"/>
    <s v="J. Nagy"/>
  </r>
  <r>
    <s v="S001458"/>
    <s v="ESS-2024-00325"/>
    <s v="Essential Oil Blend"/>
    <s v="Ashford UK"/>
    <x v="1"/>
    <n v="1"/>
    <x v="1"/>
    <s v="Fail"/>
    <n v="1.06"/>
    <s v="g/ml"/>
    <n v="0.88"/>
    <n v="0.97"/>
    <x v="39"/>
    <s v="J. Nagy"/>
  </r>
  <r>
    <s v="S000958"/>
    <s v="FLA-2024-00216"/>
    <s v="Flavor Compound"/>
    <s v="East Hanover"/>
    <x v="0"/>
    <n v="1"/>
    <x v="0"/>
    <s v="Pass"/>
    <n v="25.1"/>
    <s v="ppm"/>
    <n v="0"/>
    <n v="120"/>
    <x v="205"/>
    <s v="M. Toth"/>
  </r>
  <r>
    <s v="S000547"/>
    <s v="FLA-2024-00123"/>
    <s v="Flavor Compound"/>
    <s v="Dortmund DE"/>
    <x v="3"/>
    <n v="1"/>
    <x v="0"/>
    <s v="Fail"/>
    <n v="98.57"/>
    <s v="%"/>
    <n v="97"/>
    <n v="100"/>
    <x v="38"/>
    <s v="L. Rossi"/>
  </r>
  <r>
    <s v="S001163"/>
    <s v="ARO-2025-00261"/>
    <s v="Aroma Chemical"/>
    <s v="Budapest"/>
    <x v="0"/>
    <n v="1"/>
    <x v="0"/>
    <s v="Pass"/>
    <n v="24.44"/>
    <s v="ppm"/>
    <n v="0"/>
    <n v="120"/>
    <x v="96"/>
    <s v="A. Kovacs"/>
  </r>
  <r>
    <s v="S000661"/>
    <s v="ARO-2025-00151"/>
    <s v="Aroma Chemical"/>
    <s v="East Hanover"/>
    <x v="3"/>
    <n v="1"/>
    <x v="0"/>
    <s v="Pass"/>
    <n v="99.32"/>
    <s v="%"/>
    <n v="97"/>
    <n v="100"/>
    <x v="158"/>
    <s v="S. Fischer"/>
  </r>
  <r>
    <s v="S000355"/>
    <s v="FRA-2025-00080"/>
    <s v="Fragrance Oil"/>
    <s v="Dortmund DE"/>
    <x v="2"/>
    <n v="1"/>
    <x v="0"/>
    <s v="Pass"/>
    <n v="224.38"/>
    <s v="um"/>
    <n v="150"/>
    <n v="400"/>
    <x v="196"/>
    <s v="S. Fischer"/>
  </r>
  <r>
    <s v="S000749"/>
    <s v="FOO-2024-00169"/>
    <s v="Food Ingredient Extract"/>
    <s v="East Hanover"/>
    <x v="6"/>
    <n v="1"/>
    <x v="1"/>
    <s v="Fail"/>
    <n v="-10"/>
    <s v="CFU/g"/>
    <n v="0"/>
    <n v="100"/>
    <x v="188"/>
    <s v="K. Varga"/>
  </r>
  <r>
    <s v="S000208"/>
    <s v="ARO-2025-00048"/>
    <s v="Aroma Chemical"/>
    <s v="Budapest"/>
    <x v="1"/>
    <n v="1"/>
    <x v="0"/>
    <s v="Pass"/>
    <n v="0.91"/>
    <s v="g/ml"/>
    <n v="0.88"/>
    <n v="0.97"/>
    <x v="221"/>
    <s v="J. Nagy"/>
  </r>
  <r>
    <s v="S001157"/>
    <s v="ESS-2025-00259"/>
    <s v="Essential Oil Blend"/>
    <s v="Vernier CH"/>
    <x v="4"/>
    <n v="1"/>
    <x v="0"/>
    <s v="Pass"/>
    <n v="0.36"/>
    <s v="%"/>
    <n v="0"/>
    <n v="1"/>
    <x v="114"/>
    <s v="M. Toth"/>
  </r>
  <r>
    <s v="S000740"/>
    <s v="FLA-2025-00168"/>
    <s v="Flavor Compound"/>
    <s v="East Hanover"/>
    <x v="0"/>
    <n v="1"/>
    <x v="0"/>
    <s v="Fail"/>
    <n v="37.090000000000003"/>
    <s v="ppm"/>
    <n v="0"/>
    <n v="120"/>
    <x v="206"/>
    <s v="J. Nagy"/>
  </r>
  <r>
    <s v="S001084"/>
    <s v="ESS-2024-00243"/>
    <s v="Essential Oil Blend"/>
    <s v="Vernier CH"/>
    <x v="6"/>
    <n v="0"/>
    <x v="2"/>
    <s v="Pending"/>
    <m/>
    <s v="CFU/g"/>
    <n v="0"/>
    <n v="100"/>
    <x v="265"/>
    <s v="M. Toth"/>
  </r>
  <r>
    <s v="S000417"/>
    <s v="FLA-2024-00095"/>
    <s v="Flavor Compound"/>
    <s v="East Hanover"/>
    <x v="1"/>
    <n v="1"/>
    <x v="0"/>
    <s v="Fail"/>
    <n v="0.94"/>
    <s v="g/ml"/>
    <n v="0.88"/>
    <n v="0.97"/>
    <x v="123"/>
    <s v="J NAGY"/>
  </r>
  <r>
    <s v="S001433"/>
    <s v="ARO-2025-00319"/>
    <s v="Aroma Chemical"/>
    <s v="Dortmund DE"/>
    <x v="5"/>
    <n v="1"/>
    <x v="0"/>
    <s v="Pass"/>
    <n v="6.25"/>
    <m/>
    <n v="6"/>
    <n v="7.5"/>
    <x v="83"/>
    <s v="L. Rossi"/>
  </r>
  <r>
    <s v="S001068"/>
    <s v="ESS-2025-00239"/>
    <s v="Essential Oil Blend"/>
    <s v="Vernier CH"/>
    <x v="1"/>
    <n v="1"/>
    <x v="0"/>
    <s v="Pass"/>
    <n v="0.94"/>
    <s v="g/ml"/>
    <n v="0.88"/>
    <n v="0.97"/>
    <x v="266"/>
    <s v="A. Kovacs"/>
  </r>
  <r>
    <s v="S001599"/>
    <s v="FRA-2024-00357"/>
    <s v="Fragrance Oil"/>
    <s v="Ashford UK"/>
    <x v="0"/>
    <n v="1"/>
    <x v="0"/>
    <s v="Pass"/>
    <n v="47.67"/>
    <s v="ppm"/>
    <n v="0"/>
    <n v="120"/>
    <x v="179"/>
    <s v="M. Toth"/>
  </r>
  <r>
    <s v="S000702"/>
    <s v="FRA-2025-00159"/>
    <s v="Fragrance Oil"/>
    <s v="Dortmund DE"/>
    <x v="5"/>
    <n v="1"/>
    <x v="0"/>
    <s v="Pass"/>
    <n v="6.97"/>
    <m/>
    <n v="6"/>
    <n v="7.5"/>
    <x v="201"/>
    <s v="J. Nagy"/>
  </r>
  <r>
    <s v="S000443"/>
    <s v="FOO-2024-00100"/>
    <s v="Food Ingredient Extract"/>
    <s v="Vernier CH"/>
    <x v="1"/>
    <n v="1"/>
    <x v="0"/>
    <s v="Pass"/>
    <n v="0.91"/>
    <s v="g/ml"/>
    <n v="0.88"/>
    <n v="0.97"/>
    <x v="145"/>
    <s v="J NAGY"/>
  </r>
  <r>
    <s v="S001427"/>
    <s v="ARO-2024-00318"/>
    <s v="Aroma Chemical"/>
    <s v="Dortmund DE"/>
    <x v="1"/>
    <n v="1"/>
    <x v="0"/>
    <s v="Fail"/>
    <n v="0.92"/>
    <s v="g/ml"/>
    <n v="0.88"/>
    <n v="0.97"/>
    <x v="60"/>
    <s v="J NAGY"/>
  </r>
  <r>
    <s v="S001450"/>
    <s v="FLA-2024-00323"/>
    <s v="Flavor Compound"/>
    <s v="Ashford UK"/>
    <x v="6"/>
    <n v="1"/>
    <x v="0"/>
    <s v="Pass"/>
    <n v="15.18"/>
    <s v="CFU/g"/>
    <n v="0"/>
    <n v="100"/>
    <x v="68"/>
    <s v="S. Fischer"/>
  </r>
  <r>
    <s v="S000537"/>
    <s v="FLA-2024-00121"/>
    <s v="Flavor Compound"/>
    <s v="Dortmund DE"/>
    <x v="2"/>
    <n v="1"/>
    <x v="0"/>
    <s v="Pass"/>
    <n v="271.25"/>
    <s v="um"/>
    <n v="150"/>
    <n v="400"/>
    <x v="67"/>
    <s v="A. Kovacs"/>
  </r>
  <r>
    <s v="S000349"/>
    <s v="FRA-2025-00079"/>
    <s v="Fragrance Oil"/>
    <s v="Ashford UK"/>
    <x v="0"/>
    <n v="1"/>
    <x v="0"/>
    <s v="Fail"/>
    <n v="59.65"/>
    <s v="ppm"/>
    <n v="0"/>
    <n v="120"/>
    <x v="140"/>
    <s v="S. Fischer"/>
  </r>
  <r>
    <s v="S001421"/>
    <s v="FOO-2024-00317"/>
    <s v="Food Ingredient Extract"/>
    <s v="Budapest"/>
    <x v="0"/>
    <n v="1"/>
    <x v="0"/>
    <s v="Pending"/>
    <n v="58.46"/>
    <s v="ppm"/>
    <n v="0"/>
    <n v="120"/>
    <x v="222"/>
    <s v="P. Meier"/>
  </r>
  <r>
    <s v="S000404"/>
    <s v="ARO-2024-00092"/>
    <s v="Aroma Chemical"/>
    <s v="Budapest"/>
    <x v="6"/>
    <n v="1"/>
    <x v="1"/>
    <s v="Fail"/>
    <n v="-7.56"/>
    <s v="CFU/g"/>
    <n v="0"/>
    <n v="100"/>
    <x v="267"/>
    <s v="S. Fischer"/>
  </r>
  <r>
    <s v="S000363"/>
    <s v="FLA-2025-00082"/>
    <s v="Flavor Compound"/>
    <s v="Ashford UK"/>
    <x v="0"/>
    <n v="1"/>
    <x v="0"/>
    <s v="Pending"/>
    <n v="68.78"/>
    <s v="ppm"/>
    <n v="0"/>
    <n v="120"/>
    <x v="24"/>
    <s v="P. Meier"/>
  </r>
  <r>
    <s v="S000027"/>
    <s v="ESS-2024-00006"/>
    <s v="Essential Oil Blend"/>
    <s v="Dortmund DE"/>
    <x v="2"/>
    <n v="1"/>
    <x v="0"/>
    <s v="Pass"/>
    <n v="225.52"/>
    <s v="um"/>
    <n v="150"/>
    <n v="400"/>
    <x v="214"/>
    <s v="M. Toth"/>
  </r>
  <r>
    <s v="S001117"/>
    <s v="FOO-2025-00251"/>
    <s v="Food Ingredient Extract"/>
    <s v="Budapest"/>
    <x v="6"/>
    <n v="1"/>
    <x v="0"/>
    <s v="Fail"/>
    <n v="59.09"/>
    <s v="CFU/g"/>
    <n v="0"/>
    <n v="100"/>
    <x v="28"/>
    <s v="L. Rossi"/>
  </r>
  <r>
    <s v="S001178"/>
    <s v="FOO-2025-00264"/>
    <s v="Food Ingredient Extract"/>
    <s v="East Hanover"/>
    <x v="5"/>
    <n v="1"/>
    <x v="0"/>
    <s v="Pass"/>
    <n v="6.71"/>
    <m/>
    <n v="6"/>
    <n v="7.5"/>
    <x v="268"/>
    <s v="J. Nagy"/>
  </r>
  <r>
    <s v="S000178"/>
    <s v="FOO-2025-00041"/>
    <s v="Food Ingredient Extract"/>
    <s v="Dortmund DE"/>
    <x v="0"/>
    <n v="1"/>
    <x v="0"/>
    <s v="Pass"/>
    <n v="24.17"/>
    <s v="ppm"/>
    <n v="0"/>
    <n v="120"/>
    <x v="85"/>
    <s v="A. Kovacs"/>
  </r>
  <r>
    <s v="S001938"/>
    <s v="ESS-2024-00434"/>
    <s v="Essential Oil Blend"/>
    <s v="Ashford UK"/>
    <x v="0"/>
    <n v="1"/>
    <x v="0"/>
    <s v="Fail"/>
    <n v="55.49"/>
    <s v="ppm"/>
    <n v="0"/>
    <n v="120"/>
    <x v="89"/>
    <s v="A. Kovacs"/>
  </r>
  <r>
    <s v="S000880"/>
    <s v="FOO-2025-00199"/>
    <s v="Food Ingredient Extract"/>
    <s v="Ashford UK"/>
    <x v="5"/>
    <n v="1"/>
    <x v="0"/>
    <s v="Pending"/>
    <n v="7.16"/>
    <m/>
    <n v="6"/>
    <n v="7.5"/>
    <x v="269"/>
    <s v="P. Meier"/>
  </r>
  <r>
    <s v="S001902"/>
    <s v="ESS-2025-00426"/>
    <s v="Essential Oil Blend"/>
    <s v="Dortmund DE"/>
    <x v="1"/>
    <n v="1"/>
    <x v="0"/>
    <s v="Pass"/>
    <n v="0.96"/>
    <s v="g/ml"/>
    <n v="0.88"/>
    <n v="0.97"/>
    <x v="142"/>
    <s v="M. Toth"/>
  </r>
  <r>
    <s v="S000756"/>
    <s v="ARO-2025-00171"/>
    <s v="Aroma Chemical"/>
    <s v="Ashford UK"/>
    <x v="4"/>
    <n v="1"/>
    <x v="0"/>
    <s v="Pass"/>
    <n v="0.15"/>
    <s v="%"/>
    <n v="0"/>
    <n v="1"/>
    <x v="153"/>
    <s v="S. Fischer"/>
  </r>
  <r>
    <s v="S000253"/>
    <s v="FOO-2024-00057"/>
    <s v="Food Ingredient Extract"/>
    <s v="East Hanover"/>
    <x v="4"/>
    <n v="1"/>
    <x v="0"/>
    <s v="Pass"/>
    <n v="0.27"/>
    <s v="%"/>
    <n v="0"/>
    <n v="1"/>
    <x v="270"/>
    <s v="J. Nagy"/>
  </r>
  <r>
    <s v="S000415"/>
    <s v="FOO-2025-00094"/>
    <s v="Food Ingredient Extract"/>
    <s v="Vernier CH"/>
    <x v="1"/>
    <n v="1"/>
    <x v="0"/>
    <s v="Pass"/>
    <n v="0.95"/>
    <s v="g/ml"/>
    <n v="0.88"/>
    <n v="0.97"/>
    <x v="50"/>
    <s v="M. Toth"/>
  </r>
  <r>
    <s v="S000559"/>
    <s v="FOO-2024-00125"/>
    <s v="Food Ingredient Extract"/>
    <s v="Vernier CH"/>
    <x v="5"/>
    <n v="1"/>
    <x v="0"/>
    <s v="Pass"/>
    <n v="7.11"/>
    <m/>
    <n v="6"/>
    <n v="7.5"/>
    <x v="249"/>
    <s v="M. Toth"/>
  </r>
  <r>
    <s v="S000554"/>
    <s v="FOO-2024-00125"/>
    <s v="Food Ingredient Extract"/>
    <s v="Vernier CH"/>
    <x v="4"/>
    <n v="1"/>
    <x v="0"/>
    <s v="Pass"/>
    <n v="0.34"/>
    <s v="%"/>
    <n v="0"/>
    <n v="1"/>
    <x v="249"/>
    <s v="K. Varga"/>
  </r>
  <r>
    <s v="S000194"/>
    <s v="ESS-2025-00045"/>
    <s v="Essential Oil Blend"/>
    <s v="Dortmund DE"/>
    <x v="5"/>
    <n v="1"/>
    <x v="0"/>
    <s v="Fail"/>
    <n v="6.77"/>
    <m/>
    <n v="6"/>
    <n v="7.5"/>
    <x v="20"/>
    <s v="T. Weber"/>
  </r>
  <r>
    <s v="S001503"/>
    <s v="ESS-2025-00335"/>
    <s v="Essential Oil Blend"/>
    <s v="Dortmund DE"/>
    <x v="4"/>
    <n v="0"/>
    <x v="2"/>
    <s v="Pending"/>
    <m/>
    <s v="%"/>
    <n v="0"/>
    <n v="1"/>
    <x v="177"/>
    <s v="M. Toth"/>
  </r>
  <r>
    <s v="S000705"/>
    <s v="FRA-2024-00160"/>
    <s v="Fragrance Oil"/>
    <s v="Dortmund DE"/>
    <x v="5"/>
    <n v="1"/>
    <x v="0"/>
    <s v="Fail"/>
    <n v="6.82"/>
    <m/>
    <n v="6"/>
    <n v="7.5"/>
    <x v="29"/>
    <s v="K. Varga"/>
  </r>
  <r>
    <s v="S001492"/>
    <s v="FOO-2024-00332"/>
    <s v="Food Ingredient Extract"/>
    <s v="Ashford UK"/>
    <x v="0"/>
    <n v="1"/>
    <x v="0"/>
    <s v="Pass"/>
    <n v="19.22"/>
    <s v="ppm"/>
    <n v="0"/>
    <n v="120"/>
    <x v="271"/>
    <s v="K. Varga"/>
  </r>
  <r>
    <s v="S000446"/>
    <s v="FOO-2024-00100"/>
    <s v="Food Ingredient Extract"/>
    <s v="Vernier CH"/>
    <x v="2"/>
    <n v="1"/>
    <x v="0"/>
    <s v="Pass"/>
    <n v="173.34"/>
    <s v="um"/>
    <n v="150"/>
    <n v="400"/>
    <x v="145"/>
    <s v="S. Fischer"/>
  </r>
  <r>
    <s v="S000789"/>
    <s v="FOO-2024-00179"/>
    <s v="Food Ingredient Extract"/>
    <s v="Vernier CH"/>
    <x v="3"/>
    <n v="1"/>
    <x v="0"/>
    <s v="Fail"/>
    <n v="98.45"/>
    <s v="%"/>
    <n v="97"/>
    <n v="100"/>
    <x v="189"/>
    <s v="A. Kovacs"/>
  </r>
  <r>
    <s v="S001937"/>
    <s v="ARO-2025-00433"/>
    <s v="Aroma Chemical"/>
    <s v="Ashford UK"/>
    <x v="1"/>
    <n v="1"/>
    <x v="0"/>
    <s v="Pass"/>
    <n v="0.9"/>
    <s v="g/ml"/>
    <n v="0.88"/>
    <n v="0.97"/>
    <x v="157"/>
    <s v="J NAGY"/>
  </r>
  <r>
    <s v="S001800"/>
    <s v="ARO-2025-00403"/>
    <s v="Aroma Chemical"/>
    <s v="Budapest"/>
    <x v="6"/>
    <n v="1"/>
    <x v="1"/>
    <s v="Fail"/>
    <n v="-54.31"/>
    <s v="CFU/g"/>
    <n v="0"/>
    <n v="100"/>
    <x v="81"/>
    <s v="S. Fischer"/>
  </r>
  <r>
    <s v="S001465"/>
    <s v="FRA-2025-00326"/>
    <s v="Fragrance Oil"/>
    <s v="Vernier CH"/>
    <x v="4"/>
    <n v="1"/>
    <x v="0"/>
    <s v="Pass"/>
    <n v="0.41"/>
    <s v="%"/>
    <n v="0"/>
    <n v="1"/>
    <x v="244"/>
    <s v="P. Meier"/>
  </r>
  <r>
    <s v="S000452"/>
    <s v="FOO-2024-00102"/>
    <s v="Food Ingredient Extract"/>
    <s v="Budapest"/>
    <x v="3"/>
    <n v="1"/>
    <x v="0"/>
    <s v="Pass"/>
    <n v="99.83"/>
    <s v="%"/>
    <n v="97"/>
    <n v="100"/>
    <x v="108"/>
    <s v="K. Varga"/>
  </r>
  <r>
    <s v="S001400"/>
    <s v="FOO-2024-00312"/>
    <s v="Food Ingredient Extract"/>
    <s v="Dortmund DE"/>
    <x v="3"/>
    <n v="1"/>
    <x v="0"/>
    <s v="Fail"/>
    <n v="98.25"/>
    <s v="%"/>
    <n v="97"/>
    <n v="100"/>
    <x v="235"/>
    <s v="P. Meier"/>
  </r>
  <r>
    <s v="S000465"/>
    <s v="FOO-2025-00105"/>
    <s v="Food Ingredient Extract"/>
    <s v="Budapest"/>
    <x v="1"/>
    <n v="1"/>
    <x v="0"/>
    <s v="Pass"/>
    <n v="0.93"/>
    <s v="g/ml"/>
    <n v="0.88"/>
    <n v="0.97"/>
    <x v="251"/>
    <s v="L. Rossi"/>
  </r>
  <r>
    <s v="S000688"/>
    <s v="FOO-2024-00157"/>
    <s v="Food Ingredient Extract"/>
    <s v="Budapest"/>
    <x v="0"/>
    <n v="1"/>
    <x v="0"/>
    <s v="Pass"/>
    <n v="41.58"/>
    <s v="ppm"/>
    <n v="0"/>
    <n v="120"/>
    <x v="262"/>
    <s v="J NAGY"/>
  </r>
  <r>
    <s v="S000459"/>
    <s v="FRA-2024-00103"/>
    <s v="Fragrance Oil"/>
    <s v="East Hanover"/>
    <x v="3"/>
    <n v="1"/>
    <x v="0"/>
    <s v="Fail"/>
    <n v="98.17"/>
    <s v="%"/>
    <n v="97"/>
    <n v="100"/>
    <x v="186"/>
    <s v="S. Fischer"/>
  </r>
  <r>
    <s v="S001377"/>
    <s v="FLA-2024-00308"/>
    <s v="Flavor Compound"/>
    <s v="Budapest"/>
    <x v="6"/>
    <n v="1"/>
    <x v="0"/>
    <s v="Pass"/>
    <n v="48.61"/>
    <s v="CFU/g"/>
    <n v="0"/>
    <n v="100"/>
    <x v="209"/>
    <s v="J. Nagy"/>
  </r>
  <r>
    <s v="S000944"/>
    <s v="FLA-2024-00214"/>
    <s v="Flavor Compound"/>
    <s v="East Hanover"/>
    <x v="3"/>
    <n v="1"/>
    <x v="0"/>
    <s v="Pass"/>
    <n v="98.94"/>
    <s v="%"/>
    <n v="97"/>
    <n v="100"/>
    <x v="37"/>
    <s v="K. Varga"/>
  </r>
  <r>
    <s v="S001618"/>
    <s v="ESS-2024-00361"/>
    <s v="Essential Oil Blend"/>
    <s v="Ashford UK"/>
    <x v="5"/>
    <n v="1"/>
    <x v="1"/>
    <s v="Fail"/>
    <n v="5.79"/>
    <m/>
    <n v="6"/>
    <n v="7.5"/>
    <x v="147"/>
    <s v="K. Varga"/>
  </r>
  <r>
    <s v="S000748"/>
    <s v="FOO-2024-00169"/>
    <s v="Food Ingredient Extract"/>
    <s v="East Hanover"/>
    <x v="2"/>
    <n v="1"/>
    <x v="0"/>
    <s v="Fail"/>
    <n v="221.74"/>
    <s v="um"/>
    <n v="150"/>
    <n v="400"/>
    <x v="188"/>
    <s v="J. Nagy"/>
  </r>
  <r>
    <s v="S000370"/>
    <s v="ARO-2025-00083"/>
    <s v="Aroma Chemical"/>
    <s v="Ashford UK"/>
    <x v="0"/>
    <n v="1"/>
    <x v="0"/>
    <s v="Pass"/>
    <n v="58.2"/>
    <s v="ppm"/>
    <n v="0"/>
    <n v="120"/>
    <x v="128"/>
    <s v="T. Weber"/>
  </r>
  <r>
    <s v="S000485"/>
    <s v="FLA-2025-00109"/>
    <s v="Flavor Compound"/>
    <s v="Budapest"/>
    <x v="0"/>
    <n v="1"/>
    <x v="0"/>
    <s v="Pass"/>
    <n v="73.72"/>
    <s v="ppm"/>
    <n v="0"/>
    <n v="120"/>
    <x v="272"/>
    <s v="P. Meier"/>
  </r>
  <r>
    <s v="S001353"/>
    <s v="ARO-2024-00302"/>
    <s v="Aroma Chemical"/>
    <s v="Budapest"/>
    <x v="1"/>
    <n v="1"/>
    <x v="0"/>
    <s v="Fail"/>
    <n v="0.94"/>
    <s v="g/ml"/>
    <n v="0.88"/>
    <n v="0.97"/>
    <x v="112"/>
    <s v="L. Rossi"/>
  </r>
  <r>
    <s v="S001188"/>
    <s v="ARO-2024-00266"/>
    <s v="Aroma Chemical"/>
    <s v="Dortmund DE"/>
    <x v="4"/>
    <n v="1"/>
    <x v="0"/>
    <s v="Pass"/>
    <n v="0.56000000000000005"/>
    <s v="%"/>
    <n v="0"/>
    <n v="1"/>
    <x v="273"/>
    <s v="L. Rossi"/>
  </r>
  <r>
    <s v="S000308"/>
    <s v="FLA-2025-00070"/>
    <s v="Flavor Compound"/>
    <s v="Budapest"/>
    <x v="4"/>
    <n v="1"/>
    <x v="0"/>
    <s v="Pass"/>
    <n v="0.37"/>
    <s v="%"/>
    <n v="0"/>
    <n v="1"/>
    <x v="163"/>
    <s v="L. Rossi"/>
  </r>
  <r>
    <s v="S000286"/>
    <s v="FLA-2025-00065"/>
    <s v="Flavor Compound"/>
    <s v="East Hanover"/>
    <x v="4"/>
    <n v="1"/>
    <x v="0"/>
    <s v="Fail"/>
    <n v="0.02"/>
    <s v="%"/>
    <n v="0"/>
    <n v="1"/>
    <x v="49"/>
    <s v="M. Toth"/>
  </r>
  <r>
    <s v="S000624"/>
    <s v="ESS-2025-00141"/>
    <s v="Essential Oil Blend"/>
    <s v="Dortmund DE"/>
    <x v="2"/>
    <n v="1"/>
    <x v="0"/>
    <s v="Pass"/>
    <n v="251.86"/>
    <s v="um"/>
    <n v="150"/>
    <n v="400"/>
    <x v="73"/>
    <s v="P. Meier"/>
  </r>
  <r>
    <s v="S001474"/>
    <s v="ESS-2024-00328"/>
    <s v="Essential Oil Blend"/>
    <s v="Ashford UK"/>
    <x v="5"/>
    <n v="1"/>
    <x v="0"/>
    <s v="Pass"/>
    <n v="6.61"/>
    <m/>
    <n v="6"/>
    <n v="7.5"/>
    <x v="1"/>
    <s v="L. Rossi"/>
  </r>
  <r>
    <s v="S000701"/>
    <s v="FRA-2025-00159"/>
    <s v="Fragrance Oil"/>
    <s v="Dortmund DE"/>
    <x v="4"/>
    <n v="1"/>
    <x v="0"/>
    <s v="Pass"/>
    <n v="0.17"/>
    <s v="%"/>
    <n v="0"/>
    <n v="1"/>
    <x v="201"/>
    <s v="M. Toth"/>
  </r>
  <r>
    <s v="S001811"/>
    <s v="ARO-2024-00405"/>
    <s v="Aroma Chemical"/>
    <s v="Budapest"/>
    <x v="6"/>
    <n v="1"/>
    <x v="0"/>
    <s v="Pass"/>
    <n v="25.01"/>
    <s v="CFU/g"/>
    <n v="0"/>
    <n v="100"/>
    <x v="193"/>
    <s v="J NAGY"/>
  </r>
  <r>
    <s v="S000926"/>
    <s v="FRA-2024-00210"/>
    <s v="Fragrance Oil"/>
    <s v="Dortmund DE"/>
    <x v="2"/>
    <n v="1"/>
    <x v="0"/>
    <s v="Pass"/>
    <n v="274.35000000000002"/>
    <s v="um"/>
    <n v="150"/>
    <n v="400"/>
    <x v="118"/>
    <s v="A. Kovacs"/>
  </r>
  <r>
    <s v="S001096"/>
    <s v="FLA-2025-00246"/>
    <s v="Flavor Compound"/>
    <s v="Dortmund DE"/>
    <x v="6"/>
    <n v="1"/>
    <x v="0"/>
    <s v="Pass"/>
    <n v="13.45"/>
    <s v="CFU/g"/>
    <n v="0"/>
    <n v="100"/>
    <x v="57"/>
    <s v="T. Weber"/>
  </r>
  <r>
    <s v="S001710"/>
    <s v="FOO-2025-00382"/>
    <s v="Food Ingredient Extract"/>
    <s v="East Hanover"/>
    <x v="1"/>
    <n v="1"/>
    <x v="0"/>
    <s v="Pass"/>
    <n v="0.96"/>
    <s v="g/ml"/>
    <n v="0.88"/>
    <n v="0.97"/>
    <x v="61"/>
    <s v="A. Kovacs"/>
  </r>
  <r>
    <s v="S000954"/>
    <s v="FLA-2024-00216"/>
    <s v="Flavor Compound"/>
    <s v="East Hanover"/>
    <x v="3"/>
    <n v="1"/>
    <x v="0"/>
    <s v="Pass"/>
    <n v="97.6"/>
    <s v="%"/>
    <n v="97"/>
    <n v="100"/>
    <x v="205"/>
    <s v="A. Kovacs"/>
  </r>
  <r>
    <s v="S001947"/>
    <s v="ESS-2025-00436"/>
    <s v="Essential Oil Blend"/>
    <s v="East Hanover"/>
    <x v="4"/>
    <n v="1"/>
    <x v="0"/>
    <s v="Pass"/>
    <n v="0.28000000000000003"/>
    <s v="%"/>
    <n v="0"/>
    <n v="1"/>
    <x v="170"/>
    <s v="T. Weber"/>
  </r>
  <r>
    <s v="S000716"/>
    <s v="FLA-2025-00162"/>
    <s v="Flavor Compound"/>
    <s v="East Hanover"/>
    <x v="2"/>
    <n v="1"/>
    <x v="0"/>
    <s v="Pass"/>
    <n v="257.91000000000003"/>
    <s v="um"/>
    <n v="150"/>
    <n v="400"/>
    <x v="63"/>
    <s v="K. Varga"/>
  </r>
  <r>
    <s v="S001913"/>
    <s v="ESS-2024-00428"/>
    <s v="Essential Oil Blend"/>
    <s v="Budapest"/>
    <x v="4"/>
    <n v="1"/>
    <x v="0"/>
    <s v="Pass"/>
    <n v="0.54"/>
    <s v="%"/>
    <n v="0"/>
    <n v="1"/>
    <x v="204"/>
    <s v="A. Kovacs"/>
  </r>
  <r>
    <s v="S001258"/>
    <s v="FLA-2024-00281"/>
    <s v="Flavor Compound"/>
    <s v="Budapest"/>
    <x v="2"/>
    <n v="1"/>
    <x v="0"/>
    <s v="Pass"/>
    <n v="240.52"/>
    <s v="um"/>
    <n v="150"/>
    <n v="400"/>
    <x v="147"/>
    <s v="K. Varga"/>
  </r>
  <r>
    <s v="S000098"/>
    <s v="FOO-2025-00023"/>
    <s v="Food Ingredient Extract"/>
    <s v="Vernier CH"/>
    <x v="4"/>
    <n v="1"/>
    <x v="0"/>
    <s v="Pass"/>
    <n v="0.1"/>
    <s v="%"/>
    <n v="0"/>
    <n v="1"/>
    <x v="194"/>
    <s v="M. Toth"/>
  </r>
  <r>
    <s v="S001362"/>
    <s v="FOO-2024-00304"/>
    <s v="Food Ingredient Extract"/>
    <s v="East Hanover"/>
    <x v="6"/>
    <n v="1"/>
    <x v="1"/>
    <s v="Fail"/>
    <n v="-18.3"/>
    <s v="CFU/g"/>
    <n v="0"/>
    <n v="100"/>
    <x v="59"/>
    <s v="S. Fischer"/>
  </r>
  <r>
    <s v="S001074"/>
    <s v="FLA-2025-00240"/>
    <s v="Flavor Compound"/>
    <s v="Ashford UK"/>
    <x v="1"/>
    <n v="1"/>
    <x v="0"/>
    <s v="Pass"/>
    <n v="0.92"/>
    <s v="g/ml"/>
    <n v="0.88"/>
    <n v="0.97"/>
    <x v="252"/>
    <s v="M. Toth"/>
  </r>
  <r>
    <s v="S000766"/>
    <s v="FLA-2025-00173"/>
    <s v="Flavor Compound"/>
    <s v="Dortmund DE"/>
    <x v="0"/>
    <n v="1"/>
    <x v="0"/>
    <s v="Pass"/>
    <n v="42.6"/>
    <s v="ppm"/>
    <n v="0"/>
    <n v="120"/>
    <x v="274"/>
    <s v="K. Varga"/>
  </r>
  <r>
    <s v="S000140"/>
    <s v="FRA-2024-00033"/>
    <s v="Fragrance Oil"/>
    <s v="Dortmund DE"/>
    <x v="4"/>
    <n v="1"/>
    <x v="0"/>
    <s v="Pending"/>
    <n v="0.16"/>
    <s v="%"/>
    <n v="0"/>
    <n v="1"/>
    <x v="275"/>
    <s v="T. Weber"/>
  </r>
  <r>
    <s v="S000803"/>
    <s v="FOO-2025-00182"/>
    <s v="Food Ingredient Extract"/>
    <s v="Ashford UK"/>
    <x v="6"/>
    <n v="1"/>
    <x v="0"/>
    <s v="Pass"/>
    <n v="24.18"/>
    <s v="CFU/g"/>
    <n v="0"/>
    <n v="100"/>
    <x v="276"/>
    <s v="J NAGY"/>
  </r>
  <r>
    <s v="S000937"/>
    <s v="ARO-2025-00212"/>
    <s v="Aroma Chemical"/>
    <s v="Dortmund DE"/>
    <x v="0"/>
    <n v="1"/>
    <x v="0"/>
    <s v="Fail"/>
    <n v="23.01"/>
    <s v="ppm"/>
    <n v="0"/>
    <n v="120"/>
    <x v="228"/>
    <s v="A. Kovacs"/>
  </r>
  <r>
    <s v="S001893"/>
    <s v="FOO-2025-00423"/>
    <s v="Food Ingredient Extract"/>
    <s v="Dortmund DE"/>
    <x v="0"/>
    <n v="1"/>
    <x v="0"/>
    <s v="Fail"/>
    <n v="54.18"/>
    <s v="ppm"/>
    <n v="0"/>
    <n v="120"/>
    <x v="173"/>
    <s v="K. Varga"/>
  </r>
  <r>
    <s v="S001439"/>
    <s v="ESS-2024-00321"/>
    <s v="Essential Oil Blend"/>
    <s v="Dortmund DE"/>
    <x v="3"/>
    <n v="1"/>
    <x v="0"/>
    <s v="Pass"/>
    <n v="98.29"/>
    <s v="%"/>
    <n v="97"/>
    <n v="100"/>
    <x v="263"/>
    <s v="L. Rossi"/>
  </r>
  <r>
    <s v="S001490"/>
    <s v="FOO-2024-00331"/>
    <s v="Food Ingredient Extract"/>
    <s v="Dortmund DE"/>
    <x v="0"/>
    <n v="1"/>
    <x v="0"/>
    <s v="Pass"/>
    <n v="52.36"/>
    <s v="ppm"/>
    <n v="0"/>
    <n v="120"/>
    <x v="152"/>
    <s v="P. Meier"/>
  </r>
  <r>
    <s v="S001330"/>
    <s v="ARO-2024-00296"/>
    <s v="Aroma Chemical"/>
    <s v="Vernier CH"/>
    <x v="6"/>
    <n v="1"/>
    <x v="0"/>
    <s v="Pass"/>
    <n v="15.47"/>
    <s v="CFU/g"/>
    <n v="0"/>
    <n v="100"/>
    <x v="19"/>
    <s v="P. Meier"/>
  </r>
  <r>
    <s v="S001667"/>
    <s v="ARO-2024-00373"/>
    <s v="Aroma Chemical"/>
    <s v="Budapest"/>
    <x v="1"/>
    <n v="1"/>
    <x v="0"/>
    <s v="Pass"/>
    <n v="0.88"/>
    <s v="g/ml"/>
    <n v="0.88"/>
    <n v="0.97"/>
    <x v="222"/>
    <s v="K. Varga"/>
  </r>
  <r>
    <s v="S001654"/>
    <s v="ESS-2024-00370"/>
    <s v="Essential Oil Blend"/>
    <s v="Dortmund DE"/>
    <x v="0"/>
    <n v="1"/>
    <x v="0"/>
    <s v="Fail"/>
    <n v="52.38"/>
    <s v="ppm"/>
    <n v="0"/>
    <n v="120"/>
    <x v="277"/>
    <s v="M. Toth"/>
  </r>
  <r>
    <s v="S000129"/>
    <s v="FOO-2025-00030"/>
    <s v="Food Ingredient Extract"/>
    <s v="Ashford UK"/>
    <x v="4"/>
    <n v="1"/>
    <x v="0"/>
    <s v="Fail"/>
    <n v="0.51"/>
    <s v="%"/>
    <n v="0"/>
    <n v="1"/>
    <x v="48"/>
    <s v="S. Fischer"/>
  </r>
  <r>
    <s v="S000692"/>
    <s v="FOO-2025-00158"/>
    <s v="Food Ingredient Extract"/>
    <s v="East Hanover"/>
    <x v="3"/>
    <n v="1"/>
    <x v="0"/>
    <s v="Pass"/>
    <n v="99.44"/>
    <s v="%"/>
    <n v="97"/>
    <n v="100"/>
    <x v="35"/>
    <s v="J. Nagy"/>
  </r>
  <r>
    <s v="S000886"/>
    <s v="FLA-2025-00201"/>
    <s v="Flavor Compound"/>
    <s v="Ashford UK"/>
    <x v="6"/>
    <n v="1"/>
    <x v="0"/>
    <s v="Pass"/>
    <n v="6.28"/>
    <s v="CFU/g"/>
    <n v="0"/>
    <n v="100"/>
    <x v="170"/>
    <s v="K. Varga"/>
  </r>
  <r>
    <s v="S001232"/>
    <s v="FRA-2024-00275"/>
    <s v="Fragrance Oil"/>
    <s v="Vernier CH"/>
    <x v="1"/>
    <n v="1"/>
    <x v="0"/>
    <s v="Pass"/>
    <n v="0.95"/>
    <s v="g/ml"/>
    <n v="0.88"/>
    <n v="0.97"/>
    <x v="75"/>
    <s v="T. Weber"/>
  </r>
  <r>
    <s v="S001771"/>
    <s v="FOO-2025-00396"/>
    <s v="Food Ingredient Extract"/>
    <s v="Budapest"/>
    <x v="6"/>
    <n v="1"/>
    <x v="1"/>
    <s v="Fail"/>
    <n v="-29.67"/>
    <s v="CFU/g"/>
    <n v="0"/>
    <n v="100"/>
    <x v="278"/>
    <s v="M. Toth"/>
  </r>
  <r>
    <s v="S000523"/>
    <s v="FRA-2024-00117"/>
    <s v="Fragrance Oil"/>
    <s v="Ashford UK"/>
    <x v="0"/>
    <n v="1"/>
    <x v="0"/>
    <s v="Fail"/>
    <n v="34.26"/>
    <s v="ppm"/>
    <n v="0"/>
    <n v="120"/>
    <x v="279"/>
    <s v="J NAGY"/>
  </r>
  <r>
    <s v="S000265"/>
    <s v="FLA-2024-00061"/>
    <s v="Flavor Compound"/>
    <s v="East Hanover"/>
    <x v="4"/>
    <n v="1"/>
    <x v="0"/>
    <s v="Pass"/>
    <n v="0.16"/>
    <s v="%"/>
    <n v="0"/>
    <n v="1"/>
    <x v="257"/>
    <s v="A. Kovacs"/>
  </r>
  <r>
    <s v="S001160"/>
    <s v="FOO-2024-00260"/>
    <s v="Food Ingredient Extract"/>
    <s v="Budapest"/>
    <x v="0"/>
    <n v="1"/>
    <x v="0"/>
    <s v="Pass"/>
    <n v="27.1"/>
    <s v="ppm"/>
    <n v="0"/>
    <n v="120"/>
    <x v="280"/>
    <s v="M. Toth"/>
  </r>
  <r>
    <s v="S001437"/>
    <s v="ESS-2024-00321"/>
    <s v="Essential Oil Blend"/>
    <s v="Dortmund DE"/>
    <x v="1"/>
    <n v="1"/>
    <x v="0"/>
    <s v="Pass"/>
    <n v="0.9"/>
    <s v="g/ml"/>
    <n v="0.88"/>
    <n v="0.97"/>
    <x v="263"/>
    <s v="K. Varga"/>
  </r>
  <r>
    <s v="S001592"/>
    <s v="FOO-2025-00355"/>
    <s v="Food Ingredient Extract"/>
    <s v="Vernier CH"/>
    <x v="3"/>
    <n v="1"/>
    <x v="0"/>
    <s v="Pass"/>
    <n v="97.56"/>
    <s v="%"/>
    <n v="97"/>
    <n v="100"/>
    <x v="86"/>
    <s v="J. Nagy"/>
  </r>
  <r>
    <s v="S000632"/>
    <s v="FRA-2025-00143"/>
    <s v="Fragrance Oil"/>
    <s v="Ashford UK"/>
    <x v="0"/>
    <n v="1"/>
    <x v="0"/>
    <s v="Fail"/>
    <n v="62.49"/>
    <s v="ppm"/>
    <n v="0"/>
    <n v="120"/>
    <x v="103"/>
    <s v="A. Kovacs"/>
  </r>
  <r>
    <s v="S000499"/>
    <s v="FLA-2025-00112"/>
    <s v="Flavor Compound"/>
    <s v="Budapest"/>
    <x v="1"/>
    <n v="1"/>
    <x v="0"/>
    <s v="Pass"/>
    <n v="0.94"/>
    <s v="g/ml"/>
    <n v="0.88"/>
    <n v="0.97"/>
    <x v="42"/>
    <s v="M. Toth"/>
  </r>
  <r>
    <s v="S001981"/>
    <s v="ESS-2025-00443"/>
    <s v="Essential Oil Blend"/>
    <s v="Ashford UK"/>
    <x v="5"/>
    <n v="1"/>
    <x v="0"/>
    <s v="Fail"/>
    <n v="6.82"/>
    <m/>
    <n v="6"/>
    <n v="7.5"/>
    <x v="53"/>
    <s v="J NAGY"/>
  </r>
  <r>
    <s v="S001364"/>
    <s v="ESS-2025-00305"/>
    <s v="Essential Oil Blend"/>
    <s v="Ashford UK"/>
    <x v="3"/>
    <n v="1"/>
    <x v="0"/>
    <s v="Fail"/>
    <n v="98.64"/>
    <s v="%"/>
    <n v="97"/>
    <n v="100"/>
    <x v="281"/>
    <s v="S. Fischer"/>
  </r>
  <r>
    <s v="S001661"/>
    <s v="FRA-2024-00371"/>
    <s v="Fragrance Oil"/>
    <s v="Vernier CH"/>
    <x v="2"/>
    <n v="1"/>
    <x v="0"/>
    <s v="Fail"/>
    <n v="291.95999999999998"/>
    <s v="um"/>
    <n v="150"/>
    <n v="400"/>
    <x v="37"/>
    <s v="M. Toth"/>
  </r>
  <r>
    <s v="S001153"/>
    <s v="FOO-2025-00258"/>
    <s v="Food Ingredient Extract"/>
    <s v="East Hanover"/>
    <x v="3"/>
    <n v="1"/>
    <x v="0"/>
    <s v="Pass"/>
    <n v="98.35"/>
    <s v="%"/>
    <n v="97"/>
    <n v="100"/>
    <x v="62"/>
    <s v="J. Nagy"/>
  </r>
  <r>
    <s v="S000433"/>
    <s v="FRA-2025-00098"/>
    <s v="Fragrance Oil"/>
    <s v="Dortmund DE"/>
    <x v="5"/>
    <n v="1"/>
    <x v="0"/>
    <s v="Fail"/>
    <n v="6.45"/>
    <m/>
    <n v="6"/>
    <n v="7.5"/>
    <x v="191"/>
    <s v="P. Meier"/>
  </r>
  <r>
    <s v="S001159"/>
    <s v="ESS-2025-00259"/>
    <s v="Essential Oil Blend"/>
    <s v="Vernier CH"/>
    <x v="0"/>
    <n v="1"/>
    <x v="0"/>
    <s v="Pass"/>
    <n v="87.41"/>
    <s v="ppm"/>
    <n v="0"/>
    <n v="120"/>
    <x v="114"/>
    <s v="P. Meier"/>
  </r>
  <r>
    <s v="S001241"/>
    <s v="ESS-2025-00278"/>
    <s v="Essential Oil Blend"/>
    <s v="Ashford UK"/>
    <x v="2"/>
    <n v="1"/>
    <x v="0"/>
    <s v="Pass"/>
    <n v="240.54"/>
    <s v="um"/>
    <n v="150"/>
    <n v="400"/>
    <x v="206"/>
    <s v="M. Toth"/>
  </r>
  <r>
    <s v="S000069"/>
    <s v="ARO-2024-00016"/>
    <s v="Aroma Chemical"/>
    <s v="East Hanover"/>
    <x v="3"/>
    <n v="1"/>
    <x v="0"/>
    <s v="Pass"/>
    <n v="97.54"/>
    <s v="%"/>
    <n v="97"/>
    <n v="100"/>
    <x v="282"/>
    <s v="L. Rossi"/>
  </r>
  <r>
    <s v="S000936"/>
    <s v="ARO-2025-00212"/>
    <s v="Aroma Chemical"/>
    <s v="Dortmund DE"/>
    <x v="2"/>
    <n v="1"/>
    <x v="0"/>
    <s v="Fail"/>
    <n v="257.07"/>
    <s v="um"/>
    <n v="150"/>
    <n v="400"/>
    <x v="228"/>
    <s v="P. Meier"/>
  </r>
  <r>
    <s v="S001040"/>
    <s v="FOO-2024-00233"/>
    <s v="Food Ingredient Extract"/>
    <s v="Dortmund DE"/>
    <x v="0"/>
    <n v="1"/>
    <x v="0"/>
    <s v="Fail"/>
    <n v="38.28"/>
    <s v="ppm"/>
    <n v="0"/>
    <n v="120"/>
    <x v="36"/>
    <s v="J. Nagy"/>
  </r>
  <r>
    <s v="S001200"/>
    <s v="ARO-2024-00268"/>
    <s v="Aroma Chemical"/>
    <s v="Ashford UK"/>
    <x v="0"/>
    <n v="1"/>
    <x v="0"/>
    <s v="Pass"/>
    <n v="24.84"/>
    <s v="ppm"/>
    <n v="0"/>
    <n v="120"/>
    <x v="205"/>
    <s v="L. Rossi"/>
  </r>
  <r>
    <s v="S001854"/>
    <s v="FLA-2024-00415"/>
    <s v="Flavor Compound"/>
    <s v="Budapest"/>
    <x v="0"/>
    <n v="1"/>
    <x v="0"/>
    <s v="Pass"/>
    <n v="58.44"/>
    <s v="ppm"/>
    <n v="0"/>
    <n v="120"/>
    <x v="283"/>
    <s v="A. Kovacs"/>
  </r>
  <r>
    <s v="S000574"/>
    <s v="FRA-2024-00129"/>
    <s v="Fragrance Oil"/>
    <s v="Ashford UK"/>
    <x v="1"/>
    <n v="1"/>
    <x v="0"/>
    <s v="Pass"/>
    <n v="0.93"/>
    <s v="g/ml"/>
    <n v="0.88"/>
    <n v="0.97"/>
    <x v="101"/>
    <s v="P. Meier"/>
  </r>
  <r>
    <s v="S000335"/>
    <s v="ARO-2025-00076"/>
    <s v="Aroma Chemical"/>
    <s v="Dortmund DE"/>
    <x v="1"/>
    <n v="1"/>
    <x v="0"/>
    <s v="Pass"/>
    <n v="0.94"/>
    <s v="g/ml"/>
    <n v="0.88"/>
    <n v="0.97"/>
    <x v="129"/>
    <s v="J. Nagy"/>
  </r>
  <r>
    <s v="S000339"/>
    <s v="FRA-2024-00077"/>
    <s v="Fragrance Oil"/>
    <s v="Vernier CH"/>
    <x v="0"/>
    <n v="1"/>
    <x v="0"/>
    <s v="Pass"/>
    <n v="32.68"/>
    <s v="ppm"/>
    <n v="0"/>
    <n v="120"/>
    <x v="56"/>
    <s v="P. Meier"/>
  </r>
  <r>
    <s v="S001344"/>
    <s v="ARO-2024-00300"/>
    <s v="Aroma Chemical"/>
    <s v="Vernier CH"/>
    <x v="0"/>
    <n v="1"/>
    <x v="0"/>
    <s v="Pass"/>
    <n v="52.64"/>
    <s v="ppm"/>
    <n v="0"/>
    <n v="120"/>
    <x v="284"/>
    <s v="M. Toth"/>
  </r>
  <r>
    <s v="S000665"/>
    <s v="ARO-2025-00151"/>
    <s v="Aroma Chemical"/>
    <s v="East Hanover"/>
    <x v="0"/>
    <n v="1"/>
    <x v="0"/>
    <s v="Pass"/>
    <n v="41.62"/>
    <s v="ppm"/>
    <n v="0"/>
    <n v="120"/>
    <x v="158"/>
    <s v="A. Kovacs"/>
  </r>
  <r>
    <s v="S000384"/>
    <s v="ESS-2025-00087"/>
    <s v="Essential Oil Blend"/>
    <s v="East Hanover"/>
    <x v="3"/>
    <n v="1"/>
    <x v="0"/>
    <s v="Pass"/>
    <n v="98.62"/>
    <s v="%"/>
    <n v="97"/>
    <n v="100"/>
    <x v="48"/>
    <s v="T. Weber"/>
  </r>
  <r>
    <s v="S001815"/>
    <s v="FLA-2025-00406"/>
    <s v="Flavor Compound"/>
    <s v="Ashford UK"/>
    <x v="0"/>
    <n v="1"/>
    <x v="0"/>
    <s v="Fail"/>
    <n v="12.61"/>
    <s v="ppm"/>
    <n v="0"/>
    <n v="120"/>
    <x v="44"/>
    <s v="M. Toth"/>
  </r>
  <r>
    <s v="S000056"/>
    <s v="ARO-2025-00014"/>
    <s v="Aroma Chemical"/>
    <s v="Dortmund DE"/>
    <x v="0"/>
    <n v="1"/>
    <x v="0"/>
    <s v="Pass"/>
    <n v="60.65"/>
    <s v="ppm"/>
    <n v="0"/>
    <n v="120"/>
    <x v="94"/>
    <s v="P. Meier"/>
  </r>
  <r>
    <s v="S001644"/>
    <s v="ARO-2024-00368"/>
    <s v="Aroma Chemical"/>
    <s v="Vernier CH"/>
    <x v="1"/>
    <n v="1"/>
    <x v="0"/>
    <s v="Fail"/>
    <n v="0.91"/>
    <s v="g/ml"/>
    <n v="0.88"/>
    <n v="0.97"/>
    <x v="152"/>
    <s v="K. Varga"/>
  </r>
  <r>
    <s v="S000972"/>
    <s v="FRA-2025-00219"/>
    <s v="Fragrance Oil"/>
    <s v="Vernier CH"/>
    <x v="3"/>
    <n v="1"/>
    <x v="1"/>
    <s v="Fail"/>
    <n v="101.8"/>
    <s v="%"/>
    <n v="97"/>
    <n v="100"/>
    <x v="127"/>
    <s v="M. Toth"/>
  </r>
  <r>
    <s v="S000700"/>
    <s v="FRA-2025-00159"/>
    <s v="Fragrance Oil"/>
    <s v="Dortmund DE"/>
    <x v="3"/>
    <n v="1"/>
    <x v="0"/>
    <s v="Pass"/>
    <n v="98.26"/>
    <s v="%"/>
    <n v="97"/>
    <n v="100"/>
    <x v="201"/>
    <s v="A. Kovacs"/>
  </r>
  <r>
    <s v="S001536"/>
    <s v="FOO-2024-00342"/>
    <s v="Food Ingredient Extract"/>
    <s v="Budapest"/>
    <x v="2"/>
    <n v="1"/>
    <x v="0"/>
    <s v="Pass"/>
    <n v="278.60000000000002"/>
    <s v="um"/>
    <n v="150"/>
    <n v="400"/>
    <x v="285"/>
    <s v="L. Rossi"/>
  </r>
  <r>
    <s v="S000722"/>
    <s v="FLA-2025-00164"/>
    <s v="Flavor Compound"/>
    <s v="East Hanover"/>
    <x v="5"/>
    <n v="1"/>
    <x v="0"/>
    <s v="Pass"/>
    <n v="6.93"/>
    <m/>
    <n v="6"/>
    <n v="7.5"/>
    <x v="160"/>
    <s v="M. Toth"/>
  </r>
  <r>
    <s v="S001683"/>
    <s v="FRA-2024-00376"/>
    <s v="Fragrance Oil"/>
    <s v="Ashford UK"/>
    <x v="6"/>
    <n v="1"/>
    <x v="0"/>
    <s v="Fail"/>
    <n v="4.6900000000000004"/>
    <s v="CFU/g"/>
    <n v="0"/>
    <n v="100"/>
    <x v="21"/>
    <s v="J. Nagy"/>
  </r>
  <r>
    <s v="S000171"/>
    <s v="FRA-2024-00040"/>
    <s v="Fragrance Oil"/>
    <s v="Budapest"/>
    <x v="3"/>
    <n v="1"/>
    <x v="0"/>
    <s v="Pass"/>
    <n v="99.02"/>
    <s v="%"/>
    <n v="97"/>
    <n v="100"/>
    <x v="286"/>
    <s v="J. Nagy"/>
  </r>
  <r>
    <s v="S001151"/>
    <s v="FOO-2025-00258"/>
    <s v="Food Ingredient Extract"/>
    <s v="East Hanover"/>
    <x v="2"/>
    <n v="1"/>
    <x v="0"/>
    <s v="Pass"/>
    <n v="240.06"/>
    <s v="um"/>
    <n v="150"/>
    <n v="400"/>
    <x v="62"/>
    <s v="S. Fischer"/>
  </r>
  <r>
    <s v="S000957"/>
    <s v="FLA-2024-00216"/>
    <s v="Flavor Compound"/>
    <s v="East Hanover"/>
    <x v="6"/>
    <n v="1"/>
    <x v="0"/>
    <s v="Pass"/>
    <n v="4"/>
    <s v="CFU/g"/>
    <n v="0"/>
    <n v="100"/>
    <x v="205"/>
    <s v="T. Weber"/>
  </r>
  <r>
    <s v="S000327"/>
    <s v="ARO-2025-00074"/>
    <s v="Aroma Chemical"/>
    <s v="Dortmund DE"/>
    <x v="3"/>
    <n v="1"/>
    <x v="0"/>
    <s v="Pass"/>
    <n v="98.77"/>
    <s v="%"/>
    <n v="97"/>
    <n v="100"/>
    <x v="114"/>
    <s v="L. Rossi"/>
  </r>
  <r>
    <s v="S000504"/>
    <s v="FOO-2025-00113"/>
    <s v="Food Ingredient Extract"/>
    <s v="Ashford UK"/>
    <x v="5"/>
    <n v="1"/>
    <x v="0"/>
    <s v="Fail"/>
    <n v="6.61"/>
    <m/>
    <n v="6"/>
    <n v="7.5"/>
    <x v="177"/>
    <s v="L. Rossi"/>
  </r>
  <r>
    <s v="S001837"/>
    <s v="ARO-2025-00411"/>
    <s v="Aroma Chemical"/>
    <s v="East Hanover"/>
    <x v="6"/>
    <n v="1"/>
    <x v="0"/>
    <s v="Pass"/>
    <n v="22.08"/>
    <s v="CFU/g"/>
    <n v="0"/>
    <n v="100"/>
    <x v="287"/>
    <s v="J NAGY"/>
  </r>
  <r>
    <s v="S000410"/>
    <s v="FLA-2024-00093"/>
    <s v="Flavor Compound"/>
    <s v="Budapest"/>
    <x v="4"/>
    <n v="1"/>
    <x v="0"/>
    <s v="Pass"/>
    <n v="7.0000000000000007E-2"/>
    <s v="%"/>
    <n v="0"/>
    <n v="1"/>
    <x v="15"/>
    <s v="K. Varga"/>
  </r>
  <r>
    <s v="S001414"/>
    <s v="ESS-2024-00315"/>
    <s v="Essential Oil Blend"/>
    <s v="Ashford UK"/>
    <x v="0"/>
    <n v="1"/>
    <x v="0"/>
    <s v="Pass"/>
    <n v="41.3"/>
    <s v="ppm"/>
    <n v="0"/>
    <n v="120"/>
    <x v="52"/>
    <s v="K. Varga"/>
  </r>
  <r>
    <s v="S000298"/>
    <s v="FRA-2024-00067"/>
    <s v="Fragrance Oil"/>
    <s v="Vernier CH"/>
    <x v="5"/>
    <n v="1"/>
    <x v="1"/>
    <s v="Fail"/>
    <n v="5.83"/>
    <m/>
    <n v="6"/>
    <n v="7.5"/>
    <x v="132"/>
    <s v="J. Nagy"/>
  </r>
  <r>
    <s v="S000893"/>
    <s v="ESS-2024-00202"/>
    <s v="Essential Oil Blend"/>
    <s v="East Hanover"/>
    <x v="4"/>
    <n v="1"/>
    <x v="0"/>
    <s v="Pass"/>
    <n v="0.3"/>
    <s v="%"/>
    <n v="0"/>
    <n v="1"/>
    <x v="149"/>
    <s v="L. Rossi"/>
  </r>
  <r>
    <s v="S000830"/>
    <s v="ARO-2024-00188"/>
    <s v="Aroma Chemical"/>
    <s v="Ashford UK"/>
    <x v="0"/>
    <n v="1"/>
    <x v="0"/>
    <s v="Pass"/>
    <n v="55.02"/>
    <s v="ppm"/>
    <n v="0"/>
    <n v="120"/>
    <x v="185"/>
    <s v="K. Varga"/>
  </r>
  <r>
    <s v="S001941"/>
    <s v="ESS-2024-00434"/>
    <s v="Essential Oil Blend"/>
    <s v="Ashford UK"/>
    <x v="6"/>
    <n v="1"/>
    <x v="1"/>
    <s v="Fail"/>
    <n v="-13.09"/>
    <s v="CFU/g"/>
    <n v="0"/>
    <n v="100"/>
    <x v="89"/>
    <s v="S. Fischer"/>
  </r>
  <r>
    <s v="S000841"/>
    <s v="FOO-2025-00191"/>
    <s v="Food Ingredient Extract"/>
    <s v="Dortmund DE"/>
    <x v="3"/>
    <n v="1"/>
    <x v="1"/>
    <s v="Fail"/>
    <n v="101.8"/>
    <s v="%"/>
    <n v="97"/>
    <n v="100"/>
    <x v="33"/>
    <s v="S. Fischer"/>
  </r>
  <r>
    <s v="S001088"/>
    <s v="FLA-2024-00244"/>
    <s v="Flavor Compound"/>
    <s v="Dortmund DE"/>
    <x v="0"/>
    <n v="1"/>
    <x v="0"/>
    <s v="Fail"/>
    <n v="49.48"/>
    <s v="ppm"/>
    <n v="0"/>
    <n v="120"/>
    <x v="89"/>
    <s v="T. Weber"/>
  </r>
  <r>
    <s v="S000735"/>
    <s v="FOO-2025-00166"/>
    <s v="Food Ingredient Extract"/>
    <s v="East Hanover"/>
    <x v="4"/>
    <n v="1"/>
    <x v="0"/>
    <s v="Fail"/>
    <n v="0.33"/>
    <s v="%"/>
    <n v="0"/>
    <n v="1"/>
    <x v="121"/>
    <s v="M. Toth"/>
  </r>
  <r>
    <s v="S000672"/>
    <s v="FOO-2025-00153"/>
    <s v="Food Ingredient Extract"/>
    <s v="Dortmund DE"/>
    <x v="4"/>
    <n v="1"/>
    <x v="0"/>
    <s v="Fail"/>
    <n v="0.32"/>
    <s v="%"/>
    <n v="0"/>
    <n v="1"/>
    <x v="35"/>
    <s v="P. Meier"/>
  </r>
  <r>
    <s v="S000649"/>
    <s v="FRA-2025-00148"/>
    <s v="Fragrance Oil"/>
    <s v="Ashford UK"/>
    <x v="2"/>
    <n v="1"/>
    <x v="0"/>
    <s v="Pass"/>
    <n v="275.8"/>
    <s v="um"/>
    <n v="150"/>
    <n v="400"/>
    <x v="223"/>
    <s v="L. Rossi"/>
  </r>
  <r>
    <s v="S000443"/>
    <s v="FOO-2024-00100"/>
    <s v="Food Ingredient Extract"/>
    <s v="Vernier CH"/>
    <x v="1"/>
    <n v="1"/>
    <x v="0"/>
    <s v="Pass"/>
    <n v="0.91"/>
    <s v="g/ml"/>
    <n v="0.88"/>
    <n v="0.97"/>
    <x v="145"/>
    <s v="J NAGY"/>
  </r>
  <r>
    <s v="S001685"/>
    <s v="FRA-2024-00377"/>
    <s v="Fragrance Oil"/>
    <s v="Dortmund DE"/>
    <x v="2"/>
    <n v="1"/>
    <x v="0"/>
    <s v="Pass"/>
    <n v="193.38"/>
    <s v="um"/>
    <n v="150"/>
    <n v="400"/>
    <x v="165"/>
    <s v="M. Toth"/>
  </r>
  <r>
    <s v="S001543"/>
    <s v="ESS-2025-00343"/>
    <s v="Essential Oil Blend"/>
    <s v="Dortmund DE"/>
    <x v="0"/>
    <n v="1"/>
    <x v="0"/>
    <s v="Fail"/>
    <n v="16.04"/>
    <s v="ppm"/>
    <n v="0"/>
    <n v="120"/>
    <x v="169"/>
    <s v="A. Kovacs"/>
  </r>
  <r>
    <s v="S001972"/>
    <s v="ESS-2025-00441"/>
    <s v="Essential Oil Blend"/>
    <s v="East Hanover"/>
    <x v="6"/>
    <n v="1"/>
    <x v="1"/>
    <s v="Fail"/>
    <n v="-75"/>
    <s v="CFU/g"/>
    <n v="0"/>
    <n v="100"/>
    <x v="76"/>
    <s v="T. Weber"/>
  </r>
  <r>
    <s v="S000717"/>
    <s v="FRA-2025-00163"/>
    <s v="Fragrance Oil"/>
    <s v="Budapest"/>
    <x v="3"/>
    <n v="1"/>
    <x v="0"/>
    <s v="Fail"/>
    <n v="98.26"/>
    <s v="%"/>
    <n v="97"/>
    <n v="100"/>
    <x v="119"/>
    <s v="S. Fischer"/>
  </r>
  <r>
    <s v="S000719"/>
    <s v="FRA-2025-00163"/>
    <s v="Fragrance Oil"/>
    <s v="Budapest"/>
    <x v="2"/>
    <n v="1"/>
    <x v="0"/>
    <s v="Fail"/>
    <n v="302.38"/>
    <s v="um"/>
    <n v="150"/>
    <n v="400"/>
    <x v="119"/>
    <s v="M. Toth"/>
  </r>
  <r>
    <s v="S000532"/>
    <s v="ARO-2024-00120"/>
    <s v="Aroma Chemical"/>
    <s v="East Hanover"/>
    <x v="6"/>
    <n v="1"/>
    <x v="0"/>
    <s v="Fail"/>
    <n v="36.74"/>
    <s v="CFU/g"/>
    <n v="0"/>
    <n v="100"/>
    <x v="288"/>
    <s v="M. Toth"/>
  </r>
  <r>
    <s v="S000408"/>
    <s v="ARO-2024-00092"/>
    <s v="Aroma Chemical"/>
    <s v="Budapest"/>
    <x v="1"/>
    <n v="1"/>
    <x v="0"/>
    <s v="Fail"/>
    <n v="0.95"/>
    <s v="g/ml"/>
    <n v="0.88"/>
    <n v="0.97"/>
    <x v="267"/>
    <s v="L. Rossi"/>
  </r>
  <r>
    <s v="S000200"/>
    <s v="ARO-2025-00046"/>
    <s v="Aroma Chemical"/>
    <s v="Vernier CH"/>
    <x v="0"/>
    <n v="1"/>
    <x v="0"/>
    <s v="Pass"/>
    <n v="67.599999999999994"/>
    <s v="ppm"/>
    <n v="0"/>
    <n v="120"/>
    <x v="116"/>
    <s v="J. Nagy"/>
  </r>
  <r>
    <s v="S000474"/>
    <s v="FRA-2025-00107"/>
    <s v="Fragrance Oil"/>
    <s v="East Hanover"/>
    <x v="6"/>
    <n v="1"/>
    <x v="0"/>
    <s v="Pass"/>
    <n v="14.81"/>
    <s v="CFU/g"/>
    <n v="0"/>
    <n v="100"/>
    <x v="48"/>
    <s v="J. Nagy"/>
  </r>
  <r>
    <s v="S001268"/>
    <s v="FLA-2024-00284"/>
    <s v="Flavor Compound"/>
    <s v="Vernier CH"/>
    <x v="1"/>
    <n v="1"/>
    <x v="0"/>
    <s v="Pass"/>
    <n v="0.91"/>
    <s v="g/ml"/>
    <n v="0.88"/>
    <n v="0.97"/>
    <x v="93"/>
    <s v="J NAGY"/>
  </r>
  <r>
    <s v="S001206"/>
    <s v="FRA-2024-00269"/>
    <s v="Fragrance Oil"/>
    <s v="Dortmund DE"/>
    <x v="1"/>
    <n v="1"/>
    <x v="0"/>
    <s v="Pass"/>
    <n v="0.93"/>
    <s v="g/ml"/>
    <n v="0.88"/>
    <n v="0.97"/>
    <x v="289"/>
    <s v="A. Kovacs"/>
  </r>
  <r>
    <s v="S000829"/>
    <s v="ARO-2024-00188"/>
    <s v="Aroma Chemical"/>
    <s v="Ashford UK"/>
    <x v="6"/>
    <n v="1"/>
    <x v="0"/>
    <s v="Pass"/>
    <n v="31.1"/>
    <s v="CFU/g"/>
    <n v="0"/>
    <n v="100"/>
    <x v="185"/>
    <s v="A. Kovacs"/>
  </r>
  <r>
    <s v="S000217"/>
    <s v="FLA-2024-00049"/>
    <s v="Flavor Compound"/>
    <s v="Vernier CH"/>
    <x v="3"/>
    <n v="1"/>
    <x v="0"/>
    <s v="Fail"/>
    <n v="98.42"/>
    <s v="%"/>
    <n v="97"/>
    <n v="100"/>
    <x v="231"/>
    <s v="A. Kovacs"/>
  </r>
  <r>
    <s v="S000254"/>
    <s v="FOO-2024-00057"/>
    <s v="Food Ingredient Extract"/>
    <s v="East Hanover"/>
    <x v="2"/>
    <n v="1"/>
    <x v="0"/>
    <s v="Pass"/>
    <n v="274.11"/>
    <s v="um"/>
    <n v="150"/>
    <n v="400"/>
    <x v="270"/>
    <s v="P. Meier"/>
  </r>
  <r>
    <s v="S000153"/>
    <s v="FOO-2025-00036"/>
    <s v="Food Ingredient Extract"/>
    <s v="East Hanover"/>
    <x v="2"/>
    <n v="1"/>
    <x v="0"/>
    <s v="Pass"/>
    <n v="326.2"/>
    <s v="um"/>
    <n v="150"/>
    <n v="400"/>
    <x v="230"/>
    <s v="J NAGY"/>
  </r>
  <r>
    <s v="S001277"/>
    <s v="ARO-2024-00285"/>
    <s v="Aroma Chemical"/>
    <s v="Vernier CH"/>
    <x v="2"/>
    <n v="1"/>
    <x v="0"/>
    <s v="Fail"/>
    <n v="309.66000000000003"/>
    <s v="um"/>
    <n v="150"/>
    <n v="400"/>
    <x v="13"/>
    <s v="K. Varga"/>
  </r>
  <r>
    <s v="S001091"/>
    <s v="FOO-2025-00245"/>
    <s v="Food Ingredient Extract"/>
    <s v="East Hanover"/>
    <x v="5"/>
    <n v="1"/>
    <x v="0"/>
    <s v="Pass"/>
    <n v="6.45"/>
    <m/>
    <n v="6"/>
    <n v="7.5"/>
    <x v="16"/>
    <s v="K. Varga"/>
  </r>
  <r>
    <s v="S000931"/>
    <s v="ARO-2025-00211"/>
    <s v="Aroma Chemical"/>
    <s v="Ashford UK"/>
    <x v="3"/>
    <n v="1"/>
    <x v="0"/>
    <s v="Fail"/>
    <n v="98.78"/>
    <s v="%"/>
    <n v="97"/>
    <n v="100"/>
    <x v="150"/>
    <s v="L. Rossi"/>
  </r>
  <r>
    <s v="S001257"/>
    <s v="FLA-2024-00281"/>
    <s v="Flavor Compound"/>
    <s v="Budapest"/>
    <x v="3"/>
    <n v="1"/>
    <x v="0"/>
    <s v="Pass"/>
    <n v="98.91"/>
    <s v="%"/>
    <n v="97"/>
    <n v="100"/>
    <x v="147"/>
    <s v="A. Kovacs"/>
  </r>
  <r>
    <s v="S001445"/>
    <s v="FLA-2024-00323"/>
    <s v="Flavor Compound"/>
    <s v="Ashford UK"/>
    <x v="3"/>
    <n v="1"/>
    <x v="0"/>
    <s v="Pass"/>
    <n v="99.73"/>
    <s v="%"/>
    <n v="97"/>
    <n v="100"/>
    <x v="68"/>
    <s v="K. Varga"/>
  </r>
  <r>
    <s v="S001339"/>
    <s v="ESS-2024-00299"/>
    <s v="Essential Oil Blend"/>
    <s v="Vernier CH"/>
    <x v="0"/>
    <n v="1"/>
    <x v="0"/>
    <s v="Pending"/>
    <n v="36.19"/>
    <s v="ppm"/>
    <n v="0"/>
    <n v="120"/>
    <x v="145"/>
    <s v="S. Fischer"/>
  </r>
  <r>
    <s v="S001768"/>
    <s v="ESS-2024-00395"/>
    <s v="Essential Oil Blend"/>
    <s v="Budapest"/>
    <x v="5"/>
    <n v="1"/>
    <x v="0"/>
    <s v="Fail"/>
    <n v="6.9"/>
    <m/>
    <n v="6"/>
    <n v="7.5"/>
    <x v="111"/>
    <s v="J NAGY"/>
  </r>
  <r>
    <s v="S001615"/>
    <s v="FOO-2025-00360"/>
    <s v="Food Ingredient Extract"/>
    <s v="Ashford UK"/>
    <x v="4"/>
    <n v="1"/>
    <x v="0"/>
    <s v="Pass"/>
    <n v="0.48"/>
    <s v="%"/>
    <n v="0"/>
    <n v="1"/>
    <x v="46"/>
    <s v="M. Toth"/>
  </r>
  <r>
    <s v="S001886"/>
    <s v="FLA-2025-00422"/>
    <s v="Flavor Compound"/>
    <s v="Ashford UK"/>
    <x v="3"/>
    <n v="1"/>
    <x v="0"/>
    <s v="Pass"/>
    <n v="97.89"/>
    <s v="%"/>
    <n v="97"/>
    <n v="100"/>
    <x v="290"/>
    <s v="M. Toth"/>
  </r>
  <r>
    <s v="S000531"/>
    <s v="ARO-2024-00120"/>
    <s v="Aroma Chemical"/>
    <s v="East Hanover"/>
    <x v="2"/>
    <n v="1"/>
    <x v="0"/>
    <s v="Fail"/>
    <n v="261.07"/>
    <s v="um"/>
    <n v="150"/>
    <n v="400"/>
    <x v="288"/>
    <s v="A. Kovacs"/>
  </r>
  <r>
    <s v="S001404"/>
    <s v="ESS-2024-00313"/>
    <s v="Essential Oil Blend"/>
    <s v="Budapest"/>
    <x v="1"/>
    <n v="1"/>
    <x v="0"/>
    <s v="Pass"/>
    <n v="0.91"/>
    <s v="g/ml"/>
    <n v="0.88"/>
    <n v="0.97"/>
    <x v="218"/>
    <s v="K. Varga"/>
  </r>
  <r>
    <s v="S001299"/>
    <s v="FRA-2025-00290"/>
    <s v="Fragrance Oil"/>
    <s v="Vernier CH"/>
    <x v="0"/>
    <n v="1"/>
    <x v="0"/>
    <s v="Pass"/>
    <n v="53.7"/>
    <s v="ppm"/>
    <n v="0"/>
    <n v="120"/>
    <x v="49"/>
    <s v="J. Nagy"/>
  </r>
  <r>
    <s v="S000241"/>
    <s v="FRA-2024-00054"/>
    <s v="Fragrance Oil"/>
    <s v="East Hanover"/>
    <x v="0"/>
    <n v="1"/>
    <x v="0"/>
    <s v="Pass"/>
    <n v="68.81"/>
    <s v="ppm"/>
    <n v="0"/>
    <n v="120"/>
    <x v="149"/>
    <s v="P. Meier"/>
  </r>
  <r>
    <s v="S001011"/>
    <s v="FRA-2024-00228"/>
    <s v="Fragrance Oil"/>
    <s v="Dortmund DE"/>
    <x v="0"/>
    <n v="1"/>
    <x v="0"/>
    <s v="Pass"/>
    <n v="54.81"/>
    <s v="ppm"/>
    <n v="0"/>
    <n v="120"/>
    <x v="58"/>
    <s v="S. Fischer"/>
  </r>
  <r>
    <s v="S001744"/>
    <s v="FOO-2024-00389"/>
    <s v="Food Ingredient Extract"/>
    <s v="Ashford UK"/>
    <x v="3"/>
    <n v="1"/>
    <x v="0"/>
    <s v="Pass"/>
    <n v="98.82"/>
    <s v="%"/>
    <n v="97"/>
    <n v="100"/>
    <x v="5"/>
    <s v="M. Toth"/>
  </r>
  <r>
    <s v="S000188"/>
    <s v="FRA-2025-00043"/>
    <s v="Fragrance Oil"/>
    <s v="Vernier CH"/>
    <x v="3"/>
    <n v="1"/>
    <x v="0"/>
    <s v="Fail"/>
    <n v="98.2"/>
    <s v="%"/>
    <n v="97"/>
    <n v="100"/>
    <x v="65"/>
    <s v="M. Toth"/>
  </r>
  <r>
    <s v="S000247"/>
    <s v="FRA-2025-00056"/>
    <s v="Fragrance Oil"/>
    <s v="Ashford UK"/>
    <x v="1"/>
    <n v="1"/>
    <x v="0"/>
    <s v="Pass"/>
    <n v="0.95"/>
    <s v="g/ml"/>
    <n v="0.88"/>
    <n v="0.97"/>
    <x v="124"/>
    <s v="T. Weber"/>
  </r>
  <r>
    <s v="S000906"/>
    <s v="ARO-2025-00204"/>
    <s v="Aroma Chemical"/>
    <s v="Vernier CH"/>
    <x v="5"/>
    <n v="1"/>
    <x v="0"/>
    <s v="Fail"/>
    <n v="6.6"/>
    <m/>
    <n v="6"/>
    <n v="7.5"/>
    <x v="57"/>
    <s v="J. Nagy"/>
  </r>
  <r>
    <s v="S001821"/>
    <s v="FRA-2025-00407"/>
    <s v="Fragrance Oil"/>
    <s v="Vernier CH"/>
    <x v="2"/>
    <n v="1"/>
    <x v="0"/>
    <s v="Pass"/>
    <n v="214.09"/>
    <s v="um"/>
    <n v="150"/>
    <n v="400"/>
    <x v="121"/>
    <s v="P. Meier"/>
  </r>
  <r>
    <s v="S001045"/>
    <s v="FLA-2024-00234"/>
    <s v="Flavor Compound"/>
    <s v="Ashford UK"/>
    <x v="1"/>
    <n v="1"/>
    <x v="0"/>
    <s v="Pass"/>
    <n v="0.94"/>
    <s v="g/ml"/>
    <n v="0.88"/>
    <n v="0.97"/>
    <x v="199"/>
    <s v="J NAGY"/>
  </r>
  <r>
    <s v="S000902"/>
    <s v="ARO-2025-00204"/>
    <s v="Aroma Chemical"/>
    <s v="Vernier CH"/>
    <x v="1"/>
    <n v="1"/>
    <x v="0"/>
    <s v="Fail"/>
    <n v="0.95"/>
    <s v="g/ml"/>
    <n v="0.88"/>
    <n v="0.97"/>
    <x v="57"/>
    <s v="J NAGY"/>
  </r>
  <r>
    <s v="S000693"/>
    <s v="FOO-2025-00158"/>
    <s v="Food Ingredient Extract"/>
    <s v="East Hanover"/>
    <x v="6"/>
    <n v="1"/>
    <x v="0"/>
    <s v="Pass"/>
    <n v="13.41"/>
    <s v="CFU/g"/>
    <n v="0"/>
    <n v="100"/>
    <x v="35"/>
    <s v="P. Meier"/>
  </r>
  <r>
    <s v="S000303"/>
    <s v="FRA-2024-00069"/>
    <s v="Fragrance Oil"/>
    <s v="Vernier CH"/>
    <x v="6"/>
    <n v="1"/>
    <x v="1"/>
    <s v="Fail"/>
    <n v="-25.38"/>
    <s v="CFU/g"/>
    <n v="0"/>
    <n v="100"/>
    <x v="171"/>
    <s v="K. Varga"/>
  </r>
  <r>
    <s v="S000284"/>
    <s v="FLA-2025-00065"/>
    <s v="Flavor Compound"/>
    <s v="East Hanover"/>
    <x v="6"/>
    <n v="1"/>
    <x v="0"/>
    <s v="Fail"/>
    <n v="15.63"/>
    <s v="CFU/g"/>
    <n v="0"/>
    <n v="100"/>
    <x v="49"/>
    <s v="T. Weber"/>
  </r>
  <r>
    <s v="S000899"/>
    <s v="FRA-2025-00203"/>
    <s v="Fragrance Oil"/>
    <s v="East Hanover"/>
    <x v="5"/>
    <n v="1"/>
    <x v="0"/>
    <s v="Pass"/>
    <n v="6.07"/>
    <m/>
    <n v="6"/>
    <n v="7.5"/>
    <x v="221"/>
    <s v="K. Varga"/>
  </r>
  <r>
    <s v="S000506"/>
    <s v="FOO-2025-00113"/>
    <s v="Food Ingredient Extract"/>
    <s v="Ashford UK"/>
    <x v="0"/>
    <n v="1"/>
    <x v="0"/>
    <s v="Fail"/>
    <n v="46.89"/>
    <s v="ppm"/>
    <n v="0"/>
    <n v="120"/>
    <x v="177"/>
    <s v="T. Weber"/>
  </r>
  <r>
    <s v="S001932"/>
    <s v="FRA-2025-00432"/>
    <s v="Fragrance Oil"/>
    <s v="East Hanover"/>
    <x v="6"/>
    <n v="1"/>
    <x v="0"/>
    <s v="Pass"/>
    <n v="5.68"/>
    <s v="CFU/g"/>
    <n v="0"/>
    <n v="100"/>
    <x v="213"/>
    <s v="J. Nagy"/>
  </r>
  <r>
    <s v="S000322"/>
    <s v="ARO-2025-00073"/>
    <s v="Aroma Chemical"/>
    <s v="Budapest"/>
    <x v="3"/>
    <n v="1"/>
    <x v="0"/>
    <s v="Pass"/>
    <n v="98.68"/>
    <s v="%"/>
    <n v="97"/>
    <n v="100"/>
    <x v="146"/>
    <s v="A. Kovacs"/>
  </r>
  <r>
    <s v="S001479"/>
    <s v="ESS-2025-00329"/>
    <s v="Essential Oil Blend"/>
    <s v="Vernier CH"/>
    <x v="5"/>
    <n v="1"/>
    <x v="0"/>
    <s v="Pass"/>
    <n v="7.19"/>
    <m/>
    <n v="6"/>
    <n v="7.5"/>
    <x v="233"/>
    <s v="M. Toth"/>
  </r>
  <r>
    <s v="S001262"/>
    <s v="FLA-2025-00283"/>
    <s v="Flavor Compound"/>
    <s v="Budapest"/>
    <x v="3"/>
    <n v="1"/>
    <x v="0"/>
    <s v="Pass"/>
    <n v="98.96"/>
    <s v="%"/>
    <n v="97"/>
    <n v="100"/>
    <x v="291"/>
    <s v="A. Kovacs"/>
  </r>
  <r>
    <s v="S001168"/>
    <s v="ESS-2024-00262"/>
    <s v="Essential Oil Blend"/>
    <s v="Budapest"/>
    <x v="3"/>
    <n v="1"/>
    <x v="0"/>
    <s v="Pass"/>
    <n v="98.47"/>
    <s v="%"/>
    <n v="97"/>
    <n v="100"/>
    <x v="292"/>
    <s v="T. Weber"/>
  </r>
  <r>
    <s v="S000622"/>
    <s v="ESS-2025-00141"/>
    <s v="Essential Oil Blend"/>
    <s v="Dortmund DE"/>
    <x v="5"/>
    <n v="1"/>
    <x v="0"/>
    <s v="Pass"/>
    <n v="6.84"/>
    <m/>
    <n v="6"/>
    <n v="7.5"/>
    <x v="73"/>
    <s v="K. Varga"/>
  </r>
  <r>
    <s v="S001914"/>
    <s v="FLA-2024-00429"/>
    <s v="Flavor Compound"/>
    <s v="Vernier CH"/>
    <x v="6"/>
    <n v="1"/>
    <x v="0"/>
    <s v="Pass"/>
    <n v="6.83"/>
    <s v="CFU/g"/>
    <n v="0"/>
    <n v="100"/>
    <x v="32"/>
    <s v="A. Kovacs"/>
  </r>
  <r>
    <s v="S001917"/>
    <s v="FLA-2024-00429"/>
    <s v="Flavor Compound"/>
    <s v="Vernier CH"/>
    <x v="2"/>
    <n v="1"/>
    <x v="0"/>
    <s v="Pass"/>
    <n v="293.68"/>
    <s v="um"/>
    <n v="150"/>
    <n v="400"/>
    <x v="32"/>
    <s v="S. Fischer"/>
  </r>
  <r>
    <s v="S000123"/>
    <s v="ESS-2025-00028"/>
    <s v="Essential Oil Blend"/>
    <s v="Ashford UK"/>
    <x v="4"/>
    <n v="1"/>
    <x v="0"/>
    <s v="Pass"/>
    <n v="0.47"/>
    <s v="%"/>
    <n v="0"/>
    <n v="1"/>
    <x v="250"/>
    <s v="K. Varga"/>
  </r>
  <r>
    <s v="S001989"/>
    <s v="FRA-2025-00444"/>
    <s v="Fragrance Oil"/>
    <s v="East Hanover"/>
    <x v="6"/>
    <n v="1"/>
    <x v="1"/>
    <s v="Fail"/>
    <n v="175"/>
    <s v="CFU/g"/>
    <n v="0"/>
    <n v="100"/>
    <x v="238"/>
    <s v="T. Weber"/>
  </r>
  <r>
    <s v="S000511"/>
    <s v="FLA-2025-00115"/>
    <s v="Flavor Compound"/>
    <s v="Dortmund DE"/>
    <x v="2"/>
    <n v="1"/>
    <x v="0"/>
    <s v="Pass"/>
    <n v="250.29"/>
    <s v="um"/>
    <n v="150"/>
    <n v="400"/>
    <x v="293"/>
    <s v="J. Nagy"/>
  </r>
  <r>
    <s v="S000281"/>
    <s v="ARO-2024-00064"/>
    <s v="Aroma Chemical"/>
    <s v="Dortmund DE"/>
    <x v="4"/>
    <n v="1"/>
    <x v="0"/>
    <s v="Fail"/>
    <n v="0.11"/>
    <s v="%"/>
    <n v="0"/>
    <n v="1"/>
    <x v="185"/>
    <s v="T. Weber"/>
  </r>
  <r>
    <s v="S001751"/>
    <s v="ESS-2025-00391"/>
    <s v="Essential Oil Blend"/>
    <s v="Vernier CH"/>
    <x v="0"/>
    <n v="1"/>
    <x v="0"/>
    <s v="Fail"/>
    <n v="59.55"/>
    <s v="ppm"/>
    <n v="0"/>
    <n v="120"/>
    <x v="210"/>
    <s v="J. Nagy"/>
  </r>
  <r>
    <s v="S001732"/>
    <s v="ESS-2025-00387"/>
    <s v="Essential Oil Blend"/>
    <s v="East Hanover"/>
    <x v="3"/>
    <n v="1"/>
    <x v="0"/>
    <s v="Fail"/>
    <n v="98.89"/>
    <s v="%"/>
    <n v="97"/>
    <n v="100"/>
    <x v="294"/>
    <s v="K. Varga"/>
  </r>
  <r>
    <s v="S001389"/>
    <s v="FLA-2025-00310"/>
    <s v="Flavor Compound"/>
    <s v="East Hanover"/>
    <x v="5"/>
    <n v="1"/>
    <x v="0"/>
    <s v="Pass"/>
    <n v="7.14"/>
    <m/>
    <n v="6"/>
    <n v="7.5"/>
    <x v="8"/>
    <s v="J. Nagy"/>
  </r>
  <r>
    <s v="S000994"/>
    <s v="ARO-2025-00225"/>
    <s v="Aroma Chemical"/>
    <s v="Dortmund DE"/>
    <x v="5"/>
    <n v="1"/>
    <x v="1"/>
    <s v="Fail"/>
    <n v="5.86"/>
    <m/>
    <n v="6"/>
    <n v="7.5"/>
    <x v="158"/>
    <s v="M. Toth"/>
  </r>
  <r>
    <s v="S001034"/>
    <s v="ARO-2025-00232"/>
    <s v="Aroma Chemical"/>
    <s v="Budapest"/>
    <x v="1"/>
    <n v="1"/>
    <x v="0"/>
    <s v="Pass"/>
    <n v="0.94"/>
    <s v="g/ml"/>
    <n v="0.88"/>
    <n v="0.97"/>
    <x v="295"/>
    <s v="S. Fischer"/>
  </r>
  <r>
    <s v="S001187"/>
    <s v="ARO-2024-00266"/>
    <s v="Aroma Chemical"/>
    <s v="Dortmund DE"/>
    <x v="6"/>
    <n v="1"/>
    <x v="0"/>
    <s v="Pass"/>
    <n v="7.36"/>
    <s v="CFU/g"/>
    <n v="0"/>
    <n v="100"/>
    <x v="273"/>
    <s v="J NAGY"/>
  </r>
  <r>
    <s v="S000678"/>
    <s v="FRA-2024-00154"/>
    <s v="Fragrance Oil"/>
    <s v="Vernier CH"/>
    <x v="0"/>
    <n v="1"/>
    <x v="0"/>
    <s v="Fail"/>
    <n v="31.54"/>
    <s v="ppm"/>
    <n v="0"/>
    <n v="120"/>
    <x v="240"/>
    <s v="S. Fischer"/>
  </r>
  <r>
    <s v="S000519"/>
    <s v="FRA-2024-00117"/>
    <s v="Fragrance Oil"/>
    <s v="Ashford UK"/>
    <x v="3"/>
    <n v="1"/>
    <x v="0"/>
    <s v="Fail"/>
    <n v="98.88"/>
    <s v="%"/>
    <n v="97"/>
    <n v="100"/>
    <x v="279"/>
    <s v="A. Kovacs"/>
  </r>
  <r>
    <s v="S001351"/>
    <s v="ARO-2024-00302"/>
    <s v="Aroma Chemical"/>
    <s v="Budapest"/>
    <x v="2"/>
    <n v="1"/>
    <x v="0"/>
    <s v="Fail"/>
    <n v="210.78"/>
    <s v="um"/>
    <n v="150"/>
    <n v="400"/>
    <x v="112"/>
    <s v="L. Rossi"/>
  </r>
  <r>
    <s v="S001512"/>
    <s v="ARO-2024-00337"/>
    <s v="Aroma Chemical"/>
    <s v="East Hanover"/>
    <x v="0"/>
    <n v="1"/>
    <x v="0"/>
    <s v="Pass"/>
    <n v="55.88"/>
    <s v="ppm"/>
    <n v="0"/>
    <n v="120"/>
    <x v="135"/>
    <s v="K. Varga"/>
  </r>
  <r>
    <s v="S000068"/>
    <s v="ARO-2024-00016"/>
    <s v="Aroma Chemical"/>
    <s v="East Hanover"/>
    <x v="0"/>
    <n v="1"/>
    <x v="0"/>
    <s v="Pass"/>
    <n v="47.16"/>
    <s v="ppm"/>
    <n v="0"/>
    <n v="120"/>
    <x v="282"/>
    <s v="M. Toth"/>
  </r>
  <r>
    <s v="S000333"/>
    <s v="FRA-2024-00075"/>
    <s v="Fragrance Oil"/>
    <s v="East Hanover"/>
    <x v="2"/>
    <n v="1"/>
    <x v="0"/>
    <s v="Pass"/>
    <n v="266.58"/>
    <s v="um"/>
    <n v="150"/>
    <n v="400"/>
    <x v="82"/>
    <s v="P. Meier"/>
  </r>
  <r>
    <s v="S000569"/>
    <s v="FLA-2024-00128"/>
    <s v="Flavor Compound"/>
    <s v="East Hanover"/>
    <x v="5"/>
    <n v="1"/>
    <x v="0"/>
    <s v="Fail"/>
    <n v="7.23"/>
    <m/>
    <n v="6"/>
    <n v="7.5"/>
    <x v="296"/>
    <s v="J NAGY"/>
  </r>
  <r>
    <s v="S001174"/>
    <s v="ARO-2024-00263"/>
    <s v="Aroma Chemical"/>
    <s v="Budapest"/>
    <x v="6"/>
    <n v="1"/>
    <x v="0"/>
    <s v="Pending"/>
    <n v="18.23"/>
    <s v="CFU/g"/>
    <n v="0"/>
    <n v="100"/>
    <x v="66"/>
    <s v="J NAGY"/>
  </r>
  <r>
    <s v="S001199"/>
    <s v="ARO-2024-00268"/>
    <s v="Aroma Chemical"/>
    <s v="Ashford UK"/>
    <x v="3"/>
    <n v="1"/>
    <x v="0"/>
    <s v="Pass"/>
    <n v="98.13"/>
    <s v="%"/>
    <n v="97"/>
    <n v="100"/>
    <x v="205"/>
    <s v="J NAGY"/>
  </r>
  <r>
    <s v="S001434"/>
    <s v="ARO-2025-00320"/>
    <s v="Aroma Chemical"/>
    <s v="Vernier CH"/>
    <x v="1"/>
    <n v="1"/>
    <x v="0"/>
    <s v="Pass"/>
    <n v="0.88"/>
    <s v="g/ml"/>
    <n v="0.88"/>
    <n v="0.97"/>
    <x v="76"/>
    <s v="M. Toth"/>
  </r>
  <r>
    <s v="S001075"/>
    <s v="FOO-2024-00241"/>
    <s v="Food Ingredient Extract"/>
    <s v="Dortmund DE"/>
    <x v="0"/>
    <n v="0"/>
    <x v="2"/>
    <s v="Pending"/>
    <m/>
    <s v="ppm"/>
    <n v="0"/>
    <n v="120"/>
    <x v="74"/>
    <s v="M. Toth"/>
  </r>
  <r>
    <s v="S000473"/>
    <s v="FRA-2025-00106"/>
    <s v="Fragrance Oil"/>
    <s v="East Hanover"/>
    <x v="6"/>
    <n v="1"/>
    <x v="0"/>
    <s v="Pass"/>
    <n v="44.47"/>
    <s v="CFU/g"/>
    <n v="0"/>
    <n v="100"/>
    <x v="12"/>
    <s v="A. Kovacs"/>
  </r>
  <r>
    <s v="S001511"/>
    <s v="FLA-2025-00336"/>
    <s v="Flavor Compound"/>
    <s v="Budapest"/>
    <x v="3"/>
    <n v="1"/>
    <x v="0"/>
    <s v="Pass"/>
    <n v="98.79"/>
    <s v="%"/>
    <n v="97"/>
    <n v="100"/>
    <x v="61"/>
    <s v="A. Kovacs"/>
  </r>
  <r>
    <s v="S000512"/>
    <s v="FLA-2025-00115"/>
    <s v="Flavor Compound"/>
    <s v="Dortmund DE"/>
    <x v="3"/>
    <n v="1"/>
    <x v="0"/>
    <s v="Pass"/>
    <n v="98.95"/>
    <s v="%"/>
    <n v="97"/>
    <n v="100"/>
    <x v="293"/>
    <s v="A. Kovacs"/>
  </r>
  <r>
    <s v="S000478"/>
    <s v="FRA-2025-00107"/>
    <s v="Fragrance Oil"/>
    <s v="East Hanover"/>
    <x v="5"/>
    <n v="1"/>
    <x v="0"/>
    <s v="Pass"/>
    <n v="6.78"/>
    <m/>
    <n v="6"/>
    <n v="7.5"/>
    <x v="48"/>
    <s v="M. Toth"/>
  </r>
  <r>
    <s v="S001428"/>
    <s v="ARO-2024-00318"/>
    <s v="Aroma Chemical"/>
    <s v="Dortmund DE"/>
    <x v="6"/>
    <n v="1"/>
    <x v="1"/>
    <s v="Fail"/>
    <n v="-11.03"/>
    <s v="CFU/g"/>
    <n v="0"/>
    <n v="100"/>
    <x v="60"/>
    <s v="P. Meier"/>
  </r>
  <r>
    <s v="S001402"/>
    <s v="ESS-2024-00313"/>
    <s v="Essential Oil Blend"/>
    <s v="Budapest"/>
    <x v="0"/>
    <n v="1"/>
    <x v="0"/>
    <s v="Pass"/>
    <n v="55.99"/>
    <s v="ppm"/>
    <n v="0"/>
    <n v="120"/>
    <x v="218"/>
    <s v="A. Kovacs"/>
  </r>
  <r>
    <s v="S000319"/>
    <s v="ARO-2025-00073"/>
    <s v="Aroma Chemical"/>
    <s v="Budapest"/>
    <x v="5"/>
    <n v="1"/>
    <x v="0"/>
    <s v="Pass"/>
    <n v="6.74"/>
    <m/>
    <n v="6"/>
    <n v="7.5"/>
    <x v="146"/>
    <s v="M. Toth"/>
  </r>
  <r>
    <s v="S000956"/>
    <s v="FLA-2024-00216"/>
    <s v="Flavor Compound"/>
    <s v="East Hanover"/>
    <x v="4"/>
    <n v="1"/>
    <x v="0"/>
    <s v="Pass"/>
    <n v="0.25"/>
    <s v="%"/>
    <n v="0"/>
    <n v="1"/>
    <x v="205"/>
    <s v="S. Fischer"/>
  </r>
  <r>
    <s v="S001720"/>
    <s v="FRA-2024-00385"/>
    <s v="Fragrance Oil"/>
    <s v="East Hanover"/>
    <x v="2"/>
    <n v="1"/>
    <x v="0"/>
    <s v="Pass"/>
    <n v="231.78"/>
    <s v="um"/>
    <n v="150"/>
    <n v="400"/>
    <x v="297"/>
    <s v="K. Varga"/>
  </r>
  <r>
    <s v="S001202"/>
    <s v="FRA-2024-00269"/>
    <s v="Fragrance Oil"/>
    <s v="Dortmund DE"/>
    <x v="6"/>
    <n v="1"/>
    <x v="0"/>
    <s v="Pass"/>
    <n v="57.09"/>
    <s v="CFU/g"/>
    <n v="0"/>
    <n v="100"/>
    <x v="289"/>
    <s v="M. Toth"/>
  </r>
  <r>
    <s v="S000582"/>
    <s v="FOO-2024-00131"/>
    <s v="Food Ingredient Extract"/>
    <s v="Dortmund DE"/>
    <x v="6"/>
    <n v="1"/>
    <x v="0"/>
    <s v="Pass"/>
    <n v="16.03"/>
    <s v="CFU/g"/>
    <n v="0"/>
    <n v="100"/>
    <x v="184"/>
    <s v="K. Varga"/>
  </r>
  <r>
    <s v="S000133"/>
    <s v="FLA-2024-00031"/>
    <s v="Flavor Compound"/>
    <s v="Ashford UK"/>
    <x v="5"/>
    <n v="1"/>
    <x v="0"/>
    <s v="Pending"/>
    <n v="6.35"/>
    <m/>
    <n v="6"/>
    <n v="7.5"/>
    <x v="155"/>
    <s v="T. Weber"/>
  </r>
  <r>
    <s v="S001726"/>
    <s v="FRA-2025-00386"/>
    <s v="Fragrance Oil"/>
    <s v="Ashford UK"/>
    <x v="2"/>
    <n v="1"/>
    <x v="0"/>
    <s v="Pass"/>
    <n v="289.41000000000003"/>
    <s v="um"/>
    <n v="150"/>
    <n v="400"/>
    <x v="172"/>
    <s v="M. Toth"/>
  </r>
  <r>
    <s v="S001006"/>
    <s v="ARO-2025-00227"/>
    <s v="Aroma Chemical"/>
    <s v="East Hanover"/>
    <x v="2"/>
    <n v="1"/>
    <x v="0"/>
    <s v="Pass"/>
    <n v="272.42"/>
    <s v="um"/>
    <n v="150"/>
    <n v="400"/>
    <x v="298"/>
    <s v="J. Nagy"/>
  </r>
  <r>
    <s v="S001940"/>
    <s v="ESS-2024-00434"/>
    <s v="Essential Oil Blend"/>
    <s v="Ashford UK"/>
    <x v="2"/>
    <n v="1"/>
    <x v="0"/>
    <s v="Fail"/>
    <n v="217.55"/>
    <s v="um"/>
    <n v="150"/>
    <n v="400"/>
    <x v="89"/>
    <s v="S. Fischer"/>
  </r>
  <r>
    <s v="S001791"/>
    <s v="ARO-2024-00401"/>
    <s v="Aroma Chemical"/>
    <s v="Budapest"/>
    <x v="5"/>
    <n v="0"/>
    <x v="2"/>
    <s v="Pending"/>
    <m/>
    <m/>
    <n v="6"/>
    <n v="7.5"/>
    <x v="167"/>
    <s v="M. Toth"/>
  </r>
  <r>
    <s v="S001953"/>
    <s v="ESS-2024-00437"/>
    <s v="Essential Oil Blend"/>
    <s v="Vernier CH"/>
    <x v="5"/>
    <n v="1"/>
    <x v="0"/>
    <s v="Pass"/>
    <n v="6.65"/>
    <m/>
    <n v="6"/>
    <n v="7.5"/>
    <x v="95"/>
    <s v="A. Kovacs"/>
  </r>
  <r>
    <s v="S000369"/>
    <s v="ARO-2025-00083"/>
    <s v="Aroma Chemical"/>
    <s v="Ashford UK"/>
    <x v="4"/>
    <n v="1"/>
    <x v="0"/>
    <s v="Pass"/>
    <n v="0.5"/>
    <s v="%"/>
    <n v="0"/>
    <n v="1"/>
    <x v="128"/>
    <s v="K. Varga"/>
  </r>
  <r>
    <s v="S000733"/>
    <s v="FOO-2025-00166"/>
    <s v="Food Ingredient Extract"/>
    <s v="East Hanover"/>
    <x v="6"/>
    <n v="1"/>
    <x v="1"/>
    <s v="Fail"/>
    <n v="-2.33"/>
    <s v="CFU/g"/>
    <n v="0"/>
    <n v="100"/>
    <x v="121"/>
    <s v="J. Nagy"/>
  </r>
  <r>
    <s v="S001211"/>
    <s v="FLA-2024-00270"/>
    <s v="Flavor Compound"/>
    <s v="Ashford UK"/>
    <x v="6"/>
    <n v="1"/>
    <x v="1"/>
    <s v="Fail"/>
    <n v="-30.26"/>
    <s v="CFU/g"/>
    <n v="0"/>
    <n v="100"/>
    <x v="200"/>
    <s v="M. Toth"/>
  </r>
  <r>
    <s v="S000126"/>
    <s v="FLA-2024-00029"/>
    <s v="Flavor Compound"/>
    <s v="East Hanover"/>
    <x v="1"/>
    <n v="1"/>
    <x v="0"/>
    <s v="Pass"/>
    <n v="0.91"/>
    <s v="g/ml"/>
    <n v="0.88"/>
    <n v="0.97"/>
    <x v="299"/>
    <s v="P. Meier"/>
  </r>
  <r>
    <s v="S000858"/>
    <s v="FOO-2024-00195"/>
    <s v="Food Ingredient Extract"/>
    <s v="East Hanover"/>
    <x v="0"/>
    <n v="1"/>
    <x v="1"/>
    <s v="Fail"/>
    <n v="180"/>
    <s v="ppm"/>
    <n v="0"/>
    <n v="120"/>
    <x v="95"/>
    <s v="J. Nagy"/>
  </r>
  <r>
    <s v="S001042"/>
    <s v="FLA-2024-00234"/>
    <s v="Flavor Compound"/>
    <s v="Ashford UK"/>
    <x v="6"/>
    <n v="1"/>
    <x v="0"/>
    <s v="Pass"/>
    <n v="11.75"/>
    <s v="CFU/g"/>
    <n v="0"/>
    <n v="100"/>
    <x v="199"/>
    <s v="A. Kovacs"/>
  </r>
  <r>
    <s v="S000257"/>
    <s v="FLA-2025-00058"/>
    <s v="Flavor Compound"/>
    <s v="Vernier CH"/>
    <x v="6"/>
    <n v="1"/>
    <x v="0"/>
    <s v="Pass"/>
    <n v="49.2"/>
    <s v="CFU/g"/>
    <n v="0"/>
    <n v="100"/>
    <x v="300"/>
    <s v="J. Nagy"/>
  </r>
  <r>
    <s v="S001970"/>
    <s v="FRA-2025-00440"/>
    <s v="Fragrance Oil"/>
    <s v="Dortmund DE"/>
    <x v="3"/>
    <n v="1"/>
    <x v="0"/>
    <s v="Pass"/>
    <n v="98.18"/>
    <s v="%"/>
    <n v="97"/>
    <n v="100"/>
    <x v="154"/>
    <s v="J. Nagy"/>
  </r>
  <r>
    <s v="S001549"/>
    <s v="ESS-2024-00345"/>
    <s v="Essential Oil Blend"/>
    <s v="East Hanover"/>
    <x v="5"/>
    <n v="1"/>
    <x v="0"/>
    <s v="Pass"/>
    <n v="6.84"/>
    <m/>
    <n v="6"/>
    <n v="7.5"/>
    <x v="60"/>
    <s v="S. Fischer"/>
  </r>
  <r>
    <s v="S000290"/>
    <s v="ARO-2025-00066"/>
    <s v="Aroma Chemical"/>
    <s v="Dortmund DE"/>
    <x v="2"/>
    <n v="1"/>
    <x v="0"/>
    <s v="Fail"/>
    <n v="193.13"/>
    <s v="um"/>
    <n v="150"/>
    <n v="400"/>
    <x v="301"/>
    <s v="J. Nagy"/>
  </r>
  <r>
    <s v="S001284"/>
    <s v="FLA-2025-00287"/>
    <s v="Flavor Compound"/>
    <s v="Budapest"/>
    <x v="4"/>
    <n v="1"/>
    <x v="0"/>
    <s v="Pass"/>
    <n v="0.49"/>
    <s v="%"/>
    <n v="0"/>
    <n v="1"/>
    <x v="239"/>
    <s v="J NAGY"/>
  </r>
  <r>
    <s v="S000778"/>
    <s v="ARO-2024-00176"/>
    <s v="Aroma Chemical"/>
    <s v="East Hanover"/>
    <x v="3"/>
    <n v="1"/>
    <x v="0"/>
    <s v="Pass"/>
    <n v="98.27"/>
    <s v="%"/>
    <n v="97"/>
    <n v="100"/>
    <x v="302"/>
    <s v="S. Fischer"/>
  </r>
  <r>
    <s v="S000082"/>
    <s v="FLA-2025-00019"/>
    <s v="Flavor Compound"/>
    <s v="Vernier CH"/>
    <x v="3"/>
    <n v="1"/>
    <x v="0"/>
    <s v="Pass"/>
    <n v="98.42"/>
    <s v="%"/>
    <n v="97"/>
    <n v="100"/>
    <x v="303"/>
    <s v="A. Kovacs"/>
  </r>
  <r>
    <s v="S000054"/>
    <s v="ESS-2024-00013"/>
    <s v="Essential Oil Blend"/>
    <s v="Dortmund DE"/>
    <x v="4"/>
    <n v="1"/>
    <x v="0"/>
    <s v="Pass"/>
    <n v="0.3"/>
    <s v="%"/>
    <n v="0"/>
    <n v="1"/>
    <x v="87"/>
    <s v="L. Rossi"/>
  </r>
  <r>
    <s v="S001600"/>
    <s v="FRA-2024-00357"/>
    <s v="Fragrance Oil"/>
    <s v="Ashford UK"/>
    <x v="3"/>
    <n v="1"/>
    <x v="0"/>
    <s v="Pass"/>
    <n v="97.31"/>
    <s v="%"/>
    <n v="97"/>
    <n v="100"/>
    <x v="179"/>
    <s v="L. Rossi"/>
  </r>
  <r>
    <s v="S001480"/>
    <s v="ESS-2025-00329"/>
    <s v="Essential Oil Blend"/>
    <s v="Vernier CH"/>
    <x v="6"/>
    <n v="1"/>
    <x v="0"/>
    <s v="Pass"/>
    <n v="8.91"/>
    <s v="CFU/g"/>
    <n v="0"/>
    <n v="100"/>
    <x v="233"/>
    <s v="M. Toth"/>
  </r>
  <r>
    <s v="S000558"/>
    <s v="FOO-2024-00125"/>
    <s v="Food Ingredient Extract"/>
    <s v="Vernier CH"/>
    <x v="1"/>
    <n v="1"/>
    <x v="0"/>
    <s v="Pass"/>
    <n v="0.89"/>
    <s v="g/ml"/>
    <n v="0.88"/>
    <n v="0.97"/>
    <x v="249"/>
    <s v="M. Toth"/>
  </r>
  <r>
    <s v="S000041"/>
    <s v="FLA-2024-00009"/>
    <s v="Flavor Compound"/>
    <s v="Vernier CH"/>
    <x v="1"/>
    <n v="1"/>
    <x v="0"/>
    <s v="Fail"/>
    <n v="0.92"/>
    <s v="g/ml"/>
    <n v="0.88"/>
    <n v="0.97"/>
    <x v="89"/>
    <s v="A. Kovacs"/>
  </r>
  <r>
    <s v="S001715"/>
    <s v="FLA-2024-00383"/>
    <s v="Flavor Compound"/>
    <s v="Dortmund DE"/>
    <x v="6"/>
    <n v="1"/>
    <x v="0"/>
    <s v="Pass"/>
    <n v="13.93"/>
    <s v="CFU/g"/>
    <n v="0"/>
    <n v="100"/>
    <x v="151"/>
    <s v="T. Weber"/>
  </r>
  <r>
    <s v="S000262"/>
    <s v="ARO-2025-00060"/>
    <s v="Aroma Chemical"/>
    <s v="Ashford UK"/>
    <x v="4"/>
    <n v="1"/>
    <x v="0"/>
    <s v="Pass"/>
    <n v="0.7"/>
    <s v="%"/>
    <n v="0"/>
    <n v="1"/>
    <x v="162"/>
    <s v="M. Toth"/>
  </r>
  <r>
    <s v="S000993"/>
    <s v="ARO-2025-00225"/>
    <s v="Aroma Chemical"/>
    <s v="Dortmund DE"/>
    <x v="0"/>
    <n v="1"/>
    <x v="0"/>
    <s v="Fail"/>
    <n v="30.92"/>
    <s v="ppm"/>
    <n v="0"/>
    <n v="120"/>
    <x v="158"/>
    <s v="A. Kovacs"/>
  </r>
  <r>
    <s v="S000913"/>
    <s v="FOO-2024-00206"/>
    <s v="Food Ingredient Extract"/>
    <s v="Ashford UK"/>
    <x v="0"/>
    <n v="1"/>
    <x v="0"/>
    <s v="Fail"/>
    <n v="41.6"/>
    <s v="ppm"/>
    <n v="0"/>
    <n v="120"/>
    <x v="256"/>
    <s v="K. Varga"/>
  </r>
  <r>
    <s v="S000084"/>
    <s v="FRA-2025-00020"/>
    <s v="Fragrance Oil"/>
    <s v="Ashford UK"/>
    <x v="0"/>
    <n v="1"/>
    <x v="0"/>
    <s v="Pass"/>
    <n v="35.83"/>
    <s v="ppm"/>
    <n v="0"/>
    <n v="120"/>
    <x v="304"/>
    <s v="S. Fischer"/>
  </r>
  <r>
    <s v="S001122"/>
    <s v="FRA-2025-00252"/>
    <s v="Fragrance Oil"/>
    <s v="Budapest"/>
    <x v="4"/>
    <n v="1"/>
    <x v="0"/>
    <s v="Fail"/>
    <n v="0.36"/>
    <s v="%"/>
    <n v="0"/>
    <n v="1"/>
    <x v="175"/>
    <s v="S. Fischer"/>
  </r>
  <r>
    <s v="S000448"/>
    <s v="FLA-2025-00101"/>
    <s v="Flavor Compound"/>
    <s v="Vernier CH"/>
    <x v="4"/>
    <n v="1"/>
    <x v="0"/>
    <s v="Pass"/>
    <n v="0.36"/>
    <s v="%"/>
    <n v="0"/>
    <n v="1"/>
    <x v="86"/>
    <s v="P. Meier"/>
  </r>
  <r>
    <s v="S001554"/>
    <s v="ESS-2024-00346"/>
    <s v="Essential Oil Blend"/>
    <s v="Vernier CH"/>
    <x v="6"/>
    <n v="1"/>
    <x v="1"/>
    <s v="Fail"/>
    <n v="-31.57"/>
    <s v="CFU/g"/>
    <n v="0"/>
    <n v="100"/>
    <x v="195"/>
    <s v="A. Kovacs"/>
  </r>
  <r>
    <s v="S000825"/>
    <s v="FRA-2024-00187"/>
    <s v="Fragrance Oil"/>
    <s v="Vernier CH"/>
    <x v="3"/>
    <n v="1"/>
    <x v="0"/>
    <s v="Pass"/>
    <n v="98.91"/>
    <s v="%"/>
    <n v="97"/>
    <n v="100"/>
    <x v="305"/>
    <s v="S. Fischer"/>
  </r>
  <r>
    <s v="S000031"/>
    <s v="FOO-2025-00007"/>
    <s v="Food Ingredient Extract"/>
    <s v="East Hanover"/>
    <x v="3"/>
    <n v="1"/>
    <x v="0"/>
    <s v="Fail"/>
    <n v="98.48"/>
    <s v="%"/>
    <n v="97"/>
    <n v="100"/>
    <x v="276"/>
    <s v="J. Nagy"/>
  </r>
  <r>
    <s v="S000514"/>
    <s v="FOO-2025-00116"/>
    <s v="Food Ingredient Extract"/>
    <s v="Vernier CH"/>
    <x v="6"/>
    <n v="1"/>
    <x v="1"/>
    <s v="Fail"/>
    <n v="-9.89"/>
    <s v="CFU/g"/>
    <n v="0"/>
    <n v="100"/>
    <x v="6"/>
    <s v="A. Kovacs"/>
  </r>
  <r>
    <s v="S001082"/>
    <s v="ESS-2024-00243"/>
    <s v="Essential Oil Blend"/>
    <s v="Vernier CH"/>
    <x v="3"/>
    <n v="1"/>
    <x v="0"/>
    <s v="Pending"/>
    <n v="99.23"/>
    <s v="%"/>
    <n v="97"/>
    <n v="100"/>
    <x v="265"/>
    <s v="M. Toth"/>
  </r>
  <r>
    <s v="S001298"/>
    <s v="FRA-2025-00290"/>
    <s v="Fragrance Oil"/>
    <s v="Vernier CH"/>
    <x v="4"/>
    <n v="1"/>
    <x v="0"/>
    <s v="Pass"/>
    <n v="0.28000000000000003"/>
    <s v="%"/>
    <n v="0"/>
    <n v="1"/>
    <x v="49"/>
    <s v="M. Toth"/>
  </r>
  <r>
    <s v="S001676"/>
    <s v="ESS-2025-00375"/>
    <s v="Essential Oil Blend"/>
    <s v="Ashford UK"/>
    <x v="2"/>
    <n v="1"/>
    <x v="0"/>
    <s v="Fail"/>
    <n v="247.64"/>
    <s v="um"/>
    <n v="150"/>
    <n v="400"/>
    <x v="28"/>
    <s v="K. Varga"/>
  </r>
  <r>
    <s v="S001023"/>
    <s v="ARO-2025-00230"/>
    <s v="Aroma Chemical"/>
    <s v="Ashford UK"/>
    <x v="0"/>
    <n v="1"/>
    <x v="0"/>
    <s v="Pass"/>
    <n v="58.84"/>
    <s v="ppm"/>
    <n v="0"/>
    <n v="120"/>
    <x v="181"/>
    <s v="L. Rossi"/>
  </r>
  <r>
    <s v="S001222"/>
    <s v="FOO-2024-00273"/>
    <s v="Food Ingredient Extract"/>
    <s v="Budapest"/>
    <x v="1"/>
    <n v="1"/>
    <x v="0"/>
    <s v="Pending"/>
    <n v="0.95"/>
    <s v="g/ml"/>
    <n v="0.88"/>
    <n v="0.97"/>
    <x v="258"/>
    <s v="M. Toth"/>
  </r>
  <r>
    <s v="S001306"/>
    <s v="ESS-2025-00292"/>
    <s v="Essential Oil Blend"/>
    <s v="East Hanover"/>
    <x v="3"/>
    <n v="1"/>
    <x v="0"/>
    <s v="Fail"/>
    <n v="99.11"/>
    <s v="%"/>
    <n v="97"/>
    <n v="100"/>
    <x v="260"/>
    <s v="M. Toth"/>
  </r>
  <r>
    <s v="S001594"/>
    <s v="FOO-2025-00356"/>
    <s v="Food Ingredient Extract"/>
    <s v="East Hanover"/>
    <x v="6"/>
    <n v="1"/>
    <x v="0"/>
    <s v="Pass"/>
    <n v="56.6"/>
    <s v="CFU/g"/>
    <n v="0"/>
    <n v="100"/>
    <x v="234"/>
    <s v="L. Rossi"/>
  </r>
  <r>
    <s v="S001589"/>
    <s v="ESS-2025-00354"/>
    <s v="Essential Oil Blend"/>
    <s v="Budapest"/>
    <x v="2"/>
    <n v="1"/>
    <x v="0"/>
    <s v="Fail"/>
    <n v="232.3"/>
    <s v="um"/>
    <n v="150"/>
    <n v="400"/>
    <x v="169"/>
    <s v="L. Rossi"/>
  </r>
  <r>
    <s v="S000857"/>
    <s v="ARO-2024-00194"/>
    <s v="Aroma Chemical"/>
    <s v="Dortmund DE"/>
    <x v="2"/>
    <n v="1"/>
    <x v="0"/>
    <s v="Pass"/>
    <n v="226.66"/>
    <s v="um"/>
    <n v="150"/>
    <n v="400"/>
    <x v="168"/>
    <s v="K. Varga"/>
  </r>
  <r>
    <s v="S001835"/>
    <s v="FOO-2025-00410"/>
    <s v="Food Ingredient Extract"/>
    <s v="Vernier CH"/>
    <x v="2"/>
    <n v="1"/>
    <x v="0"/>
    <s v="Pass"/>
    <n v="287.51"/>
    <s v="um"/>
    <n v="150"/>
    <n v="400"/>
    <x v="225"/>
    <s v="M. Toth"/>
  </r>
  <r>
    <s v="S001875"/>
    <s v="FRA-2024-00420"/>
    <s v="Fragrance Oil"/>
    <s v="East Hanover"/>
    <x v="2"/>
    <n v="1"/>
    <x v="0"/>
    <s v="Fail"/>
    <n v="251.74"/>
    <s v="um"/>
    <n v="150"/>
    <n v="400"/>
    <x v="17"/>
    <s v="J. Nagy"/>
  </r>
  <r>
    <s v="S000049"/>
    <s v="FOO-2024-00011"/>
    <s v="Food Ingredient Extract"/>
    <s v="Budapest"/>
    <x v="2"/>
    <n v="1"/>
    <x v="1"/>
    <s v="Fail"/>
    <n v="30"/>
    <s v="um"/>
    <n v="150"/>
    <n v="400"/>
    <x v="184"/>
    <s v="M. Toth"/>
  </r>
  <r>
    <s v="S001997"/>
    <s v="FOO-2025-00446"/>
    <s v="Food Ingredient Extract"/>
    <s v="Dortmund DE"/>
    <x v="1"/>
    <n v="1"/>
    <x v="0"/>
    <s v="Pending"/>
    <n v="0.88"/>
    <s v="g/ml"/>
    <n v="0.88"/>
    <n v="0.97"/>
    <x v="8"/>
    <s v="J NAGY"/>
  </r>
  <r>
    <s v="S001856"/>
    <s v="FLA-2024-00415"/>
    <s v="Flavor Compound"/>
    <s v="Budapest"/>
    <x v="4"/>
    <n v="1"/>
    <x v="0"/>
    <s v="Pass"/>
    <n v="0.65"/>
    <s v="%"/>
    <n v="0"/>
    <n v="1"/>
    <x v="283"/>
    <s v="M. Toth"/>
  </r>
  <r>
    <s v="S000468"/>
    <s v="FOO-2025-00105"/>
    <s v="Food Ingredient Extract"/>
    <s v="Budapest"/>
    <x v="4"/>
    <n v="1"/>
    <x v="0"/>
    <s v="Pass"/>
    <n v="0.56000000000000005"/>
    <s v="%"/>
    <n v="0"/>
    <n v="1"/>
    <x v="251"/>
    <s v="L. Rossi"/>
  </r>
  <r>
    <s v="S000154"/>
    <s v="FOO-2025-00036"/>
    <s v="Food Ingredient Extract"/>
    <s v="East Hanover"/>
    <x v="0"/>
    <n v="1"/>
    <x v="0"/>
    <s v="Pass"/>
    <n v="47.62"/>
    <s v="ppm"/>
    <n v="0"/>
    <n v="120"/>
    <x v="230"/>
    <s v="K. Varga"/>
  </r>
  <r>
    <s v="S001951"/>
    <s v="ESS-2025-00436"/>
    <s v="Essential Oil Blend"/>
    <s v="East Hanover"/>
    <x v="6"/>
    <n v="1"/>
    <x v="0"/>
    <s v="Pass"/>
    <n v="27.51"/>
    <s v="CFU/g"/>
    <n v="0"/>
    <n v="100"/>
    <x v="170"/>
    <s v="M. Toth"/>
  </r>
  <r>
    <s v="S001962"/>
    <s v="FRA-2025-00439"/>
    <s v="Fragrance Oil"/>
    <s v="Dortmund DE"/>
    <x v="5"/>
    <n v="1"/>
    <x v="0"/>
    <s v="Fail"/>
    <n v="6.92"/>
    <m/>
    <n v="6"/>
    <n v="7.5"/>
    <x v="306"/>
    <s v="J. Nagy"/>
  </r>
  <r>
    <s v="S000395"/>
    <s v="FOO-2024-00090"/>
    <s v="Food Ingredient Extract"/>
    <s v="Dortmund DE"/>
    <x v="6"/>
    <n v="1"/>
    <x v="0"/>
    <s v="Pass"/>
    <n v="11.95"/>
    <s v="CFU/g"/>
    <n v="0"/>
    <n v="100"/>
    <x v="125"/>
    <s v="L. Rossi"/>
  </r>
  <r>
    <s v="S000124"/>
    <s v="FLA-2024-00029"/>
    <s v="Flavor Compound"/>
    <s v="East Hanover"/>
    <x v="2"/>
    <n v="1"/>
    <x v="0"/>
    <s v="Pass"/>
    <n v="243.32"/>
    <s v="um"/>
    <n v="150"/>
    <n v="400"/>
    <x v="299"/>
    <s v="A. Kovacs"/>
  </r>
  <r>
    <s v="S000356"/>
    <s v="FRA-2025-00080"/>
    <s v="Fragrance Oil"/>
    <s v="Dortmund DE"/>
    <x v="3"/>
    <n v="1"/>
    <x v="0"/>
    <s v="Pass"/>
    <n v="98.79"/>
    <s v="%"/>
    <n v="97"/>
    <n v="100"/>
    <x v="196"/>
    <s v="P. Meier"/>
  </r>
  <r>
    <s v="S000135"/>
    <s v="FRA-2024-00032"/>
    <s v="Fragrance Oil"/>
    <s v="Ashford UK"/>
    <x v="3"/>
    <n v="1"/>
    <x v="0"/>
    <s v="Pass"/>
    <n v="97.38"/>
    <s v="%"/>
    <n v="97"/>
    <n v="100"/>
    <x v="134"/>
    <s v="A. Kovacs"/>
  </r>
  <r>
    <s v="S000269"/>
    <s v="FLA-2024-00061"/>
    <s v="Flavor Compound"/>
    <s v="East Hanover"/>
    <x v="6"/>
    <n v="1"/>
    <x v="0"/>
    <s v="Pass"/>
    <n v="17.86"/>
    <s v="CFU/g"/>
    <n v="0"/>
    <n v="100"/>
    <x v="257"/>
    <s v="T. Weber"/>
  </r>
  <r>
    <s v="S000386"/>
    <s v="ESS-2025-00087"/>
    <s v="Essential Oil Blend"/>
    <s v="East Hanover"/>
    <x v="2"/>
    <n v="1"/>
    <x v="0"/>
    <s v="Pass"/>
    <n v="262.95999999999998"/>
    <s v="um"/>
    <n v="150"/>
    <n v="400"/>
    <x v="48"/>
    <s v="P. Meier"/>
  </r>
  <r>
    <s v="S000610"/>
    <s v="FLA-2024-00138"/>
    <s v="Flavor Compound"/>
    <s v="Ashford UK"/>
    <x v="6"/>
    <n v="1"/>
    <x v="1"/>
    <s v="Fail"/>
    <n v="-17.05"/>
    <s v="CFU/g"/>
    <n v="0"/>
    <n v="100"/>
    <x v="23"/>
    <s v="J. Nagy"/>
  </r>
  <r>
    <s v="S000221"/>
    <s v="ARO-2024-00051"/>
    <s v="Aroma Chemical"/>
    <s v="Budapest"/>
    <x v="0"/>
    <n v="1"/>
    <x v="0"/>
    <s v="Pass"/>
    <n v="8.7899999999999991"/>
    <s v="ppm"/>
    <n v="0"/>
    <n v="120"/>
    <x v="199"/>
    <s v="K. Varga"/>
  </r>
  <r>
    <s v="S000042"/>
    <s v="FLA-2024-00009"/>
    <s v="Flavor Compound"/>
    <s v="Vernier CH"/>
    <x v="6"/>
    <n v="1"/>
    <x v="1"/>
    <s v="Fail"/>
    <n v="-6.33"/>
    <s v="CFU/g"/>
    <n v="0"/>
    <n v="100"/>
    <x v="89"/>
    <s v="M. Toth"/>
  </r>
  <r>
    <s v="S000220"/>
    <s v="FRA-2024-00050"/>
    <s v="Fragrance Oil"/>
    <s v="Dortmund DE"/>
    <x v="2"/>
    <n v="1"/>
    <x v="0"/>
    <s v="Pass"/>
    <n v="214.82"/>
    <s v="um"/>
    <n v="150"/>
    <n v="400"/>
    <x v="122"/>
    <s v="P. Meier"/>
  </r>
  <r>
    <s v="S000598"/>
    <s v="ARO-2025-00134"/>
    <s v="Aroma Chemical"/>
    <s v="Dortmund DE"/>
    <x v="1"/>
    <n v="1"/>
    <x v="0"/>
    <s v="Pass"/>
    <n v="0.9"/>
    <s v="g/ml"/>
    <n v="0.88"/>
    <n v="0.97"/>
    <x v="104"/>
    <s v="M. Toth"/>
  </r>
  <r>
    <s v="S001845"/>
    <s v="FLA-2025-00413"/>
    <s v="Flavor Compound"/>
    <s v="Budapest"/>
    <x v="3"/>
    <n v="1"/>
    <x v="0"/>
    <s v="Fail"/>
    <n v="98.17"/>
    <s v="%"/>
    <n v="97"/>
    <n v="100"/>
    <x v="131"/>
    <s v="M. Toth"/>
  </r>
  <r>
    <s v="S001248"/>
    <s v="FRA-2025-00279"/>
    <s v="Fragrance Oil"/>
    <s v="Budapest"/>
    <x v="5"/>
    <n v="1"/>
    <x v="0"/>
    <s v="Pass"/>
    <n v="6.83"/>
    <m/>
    <n v="6"/>
    <n v="7.5"/>
    <x v="45"/>
    <s v="J NAGY"/>
  </r>
  <r>
    <s v="S000681"/>
    <s v="ARO-2024-00155"/>
    <s v="Aroma Chemical"/>
    <s v="Dortmund DE"/>
    <x v="5"/>
    <n v="1"/>
    <x v="0"/>
    <s v="Fail"/>
    <n v="6.6"/>
    <m/>
    <n v="6"/>
    <n v="7.5"/>
    <x v="123"/>
    <s v="K. Varga"/>
  </r>
  <r>
    <s v="S001083"/>
    <s v="ESS-2024-00243"/>
    <s v="Essential Oil Blend"/>
    <s v="Vernier CH"/>
    <x v="2"/>
    <n v="1"/>
    <x v="0"/>
    <s v="Pending"/>
    <n v="311.05"/>
    <s v="um"/>
    <n v="150"/>
    <n v="400"/>
    <x v="265"/>
    <s v="A. Kovacs"/>
  </r>
  <r>
    <s v="S001909"/>
    <s v="FOO-2025-00427"/>
    <s v="Food Ingredient Extract"/>
    <s v="Dortmund DE"/>
    <x v="1"/>
    <n v="1"/>
    <x v="0"/>
    <s v="Pass"/>
    <n v="0.89"/>
    <s v="g/ml"/>
    <n v="0.88"/>
    <n v="0.97"/>
    <x v="174"/>
    <s v="P. Meier"/>
  </r>
  <r>
    <s v="S000859"/>
    <s v="FOO-2024-00195"/>
    <s v="Food Ingredient Extract"/>
    <s v="East Hanover"/>
    <x v="3"/>
    <n v="1"/>
    <x v="0"/>
    <s v="Fail"/>
    <n v="99.85"/>
    <s v="%"/>
    <n v="97"/>
    <n v="100"/>
    <x v="95"/>
    <s v="M. Toth"/>
  </r>
  <r>
    <s v="S000542"/>
    <s v="ESS-2025-00122"/>
    <s v="Essential Oil Blend"/>
    <s v="Budapest"/>
    <x v="3"/>
    <n v="1"/>
    <x v="0"/>
    <s v="Fail"/>
    <n v="98.66"/>
    <s v="%"/>
    <n v="97"/>
    <n v="100"/>
    <x v="243"/>
    <s v="A. Kovacs"/>
  </r>
  <r>
    <s v="S001051"/>
    <s v="ESS-2024-00235"/>
    <s v="Essential Oil Blend"/>
    <s v="Vernier CH"/>
    <x v="6"/>
    <n v="1"/>
    <x v="0"/>
    <s v="Fail"/>
    <n v="43.12"/>
    <s v="CFU/g"/>
    <n v="0"/>
    <n v="100"/>
    <x v="101"/>
    <s v="S. Fischer"/>
  </r>
  <r>
    <s v="S001582"/>
    <s v="ARO-2024-00352"/>
    <s v="Aroma Chemical"/>
    <s v="Ashford UK"/>
    <x v="3"/>
    <n v="0"/>
    <x v="2"/>
    <s v="Pending"/>
    <m/>
    <s v="%"/>
    <n v="97"/>
    <n v="100"/>
    <x v="0"/>
    <s v="J NAGY"/>
  </r>
  <r>
    <s v="S001369"/>
    <s v="FLA-2024-00306"/>
    <s v="Flavor Compound"/>
    <s v="Dortmund DE"/>
    <x v="2"/>
    <n v="1"/>
    <x v="0"/>
    <s v="Fail"/>
    <n v="190.07"/>
    <s v="um"/>
    <n v="150"/>
    <n v="400"/>
    <x v="307"/>
    <s v="P. Meier"/>
  </r>
  <r>
    <s v="S001883"/>
    <s v="FLA-2025-00421"/>
    <s v="Flavor Compound"/>
    <s v="East Hanover"/>
    <x v="1"/>
    <n v="1"/>
    <x v="0"/>
    <s v="Pass"/>
    <n v="0.91"/>
    <s v="g/ml"/>
    <n v="0.88"/>
    <n v="0.97"/>
    <x v="128"/>
    <s v="M. Toth"/>
  </r>
  <r>
    <s v="S001079"/>
    <s v="ARO-2024-00242"/>
    <s v="Aroma Chemical"/>
    <s v="Dortmund DE"/>
    <x v="6"/>
    <n v="1"/>
    <x v="0"/>
    <s v="Pass"/>
    <n v="95.2"/>
    <s v="CFU/g"/>
    <n v="0"/>
    <n v="100"/>
    <x v="126"/>
    <s v="J. Nagy"/>
  </r>
  <r>
    <s v="S001132"/>
    <s v="FLA-2024-00254"/>
    <s v="Flavor Compound"/>
    <s v="East Hanover"/>
    <x v="1"/>
    <n v="1"/>
    <x v="0"/>
    <s v="Pass"/>
    <n v="0.92"/>
    <s v="g/ml"/>
    <n v="0.88"/>
    <n v="0.97"/>
    <x v="308"/>
    <s v="P. Meier"/>
  </r>
  <r>
    <s v="S001700"/>
    <s v="FRA-2024-00380"/>
    <s v="Fragrance Oil"/>
    <s v="East Hanover"/>
    <x v="5"/>
    <n v="1"/>
    <x v="0"/>
    <s v="Fail"/>
    <n v="7.06"/>
    <m/>
    <n v="6"/>
    <n v="7.5"/>
    <x v="39"/>
    <s v="L. Rossi"/>
  </r>
  <r>
    <s v="S000998"/>
    <s v="ARO-2025-00225"/>
    <s v="Aroma Chemical"/>
    <s v="Dortmund DE"/>
    <x v="1"/>
    <n v="1"/>
    <x v="0"/>
    <s v="Fail"/>
    <n v="0.88"/>
    <s v="g/ml"/>
    <n v="0.88"/>
    <n v="0.97"/>
    <x v="158"/>
    <s v="L. Rossi"/>
  </r>
  <r>
    <s v="S001476"/>
    <s v="ESS-2025-00329"/>
    <s v="Essential Oil Blend"/>
    <s v="Vernier CH"/>
    <x v="2"/>
    <n v="1"/>
    <x v="0"/>
    <s v="Pass"/>
    <n v="241.6"/>
    <s v="um"/>
    <n v="150"/>
    <n v="400"/>
    <x v="233"/>
    <s v="M. Toth"/>
  </r>
  <r>
    <s v="S001579"/>
    <s v="ARO-2024-00352"/>
    <s v="Aroma Chemical"/>
    <s v="Ashford UK"/>
    <x v="2"/>
    <n v="1"/>
    <x v="0"/>
    <s v="Pending"/>
    <n v="220.41"/>
    <s v="um"/>
    <n v="150"/>
    <n v="400"/>
    <x v="0"/>
    <s v="K. Varga"/>
  </r>
  <r>
    <s v="S001824"/>
    <s v="ESS-2024-00408"/>
    <s v="Essential Oil Blend"/>
    <s v="Budapest"/>
    <x v="3"/>
    <n v="0"/>
    <x v="2"/>
    <s v="Pending"/>
    <m/>
    <s v="%"/>
    <n v="97"/>
    <n v="100"/>
    <x v="0"/>
    <s v="L. Rossi"/>
  </r>
  <r>
    <s v="S001788"/>
    <s v="FLA-2024-00400"/>
    <s v="Flavor Compound"/>
    <s v="Budapest"/>
    <x v="5"/>
    <n v="1"/>
    <x v="0"/>
    <s v="Pending"/>
    <n v="7.37"/>
    <m/>
    <n v="6"/>
    <n v="7.5"/>
    <x v="77"/>
    <s v="P. Meier"/>
  </r>
  <r>
    <s v="S001576"/>
    <s v="ARO-2024-00351"/>
    <s v="Aroma Chemical"/>
    <s v="Vernier CH"/>
    <x v="1"/>
    <n v="1"/>
    <x v="0"/>
    <s v="Pass"/>
    <n v="0.91"/>
    <s v="g/ml"/>
    <n v="0.88"/>
    <n v="0.97"/>
    <x v="263"/>
    <s v="L. Rossi"/>
  </r>
  <r>
    <s v="S001823"/>
    <s v="FRA-2025-00407"/>
    <s v="Fragrance Oil"/>
    <s v="Vernier CH"/>
    <x v="4"/>
    <n v="1"/>
    <x v="0"/>
    <s v="Pass"/>
    <n v="0.4"/>
    <s v="%"/>
    <n v="0"/>
    <n v="1"/>
    <x v="121"/>
    <s v="A. Kovacs"/>
  </r>
  <r>
    <s v="S000982"/>
    <s v="FLA-2025-00222"/>
    <s v="Flavor Compound"/>
    <s v="Dortmund DE"/>
    <x v="0"/>
    <n v="1"/>
    <x v="0"/>
    <s v="Pass"/>
    <n v="63.86"/>
    <s v="ppm"/>
    <n v="0"/>
    <n v="120"/>
    <x v="309"/>
    <s v="K. Varga"/>
  </r>
  <r>
    <s v="S001420"/>
    <s v="FOO-2024-00317"/>
    <s v="Food Ingredient Extract"/>
    <s v="Budapest"/>
    <x v="1"/>
    <n v="1"/>
    <x v="0"/>
    <s v="Pending"/>
    <n v="0.92"/>
    <s v="g/ml"/>
    <n v="0.88"/>
    <n v="0.97"/>
    <x v="222"/>
    <s v="J. Nagy"/>
  </r>
  <r>
    <s v="S001455"/>
    <s v="FOO-2024-00324"/>
    <s v="Food Ingredient Extract"/>
    <s v="Dortmund DE"/>
    <x v="0"/>
    <n v="1"/>
    <x v="0"/>
    <s v="Pass"/>
    <n v="11.29"/>
    <s v="ppm"/>
    <n v="0"/>
    <n v="120"/>
    <x v="248"/>
    <s v="L. Rossi"/>
  </r>
  <r>
    <s v="S000337"/>
    <s v="ARO-2025-00076"/>
    <s v="Aroma Chemical"/>
    <s v="Dortmund DE"/>
    <x v="5"/>
    <n v="1"/>
    <x v="0"/>
    <s v="Pass"/>
    <n v="7.22"/>
    <m/>
    <n v="6"/>
    <n v="7.5"/>
    <x v="129"/>
    <s v="J. Nagy"/>
  </r>
  <r>
    <s v="S000233"/>
    <s v="FLA-2024-00053"/>
    <s v="Flavor Compound"/>
    <s v="Budapest"/>
    <x v="5"/>
    <n v="1"/>
    <x v="0"/>
    <s v="Pass"/>
    <n v="6.71"/>
    <m/>
    <n v="6"/>
    <n v="7.5"/>
    <x v="84"/>
    <s v="T. Weber"/>
  </r>
  <r>
    <s v="S001009"/>
    <s v="FRA-2024-00228"/>
    <s v="Fragrance Oil"/>
    <s v="Dortmund DE"/>
    <x v="3"/>
    <n v="1"/>
    <x v="0"/>
    <s v="Pass"/>
    <n v="98.87"/>
    <s v="%"/>
    <n v="97"/>
    <n v="100"/>
    <x v="58"/>
    <s v="K. Varga"/>
  </r>
  <r>
    <s v="S001424"/>
    <s v="FOO-2024-00317"/>
    <s v="Food Ingredient Extract"/>
    <s v="Budapest"/>
    <x v="5"/>
    <n v="0"/>
    <x v="2"/>
    <s v="Pending"/>
    <m/>
    <m/>
    <n v="6"/>
    <n v="7.5"/>
    <x v="222"/>
    <s v="M. Toth"/>
  </r>
  <r>
    <s v="S000159"/>
    <s v="FLA-2024-00037"/>
    <s v="Flavor Compound"/>
    <s v="Budapest"/>
    <x v="1"/>
    <n v="1"/>
    <x v="0"/>
    <s v="Pass"/>
    <n v="0.89"/>
    <s v="g/ml"/>
    <n v="0.88"/>
    <n v="0.97"/>
    <x v="310"/>
    <s v="J NAGY"/>
  </r>
  <r>
    <s v="S000469"/>
    <s v="FOO-2025-00105"/>
    <s v="Food Ingredient Extract"/>
    <s v="Budapest"/>
    <x v="0"/>
    <n v="1"/>
    <x v="0"/>
    <s v="Pass"/>
    <n v="51.8"/>
    <s v="ppm"/>
    <n v="0"/>
    <n v="120"/>
    <x v="251"/>
    <s v="S. Fischer"/>
  </r>
  <r>
    <s v="S000883"/>
    <s v="FOO-2024-00200"/>
    <s v="Food Ingredient Extract"/>
    <s v="Vernier CH"/>
    <x v="0"/>
    <n v="1"/>
    <x v="0"/>
    <s v="Fail"/>
    <n v="46.73"/>
    <s v="ppm"/>
    <n v="0"/>
    <n v="120"/>
    <x v="311"/>
    <s v="J. Nagy"/>
  </r>
  <r>
    <s v="S001620"/>
    <s v="ESS-2024-00361"/>
    <s v="Essential Oil Blend"/>
    <s v="Ashford UK"/>
    <x v="3"/>
    <n v="1"/>
    <x v="0"/>
    <s v="Fail"/>
    <n v="98.25"/>
    <s v="%"/>
    <n v="97"/>
    <n v="100"/>
    <x v="147"/>
    <s v="M. Toth"/>
  </r>
  <r>
    <s v="S001035"/>
    <s v="ARO-2025-00232"/>
    <s v="Aroma Chemical"/>
    <s v="Budapest"/>
    <x v="5"/>
    <n v="1"/>
    <x v="0"/>
    <s v="Pass"/>
    <n v="7.21"/>
    <m/>
    <n v="6"/>
    <n v="7.5"/>
    <x v="295"/>
    <s v="J. Nagy"/>
  </r>
  <r>
    <s v="S001133"/>
    <s v="FLA-2024-00254"/>
    <s v="Flavor Compound"/>
    <s v="East Hanover"/>
    <x v="0"/>
    <n v="1"/>
    <x v="0"/>
    <s v="Pass"/>
    <n v="81.17"/>
    <s v="ppm"/>
    <n v="0"/>
    <n v="120"/>
    <x v="308"/>
    <s v="M. Toth"/>
  </r>
  <r>
    <s v="S001127"/>
    <s v="ESS-2025-00253"/>
    <s v="Essential Oil Blend"/>
    <s v="Dortmund DE"/>
    <x v="4"/>
    <n v="1"/>
    <x v="0"/>
    <s v="Pass"/>
    <n v="0.37"/>
    <s v="%"/>
    <n v="0"/>
    <n v="1"/>
    <x v="137"/>
    <s v="P. Meier"/>
  </r>
  <r>
    <s v="S000586"/>
    <s v="FLA-2024-00132"/>
    <s v="Flavor Compound"/>
    <s v="Dortmund DE"/>
    <x v="1"/>
    <n v="1"/>
    <x v="0"/>
    <s v="Pass"/>
    <n v="0.97"/>
    <s v="g/ml"/>
    <n v="0.88"/>
    <n v="0.97"/>
    <x v="109"/>
    <s v="L. Rossi"/>
  </r>
  <r>
    <s v="S000206"/>
    <s v="FOO-2024-00047"/>
    <s v="Food Ingredient Extract"/>
    <s v="Ashford UK"/>
    <x v="1"/>
    <n v="1"/>
    <x v="0"/>
    <s v="Pass"/>
    <n v="0.89"/>
    <s v="g/ml"/>
    <n v="0.88"/>
    <n v="0.97"/>
    <x v="91"/>
    <s v="P. Meier"/>
  </r>
  <r>
    <s v="S000004"/>
    <s v="ESS-2025-00001"/>
    <s v="Essential Oil Blend"/>
    <s v="Vernier CH"/>
    <x v="4"/>
    <n v="1"/>
    <x v="0"/>
    <s v="Pass"/>
    <n v="0.34"/>
    <s v="%"/>
    <n v="0"/>
    <n v="1"/>
    <x v="25"/>
    <s v="J. Nagy"/>
  </r>
  <r>
    <s v="S000888"/>
    <s v="FLA-2025-00201"/>
    <s v="Flavor Compound"/>
    <s v="Ashford UK"/>
    <x v="2"/>
    <n v="1"/>
    <x v="0"/>
    <s v="Pass"/>
    <n v="216.66"/>
    <s v="um"/>
    <n v="150"/>
    <n v="400"/>
    <x v="170"/>
    <s v="M. Toth"/>
  </r>
  <r>
    <s v="S001786"/>
    <s v="FRA-2024-00399"/>
    <s v="Fragrance Oil"/>
    <s v="Dortmund DE"/>
    <x v="2"/>
    <n v="1"/>
    <x v="0"/>
    <s v="Pass"/>
    <n v="277.19"/>
    <s v="um"/>
    <n v="150"/>
    <n v="400"/>
    <x v="264"/>
    <s v="L. Rossi"/>
  </r>
  <r>
    <s v="S001448"/>
    <s v="FLA-2024-00323"/>
    <s v="Flavor Compound"/>
    <s v="Ashford UK"/>
    <x v="4"/>
    <n v="1"/>
    <x v="0"/>
    <s v="Pass"/>
    <n v="0.59"/>
    <s v="%"/>
    <n v="0"/>
    <n v="1"/>
    <x v="68"/>
    <s v="J. Nagy"/>
  </r>
  <r>
    <s v="S001846"/>
    <s v="FLA-2025-00413"/>
    <s v="Flavor Compound"/>
    <s v="Budapest"/>
    <x v="0"/>
    <n v="1"/>
    <x v="0"/>
    <s v="Fail"/>
    <n v="40.07"/>
    <s v="ppm"/>
    <n v="0"/>
    <n v="120"/>
    <x v="131"/>
    <s v="A. Kovacs"/>
  </r>
  <r>
    <s v="S001150"/>
    <s v="FOO-2025-00258"/>
    <s v="Food Ingredient Extract"/>
    <s v="East Hanover"/>
    <x v="0"/>
    <n v="1"/>
    <x v="0"/>
    <s v="Pass"/>
    <n v="65.31"/>
    <s v="ppm"/>
    <n v="0"/>
    <n v="120"/>
    <x v="62"/>
    <s v="P. Meier"/>
  </r>
  <r>
    <s v="S001110"/>
    <s v="FRA-2024-00250"/>
    <s v="Fragrance Oil"/>
    <s v="East Hanover"/>
    <x v="0"/>
    <n v="1"/>
    <x v="0"/>
    <s v="Pass"/>
    <n v="84.97"/>
    <s v="ppm"/>
    <n v="0"/>
    <n v="120"/>
    <x v="312"/>
    <s v="M. Toth"/>
  </r>
  <r>
    <s v="S000694"/>
    <s v="FOO-2025-00158"/>
    <s v="Food Ingredient Extract"/>
    <s v="East Hanover"/>
    <x v="5"/>
    <n v="1"/>
    <x v="0"/>
    <s v="Pass"/>
    <n v="7.14"/>
    <m/>
    <n v="6"/>
    <n v="7.5"/>
    <x v="35"/>
    <s v="L. Rossi"/>
  </r>
  <r>
    <s v="S001674"/>
    <s v="ESS-2025-00375"/>
    <s v="Essential Oil Blend"/>
    <s v="Ashford UK"/>
    <x v="6"/>
    <n v="1"/>
    <x v="1"/>
    <s v="Fail"/>
    <n v="-3.02"/>
    <s v="CFU/g"/>
    <n v="0"/>
    <n v="100"/>
    <x v="28"/>
    <s v="T. Weber"/>
  </r>
  <r>
    <s v="S001655"/>
    <s v="ESS-2024-00370"/>
    <s v="Essential Oil Blend"/>
    <s v="Dortmund DE"/>
    <x v="1"/>
    <n v="1"/>
    <x v="0"/>
    <s v="Fail"/>
    <n v="0.92"/>
    <s v="g/ml"/>
    <n v="0.88"/>
    <n v="0.97"/>
    <x v="277"/>
    <s v="T. Weber"/>
  </r>
  <r>
    <s v="S000715"/>
    <s v="FLA-2025-00162"/>
    <s v="Flavor Compound"/>
    <s v="East Hanover"/>
    <x v="4"/>
    <n v="1"/>
    <x v="0"/>
    <s v="Pass"/>
    <n v="0.56999999999999995"/>
    <s v="%"/>
    <n v="0"/>
    <n v="1"/>
    <x v="63"/>
    <s v="T. Weber"/>
  </r>
  <r>
    <s v="S000952"/>
    <s v="ARO-2024-00215"/>
    <s v="Aroma Chemical"/>
    <s v="East Hanover"/>
    <x v="4"/>
    <n v="1"/>
    <x v="0"/>
    <s v="Pass"/>
    <n v="0.34"/>
    <s v="%"/>
    <n v="0"/>
    <n v="1"/>
    <x v="261"/>
    <s v="T. Weber"/>
  </r>
  <r>
    <s v="S001584"/>
    <s v="FLA-2025-00353"/>
    <s v="Flavor Compound"/>
    <s v="Budapest"/>
    <x v="4"/>
    <n v="1"/>
    <x v="0"/>
    <s v="Pass"/>
    <n v="0.27"/>
    <s v="%"/>
    <n v="0"/>
    <n v="1"/>
    <x v="72"/>
    <s v="J. Nagy"/>
  </r>
  <r>
    <s v="S001700"/>
    <s v="FRA-2024-00380"/>
    <s v="Fragrance Oil"/>
    <s v="East Hanover"/>
    <x v="5"/>
    <n v="1"/>
    <x v="0"/>
    <s v="Fail"/>
    <n v="7.06"/>
    <m/>
    <n v="6"/>
    <n v="7.5"/>
    <x v="39"/>
    <s v="L. Rossi"/>
  </r>
  <r>
    <s v="S000884"/>
    <s v="FOO-2024-00200"/>
    <s v="Food Ingredient Extract"/>
    <s v="Vernier CH"/>
    <x v="1"/>
    <n v="1"/>
    <x v="0"/>
    <s v="Fail"/>
    <n v="0.92"/>
    <s v="g/ml"/>
    <n v="0.88"/>
    <n v="0.97"/>
    <x v="311"/>
    <s v="M. Toth"/>
  </r>
  <r>
    <s v="S001645"/>
    <s v="ARO-2024-00368"/>
    <s v="Aroma Chemical"/>
    <s v="Vernier CH"/>
    <x v="5"/>
    <n v="1"/>
    <x v="0"/>
    <s v="Fail"/>
    <n v="6.12"/>
    <m/>
    <n v="6"/>
    <n v="7.5"/>
    <x v="152"/>
    <s v="S. Fischer"/>
  </r>
  <r>
    <s v="S001621"/>
    <s v="FOO-2025-00362"/>
    <s v="Food Ingredient Extract"/>
    <s v="Budapest"/>
    <x v="6"/>
    <n v="1"/>
    <x v="1"/>
    <s v="Fail"/>
    <n v="-0.14000000000000001"/>
    <s v="CFU/g"/>
    <n v="0"/>
    <n v="100"/>
    <x v="313"/>
    <s v="L. Rossi"/>
  </r>
  <r>
    <s v="S001114"/>
    <s v="FRA-2024-00250"/>
    <s v="Fragrance Oil"/>
    <s v="East Hanover"/>
    <x v="2"/>
    <n v="1"/>
    <x v="0"/>
    <s v="Pass"/>
    <n v="207.65"/>
    <s v="um"/>
    <n v="150"/>
    <n v="400"/>
    <x v="312"/>
    <s v="S. Fischer"/>
  </r>
  <r>
    <s v="S001204"/>
    <s v="FRA-2024-00269"/>
    <s v="Fragrance Oil"/>
    <s v="Dortmund DE"/>
    <x v="5"/>
    <n v="1"/>
    <x v="0"/>
    <s v="Pass"/>
    <n v="7.37"/>
    <m/>
    <n v="6"/>
    <n v="7.5"/>
    <x v="289"/>
    <s v="T. Weber"/>
  </r>
  <r>
    <s v="S001063"/>
    <s v="ARO-2024-00238"/>
    <s v="Aroma Chemical"/>
    <s v="Ashford UK"/>
    <x v="1"/>
    <n v="1"/>
    <x v="0"/>
    <s v="Pass"/>
    <n v="0.93"/>
    <s v="g/ml"/>
    <n v="0.88"/>
    <n v="0.97"/>
    <x v="88"/>
    <s v="P. Meier"/>
  </r>
  <r>
    <s v="S000158"/>
    <s v="FLA-2024-00037"/>
    <s v="Flavor Compound"/>
    <s v="Budapest"/>
    <x v="4"/>
    <n v="1"/>
    <x v="0"/>
    <s v="Pass"/>
    <n v="0.28999999999999998"/>
    <s v="%"/>
    <n v="0"/>
    <n v="1"/>
    <x v="310"/>
    <s v="A. Kovacs"/>
  </r>
  <r>
    <s v="S001057"/>
    <s v="FOO-2024-00237"/>
    <s v="Food Ingredient Extract"/>
    <s v="Budapest"/>
    <x v="4"/>
    <n v="1"/>
    <x v="0"/>
    <s v="Pass"/>
    <n v="0.38"/>
    <s v="%"/>
    <n v="0"/>
    <n v="1"/>
    <x v="9"/>
    <s v="M. Toth"/>
  </r>
  <r>
    <s v="S000524"/>
    <s v="FRA-2024-00118"/>
    <s v="Fragrance Oil"/>
    <s v="Vernier CH"/>
    <x v="1"/>
    <n v="1"/>
    <x v="0"/>
    <s v="Pending"/>
    <n v="0.94"/>
    <s v="g/ml"/>
    <n v="0.88"/>
    <n v="0.97"/>
    <x v="143"/>
    <s v="J. Nagy"/>
  </r>
  <r>
    <s v="S000463"/>
    <s v="ESS-2025-00104"/>
    <s v="Essential Oil Blend"/>
    <s v="East Hanover"/>
    <x v="6"/>
    <n v="1"/>
    <x v="1"/>
    <s v="Fail"/>
    <n v="-26.98"/>
    <s v="CFU/g"/>
    <n v="0"/>
    <n v="100"/>
    <x v="131"/>
    <s v="M. Toth"/>
  </r>
  <r>
    <s v="S000653"/>
    <s v="FRA-2024-00149"/>
    <s v="Fragrance Oil"/>
    <s v="Budapest"/>
    <x v="6"/>
    <n v="1"/>
    <x v="0"/>
    <s v="Pass"/>
    <n v="16.75"/>
    <s v="CFU/g"/>
    <n v="0"/>
    <n v="100"/>
    <x v="58"/>
    <s v="M. Toth"/>
  </r>
  <r>
    <s v="S000161"/>
    <s v="FRA-2024-00038"/>
    <s v="Fragrance Oil"/>
    <s v="Ashford UK"/>
    <x v="4"/>
    <n v="1"/>
    <x v="0"/>
    <s v="Pass"/>
    <n v="0.54"/>
    <s v="%"/>
    <n v="0"/>
    <n v="1"/>
    <x v="314"/>
    <s v="S. Fischer"/>
  </r>
  <r>
    <s v="S000306"/>
    <s v="FRA-2024-00069"/>
    <s v="Fragrance Oil"/>
    <s v="Vernier CH"/>
    <x v="5"/>
    <n v="1"/>
    <x v="0"/>
    <s v="Fail"/>
    <n v="6.9"/>
    <m/>
    <n v="6"/>
    <n v="7.5"/>
    <x v="171"/>
    <s v="L. Rossi"/>
  </r>
  <r>
    <s v="S000657"/>
    <s v="FRA-2025-00150"/>
    <s v="Fragrance Oil"/>
    <s v="Vernier CH"/>
    <x v="5"/>
    <n v="1"/>
    <x v="1"/>
    <s v="Fail"/>
    <n v="7.61"/>
    <m/>
    <n v="6"/>
    <n v="7.5"/>
    <x v="31"/>
    <s v="P. Meier"/>
  </r>
  <r>
    <s v="S000548"/>
    <s v="FLA-2024-00123"/>
    <s v="Flavor Compound"/>
    <s v="Dortmund DE"/>
    <x v="4"/>
    <n v="1"/>
    <x v="0"/>
    <s v="Fail"/>
    <n v="0.51"/>
    <s v="%"/>
    <n v="0"/>
    <n v="1"/>
    <x v="38"/>
    <s v="J NAGY"/>
  </r>
  <r>
    <s v="S000714"/>
    <s v="FLA-2025-00162"/>
    <s v="Flavor Compound"/>
    <s v="East Hanover"/>
    <x v="0"/>
    <n v="1"/>
    <x v="0"/>
    <s v="Pass"/>
    <n v="49.17"/>
    <s v="ppm"/>
    <n v="0"/>
    <n v="120"/>
    <x v="63"/>
    <s v="K. Varga"/>
  </r>
  <r>
    <s v="S000396"/>
    <s v="FOO-2024-00090"/>
    <s v="Food Ingredient Extract"/>
    <s v="Dortmund DE"/>
    <x v="0"/>
    <n v="1"/>
    <x v="0"/>
    <s v="Pass"/>
    <n v="59.52"/>
    <s v="ppm"/>
    <n v="0"/>
    <n v="120"/>
    <x v="125"/>
    <s v="M. Toth"/>
  </r>
  <r>
    <s v="S000784"/>
    <s v="ESS-2024-00178"/>
    <s v="Essential Oil Blend"/>
    <s v="East Hanover"/>
    <x v="6"/>
    <n v="1"/>
    <x v="0"/>
    <s v="Pass"/>
    <n v="14.28"/>
    <s v="CFU/g"/>
    <n v="0"/>
    <n v="100"/>
    <x v="315"/>
    <s v="K. Varga"/>
  </r>
  <r>
    <s v="S000400"/>
    <s v="FLA-2024-00091"/>
    <s v="Flavor Compound"/>
    <s v="Vernier CH"/>
    <x v="2"/>
    <n v="1"/>
    <x v="0"/>
    <s v="Pass"/>
    <n v="215.34"/>
    <s v="um"/>
    <n v="150"/>
    <n v="400"/>
    <x v="316"/>
    <s v="M. Toth"/>
  </r>
  <r>
    <s v="S000799"/>
    <s v="FRA-2024-00181"/>
    <s v="Fragrance Oil"/>
    <s v="Ashford UK"/>
    <x v="0"/>
    <n v="1"/>
    <x v="0"/>
    <s v="Pass"/>
    <n v="46.32"/>
    <s v="ppm"/>
    <n v="0"/>
    <n v="120"/>
    <x v="192"/>
    <s v="A. Kovacs"/>
  </r>
  <r>
    <s v="S000619"/>
    <s v="ARO-2024-00140"/>
    <s v="Aroma Chemical"/>
    <s v="Budapest"/>
    <x v="6"/>
    <n v="1"/>
    <x v="1"/>
    <s v="Fail"/>
    <n v="-12.65"/>
    <s v="CFU/g"/>
    <n v="0"/>
    <n v="100"/>
    <x v="122"/>
    <s v="T. Weber"/>
  </r>
  <r>
    <s v="S001544"/>
    <s v="FLA-2024-00344"/>
    <s v="Flavor Compound"/>
    <s v="Vernier CH"/>
    <x v="5"/>
    <n v="1"/>
    <x v="1"/>
    <s v="Fail"/>
    <n v="8.6999999999999993"/>
    <m/>
    <n v="6"/>
    <n v="7.5"/>
    <x v="15"/>
    <s v="S. Fischer"/>
  </r>
  <r>
    <s v="S000509"/>
    <s v="ARO-2025-00114"/>
    <s v="Aroma Chemical"/>
    <s v="Budapest"/>
    <x v="1"/>
    <n v="1"/>
    <x v="0"/>
    <s v="Pass"/>
    <n v="0.95"/>
    <s v="g/ml"/>
    <n v="0.88"/>
    <n v="0.97"/>
    <x v="31"/>
    <s v="A. Kovacs"/>
  </r>
  <r>
    <s v="S001376"/>
    <s v="ARO-2025-00307"/>
    <s v="Aroma Chemical"/>
    <s v="Budapest"/>
    <x v="5"/>
    <n v="1"/>
    <x v="0"/>
    <s v="Pass"/>
    <n v="6.54"/>
    <m/>
    <n v="6"/>
    <n v="7.5"/>
    <x v="48"/>
    <s v="J NAGY"/>
  </r>
  <r>
    <s v="S000737"/>
    <s v="ARO-2024-00167"/>
    <s v="Aroma Chemical"/>
    <s v="Dortmund DE"/>
    <x v="3"/>
    <n v="0"/>
    <x v="2"/>
    <s v="Pending"/>
    <m/>
    <s v="%"/>
    <n v="97"/>
    <n v="100"/>
    <x v="59"/>
    <s v="P. Meier"/>
  </r>
  <r>
    <s v="S001169"/>
    <s v="ESS-2024-00262"/>
    <s v="Essential Oil Blend"/>
    <s v="Budapest"/>
    <x v="6"/>
    <n v="1"/>
    <x v="0"/>
    <s v="Pass"/>
    <n v="46.05"/>
    <s v="CFU/g"/>
    <n v="0"/>
    <n v="100"/>
    <x v="292"/>
    <s v="M. Toth"/>
  </r>
  <r>
    <s v="S001677"/>
    <s v="ESS-2025-00375"/>
    <s v="Essential Oil Blend"/>
    <s v="Ashford UK"/>
    <x v="3"/>
    <n v="1"/>
    <x v="0"/>
    <s v="Fail"/>
    <n v="98.38"/>
    <s v="%"/>
    <n v="97"/>
    <n v="100"/>
    <x v="28"/>
    <s v="J. Nagy"/>
  </r>
  <r>
    <s v="S000986"/>
    <s v="FOO-2024-00223"/>
    <s v="Food Ingredient Extract"/>
    <s v="Vernier CH"/>
    <x v="2"/>
    <n v="1"/>
    <x v="0"/>
    <s v="Pass"/>
    <n v="279.11"/>
    <s v="um"/>
    <n v="150"/>
    <n v="400"/>
    <x v="220"/>
    <s v="J. Nagy"/>
  </r>
  <r>
    <s v="S000868"/>
    <s v="FOO-2025-00197"/>
    <s v="Food Ingredient Extract"/>
    <s v="East Hanover"/>
    <x v="1"/>
    <n v="1"/>
    <x v="1"/>
    <s v="Fail"/>
    <n v="0.98"/>
    <s v="g/ml"/>
    <n v="0.88"/>
    <n v="0.97"/>
    <x v="190"/>
    <s v="S. Fischer"/>
  </r>
  <r>
    <s v="S000460"/>
    <s v="FRA-2024-00103"/>
    <s v="Fragrance Oil"/>
    <s v="East Hanover"/>
    <x v="0"/>
    <n v="1"/>
    <x v="0"/>
    <s v="Fail"/>
    <n v="47.91"/>
    <s v="ppm"/>
    <n v="0"/>
    <n v="120"/>
    <x v="186"/>
    <s v="T. Weber"/>
  </r>
  <r>
    <s v="S001337"/>
    <s v="FRA-2024-00298"/>
    <s v="Fragrance Oil"/>
    <s v="Ashford UK"/>
    <x v="2"/>
    <n v="1"/>
    <x v="0"/>
    <s v="Pass"/>
    <n v="165.05"/>
    <s v="um"/>
    <n v="150"/>
    <n v="400"/>
    <x v="176"/>
    <s v="J. Nagy"/>
  </r>
  <r>
    <s v="S000063"/>
    <s v="ESS-2025-00015"/>
    <s v="Essential Oil Blend"/>
    <s v="Dortmund DE"/>
    <x v="0"/>
    <n v="1"/>
    <x v="0"/>
    <s v="Pass"/>
    <n v="61.28"/>
    <s v="ppm"/>
    <n v="0"/>
    <n v="120"/>
    <x v="253"/>
    <s v="L. Rossi"/>
  </r>
  <r>
    <s v="S001832"/>
    <s v="FRA-2025-00409"/>
    <s v="Fragrance Oil"/>
    <s v="Budapest"/>
    <x v="1"/>
    <n v="1"/>
    <x v="0"/>
    <s v="Pass"/>
    <n v="0.91"/>
    <s v="g/ml"/>
    <n v="0.88"/>
    <n v="0.97"/>
    <x v="170"/>
    <s v="J. Nagy"/>
  </r>
  <r>
    <s v="S000872"/>
    <s v="FOO-2025-00197"/>
    <s v="Food Ingredient Extract"/>
    <s v="East Hanover"/>
    <x v="6"/>
    <n v="1"/>
    <x v="0"/>
    <s v="Fail"/>
    <n v="14.64"/>
    <s v="CFU/g"/>
    <n v="0"/>
    <n v="100"/>
    <x v="190"/>
    <s v="K. Varga"/>
  </r>
  <r>
    <s v="S001885"/>
    <s v="FLA-2025-00422"/>
    <s v="Flavor Compound"/>
    <s v="Ashford UK"/>
    <x v="0"/>
    <n v="1"/>
    <x v="0"/>
    <s v="Pass"/>
    <n v="32.29"/>
    <s v="ppm"/>
    <n v="0"/>
    <n v="120"/>
    <x v="290"/>
    <s v="J. Nagy"/>
  </r>
  <r>
    <s v="S001711"/>
    <s v="FLA-2024-00383"/>
    <s v="Flavor Compound"/>
    <s v="Dortmund DE"/>
    <x v="1"/>
    <n v="1"/>
    <x v="0"/>
    <s v="Pass"/>
    <n v="0.91"/>
    <s v="g/ml"/>
    <n v="0.88"/>
    <n v="0.97"/>
    <x v="151"/>
    <s v="A. Kovacs"/>
  </r>
  <r>
    <s v="S000458"/>
    <s v="FRA-2024-00103"/>
    <s v="Fragrance Oil"/>
    <s v="East Hanover"/>
    <x v="1"/>
    <n v="1"/>
    <x v="0"/>
    <s v="Fail"/>
    <n v="0.94"/>
    <s v="g/ml"/>
    <n v="0.88"/>
    <n v="0.97"/>
    <x v="186"/>
    <s v="L. Rossi"/>
  </r>
  <r>
    <s v="S000955"/>
    <s v="FLA-2024-00216"/>
    <s v="Flavor Compound"/>
    <s v="East Hanover"/>
    <x v="2"/>
    <n v="1"/>
    <x v="0"/>
    <s v="Pass"/>
    <n v="284.89999999999998"/>
    <s v="um"/>
    <n v="150"/>
    <n v="400"/>
    <x v="205"/>
    <s v="L. Rossi"/>
  </r>
  <r>
    <s v="S000479"/>
    <s v="FRA-2024-00108"/>
    <s v="Fragrance Oil"/>
    <s v="Ashford UK"/>
    <x v="3"/>
    <n v="1"/>
    <x v="0"/>
    <s v="Pass"/>
    <n v="98.45"/>
    <s v="%"/>
    <n v="97"/>
    <n v="100"/>
    <x v="84"/>
    <s v="M. Toth"/>
  </r>
  <r>
    <s v="S001348"/>
    <s v="FRA-2024-00301"/>
    <s v="Fragrance Oil"/>
    <s v="East Hanover"/>
    <x v="5"/>
    <n v="1"/>
    <x v="0"/>
    <s v="Pass"/>
    <n v="6.27"/>
    <m/>
    <n v="6"/>
    <n v="7.5"/>
    <x v="37"/>
    <s v="P. Meier"/>
  </r>
  <r>
    <s v="S001488"/>
    <s v="FOO-2024-00331"/>
    <s v="Food Ingredient Extract"/>
    <s v="Dortmund DE"/>
    <x v="4"/>
    <n v="1"/>
    <x v="0"/>
    <s v="Pass"/>
    <n v="0.43"/>
    <s v="%"/>
    <n v="0"/>
    <n v="1"/>
    <x v="152"/>
    <s v="M. Toth"/>
  </r>
  <r>
    <s v="S000871"/>
    <s v="FOO-2025-00197"/>
    <s v="Food Ingredient Extract"/>
    <s v="East Hanover"/>
    <x v="0"/>
    <n v="1"/>
    <x v="0"/>
    <s v="Fail"/>
    <n v="36.479999999999997"/>
    <s v="ppm"/>
    <n v="0"/>
    <n v="120"/>
    <x v="190"/>
    <s v="J NAGY"/>
  </r>
  <r>
    <s v="S000791"/>
    <s v="FOO-2024-00179"/>
    <s v="Food Ingredient Extract"/>
    <s v="Vernier CH"/>
    <x v="0"/>
    <n v="1"/>
    <x v="0"/>
    <s v="Fail"/>
    <n v="41.01"/>
    <s v="ppm"/>
    <n v="0"/>
    <n v="120"/>
    <x v="189"/>
    <s v="L. Rossi"/>
  </r>
  <r>
    <s v="S000618"/>
    <s v="ARO-2024-00140"/>
    <s v="Aroma Chemical"/>
    <s v="Budapest"/>
    <x v="4"/>
    <n v="1"/>
    <x v="0"/>
    <s v="Fail"/>
    <n v="0.02"/>
    <s v="%"/>
    <n v="0"/>
    <n v="1"/>
    <x v="122"/>
    <s v="P. Meier"/>
  </r>
  <r>
    <s v="S001903"/>
    <s v="ESS-2025-00426"/>
    <s v="Essential Oil Blend"/>
    <s v="Dortmund DE"/>
    <x v="3"/>
    <n v="1"/>
    <x v="0"/>
    <s v="Pass"/>
    <n v="98.9"/>
    <s v="%"/>
    <n v="97"/>
    <n v="100"/>
    <x v="142"/>
    <s v="J. Nagy"/>
  </r>
  <r>
    <s v="S001383"/>
    <s v="ARO-2025-00309"/>
    <s v="Aroma Chemical"/>
    <s v="Budapest"/>
    <x v="2"/>
    <n v="1"/>
    <x v="0"/>
    <s v="Pass"/>
    <n v="249.31"/>
    <s v="um"/>
    <n v="150"/>
    <n v="400"/>
    <x v="241"/>
    <s v="L. Rossi"/>
  </r>
  <r>
    <s v="S001422"/>
    <s v="FOO-2024-00317"/>
    <s v="Food Ingredient Extract"/>
    <s v="Budapest"/>
    <x v="6"/>
    <n v="1"/>
    <x v="0"/>
    <s v="Pending"/>
    <n v="66.73"/>
    <s v="CFU/g"/>
    <n v="0"/>
    <n v="100"/>
    <x v="222"/>
    <s v="T. Weber"/>
  </r>
  <r>
    <s v="S001926"/>
    <s v="FOO-2024-00431"/>
    <s v="Food Ingredient Extract"/>
    <s v="East Hanover"/>
    <x v="1"/>
    <n v="1"/>
    <x v="1"/>
    <s v="Fail"/>
    <n v="0.87"/>
    <s v="g/ml"/>
    <n v="0.88"/>
    <n v="0.97"/>
    <x v="14"/>
    <s v="J NAGY"/>
  </r>
  <r>
    <s v="S001627"/>
    <s v="FLA-2024-00364"/>
    <s v="Flavor Compound"/>
    <s v="Vernier CH"/>
    <x v="2"/>
    <n v="1"/>
    <x v="0"/>
    <s v="Pending"/>
    <n v="232.07"/>
    <s v="um"/>
    <n v="150"/>
    <n v="400"/>
    <x v="317"/>
    <s v="M. Toth"/>
  </r>
  <r>
    <s v="S000348"/>
    <s v="FRA-2025-00079"/>
    <s v="Fragrance Oil"/>
    <s v="Ashford UK"/>
    <x v="2"/>
    <n v="1"/>
    <x v="0"/>
    <s v="Fail"/>
    <n v="202.3"/>
    <s v="um"/>
    <n v="150"/>
    <n v="400"/>
    <x v="140"/>
    <s v="J NAGY"/>
  </r>
  <r>
    <s v="S001019"/>
    <s v="FRA-2025-00229"/>
    <s v="Fragrance Oil"/>
    <s v="Budapest"/>
    <x v="3"/>
    <n v="1"/>
    <x v="0"/>
    <s v="Pass"/>
    <n v="98.61"/>
    <s v="%"/>
    <n v="97"/>
    <n v="100"/>
    <x v="73"/>
    <s v="A. Kovacs"/>
  </r>
  <r>
    <s v="S001201"/>
    <s v="FRA-2024-00269"/>
    <s v="Fragrance Oil"/>
    <s v="Dortmund DE"/>
    <x v="2"/>
    <n v="1"/>
    <x v="0"/>
    <s v="Pass"/>
    <n v="150"/>
    <s v="um"/>
    <n v="150"/>
    <n v="400"/>
    <x v="289"/>
    <s v="T. Weber"/>
  </r>
  <r>
    <s v="S001535"/>
    <s v="ESS-2024-00341"/>
    <s v="Essential Oil Blend"/>
    <s v="East Hanover"/>
    <x v="0"/>
    <n v="1"/>
    <x v="1"/>
    <s v="Fail"/>
    <n v="-60"/>
    <s v="ppm"/>
    <n v="0"/>
    <n v="120"/>
    <x v="77"/>
    <s v="L. Rossi"/>
  </r>
  <r>
    <s v="S000761"/>
    <s v="ARO-2024-00172"/>
    <s v="Aroma Chemical"/>
    <s v="Budapest"/>
    <x v="1"/>
    <n v="1"/>
    <x v="0"/>
    <s v="Pass"/>
    <n v="0.9"/>
    <s v="g/ml"/>
    <n v="0.88"/>
    <n v="0.97"/>
    <x v="9"/>
    <s v="P. Meier"/>
  </r>
  <r>
    <s v="S000447"/>
    <s v="FLA-2025-00101"/>
    <s v="Flavor Compound"/>
    <s v="Vernier CH"/>
    <x v="6"/>
    <n v="1"/>
    <x v="0"/>
    <s v="Pass"/>
    <n v="4.17"/>
    <s v="CFU/g"/>
    <n v="0"/>
    <n v="100"/>
    <x v="86"/>
    <s v="J NAGY"/>
  </r>
  <r>
    <s v="S000651"/>
    <s v="FRA-2024-00149"/>
    <s v="Fragrance Oil"/>
    <s v="Budapest"/>
    <x v="1"/>
    <n v="1"/>
    <x v="0"/>
    <s v="Pass"/>
    <n v="0.91"/>
    <s v="g/ml"/>
    <n v="0.88"/>
    <n v="0.97"/>
    <x v="58"/>
    <s v="A. Kovacs"/>
  </r>
  <r>
    <s v="S001239"/>
    <s v="FRA-2025-00277"/>
    <s v="Fragrance Oil"/>
    <s v="Ashford UK"/>
    <x v="4"/>
    <n v="1"/>
    <x v="0"/>
    <s v="Pass"/>
    <n v="0.36"/>
    <s v="%"/>
    <n v="0"/>
    <n v="1"/>
    <x v="318"/>
    <s v="M. Toth"/>
  </r>
  <r>
    <s v="S001799"/>
    <s v="ARO-2025-00403"/>
    <s v="Aroma Chemical"/>
    <s v="Budapest"/>
    <x v="5"/>
    <n v="1"/>
    <x v="0"/>
    <s v="Fail"/>
    <n v="6.73"/>
    <m/>
    <n v="6"/>
    <n v="7.5"/>
    <x v="81"/>
    <s v="M. Toth"/>
  </r>
  <r>
    <s v="S000380"/>
    <s v="ESS-2025-00086"/>
    <s v="Essential Oil Blend"/>
    <s v="Ashford UK"/>
    <x v="0"/>
    <n v="1"/>
    <x v="0"/>
    <s v="Pass"/>
    <n v="50.13"/>
    <s v="ppm"/>
    <n v="0"/>
    <n v="120"/>
    <x v="217"/>
    <s v="M. Toth"/>
  </r>
  <r>
    <s v="S000565"/>
    <s v="ARO-2025-00127"/>
    <s v="Aroma Chemical"/>
    <s v="East Hanover"/>
    <x v="6"/>
    <n v="1"/>
    <x v="1"/>
    <s v="Fail"/>
    <n v="175"/>
    <s v="CFU/g"/>
    <n v="0"/>
    <n v="100"/>
    <x v="246"/>
    <s v="J. Nagy"/>
  </r>
  <r>
    <s v="S001740"/>
    <s v="FOO-2024-00389"/>
    <s v="Food Ingredient Extract"/>
    <s v="Ashford UK"/>
    <x v="1"/>
    <n v="1"/>
    <x v="0"/>
    <s v="Pass"/>
    <n v="0.93"/>
    <s v="g/ml"/>
    <n v="0.88"/>
    <n v="0.97"/>
    <x v="5"/>
    <s v="S. Fischer"/>
  </r>
  <r>
    <s v="S001743"/>
    <s v="FOO-2024-00389"/>
    <s v="Food Ingredient Extract"/>
    <s v="Ashford UK"/>
    <x v="5"/>
    <n v="1"/>
    <x v="0"/>
    <s v="Pass"/>
    <n v="6.8"/>
    <m/>
    <n v="6"/>
    <n v="7.5"/>
    <x v="5"/>
    <s v="M. Toth"/>
  </r>
  <r>
    <s v="S001830"/>
    <s v="FRA-2025-00409"/>
    <s v="Fragrance Oil"/>
    <s v="Budapest"/>
    <x v="4"/>
    <n v="1"/>
    <x v="0"/>
    <s v="Pass"/>
    <n v="0.24"/>
    <s v="%"/>
    <n v="0"/>
    <n v="1"/>
    <x v="170"/>
    <s v="A. Kovacs"/>
  </r>
  <r>
    <s v="S001923"/>
    <s v="ARO-2024-00430"/>
    <s v="Aroma Chemical"/>
    <s v="East Hanover"/>
    <x v="2"/>
    <n v="1"/>
    <x v="0"/>
    <s v="Fail"/>
    <n v="269.06"/>
    <s v="um"/>
    <n v="150"/>
    <n v="400"/>
    <x v="10"/>
    <s v="S. Fischer"/>
  </r>
  <r>
    <s v="S000968"/>
    <s v="FRA-2025-00219"/>
    <s v="Fragrance Oil"/>
    <s v="Vernier CH"/>
    <x v="2"/>
    <n v="1"/>
    <x v="1"/>
    <s v="Fail"/>
    <n v="30"/>
    <s v="um"/>
    <n v="150"/>
    <n v="400"/>
    <x v="127"/>
    <s v="J NAGY"/>
  </r>
  <r>
    <s v="S000921"/>
    <s v="FOO-2024-00209"/>
    <s v="Food Ingredient Extract"/>
    <s v="Vernier CH"/>
    <x v="0"/>
    <n v="1"/>
    <x v="0"/>
    <s v="Pending"/>
    <n v="59.21"/>
    <s v="ppm"/>
    <n v="0"/>
    <n v="120"/>
    <x v="126"/>
    <s v="J. Nagy"/>
  </r>
  <r>
    <s v="S000232"/>
    <s v="FLA-2024-00053"/>
    <s v="Flavor Compound"/>
    <s v="Budapest"/>
    <x v="6"/>
    <n v="1"/>
    <x v="0"/>
    <s v="Pass"/>
    <n v="15.58"/>
    <s v="CFU/g"/>
    <n v="0"/>
    <n v="100"/>
    <x v="84"/>
    <s v="M. Toth"/>
  </r>
  <r>
    <s v="S001975"/>
    <s v="FLA-2025-00442"/>
    <s v="Flavor Compound"/>
    <s v="Ashford UK"/>
    <x v="6"/>
    <n v="1"/>
    <x v="0"/>
    <s v="Pass"/>
    <n v="59.38"/>
    <s v="CFU/g"/>
    <n v="0"/>
    <n v="100"/>
    <x v="159"/>
    <s v="M. Toth"/>
  </r>
  <r>
    <s v="S000383"/>
    <s v="ESS-2025-00087"/>
    <s v="Essential Oil Blend"/>
    <s v="East Hanover"/>
    <x v="4"/>
    <n v="1"/>
    <x v="0"/>
    <s v="Pass"/>
    <n v="0.36"/>
    <s v="%"/>
    <n v="0"/>
    <n v="1"/>
    <x v="48"/>
    <s v="M. Toth"/>
  </r>
  <r>
    <s v="S001179"/>
    <s v="FOO-2025-00264"/>
    <s v="Food Ingredient Extract"/>
    <s v="East Hanover"/>
    <x v="1"/>
    <n v="1"/>
    <x v="0"/>
    <s v="Pass"/>
    <n v="0.94"/>
    <s v="g/ml"/>
    <n v="0.88"/>
    <n v="0.97"/>
    <x v="268"/>
    <s v="P. Meier"/>
  </r>
  <r>
    <s v="S001216"/>
    <s v="FLA-2024-00271"/>
    <s v="Flavor Compound"/>
    <s v="Ashford UK"/>
    <x v="0"/>
    <n v="1"/>
    <x v="0"/>
    <s v="Fail"/>
    <n v="39.64"/>
    <s v="ppm"/>
    <n v="0"/>
    <n v="120"/>
    <x v="319"/>
    <s v="L. Rossi"/>
  </r>
  <r>
    <s v="S000073"/>
    <s v="ESS-2024-00017"/>
    <s v="Essential Oil Blend"/>
    <s v="Vernier CH"/>
    <x v="3"/>
    <n v="1"/>
    <x v="0"/>
    <s v="Pass"/>
    <n v="98.26"/>
    <s v="%"/>
    <n v="97"/>
    <n v="100"/>
    <x v="171"/>
    <s v="K. Varga"/>
  </r>
  <r>
    <s v="S000071"/>
    <s v="ESS-2024-00017"/>
    <s v="Essential Oil Blend"/>
    <s v="Vernier CH"/>
    <x v="2"/>
    <n v="1"/>
    <x v="0"/>
    <s v="Pass"/>
    <n v="255.53"/>
    <s v="um"/>
    <n v="150"/>
    <n v="400"/>
    <x v="171"/>
    <s v="M. Toth"/>
  </r>
  <r>
    <s v="S001343"/>
    <s v="ARO-2024-00300"/>
    <s v="Aroma Chemical"/>
    <s v="Vernier CH"/>
    <x v="6"/>
    <n v="1"/>
    <x v="0"/>
    <s v="Pass"/>
    <n v="12.73"/>
    <s v="CFU/g"/>
    <n v="0"/>
    <n v="100"/>
    <x v="284"/>
    <s v="J NAGY"/>
  </r>
  <r>
    <s v="S001086"/>
    <s v="FLA-2024-00244"/>
    <s v="Flavor Compound"/>
    <s v="Dortmund DE"/>
    <x v="1"/>
    <n v="1"/>
    <x v="0"/>
    <s v="Fail"/>
    <n v="0.93"/>
    <s v="g/ml"/>
    <n v="0.88"/>
    <n v="0.97"/>
    <x v="89"/>
    <s v="S. Fischer"/>
  </r>
  <r>
    <s v="S000172"/>
    <s v="FRA-2024-00040"/>
    <s v="Fragrance Oil"/>
    <s v="Budapest"/>
    <x v="0"/>
    <n v="1"/>
    <x v="0"/>
    <s v="Pass"/>
    <n v="69.010000000000005"/>
    <s v="ppm"/>
    <n v="0"/>
    <n v="120"/>
    <x v="286"/>
    <s v="J NAGY"/>
  </r>
  <r>
    <s v="S001295"/>
    <s v="FOO-2024-00289"/>
    <s v="Food Ingredient Extract"/>
    <s v="East Hanover"/>
    <x v="0"/>
    <n v="1"/>
    <x v="0"/>
    <s v="Pass"/>
    <n v="43.87"/>
    <s v="ppm"/>
    <n v="0"/>
    <n v="120"/>
    <x v="164"/>
    <s v="A. Kovacs"/>
  </r>
  <r>
    <s v="S000169"/>
    <s v="ESS-2024-00039"/>
    <s v="Essential Oil Blend"/>
    <s v="Ashford UK"/>
    <x v="5"/>
    <n v="1"/>
    <x v="1"/>
    <s v="Fail"/>
    <n v="7.55"/>
    <m/>
    <n v="6"/>
    <n v="7.5"/>
    <x v="236"/>
    <s v="P. Meier"/>
  </r>
  <r>
    <s v="S000494"/>
    <s v="ARO-2024-00111"/>
    <s v="Aroma Chemical"/>
    <s v="Dortmund DE"/>
    <x v="6"/>
    <n v="1"/>
    <x v="1"/>
    <s v="Fail"/>
    <n v="-28.37"/>
    <s v="CFU/g"/>
    <n v="0"/>
    <n v="100"/>
    <x v="106"/>
    <s v="T. Weber"/>
  </r>
  <r>
    <s v="S001253"/>
    <s v="FLA-2024-00280"/>
    <s v="Flavor Compound"/>
    <s v="Budapest"/>
    <x v="0"/>
    <n v="1"/>
    <x v="0"/>
    <s v="Pending"/>
    <n v="37.51"/>
    <s v="ppm"/>
    <n v="0"/>
    <n v="120"/>
    <x v="92"/>
    <s v="L. Rossi"/>
  </r>
  <r>
    <s v="S001668"/>
    <s v="ARO-2024-00373"/>
    <s v="Aroma Chemical"/>
    <s v="Budapest"/>
    <x v="6"/>
    <n v="1"/>
    <x v="0"/>
    <s v="Pass"/>
    <n v="4.7699999999999996"/>
    <s v="CFU/g"/>
    <n v="0"/>
    <n v="100"/>
    <x v="222"/>
    <s v="P. Meier"/>
  </r>
  <r>
    <s v="S001944"/>
    <s v="ARO-2025-00435"/>
    <s v="Aroma Chemical"/>
    <s v="Dortmund DE"/>
    <x v="3"/>
    <n v="1"/>
    <x v="0"/>
    <s v="Pass"/>
    <n v="98.52"/>
    <s v="%"/>
    <n v="97"/>
    <n v="100"/>
    <x v="157"/>
    <s v="S. Fischer"/>
  </r>
  <r>
    <s v="S000894"/>
    <s v="ESS-2024-00202"/>
    <s v="Essential Oil Blend"/>
    <s v="East Hanover"/>
    <x v="0"/>
    <n v="1"/>
    <x v="0"/>
    <s v="Pass"/>
    <n v="16.7"/>
    <s v="ppm"/>
    <n v="0"/>
    <n v="120"/>
    <x v="149"/>
    <s v="S. Fischer"/>
  </r>
  <r>
    <s v="S000273"/>
    <s v="FLA-2024-00062"/>
    <s v="Flavor Compound"/>
    <s v="Budapest"/>
    <x v="6"/>
    <n v="1"/>
    <x v="0"/>
    <s v="Pass"/>
    <n v="9.7100000000000009"/>
    <s v="CFU/g"/>
    <n v="0"/>
    <n v="100"/>
    <x v="145"/>
    <s v="L. Rossi"/>
  </r>
  <r>
    <s v="S001297"/>
    <s v="FRA-2025-00290"/>
    <s v="Fragrance Oil"/>
    <s v="Vernier CH"/>
    <x v="2"/>
    <n v="1"/>
    <x v="0"/>
    <s v="Pass"/>
    <n v="283.70999999999998"/>
    <s v="um"/>
    <n v="150"/>
    <n v="400"/>
    <x v="49"/>
    <s v="S. Fischer"/>
  </r>
  <r>
    <s v="S000421"/>
    <s v="FLA-2024-00095"/>
    <s v="Flavor Compound"/>
    <s v="East Hanover"/>
    <x v="6"/>
    <n v="1"/>
    <x v="1"/>
    <s v="Fail"/>
    <n v="-40.49"/>
    <s v="CFU/g"/>
    <n v="0"/>
    <n v="100"/>
    <x v="123"/>
    <s v="S. Fischer"/>
  </r>
  <r>
    <s v="S000095"/>
    <s v="FOO-2025-00023"/>
    <s v="Food Ingredient Extract"/>
    <s v="Vernier CH"/>
    <x v="6"/>
    <n v="1"/>
    <x v="0"/>
    <s v="Pass"/>
    <n v="21.46"/>
    <s v="CFU/g"/>
    <n v="0"/>
    <n v="100"/>
    <x v="194"/>
    <s v="A. Kovacs"/>
  </r>
  <r>
    <s v="S001370"/>
    <s v="FLA-2024-00306"/>
    <s v="Flavor Compound"/>
    <s v="Dortmund DE"/>
    <x v="5"/>
    <n v="1"/>
    <x v="1"/>
    <s v="Fail"/>
    <n v="8.0500000000000007"/>
    <m/>
    <n v="6"/>
    <n v="7.5"/>
    <x v="307"/>
    <s v="J NAGY"/>
  </r>
  <r>
    <s v="S001585"/>
    <s v="FLA-2025-00353"/>
    <s v="Flavor Compound"/>
    <s v="Budapest"/>
    <x v="3"/>
    <n v="1"/>
    <x v="0"/>
    <s v="Pass"/>
    <n v="97.58"/>
    <s v="%"/>
    <n v="97"/>
    <n v="100"/>
    <x v="72"/>
    <s v="J NAGY"/>
  </r>
  <r>
    <s v="S001596"/>
    <s v="FOO-2025-00356"/>
    <s v="Food Ingredient Extract"/>
    <s v="East Hanover"/>
    <x v="2"/>
    <n v="1"/>
    <x v="0"/>
    <s v="Pass"/>
    <n v="232.04"/>
    <s v="um"/>
    <n v="150"/>
    <n v="400"/>
    <x v="234"/>
    <s v="M. Toth"/>
  </r>
  <r>
    <s v="S000043"/>
    <s v="FRA-2025-00010"/>
    <s v="Fragrance Oil"/>
    <s v="Ashford UK"/>
    <x v="6"/>
    <n v="1"/>
    <x v="1"/>
    <s v="Fail"/>
    <n v="-11.56"/>
    <s v="CFU/g"/>
    <n v="0"/>
    <n v="100"/>
    <x v="237"/>
    <s v="J NAGY"/>
  </r>
  <r>
    <s v="S000057"/>
    <s v="ARO-2025-00014"/>
    <s v="Aroma Chemical"/>
    <s v="Dortmund DE"/>
    <x v="6"/>
    <n v="1"/>
    <x v="0"/>
    <s v="Pass"/>
    <n v="33.770000000000003"/>
    <s v="CFU/g"/>
    <n v="0"/>
    <n v="100"/>
    <x v="94"/>
    <s v="K. Varga"/>
  </r>
  <r>
    <s v="S001602"/>
    <s v="FRA-2024-00358"/>
    <s v="Fragrance Oil"/>
    <s v="Ashford UK"/>
    <x v="6"/>
    <n v="1"/>
    <x v="1"/>
    <s v="Fail"/>
    <n v="-13.7"/>
    <s v="CFU/g"/>
    <n v="0"/>
    <n v="100"/>
    <x v="78"/>
    <s v="P. Meier"/>
  </r>
  <r>
    <s v="S001495"/>
    <s v="ESS-2025-00333"/>
    <s v="Essential Oil Blend"/>
    <s v="Budapest"/>
    <x v="0"/>
    <n v="1"/>
    <x v="0"/>
    <s v="Pass"/>
    <n v="49.96"/>
    <s v="ppm"/>
    <n v="0"/>
    <n v="120"/>
    <x v="43"/>
    <s v="T. Weber"/>
  </r>
  <r>
    <s v="S001943"/>
    <s v="ARO-2025-00435"/>
    <s v="Aroma Chemical"/>
    <s v="Dortmund DE"/>
    <x v="1"/>
    <n v="1"/>
    <x v="0"/>
    <s v="Pass"/>
    <n v="0.91"/>
    <s v="g/ml"/>
    <n v="0.88"/>
    <n v="0.97"/>
    <x v="157"/>
    <s v="J. Nagy"/>
  </r>
  <r>
    <s v="S001634"/>
    <s v="FOO-2025-00365"/>
    <s v="Food Ingredient Extract"/>
    <s v="Vernier CH"/>
    <x v="2"/>
    <n v="1"/>
    <x v="0"/>
    <s v="Pass"/>
    <n v="221.08"/>
    <s v="um"/>
    <n v="150"/>
    <n v="400"/>
    <x v="120"/>
    <s v="M. Toth"/>
  </r>
  <r>
    <s v="S000889"/>
    <s v="FLA-2025-00201"/>
    <s v="Flavor Compound"/>
    <s v="Ashford UK"/>
    <x v="0"/>
    <n v="1"/>
    <x v="0"/>
    <s v="Pass"/>
    <n v="70.099999999999994"/>
    <s v="ppm"/>
    <n v="0"/>
    <n v="120"/>
    <x v="170"/>
    <s v="J NAGY"/>
  </r>
  <r>
    <s v="S000575"/>
    <s v="FRA-2024-00129"/>
    <s v="Fragrance Oil"/>
    <s v="Ashford UK"/>
    <x v="5"/>
    <n v="1"/>
    <x v="0"/>
    <s v="Pass"/>
    <n v="6.32"/>
    <m/>
    <n v="6"/>
    <n v="7.5"/>
    <x v="101"/>
    <s v="P. Meier"/>
  </r>
  <r>
    <s v="S000039"/>
    <s v="FLA-2024-00009"/>
    <s v="Flavor Compound"/>
    <s v="Vernier CH"/>
    <x v="0"/>
    <n v="1"/>
    <x v="0"/>
    <s v="Fail"/>
    <n v="55.76"/>
    <s v="ppm"/>
    <n v="0"/>
    <n v="120"/>
    <x v="89"/>
    <s v="J NAGY"/>
  </r>
  <r>
    <s v="S000307"/>
    <s v="FRA-2024-00069"/>
    <s v="Fragrance Oil"/>
    <s v="Vernier CH"/>
    <x v="0"/>
    <n v="1"/>
    <x v="0"/>
    <s v="Fail"/>
    <n v="13.55"/>
    <s v="ppm"/>
    <n v="0"/>
    <n v="120"/>
    <x v="171"/>
    <s v="M. Toth"/>
  </r>
  <r>
    <s v="S000669"/>
    <s v="FLA-2024-00152"/>
    <s v="Flavor Compound"/>
    <s v="Budapest"/>
    <x v="3"/>
    <n v="1"/>
    <x v="0"/>
    <s v="Pass"/>
    <n v="98.76"/>
    <s v="%"/>
    <n v="97"/>
    <n v="100"/>
    <x v="26"/>
    <s v="L. Rossi"/>
  </r>
  <r>
    <s v="S000007"/>
    <s v="ARO-2025-00002"/>
    <s v="Aroma Chemical"/>
    <s v="East Hanover"/>
    <x v="0"/>
    <n v="1"/>
    <x v="0"/>
    <s v="Pass"/>
    <n v="58.01"/>
    <s v="ppm"/>
    <n v="0"/>
    <n v="120"/>
    <x v="110"/>
    <s v="A. Kovacs"/>
  </r>
  <r>
    <s v="S001197"/>
    <s v="ARO-2024-00268"/>
    <s v="Aroma Chemical"/>
    <s v="Ashford UK"/>
    <x v="2"/>
    <n v="1"/>
    <x v="0"/>
    <s v="Pass"/>
    <n v="283.77999999999997"/>
    <s v="um"/>
    <n v="150"/>
    <n v="400"/>
    <x v="205"/>
    <s v="M. Toth"/>
  </r>
  <r>
    <s v="S000783"/>
    <s v="ARO-2025-00177"/>
    <s v="Aroma Chemical"/>
    <s v="Budapest"/>
    <x v="6"/>
    <n v="1"/>
    <x v="0"/>
    <s v="Pending"/>
    <n v="15.01"/>
    <s v="CFU/g"/>
    <n v="0"/>
    <n v="100"/>
    <x v="178"/>
    <s v="J. Nagy"/>
  </r>
  <r>
    <s v="S000409"/>
    <s v="ARO-2024-00092"/>
    <s v="Aroma Chemical"/>
    <s v="Budapest"/>
    <x v="3"/>
    <n v="1"/>
    <x v="0"/>
    <s v="Fail"/>
    <n v="99.15"/>
    <s v="%"/>
    <n v="97"/>
    <n v="100"/>
    <x v="267"/>
    <s v="M. Toth"/>
  </r>
  <r>
    <s v="S001891"/>
    <s v="FOO-2025-00423"/>
    <s v="Food Ingredient Extract"/>
    <s v="Dortmund DE"/>
    <x v="4"/>
    <n v="1"/>
    <x v="0"/>
    <s v="Fail"/>
    <n v="0.39"/>
    <s v="%"/>
    <n v="0"/>
    <n v="1"/>
    <x v="173"/>
    <s v="A. Kovacs"/>
  </r>
  <r>
    <s v="S000782"/>
    <s v="ARO-2025-00177"/>
    <s v="Aroma Chemical"/>
    <s v="Budapest"/>
    <x v="3"/>
    <n v="1"/>
    <x v="0"/>
    <s v="Pending"/>
    <n v="99.16"/>
    <s v="%"/>
    <n v="97"/>
    <n v="100"/>
    <x v="178"/>
    <s v="P. Meier"/>
  </r>
  <r>
    <s v="S000167"/>
    <s v="ESS-2024-00039"/>
    <s v="Essential Oil Blend"/>
    <s v="Ashford UK"/>
    <x v="0"/>
    <n v="1"/>
    <x v="0"/>
    <s v="Fail"/>
    <n v="55.59"/>
    <s v="ppm"/>
    <n v="0"/>
    <n v="120"/>
    <x v="236"/>
    <s v="S. Fischer"/>
  </r>
  <r>
    <s v="S000535"/>
    <s v="ARO-2024-00120"/>
    <s v="Aroma Chemical"/>
    <s v="East Hanover"/>
    <x v="3"/>
    <n v="1"/>
    <x v="0"/>
    <s v="Fail"/>
    <n v="98.32"/>
    <s v="%"/>
    <n v="97"/>
    <n v="100"/>
    <x v="288"/>
    <s v="M. Toth"/>
  </r>
  <r>
    <s v="S000584"/>
    <s v="FOO-2024-00131"/>
    <s v="Food Ingredient Extract"/>
    <s v="Dortmund DE"/>
    <x v="2"/>
    <n v="1"/>
    <x v="0"/>
    <s v="Pass"/>
    <n v="339.36"/>
    <s v="um"/>
    <n v="150"/>
    <n v="400"/>
    <x v="184"/>
    <s v="A. Kovacs"/>
  </r>
  <r>
    <s v="S001260"/>
    <s v="FLA-2024-00282"/>
    <s v="Flavor Compound"/>
    <s v="Budapest"/>
    <x v="5"/>
    <n v="1"/>
    <x v="1"/>
    <s v="Fail"/>
    <n v="8.6999999999999993"/>
    <m/>
    <n v="6"/>
    <n v="7.5"/>
    <x v="133"/>
    <s v="P. Meier"/>
  </r>
  <r>
    <s v="S001911"/>
    <s v="ESS-2024-00428"/>
    <s v="Essential Oil Blend"/>
    <s v="Budapest"/>
    <x v="3"/>
    <n v="1"/>
    <x v="0"/>
    <s v="Pass"/>
    <n v="97.8"/>
    <s v="%"/>
    <n v="97"/>
    <n v="100"/>
    <x v="204"/>
    <s v="J. Nagy"/>
  </r>
  <r>
    <s v="S001430"/>
    <s v="ARO-2024-00318"/>
    <s v="Aroma Chemical"/>
    <s v="Dortmund DE"/>
    <x v="0"/>
    <n v="1"/>
    <x v="0"/>
    <s v="Fail"/>
    <n v="43.81"/>
    <s v="ppm"/>
    <n v="0"/>
    <n v="120"/>
    <x v="60"/>
    <s v="J NAGY"/>
  </r>
  <r>
    <s v="S001995"/>
    <s v="FOO-2024-00445"/>
    <s v="Food Ingredient Extract"/>
    <s v="Ashford UK"/>
    <x v="3"/>
    <n v="1"/>
    <x v="1"/>
    <s v="Fail"/>
    <n v="100.07"/>
    <s v="%"/>
    <n v="97"/>
    <n v="100"/>
    <x v="320"/>
    <s v="M. Toth"/>
  </r>
  <r>
    <s v="S001775"/>
    <s v="FOO-2025-00397"/>
    <s v="Food Ingredient Extract"/>
    <s v="East Hanover"/>
    <x v="0"/>
    <n v="1"/>
    <x v="0"/>
    <s v="Pass"/>
    <n v="56.21"/>
    <s v="ppm"/>
    <n v="0"/>
    <n v="120"/>
    <x v="198"/>
    <s v="J NAGY"/>
  </r>
  <r>
    <s v="S001264"/>
    <s v="FLA-2025-00283"/>
    <s v="Flavor Compound"/>
    <s v="Budapest"/>
    <x v="6"/>
    <n v="1"/>
    <x v="0"/>
    <s v="Pass"/>
    <n v="30.53"/>
    <s v="CFU/g"/>
    <n v="0"/>
    <n v="100"/>
    <x v="291"/>
    <s v="K. Varga"/>
  </r>
  <r>
    <s v="S001899"/>
    <s v="ARO-2025-00425"/>
    <s v="Aroma Chemical"/>
    <s v="East Hanover"/>
    <x v="1"/>
    <n v="1"/>
    <x v="1"/>
    <s v="Fail"/>
    <n v="1.06"/>
    <s v="g/ml"/>
    <n v="0.88"/>
    <n v="0.97"/>
    <x v="103"/>
    <s v="J. Nagy"/>
  </r>
  <r>
    <s v="S001115"/>
    <s v="FOO-2025-00251"/>
    <s v="Food Ingredient Extract"/>
    <s v="Budapest"/>
    <x v="5"/>
    <n v="1"/>
    <x v="1"/>
    <s v="Fail"/>
    <n v="5.98"/>
    <m/>
    <n v="6"/>
    <n v="7.5"/>
    <x v="28"/>
    <s v="S. Fischer"/>
  </r>
  <r>
    <s v="S001124"/>
    <s v="FRA-2025-00252"/>
    <s v="Fragrance Oil"/>
    <s v="Budapest"/>
    <x v="5"/>
    <n v="1"/>
    <x v="0"/>
    <s v="Fail"/>
    <n v="7.49"/>
    <m/>
    <n v="6"/>
    <n v="7.5"/>
    <x v="175"/>
    <s v="A. Kovacs"/>
  </r>
  <r>
    <s v="S001381"/>
    <s v="FLA-2024-00308"/>
    <s v="Flavor Compound"/>
    <s v="Budapest"/>
    <x v="1"/>
    <n v="1"/>
    <x v="0"/>
    <s v="Pass"/>
    <n v="0.92"/>
    <s v="g/ml"/>
    <n v="0.88"/>
    <n v="0.97"/>
    <x v="209"/>
    <s v="J NAGY"/>
  </r>
  <r>
    <s v="S000814"/>
    <s v="FRA-2024-00184"/>
    <s v="Fragrance Oil"/>
    <s v="Budapest"/>
    <x v="2"/>
    <n v="1"/>
    <x v="0"/>
    <s v="Pass"/>
    <n v="229.34"/>
    <s v="um"/>
    <n v="150"/>
    <n v="400"/>
    <x v="232"/>
    <s v="T. Weber"/>
  </r>
  <r>
    <s v="S000317"/>
    <s v="FLA-2024-00072"/>
    <s v="Flavor Compound"/>
    <s v="East Hanover"/>
    <x v="0"/>
    <n v="1"/>
    <x v="0"/>
    <s v="Fail"/>
    <n v="62.86"/>
    <s v="ppm"/>
    <n v="0"/>
    <n v="120"/>
    <x v="254"/>
    <s v="A. Kovacs"/>
  </r>
  <r>
    <s v="S001289"/>
    <s v="ARO-2024-00288"/>
    <s v="Aroma Chemical"/>
    <s v="Budapest"/>
    <x v="6"/>
    <n v="1"/>
    <x v="0"/>
    <s v="Pass"/>
    <n v="45.99"/>
    <s v="CFU/g"/>
    <n v="0"/>
    <n v="100"/>
    <x v="161"/>
    <s v="M. Toth"/>
  </r>
  <r>
    <s v="S001959"/>
    <s v="FRA-2024-00438"/>
    <s v="Fragrance Oil"/>
    <s v="Budapest"/>
    <x v="3"/>
    <n v="1"/>
    <x v="0"/>
    <s v="Pass"/>
    <n v="99.3"/>
    <s v="%"/>
    <n v="97"/>
    <n v="100"/>
    <x v="34"/>
    <s v="T. Weber"/>
  </r>
  <r>
    <s v="S000517"/>
    <s v="FOO-2025-00116"/>
    <s v="Food Ingredient Extract"/>
    <s v="Vernier CH"/>
    <x v="0"/>
    <n v="1"/>
    <x v="0"/>
    <s v="Fail"/>
    <n v="24.09"/>
    <s v="ppm"/>
    <n v="0"/>
    <n v="120"/>
    <x v="6"/>
    <s v="J. Nagy"/>
  </r>
  <r>
    <s v="S001861"/>
    <s v="ESS-2025-00416"/>
    <s v="Essential Oil Blend"/>
    <s v="Ashford UK"/>
    <x v="1"/>
    <n v="1"/>
    <x v="0"/>
    <s v="Fail"/>
    <n v="0.96"/>
    <s v="g/ml"/>
    <n v="0.88"/>
    <n v="0.97"/>
    <x v="71"/>
    <s v="J NAGY"/>
  </r>
  <r>
    <s v="S001675"/>
    <s v="ESS-2025-00375"/>
    <s v="Essential Oil Blend"/>
    <s v="Ashford UK"/>
    <x v="5"/>
    <n v="1"/>
    <x v="0"/>
    <s v="Fail"/>
    <n v="6.24"/>
    <m/>
    <n v="6"/>
    <n v="7.5"/>
    <x v="28"/>
    <s v="J NAGY"/>
  </r>
  <r>
    <s v="S001694"/>
    <s v="ESS-2024-00379"/>
    <s v="Essential Oil Blend"/>
    <s v="East Hanover"/>
    <x v="2"/>
    <n v="1"/>
    <x v="0"/>
    <s v="Fail"/>
    <n v="257.23"/>
    <s v="um"/>
    <n v="150"/>
    <n v="400"/>
    <x v="22"/>
    <s v="T. Weber"/>
  </r>
  <r>
    <s v="S000534"/>
    <s v="ARO-2024-00120"/>
    <s v="Aroma Chemical"/>
    <s v="East Hanover"/>
    <x v="5"/>
    <n v="1"/>
    <x v="0"/>
    <s v="Fail"/>
    <n v="6.5"/>
    <m/>
    <n v="6"/>
    <n v="7.5"/>
    <x v="288"/>
    <s v="J. Nagy"/>
  </r>
  <r>
    <s v="S000174"/>
    <s v="FOO-2025-00041"/>
    <s v="Food Ingredient Extract"/>
    <s v="Dortmund DE"/>
    <x v="4"/>
    <n v="1"/>
    <x v="0"/>
    <s v="Pass"/>
    <n v="0.41"/>
    <s v="%"/>
    <n v="0"/>
    <n v="1"/>
    <x v="85"/>
    <s v="S. Fischer"/>
  </r>
  <r>
    <s v="S001049"/>
    <s v="ESS-2024-00235"/>
    <s v="Essential Oil Blend"/>
    <s v="Vernier CH"/>
    <x v="5"/>
    <n v="1"/>
    <x v="1"/>
    <s v="Fail"/>
    <n v="7.51"/>
    <m/>
    <n v="6"/>
    <n v="7.5"/>
    <x v="101"/>
    <s v="L. Rossi"/>
  </r>
  <r>
    <s v="S000272"/>
    <s v="FLA-2024-00062"/>
    <s v="Flavor Compound"/>
    <s v="Budapest"/>
    <x v="4"/>
    <n v="1"/>
    <x v="0"/>
    <s v="Pass"/>
    <n v="0.27"/>
    <s v="%"/>
    <n v="0"/>
    <n v="1"/>
    <x v="145"/>
    <s v="S. Fischer"/>
  </r>
  <r>
    <s v="S000549"/>
    <s v="FLA-2024-00123"/>
    <s v="Flavor Compound"/>
    <s v="Dortmund DE"/>
    <x v="1"/>
    <n v="1"/>
    <x v="1"/>
    <s v="Fail"/>
    <n v="0.86"/>
    <s v="g/ml"/>
    <n v="0.88"/>
    <n v="0.97"/>
    <x v="38"/>
    <s v="J NAGY"/>
  </r>
  <r>
    <s v="S000965"/>
    <s v="FRA-2024-00218"/>
    <s v="Fragrance Oil"/>
    <s v="Ashford UK"/>
    <x v="6"/>
    <n v="1"/>
    <x v="0"/>
    <s v="Pass"/>
    <n v="15.54"/>
    <s v="CFU/g"/>
    <n v="0"/>
    <n v="100"/>
    <x v="166"/>
    <s v="P. Meier"/>
  </r>
  <r>
    <s v="S001704"/>
    <s v="ARO-2025-00381"/>
    <s v="Aroma Chemical"/>
    <s v="Budapest"/>
    <x v="5"/>
    <n v="1"/>
    <x v="0"/>
    <s v="Pass"/>
    <n v="6.5"/>
    <m/>
    <n v="6"/>
    <n v="7.5"/>
    <x v="31"/>
    <s v="P. Meier"/>
  </r>
  <r>
    <s v="S001637"/>
    <s v="ESS-2024-00366"/>
    <s v="Essential Oil Blend"/>
    <s v="Budapest"/>
    <x v="1"/>
    <n v="1"/>
    <x v="0"/>
    <s v="Pass"/>
    <n v="0.9"/>
    <s v="g/ml"/>
    <n v="0.88"/>
    <n v="0.97"/>
    <x v="125"/>
    <s v="J NAGY"/>
  </r>
  <r>
    <s v="S000599"/>
    <s v="ARO-2025-00134"/>
    <s v="Aroma Chemical"/>
    <s v="Dortmund DE"/>
    <x v="3"/>
    <n v="1"/>
    <x v="0"/>
    <s v="Pass"/>
    <n v="98.24"/>
    <s v="%"/>
    <n v="97"/>
    <n v="100"/>
    <x v="104"/>
    <s v="K. Varga"/>
  </r>
  <r>
    <s v="S001610"/>
    <s v="ESS-2024-00359"/>
    <s v="Essential Oil Blend"/>
    <s v="Ashford UK"/>
    <x v="3"/>
    <n v="1"/>
    <x v="0"/>
    <s v="Pass"/>
    <n v="99.26"/>
    <s v="%"/>
    <n v="97"/>
    <n v="100"/>
    <x v="187"/>
    <s v="P. Meier"/>
  </r>
  <r>
    <s v="S000571"/>
    <s v="FLA-2024-00128"/>
    <s v="Flavor Compound"/>
    <s v="East Hanover"/>
    <x v="0"/>
    <n v="1"/>
    <x v="0"/>
    <s v="Fail"/>
    <n v="52.45"/>
    <s v="ppm"/>
    <n v="0"/>
    <n v="120"/>
    <x v="296"/>
    <s v="P. Meier"/>
  </r>
  <r>
    <s v="S000075"/>
    <s v="FRA-2025-00018"/>
    <s v="Fragrance Oil"/>
    <s v="Vernier CH"/>
    <x v="3"/>
    <n v="1"/>
    <x v="0"/>
    <s v="Pass"/>
    <n v="98.04"/>
    <s v="%"/>
    <n v="97"/>
    <n v="100"/>
    <x v="259"/>
    <s v="J. Nagy"/>
  </r>
  <r>
    <s v="S000062"/>
    <s v="ESS-2025-00015"/>
    <s v="Essential Oil Blend"/>
    <s v="Dortmund DE"/>
    <x v="3"/>
    <n v="1"/>
    <x v="0"/>
    <s v="Pass"/>
    <n v="99.39"/>
    <s v="%"/>
    <n v="97"/>
    <n v="100"/>
    <x v="253"/>
    <s v="K. Varga"/>
  </r>
  <r>
    <s v="S001993"/>
    <s v="FOO-2024-00445"/>
    <s v="Food Ingredient Extract"/>
    <s v="Ashford UK"/>
    <x v="1"/>
    <n v="1"/>
    <x v="0"/>
    <s v="Fail"/>
    <n v="0.91"/>
    <s v="g/ml"/>
    <n v="0.88"/>
    <n v="0.97"/>
    <x v="320"/>
    <s v="J NAGY"/>
  </r>
  <r>
    <s v="S000810"/>
    <s v="FRA-2024-00184"/>
    <s v="Fragrance Oil"/>
    <s v="Budapest"/>
    <x v="6"/>
    <n v="1"/>
    <x v="0"/>
    <s v="Pass"/>
    <n v="13.67"/>
    <s v="CFU/g"/>
    <n v="0"/>
    <n v="100"/>
    <x v="232"/>
    <s v="S. Fischer"/>
  </r>
  <r>
    <s v="S000245"/>
    <s v="ESS-2025-00055"/>
    <s v="Essential Oil Blend"/>
    <s v="Vernier CH"/>
    <x v="4"/>
    <n v="1"/>
    <x v="0"/>
    <s v="Fail"/>
    <n v="0.4"/>
    <s v="%"/>
    <n v="0"/>
    <n v="1"/>
    <x v="46"/>
    <s v="L. Rossi"/>
  </r>
  <r>
    <s v="S001105"/>
    <s v="ARO-2024-00248"/>
    <s v="Aroma Chemical"/>
    <s v="Budapest"/>
    <x v="3"/>
    <n v="1"/>
    <x v="0"/>
    <s v="Pass"/>
    <n v="98.97"/>
    <s v="%"/>
    <n v="97"/>
    <n v="100"/>
    <x v="229"/>
    <s v="M. Toth"/>
  </r>
  <r>
    <s v="S001449"/>
    <s v="FLA-2024-00323"/>
    <s v="Flavor Compound"/>
    <s v="Ashford UK"/>
    <x v="0"/>
    <n v="1"/>
    <x v="0"/>
    <s v="Pass"/>
    <n v="60.28"/>
    <s v="ppm"/>
    <n v="0"/>
    <n v="120"/>
    <x v="68"/>
    <s v="J. Nagy"/>
  </r>
  <r>
    <s v="S000106"/>
    <s v="ESS-2025-00024"/>
    <s v="Essential Oil Blend"/>
    <s v="Dortmund DE"/>
    <x v="4"/>
    <n v="1"/>
    <x v="0"/>
    <s v="Fail"/>
    <n v="0.4"/>
    <s v="%"/>
    <n v="0"/>
    <n v="1"/>
    <x v="211"/>
    <s v="P. Meier"/>
  </r>
  <r>
    <s v="S000674"/>
    <s v="FOO-2025-00153"/>
    <s v="Food Ingredient Extract"/>
    <s v="Dortmund DE"/>
    <x v="6"/>
    <n v="1"/>
    <x v="1"/>
    <s v="Fail"/>
    <n v="-4.54"/>
    <s v="CFU/g"/>
    <n v="0"/>
    <n v="100"/>
    <x v="35"/>
    <s v="L. Rossi"/>
  </r>
  <r>
    <s v="S000643"/>
    <s v="ESS-2024-00146"/>
    <s v="Essential Oil Blend"/>
    <s v="Budapest"/>
    <x v="0"/>
    <n v="1"/>
    <x v="0"/>
    <s v="Pass"/>
    <n v="32.020000000000003"/>
    <s v="ppm"/>
    <n v="0"/>
    <n v="120"/>
    <x v="216"/>
    <s v="S. Fischer"/>
  </r>
  <r>
    <s v="S001272"/>
    <s v="FLA-2024-00284"/>
    <s v="Flavor Compound"/>
    <s v="Vernier CH"/>
    <x v="3"/>
    <n v="1"/>
    <x v="0"/>
    <s v="Pass"/>
    <n v="98.55"/>
    <s v="%"/>
    <n v="97"/>
    <n v="100"/>
    <x v="93"/>
    <s v="L. Rossi"/>
  </r>
  <r>
    <s v="S000666"/>
    <s v="FLA-2024-00152"/>
    <s v="Flavor Compound"/>
    <s v="Budapest"/>
    <x v="6"/>
    <n v="1"/>
    <x v="0"/>
    <s v="Pass"/>
    <n v="64.34"/>
    <s v="CFU/g"/>
    <n v="0"/>
    <n v="100"/>
    <x v="26"/>
    <s v="L. Rossi"/>
  </r>
  <r>
    <s v="S000510"/>
    <s v="ARO-2025-00114"/>
    <s v="Aroma Chemical"/>
    <s v="Budapest"/>
    <x v="2"/>
    <n v="1"/>
    <x v="0"/>
    <s v="Pass"/>
    <n v="254.35"/>
    <s v="um"/>
    <n v="150"/>
    <n v="400"/>
    <x v="31"/>
    <s v="K. Varga"/>
  </r>
  <r>
    <s v="S000132"/>
    <s v="FLA-2024-00031"/>
    <s v="Flavor Compound"/>
    <s v="Ashford UK"/>
    <x v="4"/>
    <n v="1"/>
    <x v="0"/>
    <s v="Pending"/>
    <n v="0.56999999999999995"/>
    <s v="%"/>
    <n v="0"/>
    <n v="1"/>
    <x v="155"/>
    <s v="L. Rossi"/>
  </r>
  <r>
    <s v="S000445"/>
    <s v="FOO-2024-00100"/>
    <s v="Food Ingredient Extract"/>
    <s v="Vernier CH"/>
    <x v="4"/>
    <n v="1"/>
    <x v="0"/>
    <s v="Pass"/>
    <n v="0.36"/>
    <s v="%"/>
    <n v="0"/>
    <n v="1"/>
    <x v="145"/>
    <s v="A. Kovacs"/>
  </r>
  <r>
    <s v="S000867"/>
    <s v="ESS-2024-00196"/>
    <s v="Essential Oil Blend"/>
    <s v="Dortmund DE"/>
    <x v="4"/>
    <n v="1"/>
    <x v="0"/>
    <s v="Fail"/>
    <n v="0.46"/>
    <s v="%"/>
    <n v="0"/>
    <n v="1"/>
    <x v="148"/>
    <s v="A. Kovacs"/>
  </r>
  <r>
    <s v="S000809"/>
    <s v="ESS-2025-00183"/>
    <s v="Essential Oil Blend"/>
    <s v="East Hanover"/>
    <x v="4"/>
    <n v="1"/>
    <x v="0"/>
    <s v="Pending"/>
    <n v="0.35"/>
    <s v="%"/>
    <n v="0"/>
    <n v="1"/>
    <x v="169"/>
    <s v="T. Weber"/>
  </r>
  <r>
    <s v="S001779"/>
    <s v="FOO-2025-00398"/>
    <s v="Food Ingredient Extract"/>
    <s v="Dortmund DE"/>
    <x v="6"/>
    <n v="1"/>
    <x v="0"/>
    <s v="Pass"/>
    <n v="28.97"/>
    <s v="CFU/g"/>
    <n v="0"/>
    <n v="100"/>
    <x v="183"/>
    <s v="L. Rossi"/>
  </r>
  <r>
    <s v="S000058"/>
    <s v="ARO-2025-00014"/>
    <s v="Aroma Chemical"/>
    <s v="Dortmund DE"/>
    <x v="1"/>
    <n v="1"/>
    <x v="0"/>
    <s v="Pass"/>
    <n v="0.92"/>
    <s v="g/ml"/>
    <n v="0.88"/>
    <n v="0.97"/>
    <x v="94"/>
    <s v="J NAGY"/>
  </r>
  <r>
    <s v="S001660"/>
    <s v="FRA-2024-00371"/>
    <s v="Fragrance Oil"/>
    <s v="Vernier CH"/>
    <x v="5"/>
    <n v="1"/>
    <x v="0"/>
    <s v="Fail"/>
    <n v="6.65"/>
    <m/>
    <n v="6"/>
    <n v="7.5"/>
    <x v="37"/>
    <s v="J. Nagy"/>
  </r>
  <r>
    <s v="S001071"/>
    <s v="ESS-2025-00239"/>
    <s v="Essential Oil Blend"/>
    <s v="Vernier CH"/>
    <x v="5"/>
    <n v="1"/>
    <x v="0"/>
    <s v="Pass"/>
    <n v="6.67"/>
    <m/>
    <n v="6"/>
    <n v="7.5"/>
    <x v="266"/>
    <s v="J NAGY"/>
  </r>
  <r>
    <s v="S001135"/>
    <s v="FRA-2025-00255"/>
    <s v="Fragrance Oil"/>
    <s v="East Hanover"/>
    <x v="5"/>
    <n v="1"/>
    <x v="0"/>
    <s v="Fail"/>
    <n v="6.9"/>
    <m/>
    <n v="6"/>
    <n v="7.5"/>
    <x v="139"/>
    <s v="T. Weber"/>
  </r>
  <r>
    <s v="S000087"/>
    <s v="FRA-2024-00021"/>
    <s v="Fragrance Oil"/>
    <s v="Budapest"/>
    <x v="0"/>
    <n v="1"/>
    <x v="0"/>
    <s v="Pass"/>
    <n v="43.86"/>
    <s v="ppm"/>
    <n v="0"/>
    <n v="120"/>
    <x v="321"/>
    <s v="P. Meier"/>
  </r>
  <r>
    <s v="S001853"/>
    <s v="FLA-2025-00414"/>
    <s v="Flavor Compound"/>
    <s v="East Hanover"/>
    <x v="2"/>
    <n v="1"/>
    <x v="0"/>
    <s v="Pass"/>
    <n v="231.5"/>
    <s v="um"/>
    <n v="150"/>
    <n v="400"/>
    <x v="238"/>
    <s v="M. Toth"/>
  </r>
  <r>
    <s v="S000772"/>
    <s v="FOO-2024-00175"/>
    <s v="Food Ingredient Extract"/>
    <s v="Vernier CH"/>
    <x v="0"/>
    <n v="1"/>
    <x v="0"/>
    <s v="Fail"/>
    <n v="74.31"/>
    <s v="ppm"/>
    <n v="0"/>
    <n v="120"/>
    <x v="80"/>
    <s v="K. Varga"/>
  </r>
  <r>
    <s v="S001233"/>
    <s v="FRA-2024-00275"/>
    <s v="Fragrance Oil"/>
    <s v="Vernier CH"/>
    <x v="4"/>
    <n v="1"/>
    <x v="0"/>
    <s v="Pass"/>
    <n v="0.57999999999999996"/>
    <s v="%"/>
    <n v="0"/>
    <n v="1"/>
    <x v="75"/>
    <s v="J. Nagy"/>
  </r>
  <r>
    <s v="S000709"/>
    <s v="ARO-2025-00161"/>
    <s v="Aroma Chemical"/>
    <s v="Budapest"/>
    <x v="3"/>
    <n v="1"/>
    <x v="0"/>
    <s v="Pass"/>
    <n v="97.88"/>
    <s v="%"/>
    <n v="97"/>
    <n v="100"/>
    <x v="255"/>
    <s v="L. Rossi"/>
  </r>
  <r>
    <s v="S001559"/>
    <s v="FRA-2024-00347"/>
    <s v="Fragrance Oil"/>
    <s v="Ashford UK"/>
    <x v="4"/>
    <n v="1"/>
    <x v="0"/>
    <s v="Pass"/>
    <n v="0.47"/>
    <s v="%"/>
    <n v="0"/>
    <n v="1"/>
    <x v="322"/>
    <s v="J NAGY"/>
  </r>
  <r>
    <s v="S001341"/>
    <s v="ESS-2024-00299"/>
    <s v="Essential Oil Blend"/>
    <s v="Vernier CH"/>
    <x v="5"/>
    <n v="1"/>
    <x v="0"/>
    <s v="Pending"/>
    <n v="6.72"/>
    <m/>
    <n v="6"/>
    <n v="7.5"/>
    <x v="145"/>
    <s v="J NAGY"/>
  </r>
  <r>
    <s v="S001564"/>
    <s v="FOO-2024-00348"/>
    <s v="Food Ingredient Extract"/>
    <s v="East Hanover"/>
    <x v="0"/>
    <n v="1"/>
    <x v="0"/>
    <s v="Fail"/>
    <n v="41.29"/>
    <s v="ppm"/>
    <n v="0"/>
    <n v="120"/>
    <x v="130"/>
    <s v="L. Rossi"/>
  </r>
  <r>
    <s v="S000539"/>
    <s v="FLA-2024-00121"/>
    <s v="Flavor Compound"/>
    <s v="Dortmund DE"/>
    <x v="6"/>
    <n v="1"/>
    <x v="0"/>
    <s v="Pass"/>
    <n v="15.71"/>
    <s v="CFU/g"/>
    <n v="0"/>
    <n v="100"/>
    <x v="67"/>
    <s v="L. Rossi"/>
  </r>
  <r>
    <s v="S001881"/>
    <s v="FLA-2025-00421"/>
    <s v="Flavor Compound"/>
    <s v="East Hanover"/>
    <x v="3"/>
    <n v="1"/>
    <x v="0"/>
    <s v="Pass"/>
    <n v="98.73"/>
    <s v="%"/>
    <n v="97"/>
    <n v="100"/>
    <x v="128"/>
    <s v="K. Varga"/>
  </r>
  <r>
    <s v="S001181"/>
    <s v="ARO-2024-00265"/>
    <s v="Aroma Chemical"/>
    <s v="Ashford UK"/>
    <x v="3"/>
    <n v="1"/>
    <x v="0"/>
    <s v="Fail"/>
    <n v="98.77"/>
    <s v="%"/>
    <n v="97"/>
    <n v="100"/>
    <x v="74"/>
    <s v="A. Kovacs"/>
  </r>
  <r>
    <s v="S001555"/>
    <s v="ESS-2024-00346"/>
    <s v="Essential Oil Blend"/>
    <s v="Vernier CH"/>
    <x v="3"/>
    <n v="1"/>
    <x v="0"/>
    <s v="Fail"/>
    <n v="99.48"/>
    <s v="%"/>
    <n v="97"/>
    <n v="100"/>
    <x v="195"/>
    <s v="J. Nagy"/>
  </r>
  <r>
    <s v="S001308"/>
    <s v="ESS-2025-00292"/>
    <s v="Essential Oil Blend"/>
    <s v="East Hanover"/>
    <x v="1"/>
    <n v="1"/>
    <x v="0"/>
    <s v="Fail"/>
    <n v="0.95"/>
    <s v="g/ml"/>
    <n v="0.88"/>
    <n v="0.97"/>
    <x v="260"/>
    <s v="A. Kovacs"/>
  </r>
  <r>
    <s v="S000419"/>
    <s v="FLA-2024-00095"/>
    <s v="Flavor Compound"/>
    <s v="East Hanover"/>
    <x v="2"/>
    <n v="1"/>
    <x v="0"/>
    <s v="Fail"/>
    <n v="339.38"/>
    <s v="um"/>
    <n v="150"/>
    <n v="400"/>
    <x v="123"/>
    <s v="L. Rossi"/>
  </r>
  <r>
    <s v="S001848"/>
    <s v="FLA-2025-00413"/>
    <s v="Flavor Compound"/>
    <s v="Budapest"/>
    <x v="4"/>
    <n v="1"/>
    <x v="0"/>
    <s v="Fail"/>
    <n v="0.4"/>
    <s v="%"/>
    <n v="0"/>
    <n v="1"/>
    <x v="131"/>
    <s v="L. Rossi"/>
  </r>
  <r>
    <s v="S001705"/>
    <s v="ARO-2025-00381"/>
    <s v="Aroma Chemical"/>
    <s v="Budapest"/>
    <x v="4"/>
    <n v="1"/>
    <x v="0"/>
    <s v="Pass"/>
    <n v="0.22"/>
    <s v="%"/>
    <n v="0"/>
    <n v="1"/>
    <x v="31"/>
    <s v="M. Toth"/>
  </r>
  <r>
    <s v="S001282"/>
    <s v="ESS-2025-00286"/>
    <s v="Essential Oil Blend"/>
    <s v="Ashford UK"/>
    <x v="2"/>
    <n v="1"/>
    <x v="0"/>
    <s v="Pass"/>
    <n v="328.59"/>
    <s v="um"/>
    <n v="150"/>
    <n v="400"/>
    <x v="69"/>
    <s v="T. Weber"/>
  </r>
  <r>
    <s v="S000852"/>
    <s v="FRA-2024-00193"/>
    <s v="Fragrance Oil"/>
    <s v="Dortmund DE"/>
    <x v="6"/>
    <n v="1"/>
    <x v="1"/>
    <s v="Fail"/>
    <n v="-17.079999999999998"/>
    <s v="CFU/g"/>
    <n v="0"/>
    <n v="100"/>
    <x v="245"/>
    <s v="T. Weber"/>
  </r>
  <r>
    <s v="S001750"/>
    <s v="ESS-2025-00391"/>
    <s v="Essential Oil Blend"/>
    <s v="Vernier CH"/>
    <x v="4"/>
    <n v="1"/>
    <x v="0"/>
    <s v="Fail"/>
    <n v="0.35"/>
    <s v="%"/>
    <n v="0"/>
    <n v="1"/>
    <x v="210"/>
    <s v="T. Weber"/>
  </r>
  <r>
    <s v="S001727"/>
    <s v="FRA-2025-00386"/>
    <s v="Fragrance Oil"/>
    <s v="Ashford UK"/>
    <x v="3"/>
    <n v="1"/>
    <x v="0"/>
    <s v="Pass"/>
    <n v="98.22"/>
    <s v="%"/>
    <n v="97"/>
    <n v="100"/>
    <x v="172"/>
    <s v="A. Kovacs"/>
  </r>
  <r>
    <s v="S001691"/>
    <s v="ESS-2025-00378"/>
    <s v="Essential Oil Blend"/>
    <s v="Budapest"/>
    <x v="4"/>
    <n v="1"/>
    <x v="0"/>
    <s v="Pass"/>
    <n v="0.2"/>
    <s v="%"/>
    <n v="0"/>
    <n v="1"/>
    <x v="323"/>
    <s v="M. Toth"/>
  </r>
  <r>
    <s v="S001855"/>
    <s v="FLA-2024-00415"/>
    <s v="Flavor Compound"/>
    <s v="Budapest"/>
    <x v="1"/>
    <n v="1"/>
    <x v="0"/>
    <s v="Pass"/>
    <n v="0.95"/>
    <s v="g/ml"/>
    <n v="0.88"/>
    <n v="0.97"/>
    <x v="283"/>
    <s v="K. Varga"/>
  </r>
  <r>
    <s v="S001804"/>
    <s v="ESS-2024-00404"/>
    <s v="Essential Oil Blend"/>
    <s v="East Hanover"/>
    <x v="2"/>
    <n v="1"/>
    <x v="0"/>
    <s v="Fail"/>
    <n v="249.17"/>
    <s v="um"/>
    <n v="150"/>
    <n v="400"/>
    <x v="214"/>
    <s v="M. Toth"/>
  </r>
  <r>
    <s v="S001730"/>
    <s v="ESS-2025-00387"/>
    <s v="Essential Oil Blend"/>
    <s v="East Hanover"/>
    <x v="0"/>
    <n v="1"/>
    <x v="0"/>
    <s v="Fail"/>
    <n v="57.71"/>
    <s v="ppm"/>
    <n v="0"/>
    <n v="120"/>
    <x v="294"/>
    <s v="M. Toth"/>
  </r>
  <r>
    <s v="S001796"/>
    <s v="FLA-2024-00402"/>
    <s v="Flavor Compound"/>
    <s v="Dortmund DE"/>
    <x v="3"/>
    <n v="1"/>
    <x v="0"/>
    <s v="Pass"/>
    <n v="98.89"/>
    <s v="%"/>
    <n v="97"/>
    <n v="100"/>
    <x v="88"/>
    <s v="M. Toth"/>
  </r>
  <r>
    <s v="S000305"/>
    <s v="FRA-2024-00069"/>
    <s v="Fragrance Oil"/>
    <s v="Vernier CH"/>
    <x v="4"/>
    <n v="1"/>
    <x v="0"/>
    <s v="Fail"/>
    <n v="0.53"/>
    <s v="%"/>
    <n v="0"/>
    <n v="1"/>
    <x v="171"/>
    <s v="M. Toth"/>
  </r>
  <r>
    <s v="S001517"/>
    <s v="FRA-2024-00338"/>
    <s v="Fragrance Oil"/>
    <s v="Dortmund DE"/>
    <x v="0"/>
    <n v="1"/>
    <x v="0"/>
    <s v="Fail"/>
    <n v="61.76"/>
    <s v="ppm"/>
    <n v="0"/>
    <n v="120"/>
    <x v="7"/>
    <s v="M. Toth"/>
  </r>
  <r>
    <s v="S000336"/>
    <s v="ARO-2025-00076"/>
    <s v="Aroma Chemical"/>
    <s v="Dortmund DE"/>
    <x v="3"/>
    <n v="1"/>
    <x v="0"/>
    <s v="Pass"/>
    <n v="98.9"/>
    <s v="%"/>
    <n v="97"/>
    <n v="100"/>
    <x v="129"/>
    <s v="M. Toth"/>
  </r>
  <r>
    <s v="S000996"/>
    <s v="ARO-2025-00225"/>
    <s v="Aroma Chemical"/>
    <s v="Dortmund DE"/>
    <x v="6"/>
    <n v="1"/>
    <x v="1"/>
    <s v="Fail"/>
    <n v="-4.21"/>
    <s v="CFU/g"/>
    <n v="0"/>
    <n v="100"/>
    <x v="158"/>
    <s v="A. Kovacs"/>
  </r>
  <r>
    <s v="S000570"/>
    <s v="FLA-2024-00128"/>
    <s v="Flavor Compound"/>
    <s v="East Hanover"/>
    <x v="3"/>
    <n v="1"/>
    <x v="1"/>
    <s v="Fail"/>
    <n v="100.32"/>
    <s v="%"/>
    <n v="97"/>
    <n v="100"/>
    <x v="296"/>
    <s v="K. Varga"/>
  </r>
  <r>
    <s v="S000089"/>
    <s v="FRA-2024-00021"/>
    <s v="Fragrance Oil"/>
    <s v="Budapest"/>
    <x v="4"/>
    <n v="1"/>
    <x v="0"/>
    <s v="Pass"/>
    <n v="0.51"/>
    <s v="%"/>
    <n v="0"/>
    <n v="1"/>
    <x v="321"/>
    <s v="M. Toth"/>
  </r>
  <r>
    <s v="S000875"/>
    <s v="FOO-2025-00198"/>
    <s v="Food Ingredient Extract"/>
    <s v="East Hanover"/>
    <x v="6"/>
    <n v="1"/>
    <x v="0"/>
    <s v="Fail"/>
    <n v="3.22"/>
    <s v="CFU/g"/>
    <n v="0"/>
    <n v="100"/>
    <x v="47"/>
    <s v="P. Meier"/>
  </r>
  <r>
    <s v="S001152"/>
    <s v="FOO-2025-00258"/>
    <s v="Food Ingredient Extract"/>
    <s v="East Hanover"/>
    <x v="4"/>
    <n v="1"/>
    <x v="0"/>
    <s v="Pass"/>
    <n v="0.41"/>
    <s v="%"/>
    <n v="0"/>
    <n v="1"/>
    <x v="62"/>
    <s v="M. Toth"/>
  </r>
  <r>
    <s v="S001524"/>
    <s v="FRA-2024-00340"/>
    <s v="Fragrance Oil"/>
    <s v="Dortmund DE"/>
    <x v="6"/>
    <n v="1"/>
    <x v="0"/>
    <s v="Pass"/>
    <n v="5.35"/>
    <s v="CFU/g"/>
    <n v="0"/>
    <n v="100"/>
    <x v="87"/>
    <s v="T. Weber"/>
  </r>
  <r>
    <s v="S000713"/>
    <s v="FLA-2025-00162"/>
    <s v="Flavor Compound"/>
    <s v="East Hanover"/>
    <x v="1"/>
    <n v="1"/>
    <x v="0"/>
    <s v="Pass"/>
    <n v="0.94"/>
    <s v="g/ml"/>
    <n v="0.88"/>
    <n v="0.97"/>
    <x v="63"/>
    <s v="T. Weber"/>
  </r>
  <r>
    <s v="S001747"/>
    <s v="FLA-2025-00390"/>
    <s v="Flavor Compound"/>
    <s v="Budapest"/>
    <x v="6"/>
    <n v="1"/>
    <x v="0"/>
    <s v="Pass"/>
    <n v="33.450000000000003"/>
    <s v="CFU/g"/>
    <n v="0"/>
    <n v="100"/>
    <x v="190"/>
    <s v="L. Rossi"/>
  </r>
  <r>
    <s v="S001850"/>
    <s v="FLA-2025-00413"/>
    <s v="Flavor Compound"/>
    <s v="Budapest"/>
    <x v="2"/>
    <n v="1"/>
    <x v="0"/>
    <s v="Fail"/>
    <n v="212.29"/>
    <s v="um"/>
    <n v="150"/>
    <n v="400"/>
    <x v="131"/>
    <s v="L. Rossi"/>
  </r>
  <r>
    <s v="S001382"/>
    <s v="ARO-2025-00309"/>
    <s v="Aroma Chemical"/>
    <s v="Budapest"/>
    <x v="1"/>
    <n v="1"/>
    <x v="0"/>
    <s v="Pass"/>
    <n v="0.94"/>
    <s v="g/ml"/>
    <n v="0.88"/>
    <n v="0.97"/>
    <x v="241"/>
    <s v="K. Varga"/>
  </r>
  <r>
    <s v="S000222"/>
    <s v="ARO-2024-00051"/>
    <s v="Aroma Chemical"/>
    <s v="Budapest"/>
    <x v="6"/>
    <n v="1"/>
    <x v="0"/>
    <s v="Pass"/>
    <n v="13.89"/>
    <s v="CFU/g"/>
    <n v="0"/>
    <n v="100"/>
    <x v="199"/>
    <s v="M. Toth"/>
  </r>
  <r>
    <s v="S000320"/>
    <s v="ARO-2025-00073"/>
    <s v="Aroma Chemical"/>
    <s v="Budapest"/>
    <x v="2"/>
    <n v="1"/>
    <x v="0"/>
    <s v="Pass"/>
    <n v="362.38"/>
    <s v="um"/>
    <n v="150"/>
    <n v="400"/>
    <x v="146"/>
    <s v="S. Fischer"/>
  </r>
  <r>
    <s v="S001756"/>
    <s v="FRA-2024-00392"/>
    <s v="Fragrance Oil"/>
    <s v="Vernier CH"/>
    <x v="1"/>
    <n v="1"/>
    <x v="1"/>
    <s v="Fail"/>
    <n v="0.87"/>
    <s v="g/ml"/>
    <n v="0.88"/>
    <n v="0.97"/>
    <x v="134"/>
    <s v="P. Meier"/>
  </r>
  <r>
    <s v="S000879"/>
    <s v="FOO-2025-00199"/>
    <s v="Food Ingredient Extract"/>
    <s v="Ashford UK"/>
    <x v="1"/>
    <n v="0"/>
    <x v="2"/>
    <s v="Pending"/>
    <m/>
    <s v="g/ml"/>
    <n v="0.88"/>
    <n v="0.97"/>
    <x v="269"/>
    <s v="S. Fischer"/>
  </r>
  <r>
    <s v="S001802"/>
    <s v="ARO-2025-00403"/>
    <s v="Aroma Chemical"/>
    <s v="Budapest"/>
    <x v="4"/>
    <n v="1"/>
    <x v="0"/>
    <s v="Fail"/>
    <n v="0.45"/>
    <s v="%"/>
    <n v="0"/>
    <n v="1"/>
    <x v="81"/>
    <s v="K. Varga"/>
  </r>
  <r>
    <s v="S000826"/>
    <s v="FRA-2024-00187"/>
    <s v="Fragrance Oil"/>
    <s v="Vernier CH"/>
    <x v="5"/>
    <n v="1"/>
    <x v="0"/>
    <s v="Pass"/>
    <n v="6.41"/>
    <m/>
    <n v="6"/>
    <n v="7.5"/>
    <x v="305"/>
    <s v="M. Toth"/>
  </r>
  <r>
    <s v="S001987"/>
    <s v="FRA-2025-00444"/>
    <s v="Fragrance Oil"/>
    <s v="East Hanover"/>
    <x v="0"/>
    <n v="1"/>
    <x v="1"/>
    <s v="Fail"/>
    <n v="180"/>
    <s v="ppm"/>
    <n v="0"/>
    <n v="120"/>
    <x v="238"/>
    <s v="P. Meier"/>
  </r>
  <r>
    <s v="S001468"/>
    <s v="ESS-2025-00327"/>
    <s v="Essential Oil Blend"/>
    <s v="Ashford UK"/>
    <x v="6"/>
    <n v="1"/>
    <x v="0"/>
    <s v="Pending"/>
    <n v="40.9"/>
    <s v="CFU/g"/>
    <n v="0"/>
    <n v="100"/>
    <x v="79"/>
    <s v="J. Nagy"/>
  </r>
  <r>
    <s v="S000139"/>
    <s v="FRA-2024-00033"/>
    <s v="Fragrance Oil"/>
    <s v="Dortmund DE"/>
    <x v="1"/>
    <n v="0"/>
    <x v="2"/>
    <s v="Pending"/>
    <m/>
    <s v="g/ml"/>
    <n v="0.88"/>
    <n v="0.97"/>
    <x v="275"/>
    <s v="L. Rossi"/>
  </r>
  <r>
    <s v="S000164"/>
    <s v="ESS-2024-00039"/>
    <s v="Essential Oil Blend"/>
    <s v="Ashford UK"/>
    <x v="1"/>
    <n v="1"/>
    <x v="0"/>
    <s v="Fail"/>
    <n v="0.91"/>
    <s v="g/ml"/>
    <n v="0.88"/>
    <n v="0.97"/>
    <x v="236"/>
    <s v="J. Nagy"/>
  </r>
  <r>
    <s v="S001782"/>
    <s v="FOO-2025-00398"/>
    <s v="Food Ingredient Extract"/>
    <s v="Dortmund DE"/>
    <x v="0"/>
    <n v="1"/>
    <x v="0"/>
    <s v="Pass"/>
    <n v="38.69"/>
    <s v="ppm"/>
    <n v="0"/>
    <n v="120"/>
    <x v="183"/>
    <s v="P. Meier"/>
  </r>
  <r>
    <s v="S001451"/>
    <s v="FOO-2024-00324"/>
    <s v="Food Ingredient Extract"/>
    <s v="Dortmund DE"/>
    <x v="5"/>
    <n v="1"/>
    <x v="0"/>
    <s v="Pass"/>
    <n v="6.24"/>
    <m/>
    <n v="6"/>
    <n v="7.5"/>
    <x v="248"/>
    <s v="M. Toth"/>
  </r>
  <r>
    <s v="S000961"/>
    <s v="FLA-2025-00217"/>
    <s v="Flavor Compound"/>
    <s v="East Hanover"/>
    <x v="4"/>
    <n v="1"/>
    <x v="0"/>
    <s v="Pass"/>
    <n v="0.24"/>
    <s v="%"/>
    <n v="0"/>
    <n v="1"/>
    <x v="324"/>
    <s v="S. Fischer"/>
  </r>
  <r>
    <s v="S001709"/>
    <s v="FOO-2025-00382"/>
    <s v="Food Ingredient Extract"/>
    <s v="East Hanover"/>
    <x v="0"/>
    <n v="1"/>
    <x v="0"/>
    <s v="Pass"/>
    <n v="54.21"/>
    <s v="ppm"/>
    <n v="0"/>
    <n v="120"/>
    <x v="61"/>
    <s v="M. Toth"/>
  </r>
  <r>
    <s v="S001243"/>
    <s v="ESS-2025-00278"/>
    <s v="Essential Oil Blend"/>
    <s v="Ashford UK"/>
    <x v="0"/>
    <n v="1"/>
    <x v="0"/>
    <s v="Pass"/>
    <n v="72.66"/>
    <s v="ppm"/>
    <n v="0"/>
    <n v="120"/>
    <x v="206"/>
    <s v="P. Meier"/>
  </r>
  <r>
    <s v="S001180"/>
    <s v="FOO-2025-00264"/>
    <s v="Food Ingredient Extract"/>
    <s v="East Hanover"/>
    <x v="3"/>
    <n v="1"/>
    <x v="0"/>
    <s v="Pass"/>
    <n v="98.04"/>
    <s v="%"/>
    <n v="97"/>
    <n v="100"/>
    <x v="268"/>
    <s v="T. Weber"/>
  </r>
  <r>
    <s v="S001931"/>
    <s v="FRA-2025-00432"/>
    <s v="Fragrance Oil"/>
    <s v="East Hanover"/>
    <x v="3"/>
    <n v="1"/>
    <x v="0"/>
    <s v="Pass"/>
    <n v="98.56"/>
    <s v="%"/>
    <n v="97"/>
    <n v="100"/>
    <x v="213"/>
    <s v="T. Weber"/>
  </r>
  <r>
    <s v="S001680"/>
    <s v="FRA-2024-00376"/>
    <s v="Fragrance Oil"/>
    <s v="Ashford UK"/>
    <x v="1"/>
    <n v="1"/>
    <x v="1"/>
    <s v="Fail"/>
    <n v="1.06"/>
    <s v="g/ml"/>
    <n v="0.88"/>
    <n v="0.97"/>
    <x v="21"/>
    <s v="P. Meier"/>
  </r>
  <r>
    <s v="S001805"/>
    <s v="ESS-2024-00404"/>
    <s v="Essential Oil Blend"/>
    <s v="East Hanover"/>
    <x v="6"/>
    <n v="1"/>
    <x v="1"/>
    <s v="Fail"/>
    <n v="-9.24"/>
    <s v="CFU/g"/>
    <n v="0"/>
    <n v="100"/>
    <x v="214"/>
    <s v="P. Meier"/>
  </r>
  <r>
    <s v="S000634"/>
    <s v="ESS-2025-00144"/>
    <s v="Essential Oil Blend"/>
    <s v="Vernier CH"/>
    <x v="5"/>
    <n v="1"/>
    <x v="0"/>
    <s v="Pass"/>
    <n v="6.71"/>
    <m/>
    <n v="6"/>
    <n v="7.5"/>
    <x v="325"/>
    <s v="K. Varga"/>
  </r>
  <r>
    <s v="S001189"/>
    <s v="ARO-2024-00266"/>
    <s v="Aroma Chemical"/>
    <s v="Dortmund DE"/>
    <x v="2"/>
    <n v="1"/>
    <x v="0"/>
    <s v="Pass"/>
    <n v="237.27"/>
    <s v="um"/>
    <n v="150"/>
    <n v="400"/>
    <x v="273"/>
    <s v="P. Meier"/>
  </r>
  <r>
    <s v="S000656"/>
    <s v="FRA-2024-00149"/>
    <s v="Fragrance Oil"/>
    <s v="Budapest"/>
    <x v="5"/>
    <n v="1"/>
    <x v="0"/>
    <s v="Pass"/>
    <n v="6.06"/>
    <m/>
    <n v="6"/>
    <n v="7.5"/>
    <x v="58"/>
    <s v="P. Meier"/>
  </r>
  <r>
    <s v="S000017"/>
    <s v="FRA-2025-00004"/>
    <s v="Fragrance Oil"/>
    <s v="Budapest"/>
    <x v="6"/>
    <n v="1"/>
    <x v="0"/>
    <s v="Pass"/>
    <n v="4.42"/>
    <s v="CFU/g"/>
    <n v="0"/>
    <n v="100"/>
    <x v="139"/>
    <s v="K. Varga"/>
  </r>
  <r>
    <s v="S001689"/>
    <s v="ESS-2025-00378"/>
    <s v="Essential Oil Blend"/>
    <s v="Budapest"/>
    <x v="3"/>
    <n v="1"/>
    <x v="0"/>
    <s v="Pass"/>
    <n v="98.04"/>
    <s v="%"/>
    <n v="97"/>
    <n v="100"/>
    <x v="323"/>
    <s v="A. Kovacs"/>
  </r>
  <r>
    <s v="S001166"/>
    <s v="ESS-2024-00262"/>
    <s v="Essential Oil Blend"/>
    <s v="Budapest"/>
    <x v="4"/>
    <n v="1"/>
    <x v="0"/>
    <s v="Pass"/>
    <n v="0.55000000000000004"/>
    <s v="%"/>
    <n v="0"/>
    <n v="1"/>
    <x v="292"/>
    <s v="S. Fischer"/>
  </r>
  <r>
    <s v="S000138"/>
    <s v="FRA-2024-00033"/>
    <s v="Fragrance Oil"/>
    <s v="Dortmund DE"/>
    <x v="0"/>
    <n v="1"/>
    <x v="0"/>
    <s v="Pending"/>
    <n v="69.989999999999995"/>
    <s v="ppm"/>
    <n v="0"/>
    <n v="120"/>
    <x v="275"/>
    <s v="A. Kovacs"/>
  </r>
  <r>
    <s v="S001226"/>
    <s v="FLA-2024-00274"/>
    <s v="Flavor Compound"/>
    <s v="Ashford UK"/>
    <x v="1"/>
    <n v="1"/>
    <x v="0"/>
    <s v="Pass"/>
    <n v="0.94"/>
    <s v="g/ml"/>
    <n v="0.88"/>
    <n v="0.97"/>
    <x v="204"/>
    <s v="M. Toth"/>
  </r>
  <r>
    <s v="S000698"/>
    <s v="FRA-2025-00159"/>
    <s v="Fragrance Oil"/>
    <s v="Dortmund DE"/>
    <x v="0"/>
    <n v="1"/>
    <x v="0"/>
    <s v="Pass"/>
    <n v="56.82"/>
    <s v="ppm"/>
    <n v="0"/>
    <n v="120"/>
    <x v="201"/>
    <s v="J. Nagy"/>
  </r>
  <r>
    <s v="S001098"/>
    <s v="FRA-2024-00247"/>
    <s v="Fragrance Oil"/>
    <s v="Vernier CH"/>
    <x v="0"/>
    <n v="1"/>
    <x v="0"/>
    <s v="Pass"/>
    <n v="57.42"/>
    <s v="ppm"/>
    <n v="0"/>
    <n v="120"/>
    <x v="135"/>
    <s v="J. Nagy"/>
  </r>
  <r>
    <s v="S001616"/>
    <s v="FOO-2025-00360"/>
    <s v="Food Ingredient Extract"/>
    <s v="Ashford UK"/>
    <x v="3"/>
    <n v="1"/>
    <x v="0"/>
    <s v="Pass"/>
    <n v="98.5"/>
    <s v="%"/>
    <n v="97"/>
    <n v="100"/>
    <x v="46"/>
    <s v="L. Rossi"/>
  </r>
  <r>
    <s v="S000449"/>
    <s v="FLA-2025-00101"/>
    <s v="Flavor Compound"/>
    <s v="Vernier CH"/>
    <x v="0"/>
    <n v="1"/>
    <x v="0"/>
    <s v="Pass"/>
    <n v="39.4"/>
    <s v="ppm"/>
    <n v="0"/>
    <n v="120"/>
    <x v="86"/>
    <s v="M. Toth"/>
  </r>
  <r>
    <s v="S001896"/>
    <s v="ARO-2025-00424"/>
    <s v="Aroma Chemical"/>
    <s v="Dortmund DE"/>
    <x v="4"/>
    <n v="1"/>
    <x v="0"/>
    <s v="Pass"/>
    <n v="0.27"/>
    <s v="%"/>
    <n v="0"/>
    <n v="1"/>
    <x v="326"/>
    <s v="M. Toth"/>
  </r>
  <r>
    <s v="S000328"/>
    <s v="FRA-2024-00075"/>
    <s v="Fragrance Oil"/>
    <s v="East Hanover"/>
    <x v="3"/>
    <n v="1"/>
    <x v="0"/>
    <s v="Pass"/>
    <n v="98.5"/>
    <s v="%"/>
    <n v="97"/>
    <n v="100"/>
    <x v="82"/>
    <s v="S. Fischer"/>
  </r>
  <r>
    <s v="S000318"/>
    <s v="FLA-2024-00072"/>
    <s v="Flavor Compound"/>
    <s v="East Hanover"/>
    <x v="1"/>
    <n v="1"/>
    <x v="0"/>
    <s v="Fail"/>
    <n v="0.9"/>
    <s v="g/ml"/>
    <n v="0.88"/>
    <n v="0.97"/>
    <x v="254"/>
    <s v="S. Fischer"/>
  </r>
  <r>
    <s v="S001530"/>
    <s v="ESS-2024-00341"/>
    <s v="Essential Oil Blend"/>
    <s v="East Hanover"/>
    <x v="6"/>
    <n v="1"/>
    <x v="0"/>
    <s v="Fail"/>
    <n v="16.16"/>
    <s v="CFU/g"/>
    <n v="0"/>
    <n v="100"/>
    <x v="77"/>
    <s v="J. Nagy"/>
  </r>
  <r>
    <s v="S000527"/>
    <s v="ARO-2024-00119"/>
    <s v="Aroma Chemical"/>
    <s v="East Hanover"/>
    <x v="2"/>
    <n v="1"/>
    <x v="0"/>
    <s v="Pass"/>
    <n v="228.52"/>
    <s v="um"/>
    <n v="150"/>
    <n v="400"/>
    <x v="27"/>
    <s v="J. Nagy"/>
  </r>
  <r>
    <s v="S000088"/>
    <s v="FRA-2024-00021"/>
    <s v="Fragrance Oil"/>
    <s v="Budapest"/>
    <x v="1"/>
    <n v="1"/>
    <x v="0"/>
    <s v="Pass"/>
    <n v="0.89"/>
    <s v="g/ml"/>
    <n v="0.88"/>
    <n v="0.97"/>
    <x v="321"/>
    <s v="A. Kovacs"/>
  </r>
  <r>
    <s v="S001275"/>
    <s v="ARO-2024-00285"/>
    <s v="Aroma Chemical"/>
    <s v="Vernier CH"/>
    <x v="5"/>
    <n v="1"/>
    <x v="0"/>
    <s v="Fail"/>
    <n v="6.48"/>
    <m/>
    <n v="6"/>
    <n v="7.5"/>
    <x v="13"/>
    <s v="J. Nagy"/>
  </r>
  <r>
    <s v="S000149"/>
    <s v="ESS-2025-00035"/>
    <s v="Essential Oil Blend"/>
    <s v="Budapest"/>
    <x v="6"/>
    <n v="1"/>
    <x v="1"/>
    <s v="Fail"/>
    <n v="-13.49"/>
    <s v="CFU/g"/>
    <n v="0"/>
    <n v="100"/>
    <x v="146"/>
    <s v="J. Nagy"/>
  </r>
  <r>
    <s v="S001623"/>
    <s v="FOO-2025-00362"/>
    <s v="Food Ingredient Extract"/>
    <s v="Budapest"/>
    <x v="0"/>
    <n v="1"/>
    <x v="0"/>
    <s v="Fail"/>
    <n v="82.71"/>
    <s v="ppm"/>
    <n v="0"/>
    <n v="120"/>
    <x v="313"/>
    <s v="A. Kovacs"/>
  </r>
  <r>
    <s v="S001209"/>
    <s v="FLA-2024-00270"/>
    <s v="Flavor Compound"/>
    <s v="Ashford UK"/>
    <x v="4"/>
    <n v="1"/>
    <x v="0"/>
    <s v="Fail"/>
    <n v="0.28000000000000003"/>
    <s v="%"/>
    <n v="0"/>
    <n v="1"/>
    <x v="200"/>
    <s v="J NAGY"/>
  </r>
  <r>
    <s v="S001840"/>
    <s v="ARO-2025-00411"/>
    <s v="Aroma Chemical"/>
    <s v="East Hanover"/>
    <x v="1"/>
    <n v="1"/>
    <x v="0"/>
    <s v="Pass"/>
    <n v="0.91"/>
    <s v="g/ml"/>
    <n v="0.88"/>
    <n v="0.97"/>
    <x v="287"/>
    <s v="J. Nagy"/>
  </r>
  <r>
    <s v="S000366"/>
    <s v="FLA-2025-00082"/>
    <s v="Flavor Compound"/>
    <s v="Ashford UK"/>
    <x v="2"/>
    <n v="1"/>
    <x v="0"/>
    <s v="Pending"/>
    <n v="269.06"/>
    <s v="um"/>
    <n v="150"/>
    <n v="400"/>
    <x v="24"/>
    <s v="T. Weber"/>
  </r>
  <r>
    <s v="S000590"/>
    <s v="ARO-2025-00133"/>
    <s v="Aroma Chemical"/>
    <s v="Dortmund DE"/>
    <x v="1"/>
    <n v="1"/>
    <x v="0"/>
    <s v="Pass"/>
    <n v="0.93"/>
    <s v="g/ml"/>
    <n v="0.88"/>
    <n v="0.97"/>
    <x v="105"/>
    <s v="S. Fischer"/>
  </r>
  <r>
    <s v="S001852"/>
    <s v="FLA-2025-00414"/>
    <s v="Flavor Compound"/>
    <s v="East Hanover"/>
    <x v="3"/>
    <n v="1"/>
    <x v="0"/>
    <s v="Pass"/>
    <n v="98.62"/>
    <s v="%"/>
    <n v="97"/>
    <n v="100"/>
    <x v="238"/>
    <s v="J. Nagy"/>
  </r>
  <r>
    <s v="S000199"/>
    <s v="ARO-2025-00046"/>
    <s v="Aroma Chemical"/>
    <s v="Vernier CH"/>
    <x v="5"/>
    <n v="1"/>
    <x v="0"/>
    <s v="Pass"/>
    <n v="7.43"/>
    <m/>
    <n v="6"/>
    <n v="7.5"/>
    <x v="116"/>
    <s v="K. Varga"/>
  </r>
  <r>
    <s v="S001897"/>
    <s v="ARO-2025-00425"/>
    <s v="Aroma Chemical"/>
    <s v="East Hanover"/>
    <x v="0"/>
    <n v="1"/>
    <x v="1"/>
    <s v="Fail"/>
    <n v="-60"/>
    <s v="ppm"/>
    <n v="0"/>
    <n v="120"/>
    <x v="103"/>
    <s v="K. Varga"/>
  </r>
  <r>
    <s v="S000193"/>
    <s v="FLA-2025-00044"/>
    <s v="Flavor Compound"/>
    <s v="Ashford UK"/>
    <x v="5"/>
    <n v="1"/>
    <x v="0"/>
    <s v="Fail"/>
    <n v="6.85"/>
    <m/>
    <n v="6"/>
    <n v="7.5"/>
    <x v="327"/>
    <s v="A. Kovacs"/>
  </r>
  <r>
    <s v="S000405"/>
    <s v="ARO-2024-00092"/>
    <s v="Aroma Chemical"/>
    <s v="Budapest"/>
    <x v="5"/>
    <n v="1"/>
    <x v="0"/>
    <s v="Fail"/>
    <n v="6.24"/>
    <m/>
    <n v="6"/>
    <n v="7.5"/>
    <x v="267"/>
    <s v="L. Rossi"/>
  </r>
  <r>
    <s v="S001575"/>
    <s v="ARO-2024-00351"/>
    <s v="Aroma Chemical"/>
    <s v="Vernier CH"/>
    <x v="0"/>
    <n v="1"/>
    <x v="0"/>
    <s v="Pass"/>
    <n v="56.84"/>
    <s v="ppm"/>
    <n v="0"/>
    <n v="120"/>
    <x v="263"/>
    <s v="J. Nagy"/>
  </r>
  <r>
    <s v="S001988"/>
    <s v="FRA-2025-00444"/>
    <s v="Fragrance Oil"/>
    <s v="East Hanover"/>
    <x v="2"/>
    <n v="1"/>
    <x v="1"/>
    <s v="Fail"/>
    <n v="30"/>
    <s v="um"/>
    <n v="150"/>
    <n v="400"/>
    <x v="238"/>
    <s v="M. Toth"/>
  </r>
  <r>
    <s v="S000484"/>
    <s v="FLA-2025-00109"/>
    <s v="Flavor Compound"/>
    <s v="Budapest"/>
    <x v="2"/>
    <n v="1"/>
    <x v="0"/>
    <s v="Pass"/>
    <n v="239.14"/>
    <s v="um"/>
    <n v="150"/>
    <n v="400"/>
    <x v="272"/>
    <s v="M. Toth"/>
  </r>
  <r>
    <s v="S001462"/>
    <s v="FRA-2025-00326"/>
    <s v="Fragrance Oil"/>
    <s v="Vernier CH"/>
    <x v="1"/>
    <n v="1"/>
    <x v="0"/>
    <s v="Pass"/>
    <n v="0.9"/>
    <s v="g/ml"/>
    <n v="0.88"/>
    <n v="0.97"/>
    <x v="244"/>
    <s v="K. Varga"/>
  </r>
  <r>
    <s v="S000792"/>
    <s v="FOO-2024-00179"/>
    <s v="Food Ingredient Extract"/>
    <s v="Vernier CH"/>
    <x v="6"/>
    <n v="1"/>
    <x v="1"/>
    <s v="Fail"/>
    <n v="-10.68"/>
    <s v="CFU/g"/>
    <n v="0"/>
    <n v="100"/>
    <x v="189"/>
    <s v="M. Toth"/>
  </r>
  <r>
    <s v="S000800"/>
    <s v="FRA-2024-00181"/>
    <s v="Fragrance Oil"/>
    <s v="Ashford UK"/>
    <x v="4"/>
    <n v="1"/>
    <x v="0"/>
    <s v="Pass"/>
    <n v="0.34"/>
    <s v="%"/>
    <n v="0"/>
    <n v="1"/>
    <x v="192"/>
    <s v="L. Rossi"/>
  </r>
  <r>
    <s v="S000385"/>
    <s v="ESS-2025-00087"/>
    <s v="Essential Oil Blend"/>
    <s v="East Hanover"/>
    <x v="1"/>
    <n v="1"/>
    <x v="0"/>
    <s v="Pass"/>
    <n v="0.95"/>
    <s v="g/ml"/>
    <n v="0.88"/>
    <n v="0.97"/>
    <x v="48"/>
    <s v="J NAGY"/>
  </r>
  <r>
    <s v="S000751"/>
    <s v="ESS-2025-00170"/>
    <s v="Essential Oil Blend"/>
    <s v="East Hanover"/>
    <x v="5"/>
    <n v="1"/>
    <x v="0"/>
    <s v="Pass"/>
    <n v="7.35"/>
    <m/>
    <n v="6"/>
    <n v="7.5"/>
    <x v="138"/>
    <s v="L. Rossi"/>
  </r>
  <r>
    <s v="S000423"/>
    <s v="FOO-2025-00096"/>
    <s v="Food Ingredient Extract"/>
    <s v="East Hanover"/>
    <x v="5"/>
    <n v="1"/>
    <x v="0"/>
    <s v="Pass"/>
    <n v="7.39"/>
    <m/>
    <n v="6"/>
    <n v="7.5"/>
    <x v="219"/>
    <s v="T. Weber"/>
  </r>
  <r>
    <s v="S000315"/>
    <s v="FLA-2024-00071"/>
    <s v="Flavor Compound"/>
    <s v="Budapest"/>
    <x v="0"/>
    <n v="1"/>
    <x v="0"/>
    <s v="Pass"/>
    <n v="63.29"/>
    <s v="ppm"/>
    <n v="0"/>
    <n v="120"/>
    <x v="204"/>
    <s v="A. Kovacs"/>
  </r>
  <r>
    <s v="S001022"/>
    <s v="ARO-2025-00230"/>
    <s v="Aroma Chemical"/>
    <s v="Ashford UK"/>
    <x v="6"/>
    <n v="1"/>
    <x v="0"/>
    <s v="Pass"/>
    <n v="24.1"/>
    <s v="CFU/g"/>
    <n v="0"/>
    <n v="100"/>
    <x v="181"/>
    <s v="K. Varga"/>
  </r>
  <r>
    <s v="S000544"/>
    <s v="FLA-2024-00123"/>
    <s v="Flavor Compound"/>
    <s v="Dortmund DE"/>
    <x v="6"/>
    <n v="1"/>
    <x v="0"/>
    <s v="Fail"/>
    <n v="32.19"/>
    <s v="CFU/g"/>
    <n v="0"/>
    <n v="100"/>
    <x v="38"/>
    <s v="T. Weber"/>
  </r>
  <r>
    <s v="S000914"/>
    <s v="FLA-2024-00207"/>
    <s v="Flavor Compound"/>
    <s v="East Hanover"/>
    <x v="1"/>
    <n v="1"/>
    <x v="0"/>
    <s v="Pass"/>
    <n v="0.9"/>
    <s v="g/ml"/>
    <n v="0.88"/>
    <n v="0.97"/>
    <x v="106"/>
    <s v="A. Kovacs"/>
  </r>
  <r>
    <s v="S000663"/>
    <s v="ARO-2025-00151"/>
    <s v="Aroma Chemical"/>
    <s v="East Hanover"/>
    <x v="2"/>
    <n v="1"/>
    <x v="0"/>
    <s v="Pass"/>
    <n v="240.69"/>
    <s v="um"/>
    <n v="150"/>
    <n v="400"/>
    <x v="158"/>
    <s v="M. Toth"/>
  </r>
  <r>
    <s v="S000903"/>
    <s v="ARO-2025-00204"/>
    <s v="Aroma Chemical"/>
    <s v="Vernier CH"/>
    <x v="2"/>
    <n v="1"/>
    <x v="0"/>
    <s v="Fail"/>
    <n v="255.93"/>
    <s v="um"/>
    <n v="150"/>
    <n v="400"/>
    <x v="57"/>
    <s v="M. Toth"/>
  </r>
  <r>
    <s v="S001957"/>
    <s v="FRA-2024-00438"/>
    <s v="Fragrance Oil"/>
    <s v="Budapest"/>
    <x v="5"/>
    <n v="1"/>
    <x v="0"/>
    <s v="Pass"/>
    <n v="6.9"/>
    <m/>
    <n v="6"/>
    <n v="7.5"/>
    <x v="34"/>
    <s v="S. Fischer"/>
  </r>
  <r>
    <s v="S000686"/>
    <s v="ARO-2025-00156"/>
    <s v="Aroma Chemical"/>
    <s v="Dortmund DE"/>
    <x v="4"/>
    <n v="1"/>
    <x v="0"/>
    <s v="Pass"/>
    <n v="0.41"/>
    <s v="%"/>
    <n v="0"/>
    <n v="1"/>
    <x v="116"/>
    <s v="J. Nagy"/>
  </r>
  <r>
    <s v="S001678"/>
    <s v="ESS-2025-00375"/>
    <s v="Essential Oil Blend"/>
    <s v="Ashford UK"/>
    <x v="4"/>
    <n v="1"/>
    <x v="0"/>
    <s v="Fail"/>
    <n v="0.52"/>
    <s v="%"/>
    <n v="0"/>
    <n v="1"/>
    <x v="28"/>
    <s v="J. Nagy"/>
  </r>
  <r>
    <s v="S000160"/>
    <s v="FRA-2024-00038"/>
    <s v="Fragrance Oil"/>
    <s v="Ashford UK"/>
    <x v="1"/>
    <n v="1"/>
    <x v="0"/>
    <s v="Pass"/>
    <n v="0.89"/>
    <s v="g/ml"/>
    <n v="0.88"/>
    <n v="0.97"/>
    <x v="314"/>
    <s v="L. Rossi"/>
  </r>
  <r>
    <s v="S001000"/>
    <s v="FLA-2024-00226"/>
    <s v="Flavor Compound"/>
    <s v="Vernier CH"/>
    <x v="3"/>
    <n v="1"/>
    <x v="0"/>
    <s v="Pending"/>
    <n v="98.88"/>
    <s v="%"/>
    <n v="97"/>
    <n v="100"/>
    <x v="226"/>
    <s v="T. Weber"/>
  </r>
  <r>
    <s v="S001302"/>
    <s v="ESS-2025-00291"/>
    <s v="Essential Oil Blend"/>
    <s v="East Hanover"/>
    <x v="0"/>
    <n v="1"/>
    <x v="0"/>
    <s v="Pass"/>
    <n v="48.34"/>
    <s v="ppm"/>
    <n v="0"/>
    <n v="120"/>
    <x v="51"/>
    <s v="L. Rossi"/>
  </r>
  <r>
    <s v="S001778"/>
    <s v="FOO-2025-00398"/>
    <s v="Food Ingredient Extract"/>
    <s v="Dortmund DE"/>
    <x v="1"/>
    <n v="1"/>
    <x v="0"/>
    <s v="Pass"/>
    <n v="0.88"/>
    <s v="g/ml"/>
    <n v="0.88"/>
    <n v="0.97"/>
    <x v="183"/>
    <s v="S. Fischer"/>
  </r>
  <r>
    <s v="S000203"/>
    <s v="ARO-2025-00046"/>
    <s v="Aroma Chemical"/>
    <s v="Vernier CH"/>
    <x v="2"/>
    <n v="1"/>
    <x v="0"/>
    <s v="Pass"/>
    <n v="203.91"/>
    <s v="um"/>
    <n v="150"/>
    <n v="400"/>
    <x v="116"/>
    <s v="S. Fischer"/>
  </r>
  <r>
    <s v="S001024"/>
    <s v="ARO-2025-00230"/>
    <s v="Aroma Chemical"/>
    <s v="Ashford UK"/>
    <x v="5"/>
    <n v="1"/>
    <x v="0"/>
    <s v="Pass"/>
    <n v="6.19"/>
    <m/>
    <n v="6"/>
    <n v="7.5"/>
    <x v="181"/>
    <s v="P. Meier"/>
  </r>
  <r>
    <s v="S001534"/>
    <s v="ESS-2024-00341"/>
    <s v="Essential Oil Blend"/>
    <s v="East Hanover"/>
    <x v="4"/>
    <n v="1"/>
    <x v="1"/>
    <s v="Fail"/>
    <n v="-0.45"/>
    <s v="%"/>
    <n v="0"/>
    <n v="1"/>
    <x v="77"/>
    <s v="S. Fischer"/>
  </r>
  <r>
    <s v="S001190"/>
    <s v="ARO-2024-00266"/>
    <s v="Aroma Chemical"/>
    <s v="Dortmund DE"/>
    <x v="1"/>
    <n v="1"/>
    <x v="0"/>
    <s v="Pass"/>
    <n v="0.95"/>
    <s v="g/ml"/>
    <n v="0.88"/>
    <n v="0.97"/>
    <x v="273"/>
    <s v="M. Toth"/>
  </r>
  <r>
    <s v="S000113"/>
    <s v="FLA-2025-00026"/>
    <s v="Flavor Compound"/>
    <s v="Vernier CH"/>
    <x v="0"/>
    <n v="1"/>
    <x v="0"/>
    <s v="Fail"/>
    <n v="32.72"/>
    <s v="ppm"/>
    <n v="0"/>
    <n v="120"/>
    <x v="202"/>
    <s v="J. Nagy"/>
  </r>
  <r>
    <s v="S001808"/>
    <s v="ESS-2024-00404"/>
    <s v="Essential Oil Blend"/>
    <s v="East Hanover"/>
    <x v="3"/>
    <n v="1"/>
    <x v="0"/>
    <s v="Fail"/>
    <n v="98.12"/>
    <s v="%"/>
    <n v="97"/>
    <n v="100"/>
    <x v="214"/>
    <s v="J. Nagy"/>
  </r>
  <r>
    <s v="S001752"/>
    <s v="ESS-2025-00391"/>
    <s v="Essential Oil Blend"/>
    <s v="Vernier CH"/>
    <x v="2"/>
    <n v="1"/>
    <x v="1"/>
    <s v="Fail"/>
    <n v="30"/>
    <s v="um"/>
    <n v="150"/>
    <n v="400"/>
    <x v="210"/>
    <s v="L. Rossi"/>
  </r>
  <r>
    <s v="S000981"/>
    <s v="FLA-2025-00222"/>
    <s v="Flavor Compound"/>
    <s v="Dortmund DE"/>
    <x v="1"/>
    <n v="1"/>
    <x v="0"/>
    <s v="Pass"/>
    <n v="0.94"/>
    <s v="g/ml"/>
    <n v="0.88"/>
    <n v="0.97"/>
    <x v="309"/>
    <s v="J. Nagy"/>
  </r>
  <r>
    <s v="S000923"/>
    <s v="FOO-2024-00209"/>
    <s v="Food Ingredient Extract"/>
    <s v="Vernier CH"/>
    <x v="5"/>
    <n v="1"/>
    <x v="0"/>
    <s v="Pending"/>
    <n v="6.26"/>
    <m/>
    <n v="6"/>
    <n v="7.5"/>
    <x v="126"/>
    <s v="S. Fischer"/>
  </r>
  <r>
    <s v="S001486"/>
    <s v="ESS-2024-00330"/>
    <s v="Essential Oil Blend"/>
    <s v="East Hanover"/>
    <x v="4"/>
    <n v="1"/>
    <x v="0"/>
    <s v="Pass"/>
    <n v="0.32"/>
    <s v="%"/>
    <n v="0"/>
    <n v="1"/>
    <x v="27"/>
    <s v="K. Varga"/>
  </r>
  <r>
    <s v="S001590"/>
    <s v="ESS-2025-00354"/>
    <s v="Essential Oil Blend"/>
    <s v="Budapest"/>
    <x v="5"/>
    <n v="1"/>
    <x v="1"/>
    <s v="Fail"/>
    <n v="8.6999999999999993"/>
    <m/>
    <n v="6"/>
    <n v="7.5"/>
    <x v="169"/>
    <s v="J NAGY"/>
  </r>
  <r>
    <s v="S001965"/>
    <s v="FRA-2025-00439"/>
    <s v="Fragrance Oil"/>
    <s v="Dortmund DE"/>
    <x v="6"/>
    <n v="1"/>
    <x v="1"/>
    <s v="Fail"/>
    <n v="-13.48"/>
    <s v="CFU/g"/>
    <n v="0"/>
    <n v="100"/>
    <x v="306"/>
    <s v="M. Toth"/>
  </r>
  <r>
    <s v="S001359"/>
    <s v="ESS-2024-00303"/>
    <s v="Essential Oil Blend"/>
    <s v="Dortmund DE"/>
    <x v="3"/>
    <n v="1"/>
    <x v="0"/>
    <s v="Pass"/>
    <n v="98.12"/>
    <s v="%"/>
    <n v="97"/>
    <n v="100"/>
    <x v="17"/>
    <s v="A. Kovacs"/>
  </r>
  <r>
    <s v="S000816"/>
    <s v="FRA-2025-00185"/>
    <s v="Fragrance Oil"/>
    <s v="Ashford UK"/>
    <x v="1"/>
    <n v="1"/>
    <x v="0"/>
    <s v="Pass"/>
    <n v="0.97"/>
    <s v="g/ml"/>
    <n v="0.88"/>
    <n v="0.97"/>
    <x v="116"/>
    <s v="A. Kovacs"/>
  </r>
  <r>
    <s v="S001550"/>
    <s v="ESS-2024-00345"/>
    <s v="Essential Oil Blend"/>
    <s v="East Hanover"/>
    <x v="1"/>
    <n v="1"/>
    <x v="0"/>
    <s v="Pass"/>
    <n v="0.91"/>
    <s v="g/ml"/>
    <n v="0.88"/>
    <n v="0.97"/>
    <x v="60"/>
    <s v="J. Nagy"/>
  </r>
  <r>
    <s v="S001539"/>
    <s v="FOO-2024-00342"/>
    <s v="Food Ingredient Extract"/>
    <s v="Budapest"/>
    <x v="6"/>
    <n v="1"/>
    <x v="0"/>
    <s v="Pass"/>
    <n v="20.079999999999998"/>
    <s v="CFU/g"/>
    <n v="0"/>
    <n v="100"/>
    <x v="285"/>
    <s v="M. Toth"/>
  </r>
  <r>
    <s v="S000680"/>
    <s v="ARO-2024-00155"/>
    <s v="Aroma Chemical"/>
    <s v="Dortmund DE"/>
    <x v="6"/>
    <n v="1"/>
    <x v="1"/>
    <s v="Fail"/>
    <n v="-0.8"/>
    <s v="CFU/g"/>
    <n v="0"/>
    <n v="100"/>
    <x v="123"/>
    <s v="S. Fischer"/>
  </r>
  <r>
    <s v="S001094"/>
    <s v="FLA-2025-00246"/>
    <s v="Flavor Compound"/>
    <s v="Dortmund DE"/>
    <x v="3"/>
    <n v="1"/>
    <x v="0"/>
    <s v="Pass"/>
    <n v="98.73"/>
    <s v="%"/>
    <n v="97"/>
    <n v="100"/>
    <x v="57"/>
    <s v="M. Toth"/>
  </r>
  <r>
    <s v="S000081"/>
    <s v="FLA-2025-00019"/>
    <s v="Flavor Compound"/>
    <s v="Vernier CH"/>
    <x v="4"/>
    <n v="1"/>
    <x v="0"/>
    <s v="Pass"/>
    <n v="0.51"/>
    <s v="%"/>
    <n v="0"/>
    <n v="1"/>
    <x v="303"/>
    <s v="K. Varga"/>
  </r>
  <r>
    <s v="S001761"/>
    <s v="FLA-2024-00393"/>
    <s v="Flavor Compound"/>
    <s v="East Hanover"/>
    <x v="4"/>
    <n v="1"/>
    <x v="0"/>
    <s v="Pending"/>
    <n v="0.13"/>
    <s v="%"/>
    <n v="0"/>
    <n v="1"/>
    <x v="242"/>
    <s v="K. Varga"/>
  </r>
  <r>
    <s v="S001345"/>
    <s v="ARO-2024-00300"/>
    <s v="Aroma Chemical"/>
    <s v="Vernier CH"/>
    <x v="1"/>
    <n v="1"/>
    <x v="0"/>
    <s v="Pass"/>
    <n v="0.94"/>
    <s v="g/ml"/>
    <n v="0.88"/>
    <n v="0.97"/>
    <x v="284"/>
    <s v="J NAGY"/>
  </r>
  <r>
    <s v="S001533"/>
    <s v="ESS-2024-00341"/>
    <s v="Essential Oil Blend"/>
    <s v="East Hanover"/>
    <x v="1"/>
    <n v="1"/>
    <x v="0"/>
    <s v="Fail"/>
    <n v="0.96"/>
    <s v="g/ml"/>
    <n v="0.88"/>
    <n v="0.97"/>
    <x v="77"/>
    <s v="L. Rossi"/>
  </r>
  <r>
    <s v="S000753"/>
    <s v="ESS-2025-00170"/>
    <s v="Essential Oil Blend"/>
    <s v="East Hanover"/>
    <x v="0"/>
    <n v="1"/>
    <x v="0"/>
    <s v="Pass"/>
    <n v="37.39"/>
    <s v="ppm"/>
    <n v="0"/>
    <n v="120"/>
    <x v="138"/>
    <s v="J NAGY"/>
  </r>
  <r>
    <s v="S001320"/>
    <s v="FLA-2024-00294"/>
    <s v="Flavor Compound"/>
    <s v="Dortmund DE"/>
    <x v="5"/>
    <n v="1"/>
    <x v="0"/>
    <s v="Pass"/>
    <n v="7.27"/>
    <m/>
    <n v="6"/>
    <n v="7.5"/>
    <x v="97"/>
    <s v="M. Toth"/>
  </r>
  <r>
    <s v="S001055"/>
    <s v="FLA-2024-00236"/>
    <s v="Flavor Compound"/>
    <s v="Vernier CH"/>
    <x v="4"/>
    <n v="1"/>
    <x v="0"/>
    <s v="Pending"/>
    <n v="0.39"/>
    <s v="%"/>
    <n v="0"/>
    <n v="1"/>
    <x v="247"/>
    <s v="S. Fischer"/>
  </r>
  <r>
    <s v="S000243"/>
    <s v="ESS-2025-00055"/>
    <s v="Essential Oil Blend"/>
    <s v="Vernier CH"/>
    <x v="0"/>
    <n v="1"/>
    <x v="0"/>
    <s v="Fail"/>
    <n v="54.37"/>
    <s v="ppm"/>
    <n v="0"/>
    <n v="120"/>
    <x v="46"/>
    <s v="J NAGY"/>
  </r>
  <r>
    <s v="S001945"/>
    <s v="ARO-2025-00435"/>
    <s v="Aroma Chemical"/>
    <s v="Dortmund DE"/>
    <x v="6"/>
    <n v="1"/>
    <x v="0"/>
    <s v="Pass"/>
    <n v="31.23"/>
    <s v="CFU/g"/>
    <n v="0"/>
    <n v="100"/>
    <x v="157"/>
    <s v="P. Meier"/>
  </r>
  <r>
    <s v="S000642"/>
    <s v="ESS-2024-00146"/>
    <s v="Essential Oil Blend"/>
    <s v="Budapest"/>
    <x v="2"/>
    <n v="1"/>
    <x v="0"/>
    <s v="Pass"/>
    <n v="264.08"/>
    <s v="um"/>
    <n v="150"/>
    <n v="400"/>
    <x v="216"/>
    <s v="T. Weber"/>
  </r>
  <r>
    <s v="S000697"/>
    <s v="FRA-2025-00159"/>
    <s v="Fragrance Oil"/>
    <s v="Dortmund DE"/>
    <x v="6"/>
    <n v="1"/>
    <x v="0"/>
    <s v="Pass"/>
    <n v="12.65"/>
    <s v="CFU/g"/>
    <n v="0"/>
    <n v="100"/>
    <x v="201"/>
    <s v="A. Kovacs"/>
  </r>
  <r>
    <s v="S000210"/>
    <s v="ARO-2025-00048"/>
    <s v="Aroma Chemical"/>
    <s v="Budapest"/>
    <x v="3"/>
    <n v="1"/>
    <x v="0"/>
    <s v="Pass"/>
    <n v="98.57"/>
    <s v="%"/>
    <n v="97"/>
    <n v="100"/>
    <x v="221"/>
    <s v="J. Nagy"/>
  </r>
  <r>
    <s v="S001469"/>
    <s v="ESS-2025-00327"/>
    <s v="Essential Oil Blend"/>
    <s v="Ashford UK"/>
    <x v="4"/>
    <n v="1"/>
    <x v="0"/>
    <s v="Pending"/>
    <n v="0.53"/>
    <s v="%"/>
    <n v="0"/>
    <n v="1"/>
    <x v="79"/>
    <s v="S. Fischer"/>
  </r>
  <r>
    <s v="S000771"/>
    <s v="FOO-2024-00175"/>
    <s v="Food Ingredient Extract"/>
    <s v="Vernier CH"/>
    <x v="4"/>
    <n v="1"/>
    <x v="0"/>
    <s v="Fail"/>
    <n v="0.35"/>
    <s v="%"/>
    <n v="0"/>
    <n v="1"/>
    <x v="80"/>
    <s v="P. Meier"/>
  </r>
  <r>
    <s v="S001755"/>
    <s v="FRA-2024-00392"/>
    <s v="Fragrance Oil"/>
    <s v="Vernier CH"/>
    <x v="2"/>
    <n v="1"/>
    <x v="0"/>
    <s v="Fail"/>
    <n v="264.24"/>
    <s v="um"/>
    <n v="150"/>
    <n v="400"/>
    <x v="134"/>
    <s v="T. Weber"/>
  </r>
  <r>
    <s v="S000436"/>
    <s v="ESS-2024-00099"/>
    <s v="Essential Oil Blend"/>
    <s v="Vernier CH"/>
    <x v="3"/>
    <n v="1"/>
    <x v="0"/>
    <s v="Fail"/>
    <n v="97.64"/>
    <s v="%"/>
    <n v="97"/>
    <n v="100"/>
    <x v="156"/>
    <s v="M. Toth"/>
  </r>
  <r>
    <s v="S001064"/>
    <s v="ARO-2024-00238"/>
    <s v="Aroma Chemical"/>
    <s v="Ashford UK"/>
    <x v="2"/>
    <n v="1"/>
    <x v="0"/>
    <s v="Pass"/>
    <n v="302.99"/>
    <s v="um"/>
    <n v="150"/>
    <n v="400"/>
    <x v="88"/>
    <s v="L. Rossi"/>
  </r>
  <r>
    <s v="S000975"/>
    <s v="FLA-2024-00220"/>
    <s v="Flavor Compound"/>
    <s v="Budapest"/>
    <x v="4"/>
    <n v="1"/>
    <x v="0"/>
    <s v="Pass"/>
    <n v="0.25"/>
    <s v="%"/>
    <n v="0"/>
    <n v="1"/>
    <x v="247"/>
    <s v="M. Toth"/>
  </r>
  <r>
    <s v="S000552"/>
    <s v="FRA-2024-00124"/>
    <s v="Fragrance Oil"/>
    <s v="Budapest"/>
    <x v="2"/>
    <n v="1"/>
    <x v="0"/>
    <s v="Pass"/>
    <n v="246.16"/>
    <s v="um"/>
    <n v="150"/>
    <n v="400"/>
    <x v="328"/>
    <s v="L. Rossi"/>
  </r>
  <r>
    <s v="S001396"/>
    <s v="FOO-2024-00312"/>
    <s v="Food Ingredient Extract"/>
    <s v="Dortmund DE"/>
    <x v="5"/>
    <n v="1"/>
    <x v="0"/>
    <s v="Fail"/>
    <n v="6.49"/>
    <m/>
    <n v="6"/>
    <n v="7.5"/>
    <x v="235"/>
    <s v="S. Fischer"/>
  </r>
  <r>
    <s v="S001650"/>
    <s v="ARO-2025-00369"/>
    <s v="Aroma Chemical"/>
    <s v="East Hanover"/>
    <x v="1"/>
    <n v="1"/>
    <x v="1"/>
    <s v="Fail"/>
    <n v="0.82"/>
    <s v="g/ml"/>
    <n v="0.88"/>
    <n v="0.97"/>
    <x v="102"/>
    <s v="J NAGY"/>
  </r>
  <r>
    <s v="S001014"/>
    <s v="FRA-2024-00228"/>
    <s v="Fragrance Oil"/>
    <s v="Dortmund DE"/>
    <x v="4"/>
    <n v="1"/>
    <x v="0"/>
    <s v="Pass"/>
    <n v="0.41"/>
    <s v="%"/>
    <n v="0"/>
    <n v="1"/>
    <x v="58"/>
    <s v="L. Rossi"/>
  </r>
  <r>
    <s v="S001887"/>
    <s v="FLA-2025-00422"/>
    <s v="Flavor Compound"/>
    <s v="Ashford UK"/>
    <x v="4"/>
    <n v="1"/>
    <x v="0"/>
    <s v="Pass"/>
    <n v="0.53"/>
    <s v="%"/>
    <n v="0"/>
    <n v="1"/>
    <x v="290"/>
    <s v="J. Nagy"/>
  </r>
  <r>
    <s v="S000467"/>
    <s v="FOO-2025-00105"/>
    <s v="Food Ingredient Extract"/>
    <s v="Budapest"/>
    <x v="5"/>
    <n v="1"/>
    <x v="0"/>
    <s v="Pass"/>
    <n v="6.95"/>
    <m/>
    <n v="6"/>
    <n v="7.5"/>
    <x v="251"/>
    <s v="J. Nagy"/>
  </r>
  <r>
    <s v="S001477"/>
    <s v="ESS-2025-00329"/>
    <s v="Essential Oil Blend"/>
    <s v="Vernier CH"/>
    <x v="1"/>
    <n v="1"/>
    <x v="0"/>
    <s v="Pass"/>
    <n v="0.94"/>
    <s v="g/ml"/>
    <n v="0.88"/>
    <n v="0.97"/>
    <x v="233"/>
    <s v="M. Toth"/>
  </r>
  <r>
    <s v="S001307"/>
    <s v="ESS-2025-00292"/>
    <s v="Essential Oil Blend"/>
    <s v="East Hanover"/>
    <x v="0"/>
    <n v="1"/>
    <x v="0"/>
    <s v="Fail"/>
    <n v="33.590000000000003"/>
    <s v="ppm"/>
    <n v="0"/>
    <n v="120"/>
    <x v="260"/>
    <s v="K. Varga"/>
  </r>
  <r>
    <s v="S000278"/>
    <s v="ARO-2024-00064"/>
    <s v="Aroma Chemical"/>
    <s v="Dortmund DE"/>
    <x v="2"/>
    <n v="1"/>
    <x v="0"/>
    <s v="Fail"/>
    <n v="212.79"/>
    <s v="um"/>
    <n v="150"/>
    <n v="400"/>
    <x v="185"/>
    <s v="K. Varga"/>
  </r>
  <r>
    <s v="S001070"/>
    <s v="ESS-2025-00239"/>
    <s v="Essential Oil Blend"/>
    <s v="Vernier CH"/>
    <x v="0"/>
    <n v="1"/>
    <x v="0"/>
    <s v="Pass"/>
    <n v="78.48"/>
    <s v="ppm"/>
    <n v="0"/>
    <n v="120"/>
    <x v="266"/>
    <s v="A. Kovacs"/>
  </r>
  <r>
    <s v="S001018"/>
    <s v="FRA-2025-00229"/>
    <s v="Fragrance Oil"/>
    <s v="Budapest"/>
    <x v="6"/>
    <n v="1"/>
    <x v="0"/>
    <s v="Pass"/>
    <n v="12.43"/>
    <s v="CFU/g"/>
    <n v="0"/>
    <n v="100"/>
    <x v="73"/>
    <s v="T. Weber"/>
  </r>
  <r>
    <s v="S001758"/>
    <s v="FRA-2024-00392"/>
    <s v="Fragrance Oil"/>
    <s v="Vernier CH"/>
    <x v="4"/>
    <n v="1"/>
    <x v="0"/>
    <s v="Fail"/>
    <n v="0.42"/>
    <s v="%"/>
    <n v="0"/>
    <n v="1"/>
    <x v="134"/>
    <s v="J NAGY"/>
  </r>
  <r>
    <s v="S000723"/>
    <s v="FLA-2025-00164"/>
    <s v="Flavor Compound"/>
    <s v="East Hanover"/>
    <x v="2"/>
    <n v="1"/>
    <x v="0"/>
    <s v="Pass"/>
    <n v="217.76"/>
    <s v="um"/>
    <n v="150"/>
    <n v="400"/>
    <x v="160"/>
    <s v="J NAGY"/>
  </r>
  <r>
    <s v="S001954"/>
    <s v="ESS-2024-00437"/>
    <s v="Essential Oil Blend"/>
    <s v="Vernier CH"/>
    <x v="6"/>
    <n v="1"/>
    <x v="0"/>
    <s v="Pass"/>
    <n v="15.67"/>
    <s v="CFU/g"/>
    <n v="0"/>
    <n v="100"/>
    <x v="95"/>
    <s v="K. Varga"/>
  </r>
  <r>
    <s v="S000787"/>
    <s v="FOO-2024-00179"/>
    <s v="Food Ingredient Extract"/>
    <s v="Vernier CH"/>
    <x v="1"/>
    <n v="1"/>
    <x v="0"/>
    <s v="Fail"/>
    <n v="0.94"/>
    <s v="g/ml"/>
    <n v="0.88"/>
    <n v="0.97"/>
    <x v="189"/>
    <s v="L. Rossi"/>
  </r>
  <r>
    <s v="S001546"/>
    <s v="FLA-2024-00344"/>
    <s v="Flavor Compound"/>
    <s v="Vernier CH"/>
    <x v="2"/>
    <n v="1"/>
    <x v="1"/>
    <s v="Fail"/>
    <n v="520"/>
    <s v="um"/>
    <n v="150"/>
    <n v="400"/>
    <x v="15"/>
    <s v="J NAGY"/>
  </r>
  <r>
    <s v="S001310"/>
    <s v="ESS-2025-00292"/>
    <s v="Essential Oil Blend"/>
    <s v="East Hanover"/>
    <x v="6"/>
    <n v="1"/>
    <x v="1"/>
    <s v="Fail"/>
    <n v="-2.33"/>
    <s v="CFU/g"/>
    <n v="0"/>
    <n v="100"/>
    <x v="260"/>
    <s v="T. Weber"/>
  </r>
  <r>
    <s v="S001460"/>
    <s v="FRA-2025-00326"/>
    <s v="Fragrance Oil"/>
    <s v="Vernier CH"/>
    <x v="5"/>
    <n v="1"/>
    <x v="0"/>
    <s v="Pass"/>
    <n v="7.24"/>
    <m/>
    <n v="6"/>
    <n v="7.5"/>
    <x v="244"/>
    <s v="L. Rossi"/>
  </r>
  <r>
    <s v="S001304"/>
    <s v="ESS-2025-00291"/>
    <s v="Essential Oil Blend"/>
    <s v="East Hanover"/>
    <x v="1"/>
    <n v="1"/>
    <x v="0"/>
    <s v="Pass"/>
    <n v="0.96"/>
    <s v="g/ml"/>
    <n v="0.88"/>
    <n v="0.97"/>
    <x v="51"/>
    <s v="A. Kovacs"/>
  </r>
  <r>
    <s v="S000907"/>
    <s v="FOO-2024-00205"/>
    <s v="Food Ingredient Extract"/>
    <s v="Budapest"/>
    <x v="3"/>
    <n v="1"/>
    <x v="0"/>
    <s v="Pass"/>
    <n v="98.53"/>
    <s v="%"/>
    <n v="97"/>
    <n v="100"/>
    <x v="329"/>
    <s v="K. Varga"/>
  </r>
  <r>
    <s v="S000564"/>
    <s v="ARO-2025-00127"/>
    <s v="Aroma Chemical"/>
    <s v="East Hanover"/>
    <x v="0"/>
    <n v="1"/>
    <x v="0"/>
    <s v="Fail"/>
    <n v="45.89"/>
    <s v="ppm"/>
    <n v="0"/>
    <n v="120"/>
    <x v="246"/>
    <s v="S. Fischer"/>
  </r>
  <r>
    <s v="S000389"/>
    <s v="ARO-2024-00088"/>
    <s v="Aroma Chemical"/>
    <s v="Ashford UK"/>
    <x v="0"/>
    <n v="1"/>
    <x v="0"/>
    <s v="Pass"/>
    <n v="59.63"/>
    <s v="ppm"/>
    <n v="0"/>
    <n v="120"/>
    <x v="60"/>
    <s v="J. Nagy"/>
  </r>
  <r>
    <s v="S000023"/>
    <s v="ARO-2025-00005"/>
    <s v="Aroma Chemical"/>
    <s v="Vernier CH"/>
    <x v="6"/>
    <n v="1"/>
    <x v="0"/>
    <s v="Pass"/>
    <n v="20.5"/>
    <s v="CFU/g"/>
    <n v="0"/>
    <n v="100"/>
    <x v="113"/>
    <s v="J. Nagy"/>
  </r>
  <r>
    <s v="S001731"/>
    <s v="ESS-2025-00387"/>
    <s v="Essential Oil Blend"/>
    <s v="East Hanover"/>
    <x v="1"/>
    <n v="1"/>
    <x v="0"/>
    <s v="Fail"/>
    <n v="0.91"/>
    <s v="g/ml"/>
    <n v="0.88"/>
    <n v="0.97"/>
    <x v="294"/>
    <s v="S. Fischer"/>
  </r>
  <r>
    <s v="S000125"/>
    <s v="FLA-2024-00029"/>
    <s v="Flavor Compound"/>
    <s v="East Hanover"/>
    <x v="3"/>
    <n v="1"/>
    <x v="0"/>
    <s v="Pass"/>
    <n v="98.19"/>
    <s v="%"/>
    <n v="97"/>
    <n v="100"/>
    <x v="299"/>
    <s v="M. Toth"/>
  </r>
  <r>
    <s v="S001247"/>
    <s v="FRA-2025-00279"/>
    <s v="Fragrance Oil"/>
    <s v="Budapest"/>
    <x v="0"/>
    <n v="1"/>
    <x v="0"/>
    <s v="Pass"/>
    <n v="54.57"/>
    <s v="ppm"/>
    <n v="0"/>
    <n v="120"/>
    <x v="45"/>
    <s v="K. Varga"/>
  </r>
  <r>
    <s v="S000774"/>
    <s v="FOO-2024-00175"/>
    <s v="Food Ingredient Extract"/>
    <s v="Vernier CH"/>
    <x v="1"/>
    <n v="1"/>
    <x v="0"/>
    <s v="Fail"/>
    <n v="0.95"/>
    <s v="g/ml"/>
    <n v="0.88"/>
    <n v="0.97"/>
    <x v="80"/>
    <s v="S. Fischer"/>
  </r>
  <r>
    <s v="S000881"/>
    <s v="FOO-2024-00200"/>
    <s v="Food Ingredient Extract"/>
    <s v="Vernier CH"/>
    <x v="6"/>
    <n v="1"/>
    <x v="1"/>
    <s v="Fail"/>
    <n v="-1.0900000000000001"/>
    <s v="CFU/g"/>
    <n v="0"/>
    <n v="100"/>
    <x v="311"/>
    <s v="J NAGY"/>
  </r>
  <r>
    <s v="S001145"/>
    <s v="ARO-2024-00257"/>
    <s v="Aroma Chemical"/>
    <s v="Budapest"/>
    <x v="6"/>
    <n v="1"/>
    <x v="0"/>
    <s v="Pass"/>
    <n v="39.770000000000003"/>
    <s v="CFU/g"/>
    <n v="0"/>
    <n v="100"/>
    <x v="249"/>
    <s v="S. Fischer"/>
  </r>
  <r>
    <s v="S001167"/>
    <s v="ESS-2024-00262"/>
    <s v="Essential Oil Blend"/>
    <s v="Budapest"/>
    <x v="2"/>
    <n v="1"/>
    <x v="0"/>
    <s v="Pass"/>
    <n v="248.56"/>
    <s v="um"/>
    <n v="150"/>
    <n v="400"/>
    <x v="292"/>
    <s v="M. Toth"/>
  </r>
  <r>
    <s v="S000051"/>
    <s v="FOO-2024-00012"/>
    <s v="Food Ingredient Extract"/>
    <s v="Budapest"/>
    <x v="4"/>
    <n v="1"/>
    <x v="0"/>
    <s v="Fail"/>
    <n v="0.18"/>
    <s v="%"/>
    <n v="0"/>
    <n v="1"/>
    <x v="135"/>
    <s v="P. Meier"/>
  </r>
  <r>
    <s v="S001397"/>
    <s v="FOO-2024-00312"/>
    <s v="Food Ingredient Extract"/>
    <s v="Dortmund DE"/>
    <x v="4"/>
    <n v="1"/>
    <x v="0"/>
    <s v="Fail"/>
    <n v="0.46"/>
    <s v="%"/>
    <n v="0"/>
    <n v="1"/>
    <x v="235"/>
    <s v="M. Toth"/>
  </r>
  <r>
    <s v="S001459"/>
    <s v="ESS-2024-00325"/>
    <s v="Essential Oil Blend"/>
    <s v="Ashford UK"/>
    <x v="0"/>
    <n v="1"/>
    <x v="1"/>
    <s v="Fail"/>
    <n v="-60"/>
    <s v="ppm"/>
    <n v="0"/>
    <n v="120"/>
    <x v="39"/>
    <s v="J NAGY"/>
  </r>
  <r>
    <s v="S001106"/>
    <s v="FOO-2025-00249"/>
    <s v="Food Ingredient Extract"/>
    <s v="East Hanover"/>
    <x v="0"/>
    <n v="1"/>
    <x v="0"/>
    <s v="Pass"/>
    <n v="64.819999999999993"/>
    <s v="ppm"/>
    <n v="0"/>
    <n v="120"/>
    <x v="225"/>
    <s v="J NAGY"/>
  </r>
  <r>
    <s v="S000704"/>
    <s v="FRA-2024-00160"/>
    <s v="Fragrance Oil"/>
    <s v="Dortmund DE"/>
    <x v="3"/>
    <n v="1"/>
    <x v="0"/>
    <s v="Fail"/>
    <n v="99.34"/>
    <s v="%"/>
    <n v="97"/>
    <n v="100"/>
    <x v="29"/>
    <s v="P. Meier"/>
  </r>
  <r>
    <s v="S000483"/>
    <s v="FRA-2024-00108"/>
    <s v="Fragrance Oil"/>
    <s v="Ashford UK"/>
    <x v="2"/>
    <n v="1"/>
    <x v="0"/>
    <s v="Pass"/>
    <n v="260.73"/>
    <s v="um"/>
    <n v="150"/>
    <n v="400"/>
    <x v="84"/>
    <s v="P. Meier"/>
  </r>
  <r>
    <s v="S001146"/>
    <s v="ARO-2024-00257"/>
    <s v="Aroma Chemical"/>
    <s v="Budapest"/>
    <x v="0"/>
    <n v="1"/>
    <x v="0"/>
    <s v="Pass"/>
    <n v="9.76"/>
    <s v="ppm"/>
    <n v="0"/>
    <n v="120"/>
    <x v="249"/>
    <s v="A. Kovacs"/>
  </r>
  <r>
    <s v="S001912"/>
    <s v="ESS-2024-00428"/>
    <s v="Essential Oil Blend"/>
    <s v="Budapest"/>
    <x v="1"/>
    <n v="1"/>
    <x v="0"/>
    <s v="Pass"/>
    <n v="0.91"/>
    <s v="g/ml"/>
    <n v="0.88"/>
    <n v="0.97"/>
    <x v="204"/>
    <s v="K. Varga"/>
  </r>
  <r>
    <s v="S000067"/>
    <s v="ARO-2024-00016"/>
    <s v="Aroma Chemical"/>
    <s v="East Hanover"/>
    <x v="2"/>
    <n v="1"/>
    <x v="0"/>
    <s v="Pass"/>
    <n v="241.79"/>
    <s v="um"/>
    <n v="150"/>
    <n v="400"/>
    <x v="282"/>
    <s v="J. Nagy"/>
  </r>
  <r>
    <s v="S001721"/>
    <s v="FRA-2024-00385"/>
    <s v="Fragrance Oil"/>
    <s v="East Hanover"/>
    <x v="3"/>
    <n v="1"/>
    <x v="0"/>
    <s v="Pass"/>
    <n v="98.56"/>
    <s v="%"/>
    <n v="97"/>
    <n v="100"/>
    <x v="297"/>
    <s v="P. Meier"/>
  </r>
  <r>
    <s v="S000734"/>
    <s v="FOO-2025-00166"/>
    <s v="Food Ingredient Extract"/>
    <s v="East Hanover"/>
    <x v="0"/>
    <n v="1"/>
    <x v="0"/>
    <s v="Fail"/>
    <n v="44.37"/>
    <s v="ppm"/>
    <n v="0"/>
    <n v="120"/>
    <x v="121"/>
    <s v="M. Toth"/>
  </r>
  <r>
    <s v="S001785"/>
    <s v="FRA-2024-00399"/>
    <s v="Fragrance Oil"/>
    <s v="Dortmund DE"/>
    <x v="6"/>
    <n v="1"/>
    <x v="0"/>
    <s v="Pass"/>
    <n v="25.28"/>
    <s v="CFU/g"/>
    <n v="0"/>
    <n v="100"/>
    <x v="264"/>
    <s v="J NAGY"/>
  </r>
  <r>
    <s v="S000802"/>
    <s v="FOO-2025-00182"/>
    <s v="Food Ingredient Extract"/>
    <s v="Ashford UK"/>
    <x v="4"/>
    <n v="1"/>
    <x v="0"/>
    <s v="Pass"/>
    <n v="0.33"/>
    <s v="%"/>
    <n v="0"/>
    <n v="1"/>
    <x v="276"/>
    <s v="J NAGY"/>
  </r>
  <r>
    <s v="S001949"/>
    <s v="ESS-2025-00436"/>
    <s v="Essential Oil Blend"/>
    <s v="East Hanover"/>
    <x v="1"/>
    <n v="1"/>
    <x v="0"/>
    <s v="Pass"/>
    <n v="0.92"/>
    <s v="g/ml"/>
    <n v="0.88"/>
    <n v="0.97"/>
    <x v="170"/>
    <s v="S. Fischer"/>
  </r>
  <r>
    <s v="S001471"/>
    <s v="ESS-2025-00327"/>
    <s v="Essential Oil Blend"/>
    <s v="Ashford UK"/>
    <x v="0"/>
    <n v="0"/>
    <x v="2"/>
    <s v="Pending"/>
    <m/>
    <s v="ppm"/>
    <n v="0"/>
    <n v="120"/>
    <x v="79"/>
    <s v="S. Fischer"/>
  </r>
  <r>
    <s v="S000908"/>
    <s v="FOO-2024-00205"/>
    <s v="Food Ingredient Extract"/>
    <s v="Budapest"/>
    <x v="1"/>
    <n v="1"/>
    <x v="0"/>
    <s v="Pass"/>
    <n v="0.9"/>
    <s v="g/ml"/>
    <n v="0.88"/>
    <n v="0.97"/>
    <x v="329"/>
    <s v="T. Weber"/>
  </r>
  <r>
    <s v="S000032"/>
    <s v="FOO-2025-00007"/>
    <s v="Food Ingredient Extract"/>
    <s v="East Hanover"/>
    <x v="1"/>
    <n v="1"/>
    <x v="0"/>
    <s v="Fail"/>
    <n v="0.88"/>
    <s v="g/ml"/>
    <n v="0.88"/>
    <n v="0.97"/>
    <x v="276"/>
    <s v="T. Weber"/>
  </r>
  <r>
    <s v="S000418"/>
    <s v="FLA-2024-00095"/>
    <s v="Flavor Compound"/>
    <s v="East Hanover"/>
    <x v="3"/>
    <n v="1"/>
    <x v="0"/>
    <s v="Fail"/>
    <n v="98.8"/>
    <s v="%"/>
    <n v="97"/>
    <n v="100"/>
    <x v="123"/>
    <s v="J NAGY"/>
  </r>
  <r>
    <s v="S000882"/>
    <s v="FOO-2024-00200"/>
    <s v="Food Ingredient Extract"/>
    <s v="Vernier CH"/>
    <x v="2"/>
    <n v="1"/>
    <x v="0"/>
    <s v="Fail"/>
    <n v="273.81"/>
    <s v="um"/>
    <n v="150"/>
    <n v="400"/>
    <x v="311"/>
    <s v="J. Nagy"/>
  </r>
  <r>
    <s v="S000633"/>
    <s v="ESS-2025-00144"/>
    <s v="Essential Oil Blend"/>
    <s v="Vernier CH"/>
    <x v="4"/>
    <n v="1"/>
    <x v="0"/>
    <s v="Pass"/>
    <n v="0.56999999999999995"/>
    <s v="%"/>
    <n v="0"/>
    <n v="1"/>
    <x v="325"/>
    <s v="A. Kovacs"/>
  </r>
  <r>
    <s v="S001562"/>
    <s v="FOO-2024-00348"/>
    <s v="Food Ingredient Extract"/>
    <s v="East Hanover"/>
    <x v="1"/>
    <n v="1"/>
    <x v="0"/>
    <s v="Fail"/>
    <n v="0.95"/>
    <s v="g/ml"/>
    <n v="0.88"/>
    <n v="0.97"/>
    <x v="130"/>
    <s v="P. Meier"/>
  </r>
  <r>
    <s v="S001919"/>
    <s v="ARO-2024-00430"/>
    <s v="Aroma Chemical"/>
    <s v="East Hanover"/>
    <x v="0"/>
    <n v="1"/>
    <x v="0"/>
    <s v="Fail"/>
    <n v="20.09"/>
    <s v="ppm"/>
    <n v="0"/>
    <n v="120"/>
    <x v="10"/>
    <s v="J NAGY"/>
  </r>
  <r>
    <s v="S000065"/>
    <s v="ESS-2025-00015"/>
    <s v="Essential Oil Blend"/>
    <s v="Dortmund DE"/>
    <x v="4"/>
    <n v="1"/>
    <x v="0"/>
    <s v="Pass"/>
    <n v="0.41"/>
    <s v="%"/>
    <n v="0"/>
    <n v="1"/>
    <x v="253"/>
    <s v="J NAGY"/>
  </r>
  <r>
    <s v="S001622"/>
    <s v="FOO-2025-00362"/>
    <s v="Food Ingredient Extract"/>
    <s v="Budapest"/>
    <x v="4"/>
    <n v="1"/>
    <x v="0"/>
    <s v="Fail"/>
    <n v="0.32"/>
    <s v="%"/>
    <n v="0"/>
    <n v="1"/>
    <x v="313"/>
    <s v="J. Nagy"/>
  </r>
  <r>
    <s v="S001607"/>
    <s v="FRA-2024-00358"/>
    <s v="Fragrance Oil"/>
    <s v="Ashford UK"/>
    <x v="0"/>
    <n v="1"/>
    <x v="0"/>
    <s v="Fail"/>
    <n v="50.23"/>
    <s v="ppm"/>
    <n v="0"/>
    <n v="120"/>
    <x v="78"/>
    <s v="M. Toth"/>
  </r>
  <r>
    <s v="S000078"/>
    <s v="FRA-2025-00018"/>
    <s v="Fragrance Oil"/>
    <s v="Vernier CH"/>
    <x v="5"/>
    <n v="1"/>
    <x v="0"/>
    <s v="Pass"/>
    <n v="6.25"/>
    <m/>
    <n v="6"/>
    <n v="7.5"/>
    <x v="259"/>
    <s v="P. Meier"/>
  </r>
  <r>
    <s v="S000492"/>
    <s v="ARO-2025-00110"/>
    <s v="Aroma Chemical"/>
    <s v="Vernier CH"/>
    <x v="3"/>
    <n v="1"/>
    <x v="1"/>
    <s v="Fail"/>
    <n v="96.78"/>
    <s v="%"/>
    <n v="97"/>
    <n v="100"/>
    <x v="208"/>
    <s v="J. Nagy"/>
  </r>
  <r>
    <s v="S001639"/>
    <s v="FOO-2024-00367"/>
    <s v="Food Ingredient Extract"/>
    <s v="Dortmund DE"/>
    <x v="5"/>
    <n v="1"/>
    <x v="0"/>
    <s v="Pass"/>
    <n v="6.51"/>
    <m/>
    <n v="6"/>
    <n v="7.5"/>
    <x v="67"/>
    <s v="T. Weber"/>
  </r>
  <r>
    <s v="S001538"/>
    <s v="FOO-2024-00342"/>
    <s v="Food Ingredient Extract"/>
    <s v="Budapest"/>
    <x v="4"/>
    <n v="1"/>
    <x v="0"/>
    <s v="Pass"/>
    <n v="0.39"/>
    <s v="%"/>
    <n v="0"/>
    <n v="1"/>
    <x v="285"/>
    <s v="K. Varga"/>
  </r>
  <r>
    <s v="S000533"/>
    <s v="ARO-2024-00120"/>
    <s v="Aroma Chemical"/>
    <s v="East Hanover"/>
    <x v="1"/>
    <n v="1"/>
    <x v="1"/>
    <s v="Fail"/>
    <n v="0.84"/>
    <s v="g/ml"/>
    <n v="0.88"/>
    <n v="0.97"/>
    <x v="288"/>
    <s v="T. Weber"/>
  </r>
  <r>
    <s v="S000066"/>
    <s v="ESS-2025-00015"/>
    <s v="Essential Oil Blend"/>
    <s v="Dortmund DE"/>
    <x v="2"/>
    <n v="1"/>
    <x v="0"/>
    <s v="Pass"/>
    <n v="309.26"/>
    <s v="um"/>
    <n v="150"/>
    <n v="400"/>
    <x v="253"/>
    <s v="P. Meier"/>
  </r>
  <r>
    <s v="S001777"/>
    <s v="FOO-2025-00397"/>
    <s v="Food Ingredient Extract"/>
    <s v="East Hanover"/>
    <x v="2"/>
    <n v="1"/>
    <x v="0"/>
    <s v="Pass"/>
    <n v="216.19"/>
    <s v="um"/>
    <n v="150"/>
    <n v="400"/>
    <x v="198"/>
    <s v="M. Toth"/>
  </r>
  <r>
    <s v="S000297"/>
    <s v="FRA-2024-00067"/>
    <s v="Fragrance Oil"/>
    <s v="Vernier CH"/>
    <x v="4"/>
    <n v="1"/>
    <x v="0"/>
    <s v="Fail"/>
    <n v="0.35"/>
    <s v="%"/>
    <n v="0"/>
    <n v="1"/>
    <x v="132"/>
    <s v="P. Meier"/>
  </r>
  <r>
    <s v="S000592"/>
    <s v="ARO-2025-00133"/>
    <s v="Aroma Chemical"/>
    <s v="Dortmund DE"/>
    <x v="2"/>
    <n v="1"/>
    <x v="0"/>
    <s v="Pass"/>
    <n v="314.48"/>
    <s v="um"/>
    <n v="150"/>
    <n v="400"/>
    <x v="105"/>
    <s v="M. Toth"/>
  </r>
  <r>
    <s v="S000768"/>
    <s v="ESS-2025-00174"/>
    <s v="Essential Oil Blend"/>
    <s v="Vernier CH"/>
    <x v="1"/>
    <n v="1"/>
    <x v="0"/>
    <s v="Pass"/>
    <n v="0.9"/>
    <s v="g/ml"/>
    <n v="0.88"/>
    <n v="0.97"/>
    <x v="107"/>
    <s v="S. Fischer"/>
  </r>
  <r>
    <s v="S000725"/>
    <s v="FLA-2025-00164"/>
    <s v="Flavor Compound"/>
    <s v="East Hanover"/>
    <x v="1"/>
    <n v="1"/>
    <x v="0"/>
    <s v="Pass"/>
    <n v="0.91"/>
    <s v="g/ml"/>
    <n v="0.88"/>
    <n v="0.97"/>
    <x v="160"/>
    <s v="M. Toth"/>
  </r>
  <r>
    <s v="S001426"/>
    <s v="ARO-2024-00318"/>
    <s v="Aroma Chemical"/>
    <s v="Dortmund DE"/>
    <x v="2"/>
    <n v="1"/>
    <x v="0"/>
    <s v="Fail"/>
    <n v="182.3"/>
    <s v="um"/>
    <n v="150"/>
    <n v="400"/>
    <x v="60"/>
    <s v="P. Meier"/>
  </r>
  <r>
    <s v="S000627"/>
    <s v="ESS-2025-00142"/>
    <s v="Essential Oil Blend"/>
    <s v="Budapest"/>
    <x v="3"/>
    <n v="1"/>
    <x v="0"/>
    <s v="Fail"/>
    <n v="98.96"/>
    <s v="%"/>
    <n v="97"/>
    <n v="100"/>
    <x v="330"/>
    <s v="P. Meier"/>
  </r>
  <r>
    <s v="S001409"/>
    <s v="FRA-2024-00314"/>
    <s v="Fragrance Oil"/>
    <s v="Vernier CH"/>
    <x v="4"/>
    <n v="1"/>
    <x v="0"/>
    <s v="Fail"/>
    <n v="0.31"/>
    <s v="%"/>
    <n v="0"/>
    <n v="1"/>
    <x v="227"/>
    <s v="S. Fischer"/>
  </r>
  <r>
    <s v="S001948"/>
    <s v="ESS-2025-00436"/>
    <s v="Essential Oil Blend"/>
    <s v="East Hanover"/>
    <x v="0"/>
    <n v="1"/>
    <x v="0"/>
    <s v="Pass"/>
    <n v="51.97"/>
    <s v="ppm"/>
    <n v="0"/>
    <n v="120"/>
    <x v="170"/>
    <s v="M. Toth"/>
  </r>
  <r>
    <s v="S001213"/>
    <s v="FLA-2024-00271"/>
    <s v="Flavor Compound"/>
    <s v="Ashford UK"/>
    <x v="1"/>
    <n v="1"/>
    <x v="1"/>
    <s v="Fail"/>
    <n v="0.87"/>
    <s v="g/ml"/>
    <n v="0.88"/>
    <n v="0.97"/>
    <x v="319"/>
    <s v="L. Rossi"/>
  </r>
  <r>
    <s v="S001612"/>
    <s v="ESS-2024-00359"/>
    <s v="Essential Oil Blend"/>
    <s v="Ashford UK"/>
    <x v="6"/>
    <n v="1"/>
    <x v="0"/>
    <s v="Pass"/>
    <n v="29.13"/>
    <s v="CFU/g"/>
    <n v="0"/>
    <n v="100"/>
    <x v="187"/>
    <s v="A. Kovacs"/>
  </r>
  <r>
    <s v="S000252"/>
    <s v="FOO-2024-00057"/>
    <s v="Food Ingredient Extract"/>
    <s v="East Hanover"/>
    <x v="3"/>
    <n v="1"/>
    <x v="0"/>
    <s v="Pass"/>
    <n v="98.7"/>
    <s v="%"/>
    <n v="97"/>
    <n v="100"/>
    <x v="270"/>
    <s v="A. Kovacs"/>
  </r>
  <r>
    <s v="S001820"/>
    <s v="FRA-2025-00407"/>
    <s v="Fragrance Oil"/>
    <s v="Vernier CH"/>
    <x v="3"/>
    <n v="1"/>
    <x v="0"/>
    <s v="Pass"/>
    <n v="98.02"/>
    <s v="%"/>
    <n v="97"/>
    <n v="100"/>
    <x v="121"/>
    <s v="J NAGY"/>
  </r>
  <r>
    <s v="S001991"/>
    <s v="FRA-2025-00444"/>
    <s v="Fragrance Oil"/>
    <s v="East Hanover"/>
    <x v="4"/>
    <n v="1"/>
    <x v="1"/>
    <s v="Fail"/>
    <n v="1.45"/>
    <s v="%"/>
    <n v="0"/>
    <n v="1"/>
    <x v="238"/>
    <s v="J. Nagy"/>
  </r>
  <r>
    <s v="S001904"/>
    <s v="ESS-2025-00426"/>
    <s v="Essential Oil Blend"/>
    <s v="Dortmund DE"/>
    <x v="5"/>
    <n v="1"/>
    <x v="0"/>
    <s v="Pass"/>
    <n v="6.4"/>
    <m/>
    <n v="6"/>
    <n v="7.5"/>
    <x v="142"/>
    <s v="T. Weber"/>
  </r>
  <r>
    <s v="S000983"/>
    <s v="FOO-2024-00223"/>
    <s v="Food Ingredient Extract"/>
    <s v="Vernier CH"/>
    <x v="4"/>
    <n v="1"/>
    <x v="0"/>
    <s v="Pass"/>
    <n v="0.12"/>
    <s v="%"/>
    <n v="0"/>
    <n v="1"/>
    <x v="220"/>
    <s v="J. Nagy"/>
  </r>
  <r>
    <s v="S001773"/>
    <s v="FOO-2025-00397"/>
    <s v="Food Ingredient Extract"/>
    <s v="East Hanover"/>
    <x v="5"/>
    <n v="1"/>
    <x v="0"/>
    <s v="Pass"/>
    <n v="7.16"/>
    <m/>
    <n v="6"/>
    <n v="7.5"/>
    <x v="198"/>
    <s v="M. Toth"/>
  </r>
  <r>
    <s v="S000707"/>
    <s v="FRA-2024-00160"/>
    <s v="Fragrance Oil"/>
    <s v="Dortmund DE"/>
    <x v="6"/>
    <n v="1"/>
    <x v="1"/>
    <s v="Fail"/>
    <n v="-11.41"/>
    <s v="CFU/g"/>
    <n v="0"/>
    <n v="100"/>
    <x v="29"/>
    <s v="A. Kovacs"/>
  </r>
  <r>
    <s v="S000488"/>
    <s v="ARO-2025-00110"/>
    <s v="Aroma Chemical"/>
    <s v="Vernier CH"/>
    <x v="0"/>
    <n v="1"/>
    <x v="0"/>
    <s v="Fail"/>
    <n v="24.36"/>
    <s v="ppm"/>
    <n v="0"/>
    <n v="120"/>
    <x v="208"/>
    <s v="M. Toth"/>
  </r>
  <r>
    <s v="S000274"/>
    <s v="FRA-2024-00063"/>
    <s v="Fragrance Oil"/>
    <s v="Budapest"/>
    <x v="2"/>
    <n v="1"/>
    <x v="0"/>
    <s v="Pass"/>
    <n v="182.71"/>
    <s v="um"/>
    <n v="150"/>
    <n v="400"/>
    <x v="212"/>
    <s v="T. Weber"/>
  </r>
  <r>
    <s v="S001762"/>
    <s v="FLA-2024-00393"/>
    <s v="Flavor Compound"/>
    <s v="East Hanover"/>
    <x v="1"/>
    <n v="1"/>
    <x v="0"/>
    <s v="Pending"/>
    <n v="0.95"/>
    <s v="g/ml"/>
    <n v="0.88"/>
    <n v="0.97"/>
    <x v="242"/>
    <s v="M. Toth"/>
  </r>
  <r>
    <s v="S001669"/>
    <s v="FRA-2025-00374"/>
    <s v="Fragrance Oil"/>
    <s v="East Hanover"/>
    <x v="6"/>
    <n v="1"/>
    <x v="0"/>
    <s v="Pass"/>
    <n v="18.02"/>
    <s v="CFU/g"/>
    <n v="0"/>
    <n v="100"/>
    <x v="40"/>
    <s v="S. Fischer"/>
  </r>
  <r>
    <s v="S000964"/>
    <s v="FRA-2024-00218"/>
    <s v="Fragrance Oil"/>
    <s v="Ashford UK"/>
    <x v="3"/>
    <n v="1"/>
    <x v="0"/>
    <s v="Pass"/>
    <n v="98.92"/>
    <s v="%"/>
    <n v="97"/>
    <n v="100"/>
    <x v="166"/>
    <s v="L. Rossi"/>
  </r>
  <r>
    <s v="S000878"/>
    <s v="FOO-2025-00199"/>
    <s v="Food Ingredient Extract"/>
    <s v="Ashford UK"/>
    <x v="0"/>
    <n v="1"/>
    <x v="0"/>
    <s v="Pending"/>
    <n v="69.010000000000005"/>
    <s v="ppm"/>
    <n v="0"/>
    <n v="120"/>
    <x v="269"/>
    <s v="S. Fischer"/>
  </r>
  <r>
    <s v="S001741"/>
    <s v="FOO-2024-00389"/>
    <s v="Food Ingredient Extract"/>
    <s v="Ashford UK"/>
    <x v="4"/>
    <n v="1"/>
    <x v="0"/>
    <s v="Pass"/>
    <n v="0.38"/>
    <s v="%"/>
    <n v="0"/>
    <n v="1"/>
    <x v="5"/>
    <s v="J. Nagy"/>
  </r>
  <r>
    <s v="S001813"/>
    <s v="ARO-2024-00405"/>
    <s v="Aroma Chemical"/>
    <s v="Budapest"/>
    <x v="3"/>
    <n v="1"/>
    <x v="0"/>
    <s v="Pass"/>
    <n v="98.35"/>
    <s v="%"/>
    <n v="97"/>
    <n v="100"/>
    <x v="193"/>
    <s v="A. Kovacs"/>
  </r>
  <r>
    <s v="S000412"/>
    <s v="FLA-2024-00093"/>
    <s v="Flavor Compound"/>
    <s v="Budapest"/>
    <x v="3"/>
    <n v="1"/>
    <x v="0"/>
    <s v="Pass"/>
    <n v="97.73"/>
    <s v="%"/>
    <n v="97"/>
    <n v="100"/>
    <x v="15"/>
    <s v="J. Nagy"/>
  </r>
  <r>
    <s v="S000668"/>
    <s v="FLA-2024-00152"/>
    <s v="Flavor Compound"/>
    <s v="Budapest"/>
    <x v="4"/>
    <n v="1"/>
    <x v="0"/>
    <s v="Pass"/>
    <n v="0.28000000000000003"/>
    <s v="%"/>
    <n v="0"/>
    <n v="1"/>
    <x v="26"/>
    <s v="L. Rossi"/>
  </r>
  <r>
    <s v="S001263"/>
    <s v="FLA-2025-00283"/>
    <s v="Flavor Compound"/>
    <s v="Budapest"/>
    <x v="1"/>
    <n v="1"/>
    <x v="0"/>
    <s v="Pass"/>
    <n v="0.94"/>
    <s v="g/ml"/>
    <n v="0.88"/>
    <n v="0.97"/>
    <x v="291"/>
    <s v="K. Varga"/>
  </r>
  <r>
    <s v="S000150"/>
    <s v="ESS-2025-00035"/>
    <s v="Essential Oil Blend"/>
    <s v="Budapest"/>
    <x v="0"/>
    <n v="1"/>
    <x v="0"/>
    <s v="Fail"/>
    <n v="51.36"/>
    <s v="ppm"/>
    <n v="0"/>
    <n v="120"/>
    <x v="146"/>
    <s v="S. Fischer"/>
  </r>
  <r>
    <s v="S000645"/>
    <s v="ESS-2024-00147"/>
    <s v="Essential Oil Blend"/>
    <s v="Vernier CH"/>
    <x v="5"/>
    <n v="1"/>
    <x v="0"/>
    <s v="Pass"/>
    <n v="6.47"/>
    <m/>
    <n v="6"/>
    <n v="7.5"/>
    <x v="135"/>
    <s v="M. Toth"/>
  </r>
  <r>
    <s v="S001605"/>
    <s v="FRA-2024-00358"/>
    <s v="Fragrance Oil"/>
    <s v="Ashford UK"/>
    <x v="4"/>
    <n v="1"/>
    <x v="0"/>
    <s v="Fail"/>
    <n v="0.27"/>
    <s v="%"/>
    <n v="0"/>
    <n v="1"/>
    <x v="78"/>
    <s v="L. Rossi"/>
  </r>
  <r>
    <s v="S000219"/>
    <s v="FRA-2024-00050"/>
    <s v="Fragrance Oil"/>
    <s v="Dortmund DE"/>
    <x v="5"/>
    <n v="1"/>
    <x v="0"/>
    <s v="Pass"/>
    <n v="6.76"/>
    <m/>
    <n v="6"/>
    <n v="7.5"/>
    <x v="122"/>
    <s v="K. Varga"/>
  </r>
  <r>
    <s v="S000240"/>
    <s v="FRA-2024-00054"/>
    <s v="Fragrance Oil"/>
    <s v="East Hanover"/>
    <x v="2"/>
    <n v="1"/>
    <x v="0"/>
    <s v="Pass"/>
    <n v="323.45"/>
    <s v="um"/>
    <n v="150"/>
    <n v="400"/>
    <x v="149"/>
    <s v="M. Toth"/>
  </r>
  <r>
    <s v="S001132"/>
    <s v="FLA-2024-00254"/>
    <s v="Flavor Compound"/>
    <s v="East Hanover"/>
    <x v="1"/>
    <n v="1"/>
    <x v="0"/>
    <s v="Pass"/>
    <n v="0.92"/>
    <s v="g/ml"/>
    <n v="0.88"/>
    <n v="0.97"/>
    <x v="308"/>
    <s v="P. Meier"/>
  </r>
  <r>
    <s v="S001217"/>
    <s v="FLA-2024-00272"/>
    <s v="Flavor Compound"/>
    <s v="Dortmund DE"/>
    <x v="0"/>
    <n v="1"/>
    <x v="0"/>
    <s v="Fail"/>
    <n v="35.04"/>
    <s v="ppm"/>
    <n v="0"/>
    <n v="120"/>
    <x v="36"/>
    <s v="L. Rossi"/>
  </r>
  <r>
    <s v="S000793"/>
    <s v="FLA-2024-00180"/>
    <s v="Flavor Compound"/>
    <s v="Budapest"/>
    <x v="3"/>
    <n v="1"/>
    <x v="0"/>
    <s v="Fail"/>
    <n v="98.39"/>
    <s v="%"/>
    <n v="97"/>
    <n v="100"/>
    <x v="132"/>
    <s v="M. Toth"/>
  </r>
  <r>
    <s v="S000192"/>
    <s v="FLA-2025-00044"/>
    <s v="Flavor Compound"/>
    <s v="Ashford UK"/>
    <x v="0"/>
    <n v="1"/>
    <x v="0"/>
    <s v="Fail"/>
    <n v="17.45"/>
    <s v="ppm"/>
    <n v="0"/>
    <n v="120"/>
    <x v="327"/>
    <s v="K. Varga"/>
  </r>
  <r>
    <s v="S000334"/>
    <s v="ARO-2025-00076"/>
    <s v="Aroma Chemical"/>
    <s v="Dortmund DE"/>
    <x v="2"/>
    <n v="1"/>
    <x v="0"/>
    <s v="Pass"/>
    <n v="168.49"/>
    <s v="um"/>
    <n v="150"/>
    <n v="400"/>
    <x v="129"/>
    <s v="J. Nagy"/>
  </r>
  <r>
    <s v="S001322"/>
    <s v="FLA-2024-00295"/>
    <s v="Flavor Compound"/>
    <s v="East Hanover"/>
    <x v="5"/>
    <n v="1"/>
    <x v="0"/>
    <s v="Pass"/>
    <n v="6.39"/>
    <m/>
    <n v="6"/>
    <n v="7.5"/>
    <x v="155"/>
    <s v="M. Toth"/>
  </r>
  <r>
    <s v="S001325"/>
    <s v="FLA-2024-00295"/>
    <s v="Flavor Compound"/>
    <s v="East Hanover"/>
    <x v="6"/>
    <n v="1"/>
    <x v="0"/>
    <s v="Pass"/>
    <n v="5.09"/>
    <s v="CFU/g"/>
    <n v="0"/>
    <n v="100"/>
    <x v="155"/>
    <s v="P. Meier"/>
  </r>
  <r>
    <s v="S000963"/>
    <s v="FRA-2024-00218"/>
    <s v="Fragrance Oil"/>
    <s v="Ashford UK"/>
    <x v="2"/>
    <n v="1"/>
    <x v="0"/>
    <s v="Pass"/>
    <n v="280.36"/>
    <s v="um"/>
    <n v="150"/>
    <n v="400"/>
    <x v="166"/>
    <s v="T. Weber"/>
  </r>
  <r>
    <s v="S001321"/>
    <s v="FLA-2024-00294"/>
    <s v="Flavor Compound"/>
    <s v="Dortmund DE"/>
    <x v="3"/>
    <n v="1"/>
    <x v="0"/>
    <s v="Pass"/>
    <n v="98.75"/>
    <s v="%"/>
    <n v="97"/>
    <n v="100"/>
    <x v="97"/>
    <s v="T. Weber"/>
  </r>
  <r>
    <s v="S001956"/>
    <s v="FRA-2024-00438"/>
    <s v="Fragrance Oil"/>
    <s v="Budapest"/>
    <x v="0"/>
    <n v="1"/>
    <x v="0"/>
    <s v="Pass"/>
    <n v="26.71"/>
    <s v="ppm"/>
    <n v="0"/>
    <n v="120"/>
    <x v="34"/>
    <s v="J NAGY"/>
  </r>
  <r>
    <s v="S001652"/>
    <s v="ESS-2024-00370"/>
    <s v="Essential Oil Blend"/>
    <s v="Dortmund DE"/>
    <x v="4"/>
    <n v="1"/>
    <x v="0"/>
    <s v="Fail"/>
    <n v="0.45"/>
    <s v="%"/>
    <n v="0"/>
    <n v="1"/>
    <x v="277"/>
    <s v="M. Toth"/>
  </r>
  <r>
    <s v="S001617"/>
    <s v="FOO-2025-00360"/>
    <s v="Food Ingredient Extract"/>
    <s v="Ashford UK"/>
    <x v="2"/>
    <n v="1"/>
    <x v="0"/>
    <s v="Pass"/>
    <n v="285.55"/>
    <s v="um"/>
    <n v="150"/>
    <n v="400"/>
    <x v="46"/>
    <s v="S. Fischer"/>
  </r>
  <r>
    <s v="S000583"/>
    <s v="FOO-2024-00131"/>
    <s v="Food Ingredient Extract"/>
    <s v="Dortmund DE"/>
    <x v="4"/>
    <n v="1"/>
    <x v="0"/>
    <s v="Pass"/>
    <n v="0.5"/>
    <s v="%"/>
    <n v="0"/>
    <n v="1"/>
    <x v="184"/>
    <s v="L. Rossi"/>
  </r>
  <r>
    <s v="S001910"/>
    <s v="FOO-2025-00427"/>
    <s v="Food Ingredient Extract"/>
    <s v="Dortmund DE"/>
    <x v="2"/>
    <n v="1"/>
    <x v="0"/>
    <s v="Pass"/>
    <n v="188"/>
    <s v="um"/>
    <n v="150"/>
    <n v="400"/>
    <x v="174"/>
    <s v="T. Weber"/>
  </r>
  <r>
    <s v="S001693"/>
    <s v="ESS-2024-00379"/>
    <s v="Essential Oil Blend"/>
    <s v="East Hanover"/>
    <x v="1"/>
    <n v="1"/>
    <x v="0"/>
    <s v="Fail"/>
    <n v="0.96"/>
    <s v="g/ml"/>
    <n v="0.88"/>
    <n v="0.97"/>
    <x v="22"/>
    <s v="L. Rossi"/>
  </r>
  <r>
    <s v="S000840"/>
    <s v="FOO-2025-00191"/>
    <s v="Food Ingredient Extract"/>
    <s v="Dortmund DE"/>
    <x v="1"/>
    <n v="1"/>
    <x v="1"/>
    <s v="Fail"/>
    <n v="1.06"/>
    <s v="g/ml"/>
    <n v="0.88"/>
    <n v="0.97"/>
    <x v="33"/>
    <s v="K. Varga"/>
  </r>
  <r>
    <s v="S000628"/>
    <s v="ESS-2025-00142"/>
    <s v="Essential Oil Blend"/>
    <s v="Budapest"/>
    <x v="4"/>
    <n v="1"/>
    <x v="0"/>
    <s v="Fail"/>
    <n v="0.14000000000000001"/>
    <s v="%"/>
    <n v="0"/>
    <n v="1"/>
    <x v="330"/>
    <s v="A. Kovacs"/>
  </r>
  <r>
    <s v="S000324"/>
    <s v="ARO-2025-00073"/>
    <s v="Aroma Chemical"/>
    <s v="Budapest"/>
    <x v="0"/>
    <n v="1"/>
    <x v="0"/>
    <s v="Pass"/>
    <n v="25.33"/>
    <s v="ppm"/>
    <n v="0"/>
    <n v="120"/>
    <x v="146"/>
    <s v="A. Kovacs"/>
  </r>
  <r>
    <s v="S001643"/>
    <s v="ARO-2024-00368"/>
    <s v="Aroma Chemical"/>
    <s v="Vernier CH"/>
    <x v="0"/>
    <n v="1"/>
    <x v="0"/>
    <s v="Fail"/>
    <n v="30.25"/>
    <s v="ppm"/>
    <n v="0"/>
    <n v="120"/>
    <x v="152"/>
    <s v="J. Nagy"/>
  </r>
  <r>
    <s v="S001161"/>
    <s v="FOO-2024-00260"/>
    <s v="Food Ingredient Extract"/>
    <s v="Budapest"/>
    <x v="6"/>
    <n v="1"/>
    <x v="0"/>
    <s v="Pass"/>
    <n v="66.86"/>
    <s v="CFU/g"/>
    <n v="0"/>
    <n v="100"/>
    <x v="280"/>
    <s v="L. Rossi"/>
  </r>
  <r>
    <s v="S000779"/>
    <s v="ARO-2025-00177"/>
    <s v="Aroma Chemical"/>
    <s v="Budapest"/>
    <x v="2"/>
    <n v="1"/>
    <x v="0"/>
    <s v="Pending"/>
    <n v="266.55"/>
    <s v="um"/>
    <n v="150"/>
    <n v="400"/>
    <x v="178"/>
    <s v="K. Varga"/>
  </r>
  <r>
    <s v="S001077"/>
    <s v="FOO-2024-00241"/>
    <s v="Food Ingredient Extract"/>
    <s v="Dortmund DE"/>
    <x v="3"/>
    <n v="1"/>
    <x v="0"/>
    <s v="Pending"/>
    <n v="97.8"/>
    <s v="%"/>
    <n v="97"/>
    <n v="100"/>
    <x v="74"/>
    <s v="M. Toth"/>
  </r>
  <r>
    <s v="S000940"/>
    <s v="ESS-2025-00213"/>
    <s v="Essential Oil Blend"/>
    <s v="Ashford UK"/>
    <x v="3"/>
    <n v="1"/>
    <x v="0"/>
    <s v="Pending"/>
    <n v="98.5"/>
    <s v="%"/>
    <n v="97"/>
    <n v="100"/>
    <x v="85"/>
    <s v="S. Fischer"/>
  </r>
  <r>
    <s v="S000438"/>
    <s v="ESS-2024-00099"/>
    <s v="Essential Oil Blend"/>
    <s v="Vernier CH"/>
    <x v="1"/>
    <n v="1"/>
    <x v="0"/>
    <s v="Fail"/>
    <n v="0.91"/>
    <s v="g/ml"/>
    <n v="0.88"/>
    <n v="0.97"/>
    <x v="156"/>
    <s v="S. Fischer"/>
  </r>
  <r>
    <s v="S000120"/>
    <s v="ESS-2025-00028"/>
    <s v="Essential Oil Blend"/>
    <s v="Ashford UK"/>
    <x v="5"/>
    <n v="1"/>
    <x v="0"/>
    <s v="Pass"/>
    <n v="7.29"/>
    <m/>
    <n v="6"/>
    <n v="7.5"/>
    <x v="250"/>
    <s v="A. Kovacs"/>
  </r>
  <r>
    <s v="S001553"/>
    <s v="ESS-2024-00345"/>
    <s v="Essential Oil Blend"/>
    <s v="East Hanover"/>
    <x v="2"/>
    <n v="1"/>
    <x v="0"/>
    <s v="Pass"/>
    <n v="201.66"/>
    <s v="um"/>
    <n v="150"/>
    <n v="400"/>
    <x v="60"/>
    <s v="J NAGY"/>
  </r>
  <r>
    <s v="S001563"/>
    <s v="FOO-2024-00348"/>
    <s v="Food Ingredient Extract"/>
    <s v="East Hanover"/>
    <x v="6"/>
    <n v="1"/>
    <x v="1"/>
    <s v="Fail"/>
    <n v="-12.54"/>
    <s v="CFU/g"/>
    <n v="0"/>
    <n v="100"/>
    <x v="130"/>
    <s v="K. Varga"/>
  </r>
  <r>
    <s v="S001027"/>
    <s v="FOO-2025-00231"/>
    <s v="Food Ingredient Extract"/>
    <s v="Budapest"/>
    <x v="1"/>
    <n v="1"/>
    <x v="0"/>
    <s v="Pass"/>
    <n v="0.93"/>
    <s v="g/ml"/>
    <n v="0.88"/>
    <n v="0.97"/>
    <x v="141"/>
    <s v="P. Meier"/>
  </r>
  <r>
    <s v="S001254"/>
    <s v="FLA-2024-00280"/>
    <s v="Flavor Compound"/>
    <s v="Budapest"/>
    <x v="1"/>
    <n v="1"/>
    <x v="0"/>
    <s v="Pending"/>
    <n v="0.89"/>
    <s v="g/ml"/>
    <n v="0.88"/>
    <n v="0.97"/>
    <x v="92"/>
    <s v="K. Varga"/>
  </r>
  <r>
    <s v="S001557"/>
    <s v="FRA-2024-00347"/>
    <s v="Fragrance Oil"/>
    <s v="Ashford UK"/>
    <x v="1"/>
    <n v="1"/>
    <x v="0"/>
    <s v="Pass"/>
    <n v="0.91"/>
    <s v="g/ml"/>
    <n v="0.88"/>
    <n v="0.97"/>
    <x v="322"/>
    <s v="J. Nagy"/>
  </r>
  <r>
    <s v="S000077"/>
    <s v="FRA-2025-00018"/>
    <s v="Fragrance Oil"/>
    <s v="Vernier CH"/>
    <x v="4"/>
    <n v="1"/>
    <x v="0"/>
    <s v="Pass"/>
    <n v="0.22"/>
    <s v="%"/>
    <n v="0"/>
    <n v="1"/>
    <x v="259"/>
    <s v="M. Toth"/>
  </r>
  <r>
    <s v="S001054"/>
    <s v="FLA-2024-00236"/>
    <s v="Flavor Compound"/>
    <s v="Vernier CH"/>
    <x v="6"/>
    <n v="1"/>
    <x v="0"/>
    <s v="Pending"/>
    <n v="29.31"/>
    <s v="CFU/g"/>
    <n v="0"/>
    <n v="100"/>
    <x v="247"/>
    <s v="S. Fischer"/>
  </r>
  <r>
    <s v="S000901"/>
    <s v="FRA-2025-00203"/>
    <s v="Fragrance Oil"/>
    <s v="East Hanover"/>
    <x v="6"/>
    <n v="1"/>
    <x v="0"/>
    <s v="Pass"/>
    <n v="30.66"/>
    <s v="CFU/g"/>
    <n v="0"/>
    <n v="100"/>
    <x v="221"/>
    <s v="L. Rossi"/>
  </r>
  <r>
    <s v="S000372"/>
    <s v="FLA-2025-00084"/>
    <s v="Flavor Compound"/>
    <s v="Dortmund DE"/>
    <x v="2"/>
    <n v="1"/>
    <x v="0"/>
    <s v="Pass"/>
    <n v="252.15"/>
    <s v="um"/>
    <n v="150"/>
    <n v="400"/>
    <x v="197"/>
    <s v="S. Fischer"/>
  </r>
  <r>
    <s v="S001864"/>
    <s v="FRA-2025-00417"/>
    <s v="Fragrance Oil"/>
    <s v="Budapest"/>
    <x v="5"/>
    <n v="1"/>
    <x v="0"/>
    <s v="Pass"/>
    <n v="7.12"/>
    <m/>
    <n v="6"/>
    <n v="7.5"/>
    <x v="203"/>
    <s v="J NAGY"/>
  </r>
  <r>
    <s v="S001442"/>
    <s v="FOO-2025-00322"/>
    <s v="Food Ingredient Extract"/>
    <s v="East Hanover"/>
    <x v="4"/>
    <n v="1"/>
    <x v="0"/>
    <s v="Fail"/>
    <n v="0.43"/>
    <s v="%"/>
    <n v="0"/>
    <n v="1"/>
    <x v="55"/>
    <s v="P. Meier"/>
  </r>
  <r>
    <s v="S001978"/>
    <s v="FLA-2025-00442"/>
    <s v="Flavor Compound"/>
    <s v="Ashford UK"/>
    <x v="4"/>
    <n v="1"/>
    <x v="0"/>
    <s v="Pass"/>
    <n v="0.09"/>
    <s v="%"/>
    <n v="0"/>
    <n v="1"/>
    <x v="159"/>
    <s v="M. Toth"/>
  </r>
  <r>
    <s v="S000942"/>
    <s v="ESS-2025-00213"/>
    <s v="Essential Oil Blend"/>
    <s v="Ashford UK"/>
    <x v="4"/>
    <n v="1"/>
    <x v="0"/>
    <s v="Pending"/>
    <n v="0.49"/>
    <s v="%"/>
    <n v="0"/>
    <n v="1"/>
    <x v="85"/>
    <s v="T. Weber"/>
  </r>
  <r>
    <s v="S000578"/>
    <s v="FRA-2025-00130"/>
    <s v="Fragrance Oil"/>
    <s v="Vernier CH"/>
    <x v="6"/>
    <n v="1"/>
    <x v="0"/>
    <s v="Pass"/>
    <n v="6.07"/>
    <s v="CFU/g"/>
    <n v="0"/>
    <n v="100"/>
    <x v="207"/>
    <s v="M. Toth"/>
  </r>
  <r>
    <s v="S000820"/>
    <s v="ESS-2024-00186"/>
    <s v="Essential Oil Blend"/>
    <s v="Budapest"/>
    <x v="6"/>
    <n v="1"/>
    <x v="0"/>
    <s v="Pass"/>
    <n v="17.28"/>
    <s v="CFU/g"/>
    <n v="0"/>
    <n v="100"/>
    <x v="144"/>
    <s v="S. Fischer"/>
  </r>
  <r>
    <s v="S001497"/>
    <s v="ESS-2025-00333"/>
    <s v="Essential Oil Blend"/>
    <s v="Budapest"/>
    <x v="5"/>
    <n v="1"/>
    <x v="0"/>
    <s v="Pass"/>
    <n v="6.33"/>
    <m/>
    <n v="6"/>
    <n v="7.5"/>
    <x v="43"/>
    <s v="L. Rossi"/>
  </r>
  <r>
    <s v="S001491"/>
    <s v="FOO-2024-00332"/>
    <s v="Food Ingredient Extract"/>
    <s v="Ashford UK"/>
    <x v="6"/>
    <n v="1"/>
    <x v="0"/>
    <s v="Pass"/>
    <n v="15.01"/>
    <s v="CFU/g"/>
    <n v="0"/>
    <n v="100"/>
    <x v="271"/>
    <s v="L. Rossi"/>
  </r>
  <r>
    <s v="S001733"/>
    <s v="ESS-2025-00387"/>
    <s v="Essential Oil Blend"/>
    <s v="East Hanover"/>
    <x v="5"/>
    <n v="1"/>
    <x v="0"/>
    <s v="Fail"/>
    <n v="6.38"/>
    <m/>
    <n v="6"/>
    <n v="7.5"/>
    <x v="294"/>
    <s v="M. Toth"/>
  </r>
  <r>
    <s v="S001380"/>
    <s v="FLA-2024-00308"/>
    <s v="Flavor Compound"/>
    <s v="Budapest"/>
    <x v="2"/>
    <n v="1"/>
    <x v="0"/>
    <s v="Pass"/>
    <n v="211.72"/>
    <s v="um"/>
    <n v="150"/>
    <n v="400"/>
    <x v="209"/>
    <s v="P. Meier"/>
  </r>
  <r>
    <s v="S000887"/>
    <s v="FLA-2025-00201"/>
    <s v="Flavor Compound"/>
    <s v="Ashford UK"/>
    <x v="5"/>
    <n v="1"/>
    <x v="0"/>
    <s v="Pass"/>
    <n v="7.27"/>
    <m/>
    <n v="6"/>
    <n v="7.5"/>
    <x v="170"/>
    <s v="K. Varga"/>
  </r>
  <r>
    <s v="S000969"/>
    <s v="FRA-2025-00219"/>
    <s v="Fragrance Oil"/>
    <s v="Vernier CH"/>
    <x v="6"/>
    <n v="1"/>
    <x v="1"/>
    <s v="Fail"/>
    <n v="-75"/>
    <s v="CFU/g"/>
    <n v="0"/>
    <n v="100"/>
    <x v="127"/>
    <s v="P. Meier"/>
  </r>
  <r>
    <s v="S001597"/>
    <s v="FOO-2025-00356"/>
    <s v="Food Ingredient Extract"/>
    <s v="East Hanover"/>
    <x v="1"/>
    <n v="1"/>
    <x v="0"/>
    <s v="Pass"/>
    <n v="0.94"/>
    <s v="g/ml"/>
    <n v="0.88"/>
    <n v="0.97"/>
    <x v="234"/>
    <s v="L. Rossi"/>
  </r>
  <r>
    <s v="S000786"/>
    <s v="ESS-2024-00178"/>
    <s v="Essential Oil Blend"/>
    <s v="East Hanover"/>
    <x v="0"/>
    <n v="1"/>
    <x v="0"/>
    <s v="Pass"/>
    <n v="15.09"/>
    <s v="ppm"/>
    <n v="0"/>
    <n v="120"/>
    <x v="315"/>
    <s v="P. Meier"/>
  </r>
  <r>
    <s v="S001929"/>
    <s v="FRA-2025-00432"/>
    <s v="Fragrance Oil"/>
    <s v="East Hanover"/>
    <x v="4"/>
    <n v="1"/>
    <x v="0"/>
    <s v="Pass"/>
    <n v="0.63"/>
    <s v="%"/>
    <n v="0"/>
    <n v="1"/>
    <x v="213"/>
    <s v="L. Rossi"/>
  </r>
  <r>
    <s v="S001681"/>
    <s v="FRA-2024-00376"/>
    <s v="Fragrance Oil"/>
    <s v="Ashford UK"/>
    <x v="5"/>
    <n v="1"/>
    <x v="1"/>
    <s v="Fail"/>
    <n v="8.6999999999999993"/>
    <m/>
    <n v="6"/>
    <n v="7.5"/>
    <x v="21"/>
    <s v="M. Toth"/>
  </r>
  <r>
    <s v="S001283"/>
    <s v="ESS-2025-00286"/>
    <s v="Essential Oil Blend"/>
    <s v="Ashford UK"/>
    <x v="3"/>
    <n v="1"/>
    <x v="0"/>
    <s v="Pass"/>
    <n v="98.16"/>
    <s v="%"/>
    <n v="97"/>
    <n v="100"/>
    <x v="69"/>
    <s v="J NAGY"/>
  </r>
  <r>
    <s v="S000302"/>
    <s v="FOO-2025-00068"/>
    <s v="Food Ingredient Extract"/>
    <s v="Ashford UK"/>
    <x v="6"/>
    <n v="1"/>
    <x v="0"/>
    <s v="Pass"/>
    <n v="44.78"/>
    <s v="CFU/g"/>
    <n v="0"/>
    <n v="100"/>
    <x v="70"/>
    <s v="S. Fischer"/>
  </r>
  <r>
    <s v="S000690"/>
    <s v="FOO-2024-00157"/>
    <s v="Food Ingredient Extract"/>
    <s v="Budapest"/>
    <x v="2"/>
    <n v="1"/>
    <x v="0"/>
    <s v="Pass"/>
    <n v="262.04000000000002"/>
    <s v="um"/>
    <n v="150"/>
    <n v="400"/>
    <x v="262"/>
    <s v="J NAGY"/>
  </r>
  <r>
    <s v="S000813"/>
    <s v="FRA-2024-00184"/>
    <s v="Fragrance Oil"/>
    <s v="Budapest"/>
    <x v="5"/>
    <n v="1"/>
    <x v="0"/>
    <s v="Pass"/>
    <n v="7.15"/>
    <m/>
    <n v="6"/>
    <n v="7.5"/>
    <x v="232"/>
    <s v="P. Meier"/>
  </r>
  <r>
    <s v="S001062"/>
    <s v="FOO-2024-00237"/>
    <s v="Food Ingredient Extract"/>
    <s v="Budapest"/>
    <x v="3"/>
    <n v="1"/>
    <x v="0"/>
    <s v="Pass"/>
    <n v="98.89"/>
    <s v="%"/>
    <n v="97"/>
    <n v="100"/>
    <x v="9"/>
    <s v="K. Varga"/>
  </r>
  <r>
    <s v="S000237"/>
    <s v="FRA-2024-00054"/>
    <s v="Fragrance Oil"/>
    <s v="East Hanover"/>
    <x v="4"/>
    <n v="1"/>
    <x v="0"/>
    <s v="Pass"/>
    <n v="0.46"/>
    <s v="%"/>
    <n v="0"/>
    <n v="1"/>
    <x v="149"/>
    <s v="S. Fischer"/>
  </r>
  <r>
    <s v="S001116"/>
    <s v="FOO-2025-00251"/>
    <s v="Food Ingredient Extract"/>
    <s v="Budapest"/>
    <x v="4"/>
    <n v="1"/>
    <x v="0"/>
    <s v="Fail"/>
    <n v="0.25"/>
    <s v="%"/>
    <n v="0"/>
    <n v="1"/>
    <x v="28"/>
    <s v="T. Weber"/>
  </r>
  <r>
    <s v="S001356"/>
    <s v="ESS-2024-00303"/>
    <s v="Essential Oil Blend"/>
    <s v="Dortmund DE"/>
    <x v="6"/>
    <n v="1"/>
    <x v="0"/>
    <s v="Pass"/>
    <n v="11.14"/>
    <s v="CFU/g"/>
    <n v="0"/>
    <n v="100"/>
    <x v="17"/>
    <s v="L. Rossi"/>
  </r>
  <r>
    <s v="S000500"/>
    <s v="FLA-2025-00112"/>
    <s v="Flavor Compound"/>
    <s v="Budapest"/>
    <x v="2"/>
    <n v="1"/>
    <x v="0"/>
    <s v="Pass"/>
    <n v="254.56"/>
    <s v="um"/>
    <n v="150"/>
    <n v="400"/>
    <x v="42"/>
    <s v="P. Meier"/>
  </r>
  <r>
    <s v="S001657"/>
    <s v="ESS-2024-00370"/>
    <s v="Essential Oil Blend"/>
    <s v="Dortmund DE"/>
    <x v="6"/>
    <n v="1"/>
    <x v="1"/>
    <s v="Fail"/>
    <n v="-0.61"/>
    <s v="CFU/g"/>
    <n v="0"/>
    <n v="100"/>
    <x v="277"/>
    <s v="P. Meier"/>
  </r>
  <r>
    <s v="S001080"/>
    <s v="ARO-2024-00242"/>
    <s v="Aroma Chemical"/>
    <s v="Dortmund DE"/>
    <x v="2"/>
    <n v="1"/>
    <x v="0"/>
    <s v="Pass"/>
    <n v="225.36"/>
    <s v="um"/>
    <n v="150"/>
    <n v="400"/>
    <x v="126"/>
    <s v="M. Toth"/>
  </r>
  <r>
    <s v="S001327"/>
    <s v="ARO-2024-00296"/>
    <s v="Aroma Chemical"/>
    <s v="Vernier CH"/>
    <x v="2"/>
    <n v="1"/>
    <x v="0"/>
    <s v="Pass"/>
    <n v="256.56"/>
    <s v="um"/>
    <n v="150"/>
    <n v="400"/>
    <x v="19"/>
    <s v="L. Rossi"/>
  </r>
  <r>
    <s v="S000795"/>
    <s v="FLA-2024-00180"/>
    <s v="Flavor Compound"/>
    <s v="Budapest"/>
    <x v="4"/>
    <n v="1"/>
    <x v="0"/>
    <s v="Fail"/>
    <n v="0.02"/>
    <s v="%"/>
    <n v="0"/>
    <n v="1"/>
    <x v="132"/>
    <s v="A. Kovacs"/>
  </r>
  <r>
    <s v="S001925"/>
    <s v="FOO-2024-00431"/>
    <s v="Food Ingredient Extract"/>
    <s v="East Hanover"/>
    <x v="2"/>
    <n v="1"/>
    <x v="0"/>
    <s v="Fail"/>
    <n v="305.3"/>
    <s v="um"/>
    <n v="150"/>
    <n v="400"/>
    <x v="14"/>
    <s v="J NAGY"/>
  </r>
  <r>
    <s v="S001766"/>
    <s v="ESS-2024-00395"/>
    <s v="Essential Oil Blend"/>
    <s v="Budapest"/>
    <x v="3"/>
    <n v="1"/>
    <x v="1"/>
    <s v="Fail"/>
    <n v="96.98"/>
    <s v="%"/>
    <n v="97"/>
    <n v="100"/>
    <x v="111"/>
    <s v="A. Kovacs"/>
  </r>
  <r>
    <s v="S001933"/>
    <s v="FRA-2025-00432"/>
    <s v="Fragrance Oil"/>
    <s v="East Hanover"/>
    <x v="1"/>
    <n v="1"/>
    <x v="0"/>
    <s v="Pass"/>
    <n v="0.92"/>
    <s v="g/ml"/>
    <n v="0.88"/>
    <n v="0.97"/>
    <x v="213"/>
    <s v="J NAGY"/>
  </r>
  <r>
    <s v="S000991"/>
    <s v="FOO-2025-00224"/>
    <s v="Food Ingredient Extract"/>
    <s v="Budapest"/>
    <x v="6"/>
    <n v="1"/>
    <x v="0"/>
    <s v="Pending"/>
    <n v="3.04"/>
    <s v="CFU/g"/>
    <n v="0"/>
    <n v="100"/>
    <x v="124"/>
    <s v="P. Meier"/>
  </r>
  <r>
    <s v="S001372"/>
    <s v="FLA-2024-00306"/>
    <s v="Flavor Compound"/>
    <s v="Dortmund DE"/>
    <x v="1"/>
    <n v="1"/>
    <x v="0"/>
    <s v="Fail"/>
    <n v="0.88"/>
    <s v="g/ml"/>
    <n v="0.88"/>
    <n v="0.97"/>
    <x v="307"/>
    <s v="K. Varga"/>
  </r>
  <r>
    <s v="S000935"/>
    <s v="ARO-2025-00212"/>
    <s v="Aroma Chemical"/>
    <s v="Dortmund DE"/>
    <x v="6"/>
    <n v="1"/>
    <x v="1"/>
    <s v="Fail"/>
    <n v="-37.93"/>
    <s v="CFU/g"/>
    <n v="0"/>
    <n v="100"/>
    <x v="228"/>
    <s v="L. Rossi"/>
  </r>
  <r>
    <s v="S000388"/>
    <s v="ARO-2024-00088"/>
    <s v="Aroma Chemical"/>
    <s v="Ashford UK"/>
    <x v="5"/>
    <n v="1"/>
    <x v="0"/>
    <s v="Pass"/>
    <n v="7.17"/>
    <m/>
    <n v="6"/>
    <n v="7.5"/>
    <x v="60"/>
    <s v="M. Toth"/>
  </r>
  <r>
    <s v="S001470"/>
    <s v="ESS-2025-00327"/>
    <s v="Essential Oil Blend"/>
    <s v="Ashford UK"/>
    <x v="2"/>
    <n v="1"/>
    <x v="0"/>
    <s v="Pending"/>
    <n v="277.64999999999998"/>
    <s v="um"/>
    <n v="150"/>
    <n v="400"/>
    <x v="79"/>
    <s v="M. Toth"/>
  </r>
  <r>
    <s v="S000391"/>
    <s v="ARO-2024-00089"/>
    <s v="Aroma Chemical"/>
    <s v="Dortmund DE"/>
    <x v="2"/>
    <n v="1"/>
    <x v="0"/>
    <s v="Fail"/>
    <n v="275.33999999999997"/>
    <s v="um"/>
    <n v="150"/>
    <n v="400"/>
    <x v="123"/>
    <s v="T. Weber"/>
  </r>
  <r>
    <s v="S000744"/>
    <s v="FLA-2025-00168"/>
    <s v="Flavor Compound"/>
    <s v="East Hanover"/>
    <x v="2"/>
    <n v="1"/>
    <x v="0"/>
    <s v="Fail"/>
    <n v="272.08"/>
    <s v="um"/>
    <n v="150"/>
    <n v="400"/>
    <x v="206"/>
    <s v="A. Kovacs"/>
  </r>
  <r>
    <s v="S000353"/>
    <s v="FRA-2025-00080"/>
    <s v="Fragrance Oil"/>
    <s v="Dortmund DE"/>
    <x v="5"/>
    <n v="1"/>
    <x v="0"/>
    <s v="Pass"/>
    <n v="6.54"/>
    <m/>
    <n v="6"/>
    <n v="7.5"/>
    <x v="196"/>
    <s v="T. Weber"/>
  </r>
  <r>
    <s v="S001218"/>
    <s v="FLA-2024-00272"/>
    <s v="Flavor Compound"/>
    <s v="Dortmund DE"/>
    <x v="5"/>
    <n v="1"/>
    <x v="0"/>
    <s v="Fail"/>
    <n v="6.67"/>
    <m/>
    <n v="6"/>
    <n v="7.5"/>
    <x v="36"/>
    <s v="K. Varga"/>
  </r>
  <r>
    <s v="S000236"/>
    <s v="FRA-2024-00054"/>
    <s v="Fragrance Oil"/>
    <s v="East Hanover"/>
    <x v="1"/>
    <n v="1"/>
    <x v="0"/>
    <s v="Pass"/>
    <n v="0.92"/>
    <s v="g/ml"/>
    <n v="0.88"/>
    <n v="0.97"/>
    <x v="149"/>
    <s v="P. Meier"/>
  </r>
  <r>
    <s v="S001707"/>
    <s v="FOO-2025-00382"/>
    <s v="Food Ingredient Extract"/>
    <s v="East Hanover"/>
    <x v="4"/>
    <n v="1"/>
    <x v="0"/>
    <s v="Pass"/>
    <n v="0.16"/>
    <s v="%"/>
    <n v="0"/>
    <n v="1"/>
    <x v="61"/>
    <s v="S. Fischer"/>
  </r>
  <r>
    <s v="S000481"/>
    <s v="FRA-2024-00108"/>
    <s v="Fragrance Oil"/>
    <s v="Ashford UK"/>
    <x v="0"/>
    <n v="1"/>
    <x v="0"/>
    <s v="Pass"/>
    <n v="92.85"/>
    <s v="ppm"/>
    <n v="0"/>
    <n v="120"/>
    <x v="84"/>
    <s v="S. Fischer"/>
  </r>
  <r>
    <s v="S000568"/>
    <s v="FLA-2024-00128"/>
    <s v="Flavor Compound"/>
    <s v="East Hanover"/>
    <x v="1"/>
    <n v="1"/>
    <x v="0"/>
    <s v="Fail"/>
    <n v="0.9"/>
    <s v="g/ml"/>
    <n v="0.88"/>
    <n v="0.97"/>
    <x v="296"/>
    <s v="S. Fischer"/>
  </r>
  <r>
    <s v="S001141"/>
    <s v="ARO-2025-00256"/>
    <s v="Aroma Chemical"/>
    <s v="Ashford UK"/>
    <x v="5"/>
    <n v="1"/>
    <x v="0"/>
    <s v="Pass"/>
    <n v="7.03"/>
    <m/>
    <n v="6"/>
    <n v="7.5"/>
    <x v="180"/>
    <s v="K. Varga"/>
  </r>
  <r>
    <s v="S001682"/>
    <s v="FRA-2024-00376"/>
    <s v="Fragrance Oil"/>
    <s v="Ashford UK"/>
    <x v="4"/>
    <n v="1"/>
    <x v="0"/>
    <s v="Fail"/>
    <n v="0.34"/>
    <s v="%"/>
    <n v="0"/>
    <n v="1"/>
    <x v="21"/>
    <s v="M. Toth"/>
  </r>
  <r>
    <s v="S001865"/>
    <s v="FRA-2025-00417"/>
    <s v="Fragrance Oil"/>
    <s v="Budapest"/>
    <x v="6"/>
    <n v="1"/>
    <x v="0"/>
    <s v="Pass"/>
    <n v="27.09"/>
    <s v="CFU/g"/>
    <n v="0"/>
    <n v="100"/>
    <x v="203"/>
    <s v="T. Weber"/>
  </r>
  <r>
    <s v="S001566"/>
    <s v="FLA-2024-00349"/>
    <s v="Flavor Compound"/>
    <s v="East Hanover"/>
    <x v="0"/>
    <n v="1"/>
    <x v="0"/>
    <s v="Fail"/>
    <n v="33.32"/>
    <s v="ppm"/>
    <n v="0"/>
    <n v="120"/>
    <x v="1"/>
    <s v="J NAGY"/>
  </r>
  <r>
    <s v="S000121"/>
    <s v="ESS-2025-00028"/>
    <s v="Essential Oil Blend"/>
    <s v="Ashford UK"/>
    <x v="1"/>
    <n v="1"/>
    <x v="0"/>
    <s v="Pass"/>
    <n v="0.89"/>
    <s v="g/ml"/>
    <n v="0.88"/>
    <n v="0.97"/>
    <x v="250"/>
    <s v="J NAGY"/>
  </r>
  <r>
    <s v="S001983"/>
    <s v="ESS-2025-00443"/>
    <s v="Essential Oil Blend"/>
    <s v="Ashford UK"/>
    <x v="0"/>
    <n v="1"/>
    <x v="0"/>
    <s v="Fail"/>
    <n v="76.72"/>
    <s v="ppm"/>
    <n v="0"/>
    <n v="120"/>
    <x v="53"/>
    <s v="L. Rossi"/>
  </r>
  <r>
    <s v="S001025"/>
    <s v="FOO-2025-00231"/>
    <s v="Food Ingredient Extract"/>
    <s v="Budapest"/>
    <x v="6"/>
    <n v="1"/>
    <x v="0"/>
    <s v="Pass"/>
    <n v="15.18"/>
    <s v="CFU/g"/>
    <n v="0"/>
    <n v="100"/>
    <x v="141"/>
    <s v="P. Meier"/>
  </r>
  <r>
    <s v="S001087"/>
    <s v="FLA-2024-00244"/>
    <s v="Flavor Compound"/>
    <s v="Dortmund DE"/>
    <x v="5"/>
    <n v="1"/>
    <x v="0"/>
    <s v="Fail"/>
    <n v="6.9"/>
    <m/>
    <n v="6"/>
    <n v="7.5"/>
    <x v="89"/>
    <s v="M. Toth"/>
  </r>
  <r>
    <s v="S001273"/>
    <s v="ARO-2024-00285"/>
    <s v="Aroma Chemical"/>
    <s v="Vernier CH"/>
    <x v="6"/>
    <n v="1"/>
    <x v="1"/>
    <s v="Fail"/>
    <n v="-21.37"/>
    <s v="CFU/g"/>
    <n v="0"/>
    <n v="100"/>
    <x v="13"/>
    <s v="J. Nagy"/>
  </r>
  <r>
    <s v="S000927"/>
    <s v="FRA-2024-00210"/>
    <s v="Fragrance Oil"/>
    <s v="Dortmund DE"/>
    <x v="0"/>
    <n v="1"/>
    <x v="0"/>
    <s v="Pass"/>
    <n v="60.91"/>
    <s v="ppm"/>
    <n v="0"/>
    <n v="120"/>
    <x v="118"/>
    <s v="J. Nagy"/>
  </r>
  <r>
    <s v="S000516"/>
    <s v="FOO-2025-00116"/>
    <s v="Food Ingredient Extract"/>
    <s v="Vernier CH"/>
    <x v="3"/>
    <n v="1"/>
    <x v="0"/>
    <s v="Fail"/>
    <n v="99.16"/>
    <s v="%"/>
    <n v="97"/>
    <n v="100"/>
    <x v="6"/>
    <s v="M. Toth"/>
  </r>
  <r>
    <s v="S000224"/>
    <s v="ARO-2025-00052"/>
    <s v="Aroma Chemical"/>
    <s v="Vernier CH"/>
    <x v="4"/>
    <n v="1"/>
    <x v="0"/>
    <s v="Fail"/>
    <n v="0.23"/>
    <s v="%"/>
    <n v="0"/>
    <n v="1"/>
    <x v="178"/>
    <s v="A. Kovacs"/>
  </r>
  <r>
    <s v="S001478"/>
    <s v="ESS-2025-00329"/>
    <s v="Essential Oil Blend"/>
    <s v="Vernier CH"/>
    <x v="3"/>
    <n v="1"/>
    <x v="0"/>
    <s v="Pass"/>
    <n v="99.41"/>
    <s v="%"/>
    <n v="97"/>
    <n v="100"/>
    <x v="233"/>
    <s v="J. Nagy"/>
  </r>
  <r>
    <s v="S000614"/>
    <s v="FLA-2024-00139"/>
    <s v="Flavor Compound"/>
    <s v="Dortmund DE"/>
    <x v="6"/>
    <n v="1"/>
    <x v="1"/>
    <s v="Fail"/>
    <n v="-11.84"/>
    <s v="CFU/g"/>
    <n v="0"/>
    <n v="100"/>
    <x v="331"/>
    <s v="J NAGY"/>
  </r>
  <r>
    <s v="S000844"/>
    <s v="FOO-2025-00191"/>
    <s v="Food Ingredient Extract"/>
    <s v="Dortmund DE"/>
    <x v="4"/>
    <n v="1"/>
    <x v="0"/>
    <s v="Fail"/>
    <n v="0.26"/>
    <s v="%"/>
    <n v="0"/>
    <n v="1"/>
    <x v="33"/>
    <s v="P. Meier"/>
  </r>
  <r>
    <s v="S001246"/>
    <s v="FRA-2025-00279"/>
    <s v="Fragrance Oil"/>
    <s v="Budapest"/>
    <x v="1"/>
    <n v="1"/>
    <x v="0"/>
    <s v="Pass"/>
    <n v="0.92"/>
    <s v="g/ml"/>
    <n v="0.88"/>
    <n v="0.97"/>
    <x v="45"/>
    <s v="S. Fischer"/>
  </r>
  <r>
    <s v="S000053"/>
    <s v="ESS-2024-00013"/>
    <s v="Essential Oil Blend"/>
    <s v="Dortmund DE"/>
    <x v="2"/>
    <n v="1"/>
    <x v="0"/>
    <s v="Pass"/>
    <n v="263.12"/>
    <s v="um"/>
    <n v="150"/>
    <n v="400"/>
    <x v="87"/>
    <s v="S. Fischer"/>
  </r>
  <r>
    <s v="S001844"/>
    <s v="ESS-2025-00412"/>
    <s v="Essential Oil Blend"/>
    <s v="Budapest"/>
    <x v="3"/>
    <n v="1"/>
    <x v="1"/>
    <s v="Fail"/>
    <n v="100.12"/>
    <s v="%"/>
    <n v="97"/>
    <n v="100"/>
    <x v="54"/>
    <s v="T. Weber"/>
  </r>
  <r>
    <s v="S000486"/>
    <s v="FLA-2025-00109"/>
    <s v="Flavor Compound"/>
    <s v="Budapest"/>
    <x v="4"/>
    <n v="1"/>
    <x v="0"/>
    <s v="Pass"/>
    <n v="0.4"/>
    <s v="%"/>
    <n v="0"/>
    <n v="1"/>
    <x v="272"/>
    <s v="S. Fischer"/>
  </r>
  <r>
    <s v="S001934"/>
    <s v="ARO-2025-00433"/>
    <s v="Aroma Chemical"/>
    <s v="Ashford UK"/>
    <x v="6"/>
    <n v="1"/>
    <x v="0"/>
    <s v="Pass"/>
    <n v="52.93"/>
    <s v="CFU/g"/>
    <n v="0"/>
    <n v="100"/>
    <x v="157"/>
    <s v="M. Toth"/>
  </r>
  <r>
    <s v="S000819"/>
    <s v="ESS-2024-00186"/>
    <s v="Essential Oil Blend"/>
    <s v="Budapest"/>
    <x v="4"/>
    <n v="1"/>
    <x v="0"/>
    <s v="Pass"/>
    <n v="0.31"/>
    <s v="%"/>
    <n v="0"/>
    <n v="1"/>
    <x v="144"/>
    <s v="P. Meier"/>
  </r>
  <r>
    <s v="S000156"/>
    <s v="FLA-2024-00037"/>
    <s v="Flavor Compound"/>
    <s v="Budapest"/>
    <x v="5"/>
    <n v="1"/>
    <x v="0"/>
    <s v="Pass"/>
    <n v="7.07"/>
    <m/>
    <n v="6"/>
    <n v="7.5"/>
    <x v="310"/>
    <s v="S. Fischer"/>
  </r>
  <r>
    <s v="S001367"/>
    <s v="ESS-2025-00305"/>
    <s v="Essential Oil Blend"/>
    <s v="Ashford UK"/>
    <x v="6"/>
    <n v="1"/>
    <x v="0"/>
    <s v="Fail"/>
    <n v="34.78"/>
    <s v="CFU/g"/>
    <n v="0"/>
    <n v="100"/>
    <x v="281"/>
    <s v="P. Meier"/>
  </r>
  <r>
    <s v="S000601"/>
    <s v="FLA-2025-00135"/>
    <s v="Flavor Compound"/>
    <s v="Vernier CH"/>
    <x v="2"/>
    <n v="1"/>
    <x v="0"/>
    <s v="Pass"/>
    <n v="275.89999999999998"/>
    <s v="um"/>
    <n v="150"/>
    <n v="400"/>
    <x v="332"/>
    <s v="S. Fischer"/>
  </r>
  <r>
    <s v="S001603"/>
    <s v="FRA-2024-00358"/>
    <s v="Fragrance Oil"/>
    <s v="Ashford UK"/>
    <x v="1"/>
    <n v="1"/>
    <x v="0"/>
    <s v="Fail"/>
    <n v="0.97"/>
    <s v="g/ml"/>
    <n v="0.88"/>
    <n v="0.97"/>
    <x v="78"/>
    <s v="L. Rossi"/>
  </r>
  <r>
    <s v="S000249"/>
    <s v="FRA-2025-00056"/>
    <s v="Fragrance Oil"/>
    <s v="Ashford UK"/>
    <x v="5"/>
    <n v="1"/>
    <x v="0"/>
    <s v="Pass"/>
    <n v="7.13"/>
    <m/>
    <n v="6"/>
    <n v="7.5"/>
    <x v="124"/>
    <s v="K. Varga"/>
  </r>
  <r>
    <s v="S000762"/>
    <s v="ARO-2024-00172"/>
    <s v="Aroma Chemical"/>
    <s v="Budapest"/>
    <x v="0"/>
    <n v="1"/>
    <x v="0"/>
    <s v="Pass"/>
    <n v="56.53"/>
    <s v="ppm"/>
    <n v="0"/>
    <n v="120"/>
    <x v="9"/>
    <s v="J. Nagy"/>
  </r>
  <r>
    <s v="S001828"/>
    <s v="ESS-2024-00408"/>
    <s v="Essential Oil Blend"/>
    <s v="Budapest"/>
    <x v="0"/>
    <n v="1"/>
    <x v="0"/>
    <s v="Pending"/>
    <n v="24.47"/>
    <s v="ppm"/>
    <n v="0"/>
    <n v="120"/>
    <x v="0"/>
    <s v="A. Kovacs"/>
  </r>
  <r>
    <s v="S001131"/>
    <s v="FLA-2024-00254"/>
    <s v="Flavor Compound"/>
    <s v="East Hanover"/>
    <x v="4"/>
    <n v="1"/>
    <x v="0"/>
    <s v="Pass"/>
    <n v="0.31"/>
    <s v="%"/>
    <n v="0"/>
    <n v="1"/>
    <x v="308"/>
    <s v="J. Nagy"/>
  </r>
  <r>
    <s v="S000543"/>
    <s v="ESS-2025-00122"/>
    <s v="Essential Oil Blend"/>
    <s v="Budapest"/>
    <x v="5"/>
    <n v="1"/>
    <x v="1"/>
    <s v="Fail"/>
    <n v="4.8"/>
    <m/>
    <n v="6"/>
    <n v="7.5"/>
    <x v="243"/>
    <s v="M. Toth"/>
  </r>
  <r>
    <s v="S000794"/>
    <s v="FLA-2024-00180"/>
    <s v="Flavor Compound"/>
    <s v="Budapest"/>
    <x v="5"/>
    <n v="1"/>
    <x v="0"/>
    <s v="Fail"/>
    <n v="6.56"/>
    <m/>
    <n v="6"/>
    <n v="7.5"/>
    <x v="132"/>
    <s v="L. Rossi"/>
  </r>
  <r>
    <s v="S001142"/>
    <s v="ARO-2025-00256"/>
    <s v="Aroma Chemical"/>
    <s v="Ashford UK"/>
    <x v="6"/>
    <n v="1"/>
    <x v="0"/>
    <s v="Pass"/>
    <n v="22.05"/>
    <s v="CFU/g"/>
    <n v="0"/>
    <n v="100"/>
    <x v="180"/>
    <s v="S. Fischer"/>
  </r>
  <r>
    <s v="S001456"/>
    <s v="FOO-2024-00324"/>
    <s v="Food Ingredient Extract"/>
    <s v="Dortmund DE"/>
    <x v="2"/>
    <n v="1"/>
    <x v="0"/>
    <s v="Pass"/>
    <n v="200.94"/>
    <s v="um"/>
    <n v="150"/>
    <n v="400"/>
    <x v="248"/>
    <s v="A. Kovacs"/>
  </r>
  <r>
    <s v="S000629"/>
    <s v="ESS-2025-00142"/>
    <s v="Essential Oil Blend"/>
    <s v="Budapest"/>
    <x v="6"/>
    <n v="1"/>
    <x v="1"/>
    <s v="Fail"/>
    <n v="-32.4"/>
    <s v="CFU/g"/>
    <n v="0"/>
    <n v="100"/>
    <x v="330"/>
    <s v="A. Kovacs"/>
  </r>
  <r>
    <s v="S000151"/>
    <s v="FOO-2025-00036"/>
    <s v="Food Ingredient Extract"/>
    <s v="East Hanover"/>
    <x v="3"/>
    <n v="1"/>
    <x v="0"/>
    <s v="Pass"/>
    <n v="97.82"/>
    <s v="%"/>
    <n v="97"/>
    <n v="100"/>
    <x v="230"/>
    <s v="T. Weber"/>
  </r>
  <r>
    <s v="S001838"/>
    <s v="ARO-2025-00411"/>
    <s v="Aroma Chemical"/>
    <s v="East Hanover"/>
    <x v="2"/>
    <n v="1"/>
    <x v="0"/>
    <s v="Pass"/>
    <n v="221.28"/>
    <s v="um"/>
    <n v="150"/>
    <n v="400"/>
    <x v="287"/>
    <s v="P. Meier"/>
  </r>
  <r>
    <s v="S000292"/>
    <s v="ARO-2025-00066"/>
    <s v="Aroma Chemical"/>
    <s v="Dortmund DE"/>
    <x v="4"/>
    <n v="1"/>
    <x v="0"/>
    <s v="Fail"/>
    <n v="0.31"/>
    <s v="%"/>
    <n v="0"/>
    <n v="1"/>
    <x v="301"/>
    <s v="J. Nagy"/>
  </r>
  <r>
    <s v="S000382"/>
    <s v="ESS-2025-00087"/>
    <s v="Essential Oil Blend"/>
    <s v="East Hanover"/>
    <x v="5"/>
    <n v="1"/>
    <x v="0"/>
    <s v="Pass"/>
    <n v="6.84"/>
    <m/>
    <n v="6"/>
    <n v="7.5"/>
    <x v="48"/>
    <s v="M. Toth"/>
  </r>
  <r>
    <s v="S000687"/>
    <s v="FOO-2024-00157"/>
    <s v="Food Ingredient Extract"/>
    <s v="Budapest"/>
    <x v="3"/>
    <n v="1"/>
    <x v="0"/>
    <s v="Pass"/>
    <n v="99.43"/>
    <s v="%"/>
    <n v="97"/>
    <n v="100"/>
    <x v="262"/>
    <s v="J NAGY"/>
  </r>
  <r>
    <s v="S001368"/>
    <s v="FLA-2024-00306"/>
    <s v="Flavor Compound"/>
    <s v="Dortmund DE"/>
    <x v="6"/>
    <n v="1"/>
    <x v="0"/>
    <s v="Fail"/>
    <n v="29.87"/>
    <s v="CFU/g"/>
    <n v="0"/>
    <n v="100"/>
    <x v="307"/>
    <s v="S. Fischer"/>
  </r>
  <r>
    <s v="S001225"/>
    <s v="FLA-2024-00274"/>
    <s v="Flavor Compound"/>
    <s v="Ashford UK"/>
    <x v="4"/>
    <n v="1"/>
    <x v="0"/>
    <s v="Pass"/>
    <n v="0.14000000000000001"/>
    <s v="%"/>
    <n v="0"/>
    <n v="1"/>
    <x v="204"/>
    <s v="S. Fischer"/>
  </r>
  <r>
    <s v="S000898"/>
    <s v="FRA-2025-00203"/>
    <s v="Fragrance Oil"/>
    <s v="East Hanover"/>
    <x v="0"/>
    <n v="1"/>
    <x v="0"/>
    <s v="Pass"/>
    <n v="61.88"/>
    <s v="ppm"/>
    <n v="0"/>
    <n v="120"/>
    <x v="221"/>
    <s v="A. Kovacs"/>
  </r>
  <r>
    <s v="S000855"/>
    <s v="ARO-2024-00194"/>
    <s v="Aroma Chemical"/>
    <s v="Dortmund DE"/>
    <x v="5"/>
    <n v="1"/>
    <x v="0"/>
    <s v="Pass"/>
    <n v="6.97"/>
    <m/>
    <n v="6"/>
    <n v="7.5"/>
    <x v="168"/>
    <s v="S. Fischer"/>
  </r>
  <r>
    <s v="S001072"/>
    <s v="FLA-2025-00240"/>
    <s v="Flavor Compound"/>
    <s v="Ashford UK"/>
    <x v="0"/>
    <n v="1"/>
    <x v="0"/>
    <s v="Pass"/>
    <n v="72.33"/>
    <s v="ppm"/>
    <n v="0"/>
    <n v="120"/>
    <x v="252"/>
    <s v="T. Weber"/>
  </r>
  <r>
    <s v="S002000"/>
    <s v="FOO-2025-00446"/>
    <s v="Food Ingredient Extract"/>
    <s v="Dortmund DE"/>
    <x v="0"/>
    <n v="1"/>
    <x v="0"/>
    <s v="Pending"/>
    <n v="105.6"/>
    <s v="ppm"/>
    <n v="0"/>
    <n v="120"/>
    <x v="8"/>
    <s v="K. Varga"/>
  </r>
  <r>
    <s v="S001528"/>
    <s v="FRA-2024-00340"/>
    <s v="Fragrance Oil"/>
    <s v="Dortmund DE"/>
    <x v="1"/>
    <n v="1"/>
    <x v="0"/>
    <s v="Pass"/>
    <n v="0.94"/>
    <s v="g/ml"/>
    <n v="0.88"/>
    <n v="0.97"/>
    <x v="87"/>
    <s v="L. Rossi"/>
  </r>
  <r>
    <s v="S001688"/>
    <s v="ESS-2025-00378"/>
    <s v="Essential Oil Blend"/>
    <s v="Budapest"/>
    <x v="0"/>
    <n v="1"/>
    <x v="0"/>
    <s v="Pass"/>
    <n v="40.75"/>
    <s v="ppm"/>
    <n v="0"/>
    <n v="120"/>
    <x v="323"/>
    <s v="A. Kovacs"/>
  </r>
  <r>
    <s v="S000892"/>
    <s v="ESS-2024-00202"/>
    <s v="Essential Oil Blend"/>
    <s v="East Hanover"/>
    <x v="3"/>
    <n v="1"/>
    <x v="0"/>
    <s v="Pass"/>
    <n v="97.46"/>
    <s v="%"/>
    <n v="97"/>
    <n v="100"/>
    <x v="149"/>
    <s v="M. Toth"/>
  </r>
  <r>
    <s v="S001757"/>
    <s v="FRA-2024-00392"/>
    <s v="Fragrance Oil"/>
    <s v="Vernier CH"/>
    <x v="6"/>
    <n v="1"/>
    <x v="0"/>
    <s v="Fail"/>
    <n v="31.2"/>
    <s v="CFU/g"/>
    <n v="0"/>
    <n v="100"/>
    <x v="134"/>
    <s v="T. Weber"/>
  </r>
  <r>
    <s v="S001316"/>
    <s v="FLA-2024-00294"/>
    <s v="Flavor Compound"/>
    <s v="Dortmund DE"/>
    <x v="6"/>
    <n v="1"/>
    <x v="0"/>
    <s v="Pass"/>
    <n v="26.67"/>
    <s v="CFU/g"/>
    <n v="0"/>
    <n v="100"/>
    <x v="97"/>
    <s v="K. Varga"/>
  </r>
  <r>
    <s v="S001365"/>
    <s v="ESS-2025-00305"/>
    <s v="Essential Oil Blend"/>
    <s v="Ashford UK"/>
    <x v="0"/>
    <n v="1"/>
    <x v="0"/>
    <s v="Fail"/>
    <n v="30.02"/>
    <s v="ppm"/>
    <n v="0"/>
    <n v="120"/>
    <x v="281"/>
    <s v="M. Toth"/>
  </r>
  <r>
    <s v="S000616"/>
    <s v="FLA-2024-00139"/>
    <s v="Flavor Compound"/>
    <s v="Dortmund DE"/>
    <x v="3"/>
    <n v="1"/>
    <x v="0"/>
    <s v="Fail"/>
    <n v="97.39"/>
    <s v="%"/>
    <n v="97"/>
    <n v="100"/>
    <x v="331"/>
    <s v="J NAGY"/>
  </r>
  <r>
    <s v="S000155"/>
    <s v="FLA-2024-00037"/>
    <s v="Flavor Compound"/>
    <s v="Budapest"/>
    <x v="6"/>
    <n v="1"/>
    <x v="0"/>
    <s v="Pass"/>
    <n v="15.35"/>
    <s v="CFU/g"/>
    <n v="0"/>
    <n v="100"/>
    <x v="310"/>
    <s v="J. Nagy"/>
  </r>
  <r>
    <s v="S001194"/>
    <s v="FLA-2025-00267"/>
    <s v="Flavor Compound"/>
    <s v="Budapest"/>
    <x v="5"/>
    <n v="1"/>
    <x v="0"/>
    <s v="Pass"/>
    <n v="7.04"/>
    <m/>
    <n v="6"/>
    <n v="7.5"/>
    <x v="115"/>
    <s v="M. Toth"/>
  </r>
  <r>
    <s v="S001714"/>
    <s v="FLA-2024-00383"/>
    <s v="Flavor Compound"/>
    <s v="Dortmund DE"/>
    <x v="0"/>
    <n v="1"/>
    <x v="0"/>
    <s v="Pass"/>
    <n v="96.48"/>
    <s v="ppm"/>
    <n v="0"/>
    <n v="120"/>
    <x v="151"/>
    <s v="J NAGY"/>
  </r>
  <r>
    <s v="S001998"/>
    <s v="FOO-2025-00446"/>
    <s v="Food Ingredient Extract"/>
    <s v="Dortmund DE"/>
    <x v="4"/>
    <n v="0"/>
    <x v="2"/>
    <s v="Pending"/>
    <m/>
    <s v="%"/>
    <n v="0"/>
    <n v="1"/>
    <x v="8"/>
    <s v="J. Nagy"/>
  </r>
  <r>
    <s v="S001781"/>
    <s v="FOO-2025-00398"/>
    <s v="Food Ingredient Extract"/>
    <s v="Dortmund DE"/>
    <x v="4"/>
    <n v="1"/>
    <x v="0"/>
    <s v="Pass"/>
    <n v="0.32"/>
    <s v="%"/>
    <n v="0"/>
    <n v="1"/>
    <x v="183"/>
    <s v="J NAGY"/>
  </r>
  <r>
    <s v="S000323"/>
    <s v="ARO-2025-00073"/>
    <s v="Aroma Chemical"/>
    <s v="Budapest"/>
    <x v="6"/>
    <n v="1"/>
    <x v="0"/>
    <s v="Pass"/>
    <n v="51.56"/>
    <s v="CFU/g"/>
    <n v="0"/>
    <n v="100"/>
    <x v="146"/>
    <s v="M. Toth"/>
  </r>
  <r>
    <s v="S001548"/>
    <s v="ESS-2024-00345"/>
    <s v="Essential Oil Blend"/>
    <s v="East Hanover"/>
    <x v="0"/>
    <n v="1"/>
    <x v="0"/>
    <s v="Pass"/>
    <n v="74.739999999999995"/>
    <s v="ppm"/>
    <n v="0"/>
    <n v="120"/>
    <x v="60"/>
    <s v="A. Kovacs"/>
  </r>
  <r>
    <s v="S001283"/>
    <s v="ESS-2025-00286"/>
    <s v="Essential Oil Blend"/>
    <s v="Ashford UK"/>
    <x v="3"/>
    <n v="1"/>
    <x v="0"/>
    <s v="Pass"/>
    <n v="98.16"/>
    <s v="%"/>
    <n v="97"/>
    <n v="100"/>
    <x v="69"/>
    <s v="J NAGY"/>
  </r>
  <r>
    <s v="S000083"/>
    <s v="FRA-2025-00020"/>
    <s v="Fragrance Oil"/>
    <s v="Ashford UK"/>
    <x v="5"/>
    <n v="1"/>
    <x v="0"/>
    <s v="Pass"/>
    <n v="6.47"/>
    <m/>
    <n v="6"/>
    <n v="7.5"/>
    <x v="304"/>
    <s v="M. Toth"/>
  </r>
  <r>
    <s v="S000513"/>
    <s v="FLA-2025-00115"/>
    <s v="Flavor Compound"/>
    <s v="Dortmund DE"/>
    <x v="4"/>
    <n v="1"/>
    <x v="0"/>
    <s v="Pass"/>
    <n v="0.45"/>
    <s v="%"/>
    <n v="0"/>
    <n v="1"/>
    <x v="293"/>
    <s v="L. Rossi"/>
  </r>
  <r>
    <s v="S001527"/>
    <s v="FRA-2024-00340"/>
    <s v="Fragrance Oil"/>
    <s v="Dortmund DE"/>
    <x v="4"/>
    <n v="1"/>
    <x v="0"/>
    <s v="Pass"/>
    <n v="0.37"/>
    <s v="%"/>
    <n v="0"/>
    <n v="1"/>
    <x v="87"/>
    <s v="M. Toth"/>
  </r>
  <r>
    <s v="S001971"/>
    <s v="FRA-2025-00440"/>
    <s v="Fragrance Oil"/>
    <s v="Dortmund DE"/>
    <x v="1"/>
    <n v="1"/>
    <x v="0"/>
    <s v="Pass"/>
    <n v="0.91"/>
    <s v="g/ml"/>
    <n v="0.88"/>
    <n v="0.97"/>
    <x v="154"/>
    <s v="J. Nagy"/>
  </r>
  <r>
    <s v="S000930"/>
    <s v="ARO-2025-00211"/>
    <s v="Aroma Chemical"/>
    <s v="Ashford UK"/>
    <x v="5"/>
    <n v="1"/>
    <x v="0"/>
    <s v="Fail"/>
    <n v="6.25"/>
    <m/>
    <n v="6"/>
    <n v="7.5"/>
    <x v="150"/>
    <s v="L. Rossi"/>
  </r>
  <r>
    <s v="S001633"/>
    <s v="FOO-2025-00365"/>
    <s v="Food Ingredient Extract"/>
    <s v="Vernier CH"/>
    <x v="5"/>
    <n v="1"/>
    <x v="0"/>
    <s v="Pass"/>
    <n v="6.98"/>
    <m/>
    <n v="6"/>
    <n v="7.5"/>
    <x v="120"/>
    <s v="L. Rossi"/>
  </r>
  <r>
    <s v="S001358"/>
    <s v="ESS-2024-00303"/>
    <s v="Essential Oil Blend"/>
    <s v="Dortmund DE"/>
    <x v="2"/>
    <n v="1"/>
    <x v="0"/>
    <s v="Pass"/>
    <n v="255.96"/>
    <s v="um"/>
    <n v="150"/>
    <n v="400"/>
    <x v="17"/>
    <s v="T. Weber"/>
  </r>
  <r>
    <s v="S000011"/>
    <s v="ESS-2025-00003"/>
    <s v="Essential Oil Blend"/>
    <s v="Budapest"/>
    <x v="3"/>
    <n v="1"/>
    <x v="0"/>
    <s v="Fail"/>
    <n v="97.49"/>
    <s v="%"/>
    <n v="97"/>
    <n v="100"/>
    <x v="194"/>
    <s v="M. Toth"/>
  </r>
  <r>
    <s v="S000832"/>
    <s v="ESS-2024-00189"/>
    <s v="Essential Oil Blend"/>
    <s v="Vernier CH"/>
    <x v="2"/>
    <n v="1"/>
    <x v="0"/>
    <s v="Pass"/>
    <n v="264.5"/>
    <s v="um"/>
    <n v="150"/>
    <n v="400"/>
    <x v="100"/>
    <s v="A. Kovacs"/>
  </r>
  <r>
    <s v="S000033"/>
    <s v="ARO-2024-00008"/>
    <s v="Aroma Chemical"/>
    <s v="Vernier CH"/>
    <x v="5"/>
    <n v="1"/>
    <x v="0"/>
    <s v="Pending"/>
    <n v="6.87"/>
    <m/>
    <n v="6"/>
    <n v="7.5"/>
    <x v="99"/>
    <s v="M. Toth"/>
  </r>
  <r>
    <s v="S001516"/>
    <s v="FRA-2024-00338"/>
    <s v="Fragrance Oil"/>
    <s v="Dortmund DE"/>
    <x v="4"/>
    <n v="1"/>
    <x v="0"/>
    <s v="Fail"/>
    <n v="0.22"/>
    <s v="%"/>
    <n v="0"/>
    <n v="1"/>
    <x v="7"/>
    <s v="P. Meier"/>
  </r>
  <r>
    <s v="S000414"/>
    <s v="FOO-2025-00094"/>
    <s v="Food Ingredient Extract"/>
    <s v="Vernier CH"/>
    <x v="0"/>
    <n v="1"/>
    <x v="0"/>
    <s v="Pass"/>
    <n v="53.93"/>
    <s v="ppm"/>
    <n v="0"/>
    <n v="120"/>
    <x v="50"/>
    <s v="M. Toth"/>
  </r>
  <r>
    <s v="S000581"/>
    <s v="FRA-2025-00130"/>
    <s v="Fragrance Oil"/>
    <s v="Vernier CH"/>
    <x v="3"/>
    <n v="1"/>
    <x v="0"/>
    <s v="Pass"/>
    <n v="98.16"/>
    <s v="%"/>
    <n v="97"/>
    <n v="100"/>
    <x v="207"/>
    <s v="J. Nagy"/>
  </r>
  <r>
    <s v="S001407"/>
    <s v="ESS-2024-00313"/>
    <s v="Essential Oil Blend"/>
    <s v="Budapest"/>
    <x v="3"/>
    <n v="1"/>
    <x v="0"/>
    <s v="Pass"/>
    <n v="97.27"/>
    <s v="%"/>
    <n v="97"/>
    <n v="100"/>
    <x v="218"/>
    <s v="T. Weber"/>
  </r>
  <r>
    <s v="S001551"/>
    <s v="ESS-2024-00345"/>
    <s v="Essential Oil Blend"/>
    <s v="East Hanover"/>
    <x v="6"/>
    <n v="1"/>
    <x v="0"/>
    <s v="Pass"/>
    <n v="6.19"/>
    <s v="CFU/g"/>
    <n v="0"/>
    <n v="100"/>
    <x v="60"/>
    <s v="K. Varga"/>
  </r>
  <r>
    <s v="S001629"/>
    <s v="FLA-2024-00364"/>
    <s v="Flavor Compound"/>
    <s v="Vernier CH"/>
    <x v="3"/>
    <n v="0"/>
    <x v="2"/>
    <s v="Pending"/>
    <m/>
    <s v="%"/>
    <n v="97"/>
    <n v="100"/>
    <x v="317"/>
    <s v="J. Nagy"/>
  </r>
  <r>
    <s v="S001907"/>
    <s v="FOO-2025-00427"/>
    <s v="Food Ingredient Extract"/>
    <s v="Dortmund DE"/>
    <x v="4"/>
    <n v="1"/>
    <x v="0"/>
    <s v="Pass"/>
    <n v="0.46"/>
    <s v="%"/>
    <n v="0"/>
    <n v="1"/>
    <x v="174"/>
    <s v="S. Fischer"/>
  </r>
  <r>
    <s v="S000615"/>
    <s v="FLA-2024-00139"/>
    <s v="Flavor Compound"/>
    <s v="Dortmund DE"/>
    <x v="1"/>
    <n v="1"/>
    <x v="0"/>
    <s v="Fail"/>
    <n v="0.94"/>
    <s v="g/ml"/>
    <n v="0.88"/>
    <n v="0.97"/>
    <x v="331"/>
    <s v="A. Kovacs"/>
  </r>
  <r>
    <s v="S001046"/>
    <s v="ESS-2024-00235"/>
    <s v="Essential Oil Blend"/>
    <s v="Vernier CH"/>
    <x v="2"/>
    <n v="1"/>
    <x v="0"/>
    <s v="Fail"/>
    <n v="294.42"/>
    <s v="um"/>
    <n v="150"/>
    <n v="400"/>
    <x v="101"/>
    <s v="J. Nagy"/>
  </r>
  <r>
    <s v="S001403"/>
    <s v="ESS-2024-00313"/>
    <s v="Essential Oil Blend"/>
    <s v="Budapest"/>
    <x v="2"/>
    <n v="1"/>
    <x v="0"/>
    <s v="Pass"/>
    <n v="241.3"/>
    <s v="um"/>
    <n v="150"/>
    <n v="400"/>
    <x v="218"/>
    <s v="P. Meier"/>
  </r>
  <r>
    <s v="S001015"/>
    <s v="FRA-2025-00229"/>
    <s v="Fragrance Oil"/>
    <s v="Budapest"/>
    <x v="4"/>
    <n v="1"/>
    <x v="0"/>
    <s v="Pass"/>
    <n v="0.16"/>
    <s v="%"/>
    <n v="0"/>
    <n v="1"/>
    <x v="73"/>
    <s v="K. Varga"/>
  </r>
  <r>
    <s v="S000090"/>
    <s v="FRA-2024-00021"/>
    <s v="Fragrance Oil"/>
    <s v="Budapest"/>
    <x v="6"/>
    <n v="1"/>
    <x v="0"/>
    <s v="Pass"/>
    <n v="7.28"/>
    <s v="CFU/g"/>
    <n v="0"/>
    <n v="100"/>
    <x v="321"/>
    <s v="L. Rossi"/>
  </r>
  <r>
    <s v="S001701"/>
    <s v="FRA-2024-00380"/>
    <s v="Fragrance Oil"/>
    <s v="East Hanover"/>
    <x v="6"/>
    <n v="1"/>
    <x v="1"/>
    <s v="Fail"/>
    <n v="-24.21"/>
    <s v="CFU/g"/>
    <n v="0"/>
    <n v="100"/>
    <x v="39"/>
    <s v="J NAGY"/>
  </r>
  <r>
    <s v="S000602"/>
    <s v="FLA-2025-00135"/>
    <s v="Flavor Compound"/>
    <s v="Vernier CH"/>
    <x v="5"/>
    <n v="1"/>
    <x v="0"/>
    <s v="Pass"/>
    <n v="7.15"/>
    <m/>
    <n v="6"/>
    <n v="7.5"/>
    <x v="332"/>
    <s v="M. Toth"/>
  </r>
  <r>
    <s v="S001238"/>
    <s v="FRA-2025-00277"/>
    <s v="Fragrance Oil"/>
    <s v="Ashford UK"/>
    <x v="6"/>
    <n v="1"/>
    <x v="0"/>
    <s v="Pass"/>
    <n v="3.45"/>
    <s v="CFU/g"/>
    <n v="0"/>
    <n v="100"/>
    <x v="318"/>
    <s v="K. Varga"/>
  </r>
  <r>
    <s v="S001839"/>
    <s v="ARO-2025-00411"/>
    <s v="Aroma Chemical"/>
    <s v="East Hanover"/>
    <x v="4"/>
    <n v="1"/>
    <x v="0"/>
    <s v="Pass"/>
    <n v="0.21"/>
    <s v="%"/>
    <n v="0"/>
    <n v="1"/>
    <x v="287"/>
    <s v="K. Varga"/>
  </r>
  <r>
    <s v="S000134"/>
    <s v="FLA-2024-00031"/>
    <s v="Flavor Compound"/>
    <s v="Ashford UK"/>
    <x v="1"/>
    <n v="0"/>
    <x v="2"/>
    <s v="Pending"/>
    <m/>
    <s v="g/ml"/>
    <n v="0.88"/>
    <n v="0.97"/>
    <x v="155"/>
    <s v="J NAGY"/>
  </r>
  <r>
    <s v="S001371"/>
    <s v="FLA-2024-00306"/>
    <s v="Flavor Compound"/>
    <s v="Dortmund DE"/>
    <x v="4"/>
    <n v="1"/>
    <x v="0"/>
    <s v="Fail"/>
    <n v="0.2"/>
    <s v="%"/>
    <n v="0"/>
    <n v="1"/>
    <x v="307"/>
    <s v="L. Rossi"/>
  </r>
  <r>
    <s v="S000556"/>
    <s v="FOO-2024-00125"/>
    <s v="Food Ingredient Extract"/>
    <s v="Vernier CH"/>
    <x v="0"/>
    <n v="1"/>
    <x v="0"/>
    <s v="Pass"/>
    <n v="48.98"/>
    <s v="ppm"/>
    <n v="0"/>
    <n v="120"/>
    <x v="249"/>
    <s v="M. Toth"/>
  </r>
  <r>
    <s v="S001032"/>
    <s v="ARO-2025-00232"/>
    <s v="Aroma Chemical"/>
    <s v="Budapest"/>
    <x v="3"/>
    <n v="1"/>
    <x v="0"/>
    <s v="Pass"/>
    <n v="98.9"/>
    <s v="%"/>
    <n v="97"/>
    <n v="100"/>
    <x v="295"/>
    <s v="M. Toth"/>
  </r>
  <r>
    <s v="S001567"/>
    <s v="FLA-2024-00349"/>
    <s v="Flavor Compound"/>
    <s v="East Hanover"/>
    <x v="3"/>
    <n v="1"/>
    <x v="0"/>
    <s v="Fail"/>
    <n v="98.42"/>
    <s v="%"/>
    <n v="97"/>
    <n v="100"/>
    <x v="1"/>
    <s v="P. Meier"/>
  </r>
  <r>
    <s v="S000321"/>
    <s v="ARO-2025-00073"/>
    <s v="Aroma Chemical"/>
    <s v="Budapest"/>
    <x v="1"/>
    <n v="1"/>
    <x v="0"/>
    <s v="Pass"/>
    <n v="0.92"/>
    <s v="g/ml"/>
    <n v="0.88"/>
    <n v="0.97"/>
    <x v="146"/>
    <s v="A. Kovacs"/>
  </r>
  <r>
    <s v="S001772"/>
    <s v="FOO-2025-00396"/>
    <s v="Food Ingredient Extract"/>
    <s v="Budapest"/>
    <x v="5"/>
    <n v="1"/>
    <x v="0"/>
    <s v="Fail"/>
    <n v="6.81"/>
    <m/>
    <n v="6"/>
    <n v="7.5"/>
    <x v="278"/>
    <s v="S. Fischer"/>
  </r>
  <r>
    <s v="S001212"/>
    <s v="FLA-2024-00270"/>
    <s v="Flavor Compound"/>
    <s v="Ashford UK"/>
    <x v="2"/>
    <n v="1"/>
    <x v="0"/>
    <s v="Fail"/>
    <n v="246.1"/>
    <s v="um"/>
    <n v="150"/>
    <n v="400"/>
    <x v="200"/>
    <s v="T. Weber"/>
  </r>
  <r>
    <s v="S001739"/>
    <s v="ARO-2024-00388"/>
    <s v="Aroma Chemical"/>
    <s v="Vernier CH"/>
    <x v="5"/>
    <n v="1"/>
    <x v="0"/>
    <s v="Pending"/>
    <n v="7.07"/>
    <m/>
    <n v="6"/>
    <n v="7.5"/>
    <x v="11"/>
    <s v="M. Toth"/>
  </r>
  <r>
    <s v="S000635"/>
    <s v="ESS-2025-00144"/>
    <s v="Essential Oil Blend"/>
    <s v="Vernier CH"/>
    <x v="6"/>
    <n v="1"/>
    <x v="0"/>
    <s v="Pass"/>
    <n v="30.9"/>
    <s v="CFU/g"/>
    <n v="0"/>
    <n v="100"/>
    <x v="325"/>
    <s v="M. Toth"/>
  </r>
  <r>
    <s v="S000553"/>
    <s v="FRA-2024-00124"/>
    <s v="Fragrance Oil"/>
    <s v="Budapest"/>
    <x v="3"/>
    <n v="1"/>
    <x v="0"/>
    <s v="Pass"/>
    <n v="98.43"/>
    <s v="%"/>
    <n v="97"/>
    <n v="100"/>
    <x v="328"/>
    <s v="J. Nagy"/>
  </r>
  <r>
    <s v="S001329"/>
    <s v="ARO-2024-00296"/>
    <s v="Aroma Chemical"/>
    <s v="Vernier CH"/>
    <x v="1"/>
    <n v="1"/>
    <x v="0"/>
    <s v="Pass"/>
    <n v="0.9"/>
    <s v="g/ml"/>
    <n v="0.88"/>
    <n v="0.97"/>
    <x v="19"/>
    <s v="M. Toth"/>
  </r>
  <r>
    <s v="S001056"/>
    <s v="FLA-2024-00236"/>
    <s v="Flavor Compound"/>
    <s v="Vernier CH"/>
    <x v="2"/>
    <n v="0"/>
    <x v="2"/>
    <s v="Pending"/>
    <m/>
    <s v="um"/>
    <n v="150"/>
    <n v="400"/>
    <x v="247"/>
    <s v="L. Rossi"/>
  </r>
  <r>
    <s v="S001560"/>
    <s v="FRA-2024-00347"/>
    <s v="Fragrance Oil"/>
    <s v="Ashford UK"/>
    <x v="2"/>
    <n v="1"/>
    <x v="0"/>
    <s v="Pass"/>
    <n v="205.89"/>
    <s v="um"/>
    <n v="150"/>
    <n v="400"/>
    <x v="322"/>
    <s v="P. Meier"/>
  </r>
  <r>
    <s v="S000797"/>
    <s v="FLA-2024-00180"/>
    <s v="Flavor Compound"/>
    <s v="Budapest"/>
    <x v="0"/>
    <n v="1"/>
    <x v="0"/>
    <s v="Fail"/>
    <n v="31.16"/>
    <s v="ppm"/>
    <n v="0"/>
    <n v="120"/>
    <x v="132"/>
    <s v="T. Weber"/>
  </r>
  <r>
    <s v="S001719"/>
    <s v="ESS-2025-00384"/>
    <s v="Essential Oil Blend"/>
    <s v="Dortmund DE"/>
    <x v="4"/>
    <n v="1"/>
    <x v="0"/>
    <s v="Pass"/>
    <n v="0.35"/>
    <s v="%"/>
    <n v="0"/>
    <n v="1"/>
    <x v="129"/>
    <s v="L. Rossi"/>
  </r>
  <r>
    <s v="S001265"/>
    <s v="FLA-2025-00283"/>
    <s v="Flavor Compound"/>
    <s v="Budapest"/>
    <x v="2"/>
    <n v="1"/>
    <x v="0"/>
    <s v="Pass"/>
    <n v="318.92"/>
    <s v="um"/>
    <n v="150"/>
    <n v="400"/>
    <x v="291"/>
    <s v="J. Nagy"/>
  </r>
  <r>
    <s v="S001834"/>
    <s v="FOO-2025-00410"/>
    <s v="Food Ingredient Extract"/>
    <s v="Vernier CH"/>
    <x v="3"/>
    <n v="1"/>
    <x v="0"/>
    <s v="Pass"/>
    <n v="98.76"/>
    <s v="%"/>
    <n v="97"/>
    <n v="100"/>
    <x v="225"/>
    <s v="L. Rossi"/>
  </r>
  <r>
    <s v="S000175"/>
    <s v="FOO-2025-00041"/>
    <s v="Food Ingredient Extract"/>
    <s v="Dortmund DE"/>
    <x v="3"/>
    <n v="1"/>
    <x v="0"/>
    <s v="Pass"/>
    <n v="98.43"/>
    <s v="%"/>
    <n v="97"/>
    <n v="100"/>
    <x v="85"/>
    <s v="M. Toth"/>
  </r>
  <r>
    <s v="S000767"/>
    <s v="FLA-2025-00173"/>
    <s v="Flavor Compound"/>
    <s v="Dortmund DE"/>
    <x v="3"/>
    <n v="1"/>
    <x v="0"/>
    <s v="Pass"/>
    <n v="99.53"/>
    <s v="%"/>
    <n v="97"/>
    <n v="100"/>
    <x v="274"/>
    <s v="L. Rossi"/>
  </r>
  <r>
    <s v="S000246"/>
    <s v="ESS-2025-00055"/>
    <s v="Essential Oil Blend"/>
    <s v="Vernier CH"/>
    <x v="5"/>
    <n v="1"/>
    <x v="0"/>
    <s v="Fail"/>
    <n v="7.02"/>
    <m/>
    <n v="6"/>
    <n v="7.5"/>
    <x v="46"/>
    <s v="J. Nagy"/>
  </r>
  <r>
    <s v="S001081"/>
    <s v="ARO-2024-00242"/>
    <s v="Aroma Chemical"/>
    <s v="Dortmund DE"/>
    <x v="3"/>
    <n v="1"/>
    <x v="0"/>
    <s v="Pass"/>
    <n v="97.95"/>
    <s v="%"/>
    <n v="97"/>
    <n v="100"/>
    <x v="126"/>
    <s v="T. Weber"/>
  </r>
  <r>
    <s v="S001738"/>
    <s v="ARO-2024-00388"/>
    <s v="Aroma Chemical"/>
    <s v="Vernier CH"/>
    <x v="0"/>
    <n v="0"/>
    <x v="2"/>
    <s v="Pending"/>
    <m/>
    <s v="ppm"/>
    <n v="0"/>
    <n v="120"/>
    <x v="11"/>
    <s v="M. Toth"/>
  </r>
  <r>
    <s v="S000146"/>
    <s v="ESS-2025-00035"/>
    <s v="Essential Oil Blend"/>
    <s v="Budapest"/>
    <x v="2"/>
    <n v="1"/>
    <x v="0"/>
    <s v="Fail"/>
    <n v="200.23"/>
    <s v="um"/>
    <n v="150"/>
    <n v="400"/>
    <x v="146"/>
    <s v="A. Kovacs"/>
  </r>
  <r>
    <s v="S000091"/>
    <s v="FRA-2024-00021"/>
    <s v="Fragrance Oil"/>
    <s v="Budapest"/>
    <x v="5"/>
    <n v="1"/>
    <x v="0"/>
    <s v="Pass"/>
    <n v="6"/>
    <m/>
    <n v="6"/>
    <n v="7.5"/>
    <x v="321"/>
    <s v="M. Toth"/>
  </r>
  <r>
    <s v="S001417"/>
    <s v="ARO-2025-00316"/>
    <s v="Aroma Chemical"/>
    <s v="Ashford UK"/>
    <x v="2"/>
    <n v="1"/>
    <x v="0"/>
    <s v="Fail"/>
    <n v="288.81"/>
    <s v="um"/>
    <n v="150"/>
    <n v="400"/>
    <x v="98"/>
    <s v="J. Nagy"/>
  </r>
  <r>
    <s v="S000683"/>
    <s v="ARO-2025-00156"/>
    <s v="Aroma Chemical"/>
    <s v="Dortmund DE"/>
    <x v="6"/>
    <n v="1"/>
    <x v="0"/>
    <s v="Pass"/>
    <n v="38.19"/>
    <s v="CFU/g"/>
    <n v="0"/>
    <n v="100"/>
    <x v="116"/>
    <s v="K. Varga"/>
  </r>
  <r>
    <s v="S000311"/>
    <s v="FLA-2025-00070"/>
    <s v="Flavor Compound"/>
    <s v="Budapest"/>
    <x v="3"/>
    <n v="1"/>
    <x v="0"/>
    <s v="Pass"/>
    <n v="97.89"/>
    <s v="%"/>
    <n v="97"/>
    <n v="100"/>
    <x v="163"/>
    <s v="J. Nagy"/>
  </r>
  <r>
    <s v="S001384"/>
    <s v="ARO-2025-00309"/>
    <s v="Aroma Chemical"/>
    <s v="Budapest"/>
    <x v="5"/>
    <n v="1"/>
    <x v="0"/>
    <s v="Pass"/>
    <n v="6.59"/>
    <m/>
    <n v="6"/>
    <n v="7.5"/>
    <x v="241"/>
    <s v="L. Rossi"/>
  </r>
  <r>
    <s v="S000094"/>
    <s v="ESS-2025-00022"/>
    <s v="Essential Oil Blend"/>
    <s v="Budapest"/>
    <x v="3"/>
    <n v="1"/>
    <x v="0"/>
    <s v="Pass"/>
    <n v="98.9"/>
    <s v="%"/>
    <n v="97"/>
    <n v="100"/>
    <x v="272"/>
    <s v="T. Weber"/>
  </r>
  <r>
    <s v="S001569"/>
    <s v="FLA-2024-00349"/>
    <s v="Flavor Compound"/>
    <s v="East Hanover"/>
    <x v="6"/>
    <n v="1"/>
    <x v="1"/>
    <s v="Fail"/>
    <n v="-14.9"/>
    <s v="CFU/g"/>
    <n v="0"/>
    <n v="100"/>
    <x v="1"/>
    <s v="L. Rossi"/>
  </r>
  <r>
    <s v="S000925"/>
    <s v="FOO-2024-00209"/>
    <s v="Food Ingredient Extract"/>
    <s v="Vernier CH"/>
    <x v="2"/>
    <n v="1"/>
    <x v="0"/>
    <s v="Pending"/>
    <n v="214.89"/>
    <s v="um"/>
    <n v="150"/>
    <n v="400"/>
    <x v="126"/>
    <s v="A. Kovacs"/>
  </r>
  <r>
    <s v="S001687"/>
    <s v="ESS-2025-00378"/>
    <s v="Essential Oil Blend"/>
    <s v="Budapest"/>
    <x v="6"/>
    <n v="1"/>
    <x v="0"/>
    <s v="Pass"/>
    <n v="4.76"/>
    <s v="CFU/g"/>
    <n v="0"/>
    <n v="100"/>
    <x v="323"/>
    <s v="M. Toth"/>
  </r>
  <r>
    <s v="S001036"/>
    <s v="FOO-2024-00233"/>
    <s v="Food Ingredient Extract"/>
    <s v="Dortmund DE"/>
    <x v="1"/>
    <n v="1"/>
    <x v="0"/>
    <s v="Fail"/>
    <n v="0.95"/>
    <s v="g/ml"/>
    <n v="0.88"/>
    <n v="0.97"/>
    <x v="36"/>
    <s v="P. Meier"/>
  </r>
  <r>
    <s v="S001401"/>
    <s v="FOO-2024-00312"/>
    <s v="Food Ingredient Extract"/>
    <s v="Dortmund DE"/>
    <x v="6"/>
    <n v="1"/>
    <x v="1"/>
    <s v="Fail"/>
    <n v="-7.62"/>
    <s v="CFU/g"/>
    <n v="0"/>
    <n v="100"/>
    <x v="235"/>
    <s v="L. Rossi"/>
  </r>
  <r>
    <s v="S000244"/>
    <s v="ESS-2025-00055"/>
    <s v="Essential Oil Blend"/>
    <s v="Vernier CH"/>
    <x v="1"/>
    <n v="1"/>
    <x v="1"/>
    <s v="Fail"/>
    <n v="1.06"/>
    <s v="g/ml"/>
    <n v="0.88"/>
    <n v="0.97"/>
    <x v="46"/>
    <s v="P. Meier"/>
  </r>
  <r>
    <s v="S001112"/>
    <s v="FRA-2024-00250"/>
    <s v="Fragrance Oil"/>
    <s v="East Hanover"/>
    <x v="4"/>
    <n v="1"/>
    <x v="0"/>
    <s v="Pass"/>
    <n v="0.54"/>
    <s v="%"/>
    <n v="0"/>
    <n v="1"/>
    <x v="312"/>
    <s v="L. Rossi"/>
  </r>
  <r>
    <s v="S000215"/>
    <s v="FLA-2024-00049"/>
    <s v="Flavor Compound"/>
    <s v="Vernier CH"/>
    <x v="0"/>
    <n v="1"/>
    <x v="0"/>
    <s v="Fail"/>
    <n v="62.09"/>
    <s v="ppm"/>
    <n v="0"/>
    <n v="120"/>
    <x v="231"/>
    <s v="K. Varga"/>
  </r>
  <r>
    <s v="S001985"/>
    <s v="ESS-2025-00443"/>
    <s v="Essential Oil Blend"/>
    <s v="Ashford UK"/>
    <x v="3"/>
    <n v="1"/>
    <x v="0"/>
    <s v="Fail"/>
    <n v="99.12"/>
    <s v="%"/>
    <n v="97"/>
    <n v="100"/>
    <x v="53"/>
    <s v="J NAGY"/>
  </r>
  <r>
    <s v="S001198"/>
    <s v="ARO-2024-00268"/>
    <s v="Aroma Chemical"/>
    <s v="Ashford UK"/>
    <x v="6"/>
    <n v="1"/>
    <x v="0"/>
    <s v="Pass"/>
    <n v="24.58"/>
    <s v="CFU/g"/>
    <n v="0"/>
    <n v="100"/>
    <x v="205"/>
    <s v="M. Toth"/>
  </r>
  <r>
    <s v="S000999"/>
    <s v="FLA-2024-00226"/>
    <s v="Flavor Compound"/>
    <s v="Vernier CH"/>
    <x v="2"/>
    <n v="1"/>
    <x v="0"/>
    <s v="Pending"/>
    <n v="307.02"/>
    <s v="um"/>
    <n v="150"/>
    <n v="400"/>
    <x v="226"/>
    <s v="T. Weber"/>
  </r>
  <r>
    <s v="S000854"/>
    <s v="ARO-2024-00194"/>
    <s v="Aroma Chemical"/>
    <s v="Dortmund DE"/>
    <x v="3"/>
    <n v="1"/>
    <x v="0"/>
    <s v="Pass"/>
    <n v="97.41"/>
    <s v="%"/>
    <n v="97"/>
    <n v="100"/>
    <x v="168"/>
    <s v="A. Kovacs"/>
  </r>
  <r>
    <s v="S000426"/>
    <s v="ESS-2024-00097"/>
    <s v="Essential Oil Blend"/>
    <s v="East Hanover"/>
    <x v="3"/>
    <n v="1"/>
    <x v="0"/>
    <s v="Pass"/>
    <n v="97.9"/>
    <s v="%"/>
    <n v="97"/>
    <n v="100"/>
    <x v="90"/>
    <s v="A. Kovacs"/>
  </r>
  <r>
    <s v="S001764"/>
    <s v="ESS-2025-00394"/>
    <s v="Essential Oil Blend"/>
    <s v="East Hanover"/>
    <x v="0"/>
    <n v="1"/>
    <x v="0"/>
    <s v="Pass"/>
    <n v="57.89"/>
    <s v="ppm"/>
    <n v="0"/>
    <n v="120"/>
    <x v="142"/>
    <s v="T. Weber"/>
  </r>
  <r>
    <s v="S001143"/>
    <s v="ARO-2025-00256"/>
    <s v="Aroma Chemical"/>
    <s v="Ashford UK"/>
    <x v="1"/>
    <n v="1"/>
    <x v="0"/>
    <s v="Pass"/>
    <n v="0.92"/>
    <s v="g/ml"/>
    <n v="0.88"/>
    <n v="0.97"/>
    <x v="180"/>
    <s v="J. Nagy"/>
  </r>
  <r>
    <s v="S001144"/>
    <s v="ARO-2024-00257"/>
    <s v="Aroma Chemical"/>
    <s v="Budapest"/>
    <x v="5"/>
    <n v="1"/>
    <x v="0"/>
    <s v="Pass"/>
    <n v="7.43"/>
    <m/>
    <n v="6"/>
    <n v="7.5"/>
    <x v="249"/>
    <s v="T. Weber"/>
  </r>
  <r>
    <s v="S000227"/>
    <s v="ARO-2025-00052"/>
    <s v="Aroma Chemical"/>
    <s v="Vernier CH"/>
    <x v="6"/>
    <n v="1"/>
    <x v="1"/>
    <s v="Fail"/>
    <n v="-30.19"/>
    <s v="CFU/g"/>
    <n v="0"/>
    <n v="100"/>
    <x v="178"/>
    <s v="T. Weber"/>
  </r>
  <r>
    <s v="S001628"/>
    <s v="FLA-2024-00364"/>
    <s v="Flavor Compound"/>
    <s v="Vernier CH"/>
    <x v="0"/>
    <n v="1"/>
    <x v="0"/>
    <s v="Pending"/>
    <n v="12.16"/>
    <s v="ppm"/>
    <n v="0"/>
    <n v="120"/>
    <x v="317"/>
    <s v="T. Weber"/>
  </r>
  <r>
    <s v="S000001"/>
    <s v="ESS-2025-00001"/>
    <s v="Essential Oil Blend"/>
    <s v="Vernier CH"/>
    <x v="3"/>
    <n v="1"/>
    <x v="0"/>
    <s v="Pass"/>
    <n v="98.31"/>
    <s v="%"/>
    <n v="97"/>
    <n v="100"/>
    <x v="25"/>
    <s v="P. Meier"/>
  </r>
  <r>
    <s v="S001419"/>
    <s v="ARO-2025-00316"/>
    <s v="Aroma Chemical"/>
    <s v="Ashford UK"/>
    <x v="3"/>
    <n v="1"/>
    <x v="0"/>
    <s v="Fail"/>
    <n v="98.73"/>
    <s v="%"/>
    <n v="97"/>
    <n v="100"/>
    <x v="98"/>
    <s v="T. Weber"/>
  </r>
  <r>
    <s v="S000402"/>
    <s v="FLA-2024-00091"/>
    <s v="Flavor Compound"/>
    <s v="Vernier CH"/>
    <x v="5"/>
    <n v="1"/>
    <x v="0"/>
    <s v="Pass"/>
    <n v="6.83"/>
    <m/>
    <n v="6"/>
    <n v="7.5"/>
    <x v="316"/>
    <s v="P. Meier"/>
  </r>
  <r>
    <s v="S001429"/>
    <s v="ARO-2024-00318"/>
    <s v="Aroma Chemical"/>
    <s v="Dortmund DE"/>
    <x v="5"/>
    <n v="1"/>
    <x v="0"/>
    <s v="Fail"/>
    <n v="6.78"/>
    <m/>
    <n v="6"/>
    <n v="7.5"/>
    <x v="60"/>
    <s v="K. Varga"/>
  </r>
  <r>
    <s v="S001104"/>
    <s v="ARO-2024-00248"/>
    <s v="Aroma Chemical"/>
    <s v="Budapest"/>
    <x v="1"/>
    <n v="1"/>
    <x v="0"/>
    <s v="Pass"/>
    <n v="0.93"/>
    <s v="g/ml"/>
    <n v="0.88"/>
    <n v="0.97"/>
    <x v="229"/>
    <s v="M. Toth"/>
  </r>
  <r>
    <s v="S000085"/>
    <s v="FRA-2025-00020"/>
    <s v="Fragrance Oil"/>
    <s v="Ashford UK"/>
    <x v="2"/>
    <n v="1"/>
    <x v="0"/>
    <s v="Pass"/>
    <n v="211.52"/>
    <s v="um"/>
    <n v="150"/>
    <n v="400"/>
    <x v="304"/>
    <s v="L. Rossi"/>
  </r>
  <r>
    <s v="S000163"/>
    <s v="FRA-2024-00038"/>
    <s v="Fragrance Oil"/>
    <s v="Ashford UK"/>
    <x v="2"/>
    <n v="1"/>
    <x v="0"/>
    <s v="Pass"/>
    <n v="237.53"/>
    <s v="um"/>
    <n v="150"/>
    <n v="400"/>
    <x v="314"/>
    <s v="J. Nagy"/>
  </r>
  <r>
    <s v="S000115"/>
    <s v="ESS-2025-00027"/>
    <s v="Essential Oil Blend"/>
    <s v="East Hanover"/>
    <x v="3"/>
    <n v="1"/>
    <x v="0"/>
    <s v="Pass"/>
    <n v="98.26"/>
    <s v="%"/>
    <n v="97"/>
    <n v="100"/>
    <x v="182"/>
    <s v="P. Meier"/>
  </r>
  <r>
    <s v="S000671"/>
    <s v="FOO-2025-00153"/>
    <s v="Food Ingredient Extract"/>
    <s v="Dortmund DE"/>
    <x v="2"/>
    <n v="1"/>
    <x v="0"/>
    <s v="Fail"/>
    <n v="220.36"/>
    <s v="um"/>
    <n v="150"/>
    <n v="400"/>
    <x v="35"/>
    <s v="S. Fischer"/>
  </r>
  <r>
    <s v="S001175"/>
    <s v="ARO-2024-00263"/>
    <s v="Aroma Chemical"/>
    <s v="Budapest"/>
    <x v="3"/>
    <n v="1"/>
    <x v="0"/>
    <s v="Pending"/>
    <n v="99.27"/>
    <s v="%"/>
    <n v="97"/>
    <n v="100"/>
    <x v="66"/>
    <s v="K. Varga"/>
  </r>
  <r>
    <s v="S001529"/>
    <s v="FRA-2024-00340"/>
    <s v="Fragrance Oil"/>
    <s v="Dortmund DE"/>
    <x v="0"/>
    <n v="1"/>
    <x v="0"/>
    <s v="Pass"/>
    <n v="58.11"/>
    <s v="ppm"/>
    <n v="0"/>
    <n v="120"/>
    <x v="87"/>
    <s v="J. Nagy"/>
  </r>
  <r>
    <s v="S001519"/>
    <s v="ARO-2024-00339"/>
    <s v="Aroma Chemical"/>
    <s v="Budapest"/>
    <x v="2"/>
    <n v="1"/>
    <x v="0"/>
    <s v="Pass"/>
    <n v="227.25"/>
    <s v="um"/>
    <n v="150"/>
    <n v="400"/>
    <x v="135"/>
    <s v="M. Toth"/>
  </r>
  <r>
    <s v="S001393"/>
    <s v="ARO-2024-00311"/>
    <s v="Aroma Chemical"/>
    <s v="East Hanover"/>
    <x v="2"/>
    <n v="1"/>
    <x v="1"/>
    <s v="Fail"/>
    <n v="520"/>
    <s v="um"/>
    <n v="150"/>
    <n v="400"/>
    <x v="4"/>
    <s v="T. Weber"/>
  </r>
  <r>
    <s v="S000890"/>
    <s v="FLA-2025-00201"/>
    <s v="Flavor Compound"/>
    <s v="Ashford UK"/>
    <x v="4"/>
    <n v="1"/>
    <x v="0"/>
    <s v="Pass"/>
    <n v="0.36"/>
    <s v="%"/>
    <n v="0"/>
    <n v="1"/>
    <x v="170"/>
    <s v="A. Kovacs"/>
  </r>
  <r>
    <s v="S001502"/>
    <s v="ESS-2025-00335"/>
    <s v="Essential Oil Blend"/>
    <s v="Dortmund DE"/>
    <x v="2"/>
    <n v="1"/>
    <x v="0"/>
    <s v="Pending"/>
    <n v="268.38"/>
    <s v="um"/>
    <n v="150"/>
    <n v="400"/>
    <x v="177"/>
    <s v="S. Fischer"/>
  </r>
  <r>
    <s v="S000626"/>
    <s v="ESS-2025-00141"/>
    <s v="Essential Oil Blend"/>
    <s v="Dortmund DE"/>
    <x v="1"/>
    <n v="1"/>
    <x v="0"/>
    <s v="Pass"/>
    <n v="0.92"/>
    <s v="g/ml"/>
    <n v="0.88"/>
    <n v="0.97"/>
    <x v="73"/>
    <s v="A. Kovacs"/>
  </r>
  <r>
    <s v="S001963"/>
    <s v="FRA-2025-00439"/>
    <s v="Fragrance Oil"/>
    <s v="Dortmund DE"/>
    <x v="0"/>
    <n v="1"/>
    <x v="0"/>
    <s v="Fail"/>
    <n v="92.94"/>
    <s v="ppm"/>
    <n v="0"/>
    <n v="120"/>
    <x v="306"/>
    <s v="M. Toth"/>
  </r>
  <r>
    <s v="S000953"/>
    <s v="FLA-2024-00216"/>
    <s v="Flavor Compound"/>
    <s v="East Hanover"/>
    <x v="5"/>
    <n v="1"/>
    <x v="0"/>
    <s v="Pass"/>
    <n v="7"/>
    <m/>
    <n v="6"/>
    <n v="7.5"/>
    <x v="205"/>
    <s v="J NAGY"/>
  </r>
  <r>
    <s v="S000808"/>
    <s v="ESS-2025-00183"/>
    <s v="Essential Oil Blend"/>
    <s v="East Hanover"/>
    <x v="2"/>
    <n v="0"/>
    <x v="2"/>
    <s v="Pending"/>
    <m/>
    <s v="um"/>
    <n v="150"/>
    <n v="400"/>
    <x v="169"/>
    <s v="K. Varga"/>
  </r>
  <r>
    <s v="S000259"/>
    <s v="ESS-2025-00059"/>
    <s v="Essential Oil Blend"/>
    <s v="Vernier CH"/>
    <x v="5"/>
    <n v="1"/>
    <x v="0"/>
    <s v="Pass"/>
    <n v="7.06"/>
    <m/>
    <n v="6"/>
    <n v="7.5"/>
    <x v="3"/>
    <s v="J. Nagy"/>
  </r>
  <r>
    <s v="S000625"/>
    <s v="ESS-2025-00141"/>
    <s v="Essential Oil Blend"/>
    <s v="Dortmund DE"/>
    <x v="3"/>
    <n v="1"/>
    <x v="0"/>
    <s v="Pass"/>
    <n v="98.3"/>
    <s v="%"/>
    <n v="97"/>
    <n v="100"/>
    <x v="73"/>
    <s v="M. Toth"/>
  </r>
  <r>
    <s v="S000827"/>
    <s v="FRA-2024-00187"/>
    <s v="Fragrance Oil"/>
    <s v="Vernier CH"/>
    <x v="2"/>
    <n v="1"/>
    <x v="0"/>
    <s v="Pass"/>
    <n v="237.85"/>
    <s v="um"/>
    <n v="150"/>
    <n v="400"/>
    <x v="305"/>
    <s v="M. Toth"/>
  </r>
  <r>
    <s v="S000235"/>
    <s v="FLA-2024-00053"/>
    <s v="Flavor Compound"/>
    <s v="Budapest"/>
    <x v="0"/>
    <n v="1"/>
    <x v="0"/>
    <s v="Pass"/>
    <n v="44.54"/>
    <s v="ppm"/>
    <n v="0"/>
    <n v="120"/>
    <x v="84"/>
    <s v="L. Rossi"/>
  </r>
  <r>
    <s v="S000136"/>
    <s v="FRA-2024-00032"/>
    <s v="Fragrance Oil"/>
    <s v="Ashford UK"/>
    <x v="5"/>
    <n v="1"/>
    <x v="0"/>
    <s v="Pass"/>
    <n v="7.01"/>
    <m/>
    <n v="6"/>
    <n v="7.5"/>
    <x v="134"/>
    <s v="M. Toth"/>
  </r>
  <r>
    <s v="S000617"/>
    <s v="ARO-2024-00140"/>
    <s v="Aroma Chemical"/>
    <s v="Budapest"/>
    <x v="1"/>
    <n v="1"/>
    <x v="0"/>
    <s v="Fail"/>
    <n v="0.93"/>
    <s v="g/ml"/>
    <n v="0.88"/>
    <n v="0.97"/>
    <x v="122"/>
    <s v="K. Varga"/>
  </r>
  <r>
    <s v="S001964"/>
    <s v="FRA-2025-00439"/>
    <s v="Fragrance Oil"/>
    <s v="Dortmund DE"/>
    <x v="3"/>
    <n v="1"/>
    <x v="0"/>
    <s v="Fail"/>
    <n v="98.92"/>
    <s v="%"/>
    <n v="97"/>
    <n v="100"/>
    <x v="306"/>
    <s v="S. Fischer"/>
  </r>
  <r>
    <s v="S000837"/>
    <s v="FLA-2025-00190"/>
    <s v="Flavor Compound"/>
    <s v="Ashford UK"/>
    <x v="5"/>
    <n v="1"/>
    <x v="0"/>
    <s v="Pass"/>
    <n v="7.27"/>
    <m/>
    <n v="6"/>
    <n v="7.5"/>
    <x v="63"/>
    <s v="M. Toth"/>
  </r>
  <r>
    <s v="S000843"/>
    <s v="FOO-2025-00191"/>
    <s v="Food Ingredient Extract"/>
    <s v="Dortmund DE"/>
    <x v="2"/>
    <n v="1"/>
    <x v="1"/>
    <s v="Fail"/>
    <n v="124.25"/>
    <s v="um"/>
    <n v="150"/>
    <n v="400"/>
    <x v="33"/>
    <s v="P. Meier"/>
  </r>
  <r>
    <s v="S000960"/>
    <s v="FLA-2025-00217"/>
    <s v="Flavor Compound"/>
    <s v="East Hanover"/>
    <x v="2"/>
    <n v="1"/>
    <x v="0"/>
    <s v="Pass"/>
    <n v="220.39"/>
    <s v="um"/>
    <n v="150"/>
    <n v="400"/>
    <x v="324"/>
    <s v="M. Toth"/>
  </r>
  <r>
    <s v="S000593"/>
    <s v="ARO-2025-00133"/>
    <s v="Aroma Chemical"/>
    <s v="Dortmund DE"/>
    <x v="6"/>
    <n v="1"/>
    <x v="0"/>
    <s v="Pass"/>
    <n v="14.03"/>
    <s v="CFU/g"/>
    <n v="0"/>
    <n v="100"/>
    <x v="105"/>
    <s v="K. Varga"/>
  </r>
  <r>
    <s v="S001315"/>
    <s v="FOO-2025-00293"/>
    <s v="Food Ingredient Extract"/>
    <s v="Vernier CH"/>
    <x v="6"/>
    <n v="1"/>
    <x v="1"/>
    <s v="Fail"/>
    <n v="-13.07"/>
    <s v="CFU/g"/>
    <n v="0"/>
    <n v="100"/>
    <x v="128"/>
    <s v="P. Meier"/>
  </r>
  <r>
    <s v="S001526"/>
    <s v="FRA-2024-00340"/>
    <s v="Fragrance Oil"/>
    <s v="Dortmund DE"/>
    <x v="5"/>
    <n v="1"/>
    <x v="0"/>
    <s v="Pass"/>
    <n v="6.86"/>
    <m/>
    <n v="6"/>
    <n v="7.5"/>
    <x v="87"/>
    <s v="M. Toth"/>
  </r>
  <r>
    <s v="S001292"/>
    <s v="ARO-2024-00288"/>
    <s v="Aroma Chemical"/>
    <s v="Budapest"/>
    <x v="2"/>
    <n v="1"/>
    <x v="0"/>
    <s v="Pass"/>
    <n v="263.79000000000002"/>
    <s v="um"/>
    <n v="150"/>
    <n v="400"/>
    <x v="161"/>
    <s v="L. Rossi"/>
  </r>
  <r>
    <s v="S000344"/>
    <s v="ESS-2025-00078"/>
    <s v="Essential Oil Blend"/>
    <s v="East Hanover"/>
    <x v="2"/>
    <n v="1"/>
    <x v="0"/>
    <s v="Pending"/>
    <n v="232"/>
    <s v="um"/>
    <n v="150"/>
    <n v="400"/>
    <x v="215"/>
    <s v="P. Meier"/>
  </r>
  <r>
    <s v="S001651"/>
    <s v="ARO-2025-00369"/>
    <s v="Aroma Chemical"/>
    <s v="East Hanover"/>
    <x v="0"/>
    <n v="1"/>
    <x v="0"/>
    <s v="Fail"/>
    <n v="5.58"/>
    <s v="ppm"/>
    <n v="0"/>
    <n v="120"/>
    <x v="102"/>
    <s v="A. Kovacs"/>
  </r>
  <r>
    <s v="S001577"/>
    <s v="ARO-2024-00352"/>
    <s v="Aroma Chemical"/>
    <s v="Ashford UK"/>
    <x v="4"/>
    <n v="1"/>
    <x v="0"/>
    <s v="Pending"/>
    <n v="0.32"/>
    <s v="%"/>
    <n v="0"/>
    <n v="1"/>
    <x v="0"/>
    <s v="T. Weber"/>
  </r>
  <r>
    <s v="S000294"/>
    <s v="ARO-2025-00066"/>
    <s v="Aroma Chemical"/>
    <s v="Dortmund DE"/>
    <x v="6"/>
    <n v="1"/>
    <x v="1"/>
    <s v="Fail"/>
    <n v="-4"/>
    <s v="CFU/g"/>
    <n v="0"/>
    <n v="100"/>
    <x v="301"/>
    <s v="M. Toth"/>
  </r>
  <r>
    <s v="S000365"/>
    <s v="FLA-2025-00082"/>
    <s v="Flavor Compound"/>
    <s v="Ashford UK"/>
    <x v="6"/>
    <n v="1"/>
    <x v="0"/>
    <s v="Pending"/>
    <n v="18.98"/>
    <s v="CFU/g"/>
    <n v="0"/>
    <n v="100"/>
    <x v="24"/>
    <s v="T. Weber"/>
  </r>
  <r>
    <s v="S000179"/>
    <s v="ARO-2025-00042"/>
    <s v="Aroma Chemical"/>
    <s v="Vernier CH"/>
    <x v="1"/>
    <n v="1"/>
    <x v="0"/>
    <s v="Pass"/>
    <n v="0.91"/>
    <s v="g/ml"/>
    <n v="0.88"/>
    <n v="0.97"/>
    <x v="18"/>
    <s v="T. Weber"/>
  </r>
  <r>
    <s v="S000660"/>
    <s v="FRA-2025-00150"/>
    <s v="Fragrance Oil"/>
    <s v="Vernier CH"/>
    <x v="0"/>
    <n v="1"/>
    <x v="0"/>
    <s v="Fail"/>
    <n v="71.73"/>
    <s v="ppm"/>
    <n v="0"/>
    <n v="120"/>
    <x v="31"/>
    <s v="T. Weber"/>
  </r>
  <r>
    <s v="S000997"/>
    <s v="ARO-2025-00225"/>
    <s v="Aroma Chemical"/>
    <s v="Dortmund DE"/>
    <x v="4"/>
    <n v="1"/>
    <x v="0"/>
    <s v="Fail"/>
    <n v="0.24"/>
    <s v="%"/>
    <n v="0"/>
    <n v="1"/>
    <x v="158"/>
    <s v="S. Fischer"/>
  </r>
  <r>
    <s v="S000015"/>
    <s v="FRA-2025-00004"/>
    <s v="Fragrance Oil"/>
    <s v="Budapest"/>
    <x v="0"/>
    <n v="1"/>
    <x v="0"/>
    <s v="Pass"/>
    <n v="21.08"/>
    <s v="ppm"/>
    <n v="0"/>
    <n v="120"/>
    <x v="139"/>
    <s v="A. Kovacs"/>
  </r>
  <r>
    <s v="S001111"/>
    <s v="FRA-2024-00250"/>
    <s v="Fragrance Oil"/>
    <s v="East Hanover"/>
    <x v="3"/>
    <n v="1"/>
    <x v="0"/>
    <s v="Pass"/>
    <n v="98.33"/>
    <s v="%"/>
    <n v="97"/>
    <n v="100"/>
    <x v="312"/>
    <s v="L. Rossi"/>
  </r>
  <r>
    <s v="S001395"/>
    <s v="ARO-2024-00311"/>
    <s v="Aroma Chemical"/>
    <s v="East Hanover"/>
    <x v="1"/>
    <n v="1"/>
    <x v="1"/>
    <s v="Fail"/>
    <n v="1.06"/>
    <s v="g/ml"/>
    <n v="0.88"/>
    <n v="0.97"/>
    <x v="4"/>
    <s v="M. Toth"/>
  </r>
  <r>
    <s v="S000166"/>
    <s v="ESS-2024-00039"/>
    <s v="Essential Oil Blend"/>
    <s v="Ashford UK"/>
    <x v="2"/>
    <n v="1"/>
    <x v="0"/>
    <s v="Fail"/>
    <n v="289.5"/>
    <s v="um"/>
    <n v="150"/>
    <n v="400"/>
    <x v="236"/>
    <s v="M. Toth"/>
  </r>
  <r>
    <s v="S001882"/>
    <s v="FLA-2025-00421"/>
    <s v="Flavor Compound"/>
    <s v="East Hanover"/>
    <x v="4"/>
    <n v="1"/>
    <x v="0"/>
    <s v="Pass"/>
    <n v="0.19"/>
    <s v="%"/>
    <n v="0"/>
    <n v="1"/>
    <x v="128"/>
    <s v="S. Fischer"/>
  </r>
  <r>
    <s v="S001360"/>
    <s v="FOO-2024-00304"/>
    <s v="Food Ingredient Extract"/>
    <s v="East Hanover"/>
    <x v="2"/>
    <n v="1"/>
    <x v="0"/>
    <s v="Fail"/>
    <n v="254.72"/>
    <s v="um"/>
    <n v="150"/>
    <n v="400"/>
    <x v="59"/>
    <s v="P. Meier"/>
  </r>
  <r>
    <s v="S000060"/>
    <s v="ARO-2025-00014"/>
    <s v="Aroma Chemical"/>
    <s v="Dortmund DE"/>
    <x v="5"/>
    <n v="1"/>
    <x v="0"/>
    <s v="Pass"/>
    <n v="6.31"/>
    <m/>
    <n v="6"/>
    <n v="7.5"/>
    <x v="94"/>
    <s v="M. Toth"/>
  </r>
  <r>
    <s v="S000710"/>
    <s v="ARO-2025-00161"/>
    <s v="Aroma Chemical"/>
    <s v="Budapest"/>
    <x v="0"/>
    <n v="1"/>
    <x v="0"/>
    <s v="Pass"/>
    <n v="35.49"/>
    <s v="ppm"/>
    <n v="0"/>
    <n v="120"/>
    <x v="255"/>
    <s v="J. Nagy"/>
  </r>
  <r>
    <s v="S000677"/>
    <s v="FRA-2024-00154"/>
    <s v="Fragrance Oil"/>
    <s v="Vernier CH"/>
    <x v="4"/>
    <n v="1"/>
    <x v="0"/>
    <s v="Fail"/>
    <n v="0.36"/>
    <s v="%"/>
    <n v="0"/>
    <n v="1"/>
    <x v="240"/>
    <s v="J. Nagy"/>
  </r>
  <r>
    <s v="S001379"/>
    <s v="FLA-2024-00308"/>
    <s v="Flavor Compound"/>
    <s v="Budapest"/>
    <x v="4"/>
    <n v="1"/>
    <x v="0"/>
    <s v="Pass"/>
    <n v="0.46"/>
    <s v="%"/>
    <n v="0"/>
    <n v="1"/>
    <x v="209"/>
    <s v="M. Toth"/>
  </r>
  <r>
    <s v="S000781"/>
    <s v="ARO-2025-00177"/>
    <s v="Aroma Chemical"/>
    <s v="Budapest"/>
    <x v="0"/>
    <n v="0"/>
    <x v="2"/>
    <s v="Pending"/>
    <m/>
    <s v="ppm"/>
    <n v="0"/>
    <n v="120"/>
    <x v="178"/>
    <s v="T. Weber"/>
  </r>
  <r>
    <s v="S000425"/>
    <s v="FOO-2025-00096"/>
    <s v="Food Ingredient Extract"/>
    <s v="East Hanover"/>
    <x v="3"/>
    <n v="1"/>
    <x v="0"/>
    <s v="Pass"/>
    <n v="99.4"/>
    <s v="%"/>
    <n v="97"/>
    <n v="100"/>
    <x v="219"/>
    <s v="P. Meier"/>
  </r>
  <r>
    <s v="S000293"/>
    <s v="ARO-2025-00066"/>
    <s v="Aroma Chemical"/>
    <s v="Dortmund DE"/>
    <x v="3"/>
    <n v="1"/>
    <x v="0"/>
    <s v="Fail"/>
    <n v="98.82"/>
    <s v="%"/>
    <n v="97"/>
    <n v="100"/>
    <x v="301"/>
    <s v="J NAGY"/>
  </r>
  <r>
    <s v="S001066"/>
    <s v="ARO-2024-00238"/>
    <s v="Aroma Chemical"/>
    <s v="Ashford UK"/>
    <x v="6"/>
    <n v="1"/>
    <x v="0"/>
    <s v="Pass"/>
    <n v="42.76"/>
    <s v="CFU/g"/>
    <n v="0"/>
    <n v="100"/>
    <x v="88"/>
    <s v="J NAGY"/>
  </r>
  <r>
    <s v="S001793"/>
    <s v="ARO-2024-00401"/>
    <s v="Aroma Chemical"/>
    <s v="Budapest"/>
    <x v="4"/>
    <n v="1"/>
    <x v="0"/>
    <s v="Pending"/>
    <n v="0.39"/>
    <s v="%"/>
    <n v="0"/>
    <n v="1"/>
    <x v="167"/>
    <s v="M. Toth"/>
  </r>
  <r>
    <s v="S000330"/>
    <s v="FRA-2024-00075"/>
    <s v="Fragrance Oil"/>
    <s v="East Hanover"/>
    <x v="1"/>
    <n v="1"/>
    <x v="0"/>
    <s v="Pass"/>
    <n v="0.94"/>
    <s v="g/ml"/>
    <n v="0.88"/>
    <n v="0.97"/>
    <x v="82"/>
    <s v="S. Fischer"/>
  </r>
  <r>
    <s v="S000430"/>
    <s v="ESS-2024-00097"/>
    <s v="Essential Oil Blend"/>
    <s v="East Hanover"/>
    <x v="5"/>
    <n v="1"/>
    <x v="0"/>
    <s v="Pass"/>
    <n v="6.52"/>
    <m/>
    <n v="6"/>
    <n v="7.5"/>
    <x v="90"/>
    <s v="M. Toth"/>
  </r>
  <r>
    <s v="S001013"/>
    <s v="FRA-2024-00228"/>
    <s v="Fragrance Oil"/>
    <s v="Dortmund DE"/>
    <x v="1"/>
    <n v="1"/>
    <x v="0"/>
    <s v="Pass"/>
    <n v="0.89"/>
    <s v="g/ml"/>
    <n v="0.88"/>
    <n v="0.97"/>
    <x v="58"/>
    <s v="T. Weber"/>
  </r>
  <r>
    <s v="S000080"/>
    <s v="FLA-2025-00019"/>
    <s v="Flavor Compound"/>
    <s v="Vernier CH"/>
    <x v="0"/>
    <n v="1"/>
    <x v="0"/>
    <s v="Pass"/>
    <n v="52.24"/>
    <s v="ppm"/>
    <n v="0"/>
    <n v="120"/>
    <x v="303"/>
    <s v="J NAGY"/>
  </r>
  <r>
    <s v="S001053"/>
    <s v="FLA-2024-00236"/>
    <s v="Flavor Compound"/>
    <s v="Vernier CH"/>
    <x v="1"/>
    <n v="1"/>
    <x v="0"/>
    <s v="Pending"/>
    <n v="0.9"/>
    <s v="g/ml"/>
    <n v="0.88"/>
    <n v="0.97"/>
    <x v="247"/>
    <s v="P. Meier"/>
  </r>
  <r>
    <s v="S000938"/>
    <s v="ESS-2025-00213"/>
    <s v="Essential Oil Blend"/>
    <s v="Ashford UK"/>
    <x v="0"/>
    <n v="0"/>
    <x v="2"/>
    <s v="Pending"/>
    <m/>
    <s v="ppm"/>
    <n v="0"/>
    <n v="120"/>
    <x v="85"/>
    <s v="P. Meier"/>
  </r>
  <r>
    <s v="S000835"/>
    <s v="ESS-2024-00189"/>
    <s v="Essential Oil Blend"/>
    <s v="Vernier CH"/>
    <x v="1"/>
    <n v="1"/>
    <x v="0"/>
    <s v="Pass"/>
    <n v="0.97"/>
    <s v="g/ml"/>
    <n v="0.88"/>
    <n v="0.97"/>
    <x v="100"/>
    <s v="L. Rossi"/>
  </r>
  <r>
    <s v="S000750"/>
    <s v="FOO-2024-00169"/>
    <s v="Food Ingredient Extract"/>
    <s v="East Hanover"/>
    <x v="3"/>
    <n v="1"/>
    <x v="0"/>
    <s v="Fail"/>
    <n v="99.11"/>
    <s v="%"/>
    <n v="97"/>
    <n v="100"/>
    <x v="188"/>
    <s v="J. Nagy"/>
  </r>
  <r>
    <s v="S000891"/>
    <s v="ESS-2024-00202"/>
    <s v="Essential Oil Blend"/>
    <s v="East Hanover"/>
    <x v="5"/>
    <n v="1"/>
    <x v="0"/>
    <s v="Pass"/>
    <n v="6.94"/>
    <m/>
    <n v="6"/>
    <n v="7.5"/>
    <x v="149"/>
    <s v="K. Varga"/>
  </r>
  <r>
    <s v="S000255"/>
    <s v="FLA-2025-00058"/>
    <s v="Flavor Compound"/>
    <s v="Vernier CH"/>
    <x v="3"/>
    <n v="1"/>
    <x v="0"/>
    <s v="Pass"/>
    <n v="98.65"/>
    <s v="%"/>
    <n v="97"/>
    <n v="100"/>
    <x v="300"/>
    <s v="S. Fischer"/>
  </r>
  <r>
    <s v="S001814"/>
    <s v="ARO-2024-00405"/>
    <s v="Aroma Chemical"/>
    <s v="Budapest"/>
    <x v="5"/>
    <n v="1"/>
    <x v="0"/>
    <s v="Pass"/>
    <n v="7.3"/>
    <m/>
    <n v="6"/>
    <n v="7.5"/>
    <x v="193"/>
    <s v="J NAGY"/>
  </r>
  <r>
    <s v="S001483"/>
    <s v="ESS-2024-00330"/>
    <s v="Essential Oil Blend"/>
    <s v="East Hanover"/>
    <x v="2"/>
    <n v="1"/>
    <x v="0"/>
    <s v="Pass"/>
    <n v="248.74"/>
    <s v="um"/>
    <n v="150"/>
    <n v="400"/>
    <x v="27"/>
    <s v="P. Meier"/>
  </r>
  <r>
    <s v="S001961"/>
    <s v="FRA-2024-00438"/>
    <s v="Fragrance Oil"/>
    <s v="Budapest"/>
    <x v="2"/>
    <n v="1"/>
    <x v="0"/>
    <s v="Pass"/>
    <n v="229.68"/>
    <s v="um"/>
    <n v="150"/>
    <n v="400"/>
    <x v="34"/>
    <s v="M. Toth"/>
  </r>
  <r>
    <s v="S001408"/>
    <s v="FRA-2024-00314"/>
    <s v="Fragrance Oil"/>
    <s v="Vernier CH"/>
    <x v="3"/>
    <n v="1"/>
    <x v="0"/>
    <s v="Fail"/>
    <n v="98.61"/>
    <s v="%"/>
    <n v="97"/>
    <n v="100"/>
    <x v="227"/>
    <s v="P. Meier"/>
  </r>
  <r>
    <s v="S001338"/>
    <s v="ESS-2024-00299"/>
    <s v="Essential Oil Blend"/>
    <s v="Vernier CH"/>
    <x v="1"/>
    <n v="0"/>
    <x v="2"/>
    <s v="Pending"/>
    <m/>
    <s v="g/ml"/>
    <n v="0.88"/>
    <n v="0.97"/>
    <x v="145"/>
    <s v="J. Nagy"/>
  </r>
  <r>
    <s v="S001109"/>
    <s v="FOO-2025-00249"/>
    <s v="Food Ingredient Extract"/>
    <s v="East Hanover"/>
    <x v="3"/>
    <n v="1"/>
    <x v="0"/>
    <s v="Pass"/>
    <n v="99.28"/>
    <s v="%"/>
    <n v="97"/>
    <n v="100"/>
    <x v="225"/>
    <s v="S. Fischer"/>
  </r>
  <r>
    <s v="S000137"/>
    <s v="FRA-2024-00032"/>
    <s v="Fragrance Oil"/>
    <s v="Ashford UK"/>
    <x v="4"/>
    <n v="1"/>
    <x v="0"/>
    <s v="Pass"/>
    <n v="0.31"/>
    <s v="%"/>
    <n v="0"/>
    <n v="1"/>
    <x v="134"/>
    <s v="P. Meier"/>
  </r>
  <r>
    <s v="S001136"/>
    <s v="FRA-2025-00255"/>
    <s v="Fragrance Oil"/>
    <s v="East Hanover"/>
    <x v="2"/>
    <n v="1"/>
    <x v="0"/>
    <s v="Fail"/>
    <n v="227.14"/>
    <s v="um"/>
    <n v="150"/>
    <n v="400"/>
    <x v="139"/>
    <s v="J. Nagy"/>
  </r>
  <r>
    <s v="S001219"/>
    <s v="FLA-2024-00272"/>
    <s v="Flavor Compound"/>
    <s v="Dortmund DE"/>
    <x v="6"/>
    <n v="1"/>
    <x v="1"/>
    <s v="Fail"/>
    <n v="-18.13"/>
    <s v="CFU/g"/>
    <n v="0"/>
    <n v="100"/>
    <x v="36"/>
    <s v="J. Nagy"/>
  </r>
  <r>
    <s v="S000853"/>
    <s v="ARO-2024-00194"/>
    <s v="Aroma Chemical"/>
    <s v="Dortmund DE"/>
    <x v="1"/>
    <n v="1"/>
    <x v="0"/>
    <s v="Pass"/>
    <n v="0.95"/>
    <s v="g/ml"/>
    <n v="0.88"/>
    <n v="0.97"/>
    <x v="168"/>
    <s v="T. Weber"/>
  </r>
  <r>
    <s v="S001203"/>
    <s v="FRA-2024-00269"/>
    <s v="Fragrance Oil"/>
    <s v="Dortmund DE"/>
    <x v="3"/>
    <n v="1"/>
    <x v="0"/>
    <s v="Pass"/>
    <n v="99.16"/>
    <s v="%"/>
    <n v="97"/>
    <n v="100"/>
    <x v="289"/>
    <s v="T. Weber"/>
  </r>
  <r>
    <s v="S001888"/>
    <s v="FLA-2025-00422"/>
    <s v="Flavor Compound"/>
    <s v="Ashford UK"/>
    <x v="5"/>
    <n v="1"/>
    <x v="0"/>
    <s v="Pass"/>
    <n v="6.53"/>
    <m/>
    <n v="6"/>
    <n v="7.5"/>
    <x v="290"/>
    <s v="K. Varga"/>
  </r>
  <r>
    <s v="S000724"/>
    <s v="FLA-2025-00164"/>
    <s v="Flavor Compound"/>
    <s v="East Hanover"/>
    <x v="3"/>
    <n v="1"/>
    <x v="0"/>
    <s v="Pass"/>
    <n v="99.22"/>
    <s v="%"/>
    <n v="97"/>
    <n v="100"/>
    <x v="160"/>
    <s v="J. Nagy"/>
  </r>
  <r>
    <s v="S000860"/>
    <s v="FOO-2024-00195"/>
    <s v="Food Ingredient Extract"/>
    <s v="East Hanover"/>
    <x v="2"/>
    <n v="1"/>
    <x v="1"/>
    <s v="Fail"/>
    <n v="520"/>
    <s v="um"/>
    <n v="150"/>
    <n v="400"/>
    <x v="95"/>
    <s v="K. Varga"/>
  </r>
  <r>
    <s v="S000970"/>
    <s v="FRA-2025-00219"/>
    <s v="Fragrance Oil"/>
    <s v="Vernier CH"/>
    <x v="1"/>
    <n v="1"/>
    <x v="1"/>
    <s v="Fail"/>
    <n v="1.06"/>
    <s v="g/ml"/>
    <n v="0.88"/>
    <n v="0.97"/>
    <x v="127"/>
    <s v="L. Rossi"/>
  </r>
  <r>
    <s v="S000497"/>
    <s v="ARO-2024-00111"/>
    <s v="Aroma Chemical"/>
    <s v="Dortmund DE"/>
    <x v="4"/>
    <n v="1"/>
    <x v="0"/>
    <s v="Fail"/>
    <n v="0.35"/>
    <s v="%"/>
    <n v="0"/>
    <n v="1"/>
    <x v="106"/>
    <s v="M. Toth"/>
  </r>
  <r>
    <s v="S000951"/>
    <s v="ARO-2024-00215"/>
    <s v="Aroma Chemical"/>
    <s v="East Hanover"/>
    <x v="2"/>
    <n v="1"/>
    <x v="0"/>
    <s v="Pass"/>
    <n v="379.65"/>
    <s v="um"/>
    <n v="150"/>
    <n v="400"/>
    <x v="261"/>
    <s v="P. Meier"/>
  </r>
  <r>
    <s v="S000806"/>
    <s v="ESS-2025-00183"/>
    <s v="Essential Oil Blend"/>
    <s v="East Hanover"/>
    <x v="1"/>
    <n v="1"/>
    <x v="0"/>
    <s v="Pending"/>
    <n v="0.94"/>
    <s v="g/ml"/>
    <n v="0.88"/>
    <n v="0.97"/>
    <x v="169"/>
    <s v="A. Kovacs"/>
  </r>
  <r>
    <s v="S000130"/>
    <s v="FOO-2025-00030"/>
    <s v="Food Ingredient Extract"/>
    <s v="Ashford UK"/>
    <x v="3"/>
    <n v="0"/>
    <x v="2"/>
    <s v="Fail"/>
    <m/>
    <s v="%"/>
    <n v="97"/>
    <n v="100"/>
    <x v="48"/>
    <s v="A. Kovacs"/>
  </r>
  <r>
    <s v="S000338"/>
    <s v="ARO-2025-00076"/>
    <s v="Aroma Chemical"/>
    <s v="Dortmund DE"/>
    <x v="4"/>
    <n v="1"/>
    <x v="0"/>
    <s v="Pass"/>
    <n v="0.19"/>
    <s v="%"/>
    <n v="0"/>
    <n v="1"/>
    <x v="129"/>
    <s v="L. Rossi"/>
  </r>
  <r>
    <s v="S001999"/>
    <s v="FOO-2025-00446"/>
    <s v="Food Ingredient Extract"/>
    <s v="Dortmund DE"/>
    <x v="2"/>
    <n v="1"/>
    <x v="0"/>
    <s v="Pending"/>
    <n v="191.82"/>
    <s v="um"/>
    <n v="150"/>
    <n v="400"/>
    <x v="8"/>
    <s v="K. Varga"/>
  </r>
  <r>
    <s v="S000609"/>
    <s v="ARO-2024-00137"/>
    <s v="Aroma Chemical"/>
    <s v="Vernier CH"/>
    <x v="5"/>
    <n v="1"/>
    <x v="1"/>
    <s v="Fail"/>
    <n v="5.72"/>
    <m/>
    <n v="6"/>
    <n v="7.5"/>
    <x v="41"/>
    <s v="S. Fischer"/>
  </r>
  <r>
    <s v="S001149"/>
    <s v="ARO-2024-00257"/>
    <s v="Aroma Chemical"/>
    <s v="Budapest"/>
    <x v="3"/>
    <n v="1"/>
    <x v="0"/>
    <s v="Pass"/>
    <n v="98.18"/>
    <s v="%"/>
    <n v="97"/>
    <n v="100"/>
    <x v="249"/>
    <s v="M. Toth"/>
  </r>
  <r>
    <s v="S000196"/>
    <s v="ESS-2025-00045"/>
    <s v="Essential Oil Blend"/>
    <s v="Dortmund DE"/>
    <x v="3"/>
    <n v="1"/>
    <x v="1"/>
    <s v="Fail"/>
    <n v="100.19"/>
    <s v="%"/>
    <n v="97"/>
    <n v="100"/>
    <x v="20"/>
    <s v="J NAGY"/>
  </r>
  <r>
    <s v="S001251"/>
    <s v="FLA-2024-00280"/>
    <s v="Flavor Compound"/>
    <s v="Budapest"/>
    <x v="5"/>
    <n v="0"/>
    <x v="2"/>
    <s v="Pending"/>
    <m/>
    <m/>
    <n v="6"/>
    <n v="7.5"/>
    <x v="92"/>
    <s v="A. Kovacs"/>
  </r>
  <r>
    <s v="S001293"/>
    <s v="FOO-2024-00289"/>
    <s v="Food Ingredient Extract"/>
    <s v="East Hanover"/>
    <x v="3"/>
    <n v="1"/>
    <x v="0"/>
    <s v="Pass"/>
    <n v="98.62"/>
    <s v="%"/>
    <n v="97"/>
    <n v="100"/>
    <x v="164"/>
    <s v="J NAGY"/>
  </r>
  <r>
    <s v="S001980"/>
    <s v="FLA-2025-00442"/>
    <s v="Flavor Compound"/>
    <s v="Ashford UK"/>
    <x v="3"/>
    <n v="1"/>
    <x v="0"/>
    <s v="Pass"/>
    <n v="98.71"/>
    <s v="%"/>
    <n v="97"/>
    <n v="100"/>
    <x v="159"/>
    <s v="J. Nagy"/>
  </r>
  <r>
    <s v="S000910"/>
    <s v="FOO-2024-00206"/>
    <s v="Food Ingredient Extract"/>
    <s v="Ashford UK"/>
    <x v="2"/>
    <n v="1"/>
    <x v="0"/>
    <s v="Fail"/>
    <n v="233.23"/>
    <s v="um"/>
    <n v="150"/>
    <n v="400"/>
    <x v="256"/>
    <s v="S. Fischer"/>
  </r>
  <r>
    <s v="S000585"/>
    <s v="FOO-2024-00131"/>
    <s v="Food Ingredient Extract"/>
    <s v="Dortmund DE"/>
    <x v="3"/>
    <n v="1"/>
    <x v="0"/>
    <s v="Pass"/>
    <n v="97.5"/>
    <s v="%"/>
    <n v="97"/>
    <n v="100"/>
    <x v="184"/>
    <s v="A. Kovacs"/>
  </r>
  <r>
    <s v="S000104"/>
    <s v="ESS-2025-00024"/>
    <s v="Essential Oil Blend"/>
    <s v="Dortmund DE"/>
    <x v="2"/>
    <n v="1"/>
    <x v="0"/>
    <s v="Fail"/>
    <n v="247.28"/>
    <s v="um"/>
    <n v="150"/>
    <n v="400"/>
    <x v="211"/>
    <s v="A. Kovacs"/>
  </r>
  <r>
    <s v="S001851"/>
    <s v="FLA-2025-00414"/>
    <s v="Flavor Compound"/>
    <s v="East Hanover"/>
    <x v="6"/>
    <n v="1"/>
    <x v="0"/>
    <s v="Pass"/>
    <n v="35.33"/>
    <s v="CFU/g"/>
    <n v="0"/>
    <n v="100"/>
    <x v="238"/>
    <s v="A. Kovacs"/>
  </r>
  <r>
    <s v="S001870"/>
    <s v="ARO-2025-00418"/>
    <s v="Aroma Chemical"/>
    <s v="Budapest"/>
    <x v="2"/>
    <n v="1"/>
    <x v="0"/>
    <s v="Pass"/>
    <n v="227.08"/>
    <s v="um"/>
    <n v="150"/>
    <n v="400"/>
    <x v="115"/>
    <s v="S. Fischer"/>
  </r>
  <r>
    <s v="S000720"/>
    <s v="FRA-2025-00163"/>
    <s v="Fragrance Oil"/>
    <s v="Budapest"/>
    <x v="1"/>
    <n v="1"/>
    <x v="0"/>
    <s v="Fail"/>
    <n v="0.91"/>
    <s v="g/ml"/>
    <n v="0.88"/>
    <n v="0.97"/>
    <x v="119"/>
    <s v="M. Toth"/>
  </r>
  <r>
    <s v="S000885"/>
    <s v="FOO-2024-00200"/>
    <s v="Food Ingredient Extract"/>
    <s v="Vernier CH"/>
    <x v="5"/>
    <n v="1"/>
    <x v="0"/>
    <s v="Fail"/>
    <n v="6.32"/>
    <m/>
    <n v="6"/>
    <n v="7.5"/>
    <x v="311"/>
    <s v="S. Fischer"/>
  </r>
  <r>
    <s v="S000777"/>
    <s v="ARO-2024-00176"/>
    <s v="Aroma Chemical"/>
    <s v="East Hanover"/>
    <x v="2"/>
    <n v="1"/>
    <x v="0"/>
    <s v="Pass"/>
    <n v="265.75"/>
    <s v="um"/>
    <n v="150"/>
    <n v="400"/>
    <x v="302"/>
    <s v="T. Weber"/>
  </r>
  <r>
    <s v="S001570"/>
    <s v="FRA-2025-00350"/>
    <s v="Fragrance Oil"/>
    <s v="Vernier CH"/>
    <x v="1"/>
    <n v="1"/>
    <x v="1"/>
    <s v="Fail"/>
    <n v="0.84"/>
    <s v="g/ml"/>
    <n v="0.88"/>
    <n v="0.97"/>
    <x v="116"/>
    <s v="M. Toth"/>
  </r>
  <r>
    <s v="S000850"/>
    <s v="FRA-2024-00193"/>
    <s v="Fragrance Oil"/>
    <s v="Dortmund DE"/>
    <x v="3"/>
    <n v="1"/>
    <x v="0"/>
    <s v="Fail"/>
    <n v="97.94"/>
    <s v="%"/>
    <n v="97"/>
    <n v="100"/>
    <x v="245"/>
    <s v="A. Kovacs"/>
  </r>
  <r>
    <s v="S000895"/>
    <s v="ESS-2024-00202"/>
    <s v="Essential Oil Blend"/>
    <s v="East Hanover"/>
    <x v="2"/>
    <n v="1"/>
    <x v="0"/>
    <s v="Pass"/>
    <n v="309.83"/>
    <s v="um"/>
    <n v="150"/>
    <n v="400"/>
    <x v="149"/>
    <s v="S. Fischer"/>
  </r>
  <r>
    <s v="S000228"/>
    <s v="ARO-2025-00052"/>
    <s v="Aroma Chemical"/>
    <s v="Vernier CH"/>
    <x v="0"/>
    <n v="1"/>
    <x v="0"/>
    <s v="Fail"/>
    <n v="75.34"/>
    <s v="ppm"/>
    <n v="0"/>
    <n v="120"/>
    <x v="178"/>
    <s v="L. Rossi"/>
  </r>
  <r>
    <s v="S001884"/>
    <s v="FLA-2025-00422"/>
    <s v="Flavor Compound"/>
    <s v="Ashford UK"/>
    <x v="6"/>
    <n v="1"/>
    <x v="0"/>
    <s v="Pass"/>
    <n v="6.84"/>
    <s v="CFU/g"/>
    <n v="0"/>
    <n v="100"/>
    <x v="290"/>
    <s v="A. Kovacs"/>
  </r>
  <r>
    <s v="S001326"/>
    <s v="FLA-2024-00295"/>
    <s v="Flavor Compound"/>
    <s v="East Hanover"/>
    <x v="0"/>
    <n v="1"/>
    <x v="0"/>
    <s v="Pass"/>
    <n v="80.510000000000005"/>
    <s v="ppm"/>
    <n v="0"/>
    <n v="120"/>
    <x v="155"/>
    <s v="A. Kovacs"/>
  </r>
  <r>
    <s v="S001300"/>
    <s v="FRA-2025-00290"/>
    <s v="Fragrance Oil"/>
    <s v="Vernier CH"/>
    <x v="1"/>
    <n v="1"/>
    <x v="0"/>
    <s v="Pass"/>
    <n v="0.92"/>
    <s v="g/ml"/>
    <n v="0.88"/>
    <n v="0.97"/>
    <x v="49"/>
    <s v="A. Kovacs"/>
  </r>
  <r>
    <s v="S000127"/>
    <s v="FLA-2024-00029"/>
    <s v="Flavor Compound"/>
    <s v="East Hanover"/>
    <x v="4"/>
    <n v="1"/>
    <x v="0"/>
    <s v="Pass"/>
    <n v="0.28999999999999998"/>
    <s v="%"/>
    <n v="0"/>
    <n v="1"/>
    <x v="299"/>
    <s v="P. Meier"/>
  </r>
  <r>
    <s v="S000406"/>
    <s v="ARO-2024-00092"/>
    <s v="Aroma Chemical"/>
    <s v="Budapest"/>
    <x v="0"/>
    <n v="0"/>
    <x v="2"/>
    <s v="Fail"/>
    <m/>
    <s v="ppm"/>
    <n v="0"/>
    <n v="120"/>
    <x v="267"/>
    <s v="M. Toth"/>
  </r>
  <r>
    <s v="S000776"/>
    <s v="ARO-2024-00176"/>
    <s v="Aroma Chemical"/>
    <s v="East Hanover"/>
    <x v="4"/>
    <n v="1"/>
    <x v="0"/>
    <s v="Pass"/>
    <n v="0.16"/>
    <s v="%"/>
    <n v="0"/>
    <n v="1"/>
    <x v="302"/>
    <s v="J NAGY"/>
  </r>
  <r>
    <s v="S000822"/>
    <s v="ESS-2024-00186"/>
    <s v="Essential Oil Blend"/>
    <s v="Budapest"/>
    <x v="5"/>
    <n v="1"/>
    <x v="0"/>
    <s v="Pass"/>
    <n v="6.38"/>
    <m/>
    <n v="6"/>
    <n v="7.5"/>
    <x v="144"/>
    <s v="A. Kovacs"/>
  </r>
  <r>
    <s v="S000712"/>
    <s v="ARO-2025-00161"/>
    <s v="Aroma Chemical"/>
    <s v="Budapest"/>
    <x v="4"/>
    <n v="1"/>
    <x v="0"/>
    <s v="Pass"/>
    <n v="0.4"/>
    <s v="%"/>
    <n v="0"/>
    <n v="1"/>
    <x v="255"/>
    <s v="M. Toth"/>
  </r>
  <r>
    <s v="S001892"/>
    <s v="FOO-2025-00423"/>
    <s v="Food Ingredient Extract"/>
    <s v="Dortmund DE"/>
    <x v="3"/>
    <n v="1"/>
    <x v="0"/>
    <s v="Fail"/>
    <n v="99.05"/>
    <s v="%"/>
    <n v="97"/>
    <n v="100"/>
    <x v="173"/>
    <s v="P. Meier"/>
  </r>
  <r>
    <s v="S001061"/>
    <s v="FOO-2024-00237"/>
    <s v="Food Ingredient Extract"/>
    <s v="Budapest"/>
    <x v="2"/>
    <n v="1"/>
    <x v="0"/>
    <s v="Pass"/>
    <n v="272.79000000000002"/>
    <s v="um"/>
    <n v="150"/>
    <n v="400"/>
    <x v="9"/>
    <s v="L. Rossi"/>
  </r>
  <r>
    <s v="S001164"/>
    <s v="ARO-2025-00261"/>
    <s v="Aroma Chemical"/>
    <s v="Budapest"/>
    <x v="2"/>
    <n v="1"/>
    <x v="0"/>
    <s v="Pass"/>
    <n v="250.96"/>
    <s v="um"/>
    <n v="150"/>
    <n v="400"/>
    <x v="96"/>
    <s v="K. Varga"/>
  </r>
  <r>
    <s v="S000304"/>
    <s v="FRA-2024-00069"/>
    <s v="Fragrance Oil"/>
    <s v="Vernier CH"/>
    <x v="2"/>
    <n v="1"/>
    <x v="0"/>
    <s v="Fail"/>
    <n v="238.78"/>
    <s v="um"/>
    <n v="150"/>
    <n v="400"/>
    <x v="171"/>
    <s v="S. Fischer"/>
  </r>
  <r>
    <s v="S000268"/>
    <s v="FLA-2024-00061"/>
    <s v="Flavor Compound"/>
    <s v="East Hanover"/>
    <x v="0"/>
    <n v="1"/>
    <x v="0"/>
    <s v="Pass"/>
    <n v="37.19"/>
    <s v="ppm"/>
    <n v="0"/>
    <n v="120"/>
    <x v="257"/>
    <s v="J. Nagy"/>
  </r>
  <r>
    <s v="S001558"/>
    <s v="FRA-2024-00347"/>
    <s v="Fragrance Oil"/>
    <s v="Ashford UK"/>
    <x v="0"/>
    <n v="1"/>
    <x v="0"/>
    <s v="Pass"/>
    <n v="55.8"/>
    <s v="ppm"/>
    <n v="0"/>
    <n v="120"/>
    <x v="322"/>
    <s v="T. Weber"/>
  </r>
  <r>
    <s v="S000546"/>
    <s v="FLA-2024-00123"/>
    <s v="Flavor Compound"/>
    <s v="Dortmund DE"/>
    <x v="0"/>
    <n v="1"/>
    <x v="0"/>
    <s v="Fail"/>
    <n v="59.79"/>
    <s v="ppm"/>
    <n v="0"/>
    <n v="120"/>
    <x v="38"/>
    <s v="J. Nagy"/>
  </r>
  <r>
    <s v="S000213"/>
    <s v="ARO-2025-00048"/>
    <s v="Aroma Chemical"/>
    <s v="Budapest"/>
    <x v="6"/>
    <n v="1"/>
    <x v="0"/>
    <s v="Pass"/>
    <n v="60.04"/>
    <s v="CFU/g"/>
    <n v="0"/>
    <n v="100"/>
    <x v="221"/>
    <s v="A. Kovacs"/>
  </r>
  <r>
    <s v="S000897"/>
    <s v="FRA-2025-00203"/>
    <s v="Fragrance Oil"/>
    <s v="East Hanover"/>
    <x v="4"/>
    <n v="1"/>
    <x v="0"/>
    <s v="Pass"/>
    <n v="0.63"/>
    <s v="%"/>
    <n v="0"/>
    <n v="1"/>
    <x v="221"/>
    <s v="M. Toth"/>
  </r>
  <r>
    <s v="S001493"/>
    <s v="FOO-2024-00332"/>
    <s v="Food Ingredient Extract"/>
    <s v="Ashford UK"/>
    <x v="2"/>
    <n v="1"/>
    <x v="0"/>
    <s v="Pass"/>
    <n v="283.47000000000003"/>
    <s v="um"/>
    <n v="150"/>
    <n v="400"/>
    <x v="271"/>
    <s v="S. Fischer"/>
  </r>
  <r>
    <s v="S001223"/>
    <s v="FOO-2024-00273"/>
    <s v="Food Ingredient Extract"/>
    <s v="Budapest"/>
    <x v="3"/>
    <n v="0"/>
    <x v="2"/>
    <s v="Pending"/>
    <m/>
    <s v="%"/>
    <n v="97"/>
    <n v="100"/>
    <x v="258"/>
    <s v="J NAGY"/>
  </r>
  <r>
    <s v="S000917"/>
    <s v="ESS-2024-00208"/>
    <s v="Essential Oil Blend"/>
    <s v="East Hanover"/>
    <x v="2"/>
    <n v="0"/>
    <x v="2"/>
    <s v="Pending"/>
    <m/>
    <s v="um"/>
    <n v="150"/>
    <n v="400"/>
    <x v="256"/>
    <s v="L. Rossi"/>
  </r>
  <r>
    <s v="S001552"/>
    <s v="ESS-2024-00345"/>
    <s v="Essential Oil Blend"/>
    <s v="East Hanover"/>
    <x v="4"/>
    <n v="1"/>
    <x v="0"/>
    <s v="Pass"/>
    <n v="0.5"/>
    <s v="%"/>
    <n v="0"/>
    <n v="1"/>
    <x v="60"/>
    <s v="J NAGY"/>
  </r>
  <r>
    <s v="S000676"/>
    <s v="FRA-2024-00154"/>
    <s v="Fragrance Oil"/>
    <s v="Vernier CH"/>
    <x v="1"/>
    <n v="1"/>
    <x v="0"/>
    <s v="Fail"/>
    <n v="0.9"/>
    <s v="g/ml"/>
    <n v="0.88"/>
    <n v="0.97"/>
    <x v="240"/>
    <s v="J. Nagy"/>
  </r>
  <r>
    <s v="S001290"/>
    <s v="ARO-2024-00288"/>
    <s v="Aroma Chemical"/>
    <s v="Budapest"/>
    <x v="3"/>
    <n v="1"/>
    <x v="0"/>
    <s v="Pass"/>
    <n v="98.73"/>
    <s v="%"/>
    <n v="97"/>
    <n v="100"/>
    <x v="161"/>
    <s v="P. Meier"/>
  </r>
  <r>
    <s v="S000815"/>
    <s v="FRA-2025-00185"/>
    <s v="Fragrance Oil"/>
    <s v="Ashford UK"/>
    <x v="4"/>
    <n v="1"/>
    <x v="0"/>
    <s v="Pass"/>
    <n v="0.6"/>
    <s v="%"/>
    <n v="0"/>
    <n v="1"/>
    <x v="116"/>
    <s v="T. Weber"/>
  </r>
  <r>
    <s v="S001266"/>
    <s v="FLA-2025-00283"/>
    <s v="Flavor Compound"/>
    <s v="Budapest"/>
    <x v="4"/>
    <n v="1"/>
    <x v="0"/>
    <s v="Pass"/>
    <n v="0.4"/>
    <s v="%"/>
    <n v="0"/>
    <n v="1"/>
    <x v="291"/>
    <s v="M. Toth"/>
  </r>
  <r>
    <s v="S000343"/>
    <s v="FRA-2024-00077"/>
    <s v="Fragrance Oil"/>
    <s v="Vernier CH"/>
    <x v="2"/>
    <n v="1"/>
    <x v="0"/>
    <s v="Pass"/>
    <n v="187.55"/>
    <s v="um"/>
    <n v="150"/>
    <n v="400"/>
    <x v="56"/>
    <s v="T. Weber"/>
  </r>
  <r>
    <s v="S000550"/>
    <s v="FRA-2024-00124"/>
    <s v="Fragrance Oil"/>
    <s v="Budapest"/>
    <x v="6"/>
    <n v="1"/>
    <x v="0"/>
    <s v="Pass"/>
    <n v="21.82"/>
    <s v="CFU/g"/>
    <n v="0"/>
    <n v="100"/>
    <x v="328"/>
    <s v="S. Fischer"/>
  </r>
  <r>
    <s v="S001411"/>
    <s v="ESS-2024-00315"/>
    <s v="Essential Oil Blend"/>
    <s v="Ashford UK"/>
    <x v="3"/>
    <n v="1"/>
    <x v="0"/>
    <s v="Pass"/>
    <n v="99.24"/>
    <s v="%"/>
    <n v="97"/>
    <n v="100"/>
    <x v="52"/>
    <s v="M. Toth"/>
  </r>
  <r>
    <s v="S001215"/>
    <s v="FLA-2024-00271"/>
    <s v="Flavor Compound"/>
    <s v="Ashford UK"/>
    <x v="6"/>
    <n v="1"/>
    <x v="0"/>
    <s v="Fail"/>
    <n v="29.5"/>
    <s v="CFU/g"/>
    <n v="0"/>
    <n v="100"/>
    <x v="319"/>
    <s v="L. Rossi"/>
  </r>
  <r>
    <s v="S000967"/>
    <s v="FRA-2024-00218"/>
    <s v="Fragrance Oil"/>
    <s v="Ashford UK"/>
    <x v="4"/>
    <n v="1"/>
    <x v="0"/>
    <s v="Pass"/>
    <n v="0.4"/>
    <s v="%"/>
    <n v="0"/>
    <n v="1"/>
    <x v="166"/>
    <s v="M. Toth"/>
  </r>
  <r>
    <s v="S001231"/>
    <s v="FRA-2024-00275"/>
    <s v="Fragrance Oil"/>
    <s v="Vernier CH"/>
    <x v="0"/>
    <n v="1"/>
    <x v="0"/>
    <s v="Pass"/>
    <n v="86.42"/>
    <s v="ppm"/>
    <n v="0"/>
    <n v="120"/>
    <x v="75"/>
    <s v="L. Rossi"/>
  </r>
  <r>
    <s v="S000296"/>
    <s v="FRA-2024-00067"/>
    <s v="Fragrance Oil"/>
    <s v="Vernier CH"/>
    <x v="3"/>
    <n v="1"/>
    <x v="0"/>
    <s v="Fail"/>
    <n v="98.67"/>
    <s v="%"/>
    <n v="97"/>
    <n v="100"/>
    <x v="132"/>
    <s v="J NAGY"/>
  </r>
  <r>
    <s v="S000696"/>
    <s v="FOO-2025-00158"/>
    <s v="Food Ingredient Extract"/>
    <s v="East Hanover"/>
    <x v="2"/>
    <n v="1"/>
    <x v="0"/>
    <s v="Pass"/>
    <n v="307.24"/>
    <s v="um"/>
    <n v="150"/>
    <n v="400"/>
    <x v="35"/>
    <s v="S. Fischer"/>
  </r>
  <r>
    <s v="S001453"/>
    <s v="FOO-2024-00324"/>
    <s v="Food Ingredient Extract"/>
    <s v="Dortmund DE"/>
    <x v="1"/>
    <n v="1"/>
    <x v="0"/>
    <s v="Pass"/>
    <n v="0.96"/>
    <s v="g/ml"/>
    <n v="0.88"/>
    <n v="0.97"/>
    <x v="248"/>
    <s v="A. Kovacs"/>
  </r>
  <r>
    <s v="S000074"/>
    <s v="FRA-2025-00018"/>
    <s v="Fragrance Oil"/>
    <s v="Vernier CH"/>
    <x v="2"/>
    <n v="1"/>
    <x v="0"/>
    <s v="Pass"/>
    <n v="257.91000000000003"/>
    <s v="um"/>
    <n v="150"/>
    <n v="400"/>
    <x v="259"/>
    <s v="M. Toth"/>
  </r>
  <r>
    <s v="S000606"/>
    <s v="ARO-2024-00137"/>
    <s v="Aroma Chemical"/>
    <s v="Vernier CH"/>
    <x v="6"/>
    <n v="1"/>
    <x v="0"/>
    <s v="Fail"/>
    <n v="34.549999999999997"/>
    <s v="CFU/g"/>
    <n v="0"/>
    <n v="100"/>
    <x v="41"/>
    <s v="L. Rossi"/>
  </r>
  <r>
    <s v="S000105"/>
    <s v="ESS-2025-00024"/>
    <s v="Essential Oil Blend"/>
    <s v="Dortmund DE"/>
    <x v="5"/>
    <n v="1"/>
    <x v="0"/>
    <s v="Fail"/>
    <n v="6.22"/>
    <m/>
    <n v="6"/>
    <n v="7.5"/>
    <x v="211"/>
    <s v="M. Toth"/>
  </r>
  <r>
    <s v="S000646"/>
    <s v="ESS-2024-00147"/>
    <s v="Essential Oil Blend"/>
    <s v="Vernier CH"/>
    <x v="2"/>
    <n v="1"/>
    <x v="0"/>
    <s v="Pass"/>
    <n v="243.21"/>
    <s v="um"/>
    <n v="150"/>
    <n v="400"/>
    <x v="135"/>
    <s v="S. Fischer"/>
  </r>
  <r>
    <s v="S001405"/>
    <s v="ESS-2024-00313"/>
    <s v="Essential Oil Blend"/>
    <s v="Budapest"/>
    <x v="6"/>
    <n v="1"/>
    <x v="0"/>
    <s v="Pass"/>
    <n v="52.67"/>
    <s v="CFU/g"/>
    <n v="0"/>
    <n v="100"/>
    <x v="218"/>
    <s v="M. Toth"/>
  </r>
  <r>
    <s v="S001968"/>
    <s v="FRA-2025-00440"/>
    <s v="Fragrance Oil"/>
    <s v="Dortmund DE"/>
    <x v="6"/>
    <n v="1"/>
    <x v="0"/>
    <s v="Pass"/>
    <n v="25.79"/>
    <s v="CFU/g"/>
    <n v="0"/>
    <n v="100"/>
    <x v="154"/>
    <s v="A. Kovacs"/>
  </r>
  <r>
    <s v="S001041"/>
    <s v="FOO-2024-00233"/>
    <s v="Food Ingredient Extract"/>
    <s v="Dortmund DE"/>
    <x v="4"/>
    <n v="1"/>
    <x v="0"/>
    <s v="Fail"/>
    <n v="0.08"/>
    <s v="%"/>
    <n v="0"/>
    <n v="1"/>
    <x v="36"/>
    <s v="K. Varga"/>
  </r>
  <r>
    <s v="S000440"/>
    <s v="ESS-2024-00099"/>
    <s v="Essential Oil Blend"/>
    <s v="Vernier CH"/>
    <x v="4"/>
    <n v="1"/>
    <x v="0"/>
    <s v="Fail"/>
    <n v="0.62"/>
    <s v="%"/>
    <n v="0"/>
    <n v="1"/>
    <x v="156"/>
    <s v="J NAGY"/>
  </r>
  <r>
    <s v="S001020"/>
    <s v="FRA-2025-00229"/>
    <s v="Fragrance Oil"/>
    <s v="Budapest"/>
    <x v="0"/>
    <n v="1"/>
    <x v="0"/>
    <s v="Pass"/>
    <n v="69.58"/>
    <s v="ppm"/>
    <n v="0"/>
    <n v="120"/>
    <x v="73"/>
    <s v="J NAGY"/>
  </r>
  <r>
    <s v="S000092"/>
    <s v="ESS-2025-00022"/>
    <s v="Essential Oil Blend"/>
    <s v="Budapest"/>
    <x v="0"/>
    <n v="1"/>
    <x v="0"/>
    <s v="Pass"/>
    <n v="33.81"/>
    <s v="ppm"/>
    <n v="0"/>
    <n v="120"/>
    <x v="272"/>
    <s v="T. Weber"/>
  </r>
  <r>
    <s v="S001113"/>
    <s v="FRA-2024-00250"/>
    <s v="Fragrance Oil"/>
    <s v="East Hanover"/>
    <x v="1"/>
    <n v="1"/>
    <x v="0"/>
    <s v="Pass"/>
    <n v="0.95"/>
    <s v="g/ml"/>
    <n v="0.88"/>
    <n v="0.97"/>
    <x v="312"/>
    <s v="J NAGY"/>
  </r>
  <r>
    <s v="S001759"/>
    <s v="FRA-2024-00392"/>
    <s v="Fragrance Oil"/>
    <s v="Vernier CH"/>
    <x v="5"/>
    <n v="1"/>
    <x v="1"/>
    <s v="Fail"/>
    <n v="5.98"/>
    <m/>
    <n v="6"/>
    <n v="7.5"/>
    <x v="134"/>
    <s v="L. Rossi"/>
  </r>
  <r>
    <s v="S000909"/>
    <s v="FOO-2024-00205"/>
    <s v="Food Ingredient Extract"/>
    <s v="Budapest"/>
    <x v="0"/>
    <n v="1"/>
    <x v="0"/>
    <s v="Pass"/>
    <n v="11.97"/>
    <s v="ppm"/>
    <n v="0"/>
    <n v="120"/>
    <x v="329"/>
    <s v="T. Weber"/>
  </r>
  <r>
    <s v="S001475"/>
    <s v="ESS-2024-00328"/>
    <s v="Essential Oil Blend"/>
    <s v="Ashford UK"/>
    <x v="2"/>
    <n v="1"/>
    <x v="0"/>
    <s v="Pass"/>
    <n v="280.20999999999998"/>
    <s v="um"/>
    <n v="150"/>
    <n v="400"/>
    <x v="1"/>
    <s v="J NAGY"/>
  </r>
  <r>
    <s v="S000103"/>
    <s v="ESS-2025-00024"/>
    <s v="Essential Oil Blend"/>
    <s v="Dortmund DE"/>
    <x v="0"/>
    <n v="1"/>
    <x v="0"/>
    <s v="Fail"/>
    <n v="31.94"/>
    <s v="ppm"/>
    <n v="0"/>
    <n v="120"/>
    <x v="211"/>
    <s v="K. Varga"/>
  </r>
  <r>
    <s v="S000239"/>
    <s v="FRA-2024-00054"/>
    <s v="Fragrance Oil"/>
    <s v="East Hanover"/>
    <x v="6"/>
    <n v="1"/>
    <x v="0"/>
    <s v="Pass"/>
    <n v="35.11"/>
    <s v="CFU/g"/>
    <n v="0"/>
    <n v="100"/>
    <x v="149"/>
    <s v="S. Fischer"/>
  </r>
  <r>
    <s v="S001706"/>
    <s v="ARO-2025-00381"/>
    <s v="Aroma Chemical"/>
    <s v="Budapest"/>
    <x v="1"/>
    <n v="1"/>
    <x v="0"/>
    <s v="Pass"/>
    <n v="0.88"/>
    <s v="g/ml"/>
    <n v="0.88"/>
    <n v="0.97"/>
    <x v="31"/>
    <s v="M. Toth"/>
  </r>
  <r>
    <s v="S000943"/>
    <s v="FLA-2024-00214"/>
    <s v="Flavor Compound"/>
    <s v="East Hanover"/>
    <x v="5"/>
    <n v="1"/>
    <x v="0"/>
    <s v="Pass"/>
    <n v="6.4"/>
    <m/>
    <n v="6"/>
    <n v="7.5"/>
    <x v="37"/>
    <s v="J. Nagy"/>
  </r>
  <r>
    <s v="S001271"/>
    <s v="FLA-2024-00284"/>
    <s v="Flavor Compound"/>
    <s v="Vernier CH"/>
    <x v="0"/>
    <n v="1"/>
    <x v="0"/>
    <s v="Pass"/>
    <n v="58.92"/>
    <s v="ppm"/>
    <n v="0"/>
    <n v="120"/>
    <x v="93"/>
    <s v="J. Nagy"/>
  </r>
  <r>
    <s v="S000939"/>
    <s v="ESS-2025-00213"/>
    <s v="Essential Oil Blend"/>
    <s v="Ashford UK"/>
    <x v="2"/>
    <n v="1"/>
    <x v="0"/>
    <s v="Pending"/>
    <n v="369.85"/>
    <s v="um"/>
    <n v="150"/>
    <n v="400"/>
    <x v="85"/>
    <s v="J NAGY"/>
  </r>
  <r>
    <s v="S001696"/>
    <s v="ESS-2024-00379"/>
    <s v="Essential Oil Blend"/>
    <s v="East Hanover"/>
    <x v="5"/>
    <n v="1"/>
    <x v="0"/>
    <s v="Fail"/>
    <n v="7.15"/>
    <m/>
    <n v="6"/>
    <n v="7.5"/>
    <x v="22"/>
    <s v="T. Weber"/>
  </r>
  <r>
    <s v="S001182"/>
    <s v="ARO-2024-00265"/>
    <s v="Aroma Chemical"/>
    <s v="Ashford UK"/>
    <x v="2"/>
    <n v="1"/>
    <x v="0"/>
    <s v="Fail"/>
    <n v="362"/>
    <s v="um"/>
    <n v="150"/>
    <n v="400"/>
    <x v="74"/>
    <s v="L. Rossi"/>
  </r>
  <r>
    <s v="S001504"/>
    <s v="ESS-2025-00335"/>
    <s v="Essential Oil Blend"/>
    <s v="Dortmund DE"/>
    <x v="0"/>
    <n v="1"/>
    <x v="0"/>
    <s v="Pending"/>
    <n v="53.14"/>
    <s v="ppm"/>
    <n v="0"/>
    <n v="120"/>
    <x v="177"/>
    <s v="P. Meier"/>
  </r>
  <r>
    <s v="S000006"/>
    <s v="ARO-2025-00002"/>
    <s v="Aroma Chemical"/>
    <s v="East Hanover"/>
    <x v="4"/>
    <n v="1"/>
    <x v="0"/>
    <s v="Pass"/>
    <n v="0.52"/>
    <s v="%"/>
    <n v="0"/>
    <n v="1"/>
    <x v="110"/>
    <s v="J. Nagy"/>
  </r>
  <r>
    <s v="S001819"/>
    <s v="FRA-2025-00407"/>
    <s v="Fragrance Oil"/>
    <s v="Vernier CH"/>
    <x v="1"/>
    <n v="1"/>
    <x v="0"/>
    <s v="Pass"/>
    <n v="0.9"/>
    <s v="g/ml"/>
    <n v="0.88"/>
    <n v="0.97"/>
    <x v="121"/>
    <s v="K. Varga"/>
  </r>
  <r>
    <s v="S000966"/>
    <s v="FRA-2024-00218"/>
    <s v="Fragrance Oil"/>
    <s v="Ashford UK"/>
    <x v="1"/>
    <n v="1"/>
    <x v="0"/>
    <s v="Pass"/>
    <n v="0.94"/>
    <s v="g/ml"/>
    <n v="0.88"/>
    <n v="0.97"/>
    <x v="166"/>
    <s v="P. Meier"/>
  </r>
  <r>
    <s v="S000019"/>
    <s v="FRA-2025-00004"/>
    <s v="Fragrance Oil"/>
    <s v="Budapest"/>
    <x v="2"/>
    <n v="1"/>
    <x v="0"/>
    <s v="Pass"/>
    <n v="234.87"/>
    <s v="um"/>
    <n v="150"/>
    <n v="400"/>
    <x v="139"/>
    <s v="J NAGY"/>
  </r>
  <r>
    <s v="S001431"/>
    <s v="ARO-2025-00319"/>
    <s v="Aroma Chemical"/>
    <s v="Dortmund DE"/>
    <x v="3"/>
    <n v="1"/>
    <x v="0"/>
    <s v="Pass"/>
    <n v="98.96"/>
    <s v="%"/>
    <n v="97"/>
    <n v="100"/>
    <x v="83"/>
    <s v="T. Weber"/>
  </r>
  <r>
    <s v="S000122"/>
    <s v="ESS-2025-00028"/>
    <s v="Essential Oil Blend"/>
    <s v="Ashford UK"/>
    <x v="2"/>
    <n v="1"/>
    <x v="0"/>
    <s v="Pass"/>
    <n v="185.37"/>
    <s v="um"/>
    <n v="150"/>
    <n v="400"/>
    <x v="250"/>
    <s v="M. Toth"/>
  </r>
  <r>
    <s v="S000662"/>
    <s v="ARO-2025-00151"/>
    <s v="Aroma Chemical"/>
    <s v="East Hanover"/>
    <x v="5"/>
    <n v="1"/>
    <x v="0"/>
    <s v="Pass"/>
    <n v="7.14"/>
    <m/>
    <n v="6"/>
    <n v="7.5"/>
    <x v="158"/>
    <s v="S. Fischer"/>
  </r>
  <r>
    <s v="S001831"/>
    <s v="FRA-2025-00409"/>
    <s v="Fragrance Oil"/>
    <s v="Budapest"/>
    <x v="2"/>
    <n v="1"/>
    <x v="0"/>
    <s v="Pass"/>
    <n v="266.64"/>
    <s v="um"/>
    <n v="150"/>
    <n v="400"/>
    <x v="170"/>
    <s v="K. Varga"/>
  </r>
  <r>
    <s v="S000275"/>
    <s v="FRA-2024-00063"/>
    <s v="Fragrance Oil"/>
    <s v="Budapest"/>
    <x v="3"/>
    <n v="1"/>
    <x v="0"/>
    <s v="Pass"/>
    <n v="98.31"/>
    <s v="%"/>
    <n v="97"/>
    <n v="100"/>
    <x v="212"/>
    <s v="M. Toth"/>
  </r>
  <r>
    <s v="S000434"/>
    <s v="FRA-2025-00098"/>
    <s v="Fragrance Oil"/>
    <s v="Dortmund DE"/>
    <x v="2"/>
    <n v="1"/>
    <x v="0"/>
    <s v="Fail"/>
    <n v="224.23"/>
    <s v="um"/>
    <n v="150"/>
    <n v="400"/>
    <x v="191"/>
    <s v="P. Meier"/>
  </r>
  <r>
    <s v="S000812"/>
    <s v="FRA-2024-00184"/>
    <s v="Fragrance Oil"/>
    <s v="Budapest"/>
    <x v="4"/>
    <n v="1"/>
    <x v="0"/>
    <s v="Pass"/>
    <n v="0.23"/>
    <s v="%"/>
    <n v="0"/>
    <n v="1"/>
    <x v="232"/>
    <s v="M. Toth"/>
  </r>
  <r>
    <s v="S001301"/>
    <s v="FRA-2025-00290"/>
    <s v="Fragrance Oil"/>
    <s v="Vernier CH"/>
    <x v="3"/>
    <n v="1"/>
    <x v="0"/>
    <s v="Pass"/>
    <n v="98.65"/>
    <s v="%"/>
    <n v="97"/>
    <n v="100"/>
    <x v="49"/>
    <s v="J. Nagy"/>
  </r>
  <r>
    <s v="S001336"/>
    <s v="FRA-2024-00298"/>
    <s v="Fragrance Oil"/>
    <s v="Ashford UK"/>
    <x v="6"/>
    <n v="1"/>
    <x v="0"/>
    <s v="Pass"/>
    <n v="28.31"/>
    <s v="CFU/g"/>
    <n v="0"/>
    <n v="100"/>
    <x v="176"/>
    <s v="S. Fischer"/>
  </r>
  <r>
    <s v="S001871"/>
    <s v="ESS-2024-00419"/>
    <s v="Essential Oil Blend"/>
    <s v="East Hanover"/>
    <x v="1"/>
    <n v="1"/>
    <x v="0"/>
    <s v="Pass"/>
    <n v="0.9"/>
    <s v="g/ml"/>
    <n v="0.88"/>
    <n v="0.97"/>
    <x v="99"/>
    <s v="M. Toth"/>
  </r>
  <r>
    <s v="S001894"/>
    <s v="ARO-2025-00424"/>
    <s v="Aroma Chemical"/>
    <s v="Dortmund DE"/>
    <x v="1"/>
    <n v="1"/>
    <x v="0"/>
    <s v="Pass"/>
    <n v="0.93"/>
    <s v="g/ml"/>
    <n v="0.88"/>
    <n v="0.97"/>
    <x v="326"/>
    <s v="L. Rossi"/>
  </r>
  <r>
    <s v="S001571"/>
    <s v="FRA-2025-00350"/>
    <s v="Fragrance Oil"/>
    <s v="Vernier CH"/>
    <x v="0"/>
    <n v="1"/>
    <x v="0"/>
    <s v="Fail"/>
    <n v="45.72"/>
    <s v="ppm"/>
    <n v="0"/>
    <n v="120"/>
    <x v="116"/>
    <s v="M. Toth"/>
  </r>
  <r>
    <s v="S000182"/>
    <s v="ARO-2025-00042"/>
    <s v="Aroma Chemical"/>
    <s v="Vernier CH"/>
    <x v="2"/>
    <n v="1"/>
    <x v="0"/>
    <s v="Pass"/>
    <n v="247.63"/>
    <s v="um"/>
    <n v="150"/>
    <n v="400"/>
    <x v="18"/>
    <s v="A. Kovacs"/>
  </r>
  <r>
    <s v="S000185"/>
    <s v="FRA-2025-00043"/>
    <s v="Fragrance Oil"/>
    <s v="Vernier CH"/>
    <x v="2"/>
    <n v="1"/>
    <x v="0"/>
    <s v="Fail"/>
    <n v="263.60000000000002"/>
    <s v="um"/>
    <n v="150"/>
    <n v="400"/>
    <x v="65"/>
    <s v="J NAGY"/>
  </r>
  <r>
    <s v="S000407"/>
    <s v="ARO-2024-00092"/>
    <s v="Aroma Chemical"/>
    <s v="Budapest"/>
    <x v="4"/>
    <n v="1"/>
    <x v="0"/>
    <s v="Fail"/>
    <n v="0.19"/>
    <s v="%"/>
    <n v="0"/>
    <n v="1"/>
    <x v="267"/>
    <s v="T. Weber"/>
  </r>
  <r>
    <s v="S000866"/>
    <s v="ESS-2024-00196"/>
    <s v="Essential Oil Blend"/>
    <s v="Dortmund DE"/>
    <x v="5"/>
    <n v="1"/>
    <x v="1"/>
    <s v="Fail"/>
    <n v="7.54"/>
    <m/>
    <n v="6"/>
    <n v="7.5"/>
    <x v="148"/>
    <s v="S. Fischer"/>
  </r>
  <r>
    <s v="S001631"/>
    <s v="FOO-2025-00365"/>
    <s v="Food Ingredient Extract"/>
    <s v="Vernier CH"/>
    <x v="3"/>
    <n v="1"/>
    <x v="0"/>
    <s v="Pass"/>
    <n v="98.38"/>
    <s v="%"/>
    <n v="97"/>
    <n v="100"/>
    <x v="120"/>
    <s v="T. Weber"/>
  </r>
  <r>
    <s v="S000521"/>
    <s v="FRA-2024-00117"/>
    <s v="Fragrance Oil"/>
    <s v="Ashford UK"/>
    <x v="4"/>
    <n v="1"/>
    <x v="0"/>
    <s v="Fail"/>
    <n v="0.44"/>
    <s v="%"/>
    <n v="0"/>
    <n v="1"/>
    <x v="279"/>
    <s v="T. Weber"/>
  </r>
  <r>
    <s v="S001004"/>
    <s v="ARO-2025-00227"/>
    <s v="Aroma Chemical"/>
    <s v="East Hanover"/>
    <x v="1"/>
    <n v="1"/>
    <x v="0"/>
    <s v="Pass"/>
    <n v="0.92"/>
    <s v="g/ml"/>
    <n v="0.88"/>
    <n v="0.97"/>
    <x v="298"/>
    <s v="L. Rossi"/>
  </r>
  <r>
    <s v="S000381"/>
    <s v="ESS-2025-00087"/>
    <s v="Essential Oil Blend"/>
    <s v="East Hanover"/>
    <x v="6"/>
    <n v="1"/>
    <x v="0"/>
    <s v="Pass"/>
    <n v="19.96"/>
    <s v="CFU/g"/>
    <n v="0"/>
    <n v="100"/>
    <x v="48"/>
    <s v="J NAGY"/>
  </r>
  <r>
    <s v="S001435"/>
    <s v="ARO-2025-00320"/>
    <s v="Aroma Chemical"/>
    <s v="Vernier CH"/>
    <x v="2"/>
    <n v="1"/>
    <x v="0"/>
    <s v="Pass"/>
    <n v="228.95"/>
    <s v="um"/>
    <n v="150"/>
    <n v="400"/>
    <x v="76"/>
    <s v="M. Toth"/>
  </r>
  <r>
    <s v="S001659"/>
    <s v="FRA-2024-00371"/>
    <s v="Fragrance Oil"/>
    <s v="Vernier CH"/>
    <x v="1"/>
    <n v="1"/>
    <x v="1"/>
    <s v="Fail"/>
    <n v="0.99"/>
    <s v="g/ml"/>
    <n v="0.88"/>
    <n v="0.97"/>
    <x v="37"/>
    <s v="J NAGY"/>
  </r>
  <r>
    <s v="S001394"/>
    <s v="ARO-2024-00311"/>
    <s v="Aroma Chemical"/>
    <s v="East Hanover"/>
    <x v="5"/>
    <n v="1"/>
    <x v="0"/>
    <s v="Fail"/>
    <n v="6.88"/>
    <m/>
    <n v="6"/>
    <n v="7.5"/>
    <x v="4"/>
    <s v="K. Varga"/>
  </r>
  <r>
    <s v="S001425"/>
    <s v="FOO-2024-00317"/>
    <s v="Food Ingredient Extract"/>
    <s v="Budapest"/>
    <x v="3"/>
    <n v="1"/>
    <x v="0"/>
    <s v="Pending"/>
    <n v="98.39"/>
    <s v="%"/>
    <n v="97"/>
    <n v="100"/>
    <x v="222"/>
    <s v="M. Toth"/>
  </r>
  <r>
    <s v="S001613"/>
    <s v="FOO-2025-00360"/>
    <s v="Food Ingredient Extract"/>
    <s v="Ashford UK"/>
    <x v="6"/>
    <n v="1"/>
    <x v="0"/>
    <s v="Pass"/>
    <n v="41.55"/>
    <s v="CFU/g"/>
    <n v="0"/>
    <n v="100"/>
    <x v="46"/>
    <s v="S. Fischer"/>
  </r>
  <r>
    <s v="S000428"/>
    <s v="ESS-2024-00097"/>
    <s v="Essential Oil Blend"/>
    <s v="East Hanover"/>
    <x v="6"/>
    <n v="1"/>
    <x v="0"/>
    <s v="Pass"/>
    <n v="34.72"/>
    <s v="CFU/g"/>
    <n v="0"/>
    <n v="100"/>
    <x v="90"/>
    <s v="T. Weber"/>
  </r>
  <r>
    <s v="S000079"/>
    <s v="FLA-2025-00019"/>
    <s v="Flavor Compound"/>
    <s v="Vernier CH"/>
    <x v="2"/>
    <n v="1"/>
    <x v="0"/>
    <s v="Pass"/>
    <n v="223.83"/>
    <s v="um"/>
    <n v="150"/>
    <n v="400"/>
    <x v="303"/>
    <s v="T. Weber"/>
  </r>
  <r>
    <s v="S001598"/>
    <s v="FOO-2025-00356"/>
    <s v="Food Ingredient Extract"/>
    <s v="East Hanover"/>
    <x v="4"/>
    <n v="1"/>
    <x v="0"/>
    <s v="Pass"/>
    <n v="0.18"/>
    <s v="%"/>
    <n v="0"/>
    <n v="1"/>
    <x v="234"/>
    <s v="P. Meier"/>
  </r>
  <r>
    <s v="S001010"/>
    <s v="FRA-2024-00228"/>
    <s v="Fragrance Oil"/>
    <s v="Dortmund DE"/>
    <x v="2"/>
    <n v="1"/>
    <x v="0"/>
    <s v="Pass"/>
    <n v="231.02"/>
    <s v="um"/>
    <n v="150"/>
    <n v="400"/>
    <x v="58"/>
    <s v="J NAGY"/>
  </r>
  <r>
    <s v="S001976"/>
    <s v="FLA-2025-00442"/>
    <s v="Flavor Compound"/>
    <s v="Ashford UK"/>
    <x v="1"/>
    <n v="1"/>
    <x v="0"/>
    <s v="Pass"/>
    <n v="0.92"/>
    <s v="g/ml"/>
    <n v="0.88"/>
    <n v="0.97"/>
    <x v="159"/>
    <s v="S. Fischer"/>
  </r>
  <r>
    <s v="S001662"/>
    <s v="FRA-2025-00372"/>
    <s v="Fragrance Oil"/>
    <s v="Ashford UK"/>
    <x v="2"/>
    <n v="1"/>
    <x v="0"/>
    <s v="Pass"/>
    <n v="197.96"/>
    <s v="um"/>
    <n v="150"/>
    <n v="400"/>
    <x v="64"/>
    <s v="J. Nagy"/>
  </r>
  <r>
    <s v="S000608"/>
    <s v="ARO-2024-00137"/>
    <s v="Aroma Chemical"/>
    <s v="Vernier CH"/>
    <x v="0"/>
    <n v="1"/>
    <x v="0"/>
    <s v="Fail"/>
    <n v="53.41"/>
    <s v="ppm"/>
    <n v="0"/>
    <n v="120"/>
    <x v="41"/>
    <s v="M. Toth"/>
  </r>
  <r>
    <s v="S001890"/>
    <s v="FOO-2025-00423"/>
    <s v="Food Ingredient Extract"/>
    <s v="Dortmund DE"/>
    <x v="2"/>
    <n v="1"/>
    <x v="0"/>
    <s v="Fail"/>
    <n v="278.67"/>
    <s v="um"/>
    <n v="150"/>
    <n v="400"/>
    <x v="173"/>
    <s v="K. Varga"/>
  </r>
  <r>
    <s v="S001996"/>
    <s v="FOO-2024-00445"/>
    <s v="Food Ingredient Extract"/>
    <s v="Ashford UK"/>
    <x v="0"/>
    <n v="1"/>
    <x v="0"/>
    <s v="Fail"/>
    <n v="20.170000000000002"/>
    <s v="ppm"/>
    <n v="0"/>
    <n v="120"/>
    <x v="320"/>
    <s v="K. Varga"/>
  </r>
  <r>
    <s v="S001826"/>
    <s v="ESS-2024-00408"/>
    <s v="Essential Oil Blend"/>
    <s v="Budapest"/>
    <x v="4"/>
    <n v="0"/>
    <x v="2"/>
    <s v="Pending"/>
    <m/>
    <s v="%"/>
    <n v="0"/>
    <n v="1"/>
    <x v="0"/>
    <s v="K. Varga"/>
  </r>
  <r>
    <s v="S001058"/>
    <s v="FOO-2024-00237"/>
    <s v="Food Ingredient Extract"/>
    <s v="Budapest"/>
    <x v="6"/>
    <n v="1"/>
    <x v="0"/>
    <s v="Pass"/>
    <n v="38.159999999999997"/>
    <s v="CFU/g"/>
    <n v="0"/>
    <n v="100"/>
    <x v="9"/>
    <s v="S. Fischer"/>
  </r>
  <r>
    <s v="S001441"/>
    <s v="ESS-2024-00321"/>
    <s v="Essential Oil Blend"/>
    <s v="Dortmund DE"/>
    <x v="2"/>
    <n v="1"/>
    <x v="0"/>
    <s v="Pass"/>
    <n v="285.93"/>
    <s v="um"/>
    <n v="150"/>
    <n v="400"/>
    <x v="263"/>
    <s v="T. Weber"/>
  </r>
  <r>
    <s v="S001515"/>
    <s v="FRA-2024-00338"/>
    <s v="Fragrance Oil"/>
    <s v="Dortmund DE"/>
    <x v="1"/>
    <n v="1"/>
    <x v="1"/>
    <s v="Fail"/>
    <n v="0.87"/>
    <s v="g/ml"/>
    <n v="0.88"/>
    <n v="0.97"/>
    <x v="7"/>
    <s v="T. Weber"/>
  </r>
  <r>
    <s v="S001586"/>
    <s v="ESS-2025-00354"/>
    <s v="Essential Oil Blend"/>
    <s v="Budapest"/>
    <x v="0"/>
    <n v="1"/>
    <x v="1"/>
    <s v="Fail"/>
    <n v="180"/>
    <s v="ppm"/>
    <n v="0"/>
    <n v="120"/>
    <x v="169"/>
    <s v="P. Meier"/>
  </r>
  <r>
    <s v="S001092"/>
    <s v="FOO-2025-00245"/>
    <s v="Food Ingredient Extract"/>
    <s v="East Hanover"/>
    <x v="0"/>
    <n v="1"/>
    <x v="0"/>
    <s v="Pass"/>
    <n v="66.290000000000006"/>
    <s v="ppm"/>
    <n v="0"/>
    <n v="120"/>
    <x v="16"/>
    <s v="M. Toth"/>
  </r>
  <r>
    <s v="S001561"/>
    <s v="FRA-2024-00347"/>
    <s v="Fragrance Oil"/>
    <s v="Ashford UK"/>
    <x v="5"/>
    <n v="1"/>
    <x v="0"/>
    <s v="Pass"/>
    <n v="6.42"/>
    <m/>
    <n v="6"/>
    <n v="7.5"/>
    <x v="322"/>
    <s v="M. Toth"/>
  </r>
  <r>
    <s v="S001102"/>
    <s v="FRA-2024-00247"/>
    <s v="Fragrance Oil"/>
    <s v="Vernier CH"/>
    <x v="3"/>
    <n v="1"/>
    <x v="0"/>
    <s v="Pass"/>
    <n v="97.81"/>
    <s v="%"/>
    <n v="97"/>
    <n v="100"/>
    <x v="135"/>
    <s v="A. Kovacs"/>
  </r>
  <r>
    <s v="S001130"/>
    <s v="FLA-2024-00254"/>
    <s v="Flavor Compound"/>
    <s v="East Hanover"/>
    <x v="6"/>
    <n v="1"/>
    <x v="0"/>
    <s v="Pass"/>
    <n v="7.1"/>
    <s v="CFU/g"/>
    <n v="0"/>
    <n v="100"/>
    <x v="308"/>
    <s v="A. Kovacs"/>
  </r>
  <r>
    <s v="S001236"/>
    <s v="ARO-2024-00276"/>
    <s v="Aroma Chemical"/>
    <s v="Vernier CH"/>
    <x v="2"/>
    <n v="1"/>
    <x v="0"/>
    <s v="Pass"/>
    <n v="187.38"/>
    <s v="um"/>
    <n v="150"/>
    <n v="400"/>
    <x v="224"/>
    <s v="T. Weber"/>
  </r>
  <r>
    <s v="S001769"/>
    <s v="ESS-2024-00395"/>
    <s v="Essential Oil Blend"/>
    <s v="Budapest"/>
    <x v="6"/>
    <n v="1"/>
    <x v="1"/>
    <s v="Fail"/>
    <n v="-30.75"/>
    <s v="CFU/g"/>
    <n v="0"/>
    <n v="100"/>
    <x v="111"/>
    <s v="P. Meier"/>
  </r>
  <r>
    <s v="S000959"/>
    <s v="FLA-2025-00217"/>
    <s v="Flavor Compound"/>
    <s v="East Hanover"/>
    <x v="5"/>
    <n v="1"/>
    <x v="0"/>
    <s v="Pass"/>
    <n v="6.94"/>
    <m/>
    <n v="6"/>
    <n v="7.5"/>
    <x v="324"/>
    <s v="M. Toth"/>
  </r>
  <r>
    <s v="S001663"/>
    <s v="FRA-2025-00372"/>
    <s v="Fragrance Oil"/>
    <s v="Ashford UK"/>
    <x v="1"/>
    <n v="1"/>
    <x v="0"/>
    <s v="Pass"/>
    <n v="0.88"/>
    <s v="g/ml"/>
    <n v="0.88"/>
    <n v="0.97"/>
    <x v="64"/>
    <s v="L. Rossi"/>
  </r>
  <r>
    <s v="S000560"/>
    <s v="ARO-2024-00126"/>
    <s v="Aroma Chemical"/>
    <s v="Vernier CH"/>
    <x v="5"/>
    <n v="1"/>
    <x v="0"/>
    <s v="Pass"/>
    <n v="6.61"/>
    <m/>
    <n v="6"/>
    <n v="7.5"/>
    <x v="136"/>
    <s v="A. Kovacs"/>
  </r>
  <r>
    <s v="S000847"/>
    <s v="ARO-2024-00192"/>
    <s v="Aroma Chemical"/>
    <s v="Ashford UK"/>
    <x v="5"/>
    <n v="1"/>
    <x v="0"/>
    <s v="Pending"/>
    <n v="6.66"/>
    <m/>
    <n v="6"/>
    <n v="7.5"/>
    <x v="21"/>
    <s v="T. Weber"/>
  </r>
  <r>
    <s v="S001749"/>
    <s v="ESS-2025-00391"/>
    <s v="Essential Oil Blend"/>
    <s v="Vernier CH"/>
    <x v="5"/>
    <n v="1"/>
    <x v="0"/>
    <s v="Fail"/>
    <n v="7.18"/>
    <m/>
    <n v="6"/>
    <n v="7.5"/>
    <x v="210"/>
    <s v="S. Fischer"/>
  </r>
  <r>
    <s v="S000691"/>
    <s v="FOO-2024-00157"/>
    <s v="Food Ingredient Extract"/>
    <s v="Budapest"/>
    <x v="4"/>
    <n v="1"/>
    <x v="0"/>
    <s v="Pass"/>
    <n v="0.37"/>
    <s v="%"/>
    <n v="0"/>
    <n v="1"/>
    <x v="262"/>
    <s v="J. Nagy"/>
  </r>
  <r>
    <s v="S001520"/>
    <s v="ARO-2024-00339"/>
    <s v="Aroma Chemical"/>
    <s v="Budapest"/>
    <x v="6"/>
    <n v="1"/>
    <x v="0"/>
    <s v="Pass"/>
    <n v="26.29"/>
    <s v="CFU/g"/>
    <n v="0"/>
    <n v="100"/>
    <x v="135"/>
    <s v="M. Toth"/>
  </r>
  <r>
    <s v="S001942"/>
    <s v="ESS-2024-00434"/>
    <s v="Essential Oil Blend"/>
    <s v="Ashford UK"/>
    <x v="5"/>
    <n v="1"/>
    <x v="0"/>
    <s v="Fail"/>
    <n v="6.73"/>
    <m/>
    <n v="6"/>
    <n v="7.5"/>
    <x v="89"/>
    <s v="M. Toth"/>
  </r>
  <r>
    <s v="S001869"/>
    <s v="ARO-2025-00418"/>
    <s v="Aroma Chemical"/>
    <s v="Budapest"/>
    <x v="6"/>
    <n v="1"/>
    <x v="0"/>
    <s v="Pass"/>
    <n v="28.51"/>
    <s v="CFU/g"/>
    <n v="0"/>
    <n v="100"/>
    <x v="115"/>
    <s v="A. Kovacs"/>
  </r>
  <r>
    <s v="S000437"/>
    <s v="ESS-2024-00099"/>
    <s v="Essential Oil Blend"/>
    <s v="Vernier CH"/>
    <x v="6"/>
    <n v="1"/>
    <x v="1"/>
    <s v="Fail"/>
    <n v="-0.8"/>
    <s v="CFU/g"/>
    <n v="0"/>
    <n v="100"/>
    <x v="156"/>
    <s v="T. Weber"/>
  </r>
  <r>
    <s v="S000491"/>
    <s v="ARO-2025-00110"/>
    <s v="Aroma Chemical"/>
    <s v="Vernier CH"/>
    <x v="4"/>
    <n v="1"/>
    <x v="0"/>
    <s v="Fail"/>
    <n v="0.53"/>
    <s v="%"/>
    <n v="0"/>
    <n v="1"/>
    <x v="208"/>
    <s v="A. Kovacs"/>
  </r>
  <r>
    <s v="S000675"/>
    <s v="FRA-2024-00154"/>
    <s v="Fragrance Oil"/>
    <s v="Vernier CH"/>
    <x v="2"/>
    <n v="1"/>
    <x v="0"/>
    <s v="Fail"/>
    <n v="259.14"/>
    <s v="um"/>
    <n v="150"/>
    <n v="400"/>
    <x v="240"/>
    <s v="T. Weber"/>
  </r>
  <r>
    <s v="S001895"/>
    <s v="ARO-2025-00424"/>
    <s v="Aroma Chemical"/>
    <s v="Dortmund DE"/>
    <x v="3"/>
    <n v="1"/>
    <x v="0"/>
    <s v="Pass"/>
    <n v="98.22"/>
    <s v="%"/>
    <n v="97"/>
    <n v="100"/>
    <x v="326"/>
    <s v="M. Toth"/>
  </r>
  <r>
    <s v="S001630"/>
    <s v="FLA-2024-00364"/>
    <s v="Flavor Compound"/>
    <s v="Vernier CH"/>
    <x v="5"/>
    <n v="1"/>
    <x v="0"/>
    <s v="Pending"/>
    <n v="7.27"/>
    <m/>
    <n v="6"/>
    <n v="7.5"/>
    <x v="317"/>
    <s v="J NAGY"/>
  </r>
  <r>
    <s v="S001388"/>
    <s v="FLA-2025-00310"/>
    <s v="Flavor Compound"/>
    <s v="East Hanover"/>
    <x v="1"/>
    <n v="1"/>
    <x v="0"/>
    <s v="Pass"/>
    <n v="0.94"/>
    <s v="g/ml"/>
    <n v="0.88"/>
    <n v="0.97"/>
    <x v="8"/>
    <s v="J NAGY"/>
  </r>
  <r>
    <s v="S000070"/>
    <s v="ARO-2024-00016"/>
    <s v="Aroma Chemical"/>
    <s v="East Hanover"/>
    <x v="1"/>
    <n v="1"/>
    <x v="0"/>
    <s v="Pass"/>
    <n v="0.93"/>
    <s v="g/ml"/>
    <n v="0.88"/>
    <n v="0.97"/>
    <x v="282"/>
    <s v="P. Meier"/>
  </r>
  <r>
    <s v="S001573"/>
    <s v="FRA-2025-00350"/>
    <s v="Fragrance Oil"/>
    <s v="Vernier CH"/>
    <x v="5"/>
    <n v="1"/>
    <x v="1"/>
    <s v="Fail"/>
    <n v="5.66"/>
    <m/>
    <n v="6"/>
    <n v="7.5"/>
    <x v="116"/>
    <s v="T. Weber"/>
  </r>
  <r>
    <s v="S000809"/>
    <s v="ESS-2025-00183"/>
    <s v="Essential Oil Blend"/>
    <s v="East Hanover"/>
    <x v="4"/>
    <n v="1"/>
    <x v="0"/>
    <s v="Pending"/>
    <n v="0.35"/>
    <s v="%"/>
    <n v="0"/>
    <n v="1"/>
    <x v="169"/>
    <s v="T. Weber"/>
  </r>
  <r>
    <s v="S001185"/>
    <s v="ARO-2024-00266"/>
    <s v="Aroma Chemical"/>
    <s v="Dortmund DE"/>
    <x v="3"/>
    <n v="1"/>
    <x v="0"/>
    <s v="Pass"/>
    <n v="98.87"/>
    <s v="%"/>
    <n v="97"/>
    <n v="100"/>
    <x v="273"/>
    <s v="J. Nagy"/>
  </r>
  <r>
    <s v="S000012"/>
    <s v="ESS-2025-00003"/>
    <s v="Essential Oil Blend"/>
    <s v="Budapest"/>
    <x v="2"/>
    <n v="1"/>
    <x v="0"/>
    <s v="Fail"/>
    <n v="278.45"/>
    <s v="um"/>
    <n v="150"/>
    <n v="400"/>
    <x v="194"/>
    <s v="T. Weber"/>
  </r>
  <r>
    <s v="S000145"/>
    <s v="FOO-2024-00034"/>
    <s v="Food Ingredient Extract"/>
    <s v="Vernier CH"/>
    <x v="5"/>
    <n v="1"/>
    <x v="0"/>
    <s v="Pass"/>
    <n v="7.2"/>
    <m/>
    <n v="6"/>
    <n v="7.5"/>
    <x v="1"/>
    <s v="J. Nagy"/>
  </r>
  <r>
    <s v="S000918"/>
    <s v="ESS-2024-00208"/>
    <s v="Essential Oil Blend"/>
    <s v="East Hanover"/>
    <x v="1"/>
    <n v="1"/>
    <x v="0"/>
    <s v="Pending"/>
    <n v="0.94"/>
    <s v="g/ml"/>
    <n v="0.88"/>
    <n v="0.97"/>
    <x v="256"/>
    <s v="M. Toth"/>
  </r>
  <r>
    <s v="S001542"/>
    <s v="ESS-2025-00343"/>
    <s v="Essential Oil Blend"/>
    <s v="Dortmund DE"/>
    <x v="3"/>
    <n v="1"/>
    <x v="1"/>
    <s v="Fail"/>
    <n v="95.2"/>
    <s v="%"/>
    <n v="97"/>
    <n v="100"/>
    <x v="169"/>
    <s v="P. Meier"/>
  </r>
  <r>
    <s v="S001452"/>
    <s v="FOO-2024-00324"/>
    <s v="Food Ingredient Extract"/>
    <s v="Dortmund DE"/>
    <x v="4"/>
    <n v="1"/>
    <x v="0"/>
    <s v="Pass"/>
    <n v="0.15"/>
    <s v="%"/>
    <n v="0"/>
    <n v="1"/>
    <x v="248"/>
    <s v="J NAGY"/>
  </r>
  <r>
    <s v="S000640"/>
    <s v="ESS-2024-00146"/>
    <s v="Essential Oil Blend"/>
    <s v="Budapest"/>
    <x v="6"/>
    <n v="1"/>
    <x v="0"/>
    <s v="Pass"/>
    <n v="23.8"/>
    <s v="CFU/g"/>
    <n v="0"/>
    <n v="100"/>
    <x v="216"/>
    <s v="M. Toth"/>
  </r>
  <r>
    <s v="S000177"/>
    <s v="FOO-2025-00041"/>
    <s v="Food Ingredient Extract"/>
    <s v="Dortmund DE"/>
    <x v="6"/>
    <n v="1"/>
    <x v="0"/>
    <s v="Pass"/>
    <n v="12.35"/>
    <s v="CFU/g"/>
    <n v="0"/>
    <n v="100"/>
    <x v="85"/>
    <s v="L. Rossi"/>
  </r>
  <r>
    <s v="S000995"/>
    <s v="ARO-2025-00225"/>
    <s v="Aroma Chemical"/>
    <s v="Dortmund DE"/>
    <x v="2"/>
    <n v="1"/>
    <x v="0"/>
    <s v="Fail"/>
    <n v="264.10000000000002"/>
    <s v="um"/>
    <n v="150"/>
    <n v="400"/>
    <x v="158"/>
    <s v="M. Toth"/>
  </r>
  <r>
    <s v="S000441"/>
    <s v="FOO-2024-00100"/>
    <s v="Food Ingredient Extract"/>
    <s v="Vernier CH"/>
    <x v="6"/>
    <n v="1"/>
    <x v="0"/>
    <s v="Pass"/>
    <n v="11.76"/>
    <s v="CFU/g"/>
    <n v="0"/>
    <n v="100"/>
    <x v="145"/>
    <s v="M. Toth"/>
  </r>
  <r>
    <s v="S000522"/>
    <s v="FRA-2024-00117"/>
    <s v="Fragrance Oil"/>
    <s v="Ashford UK"/>
    <x v="6"/>
    <n v="1"/>
    <x v="1"/>
    <s v="Fail"/>
    <n v="-32.380000000000003"/>
    <s v="CFU/g"/>
    <n v="0"/>
    <n v="100"/>
    <x v="279"/>
    <s v="K. Varga"/>
  </r>
  <r>
    <s v="S001984"/>
    <s v="ESS-2025-00443"/>
    <s v="Essential Oil Blend"/>
    <s v="Ashford UK"/>
    <x v="4"/>
    <n v="1"/>
    <x v="0"/>
    <s v="Fail"/>
    <n v="0.25"/>
    <s v="%"/>
    <n v="0"/>
    <n v="1"/>
    <x v="53"/>
    <s v="A. Kovacs"/>
  </r>
  <r>
    <s v="S001946"/>
    <s v="ESS-2025-00436"/>
    <s v="Essential Oil Blend"/>
    <s v="East Hanover"/>
    <x v="5"/>
    <n v="1"/>
    <x v="0"/>
    <s v="Pass"/>
    <n v="6.85"/>
    <m/>
    <n v="6"/>
    <n v="7.5"/>
    <x v="170"/>
    <s v="K. Varga"/>
  </r>
  <r>
    <s v="S001713"/>
    <s v="FLA-2024-00383"/>
    <s v="Flavor Compound"/>
    <s v="Dortmund DE"/>
    <x v="4"/>
    <n v="1"/>
    <x v="0"/>
    <s v="Pass"/>
    <n v="0.25"/>
    <s v="%"/>
    <n v="0"/>
    <n v="1"/>
    <x v="151"/>
    <s v="J. Nagy"/>
  </r>
  <r>
    <s v="S001005"/>
    <s v="ARO-2025-00227"/>
    <s v="Aroma Chemical"/>
    <s v="East Hanover"/>
    <x v="3"/>
    <n v="1"/>
    <x v="0"/>
    <s v="Pass"/>
    <n v="98.7"/>
    <s v="%"/>
    <n v="97"/>
    <n v="100"/>
    <x v="298"/>
    <s v="P. Meier"/>
  </r>
  <r>
    <s v="S001256"/>
    <s v="FLA-2024-00281"/>
    <s v="Flavor Compound"/>
    <s v="Budapest"/>
    <x v="4"/>
    <n v="1"/>
    <x v="0"/>
    <s v="Pass"/>
    <n v="0.36"/>
    <s v="%"/>
    <n v="0"/>
    <n v="1"/>
    <x v="147"/>
    <s v="T. Weber"/>
  </r>
  <r>
    <s v="S001235"/>
    <s v="ARO-2024-00276"/>
    <s v="Aroma Chemical"/>
    <s v="Vernier CH"/>
    <x v="3"/>
    <n v="1"/>
    <x v="0"/>
    <s v="Pass"/>
    <n v="98.54"/>
    <s v="%"/>
    <n v="97"/>
    <n v="100"/>
    <x v="224"/>
    <s v="P. Meier"/>
  </r>
  <r>
    <s v="S001665"/>
    <s v="FRA-2025-00372"/>
    <s v="Fragrance Oil"/>
    <s v="Ashford UK"/>
    <x v="0"/>
    <n v="1"/>
    <x v="0"/>
    <s v="Pass"/>
    <n v="38.81"/>
    <s v="ppm"/>
    <n v="0"/>
    <n v="120"/>
    <x v="64"/>
    <s v="J NAGY"/>
  </r>
  <r>
    <s v="S000144"/>
    <s v="FOO-2024-00034"/>
    <s v="Food Ingredient Extract"/>
    <s v="Vernier CH"/>
    <x v="6"/>
    <n v="1"/>
    <x v="0"/>
    <s v="Pass"/>
    <n v="27.78"/>
    <s v="CFU/g"/>
    <n v="0"/>
    <n v="100"/>
    <x v="1"/>
    <s v="L. Rossi"/>
  </r>
  <r>
    <s v="S000754"/>
    <s v="ARO-2025-00171"/>
    <s v="Aroma Chemical"/>
    <s v="Ashford UK"/>
    <x v="2"/>
    <n v="1"/>
    <x v="0"/>
    <s v="Pass"/>
    <n v="216.45"/>
    <s v="um"/>
    <n v="150"/>
    <n v="400"/>
    <x v="153"/>
    <s v="J. Nagy"/>
  </r>
  <r>
    <s v="S000520"/>
    <s v="FRA-2024-00117"/>
    <s v="Fragrance Oil"/>
    <s v="Ashford UK"/>
    <x v="2"/>
    <n v="1"/>
    <x v="0"/>
    <s v="Fail"/>
    <n v="199.7"/>
    <s v="um"/>
    <n v="150"/>
    <n v="400"/>
    <x v="279"/>
    <s v="P. Meier"/>
  </r>
  <r>
    <s v="S000614"/>
    <s v="FLA-2024-00139"/>
    <s v="Flavor Compound"/>
    <s v="Dortmund DE"/>
    <x v="6"/>
    <n v="1"/>
    <x v="1"/>
    <s v="Fail"/>
    <n v="-11.84"/>
    <s v="CFU/g"/>
    <n v="0"/>
    <n v="100"/>
    <x v="331"/>
    <s v="J NAGY"/>
  </r>
  <r>
    <s v="S001323"/>
    <s v="FLA-2024-00295"/>
    <s v="Flavor Compound"/>
    <s v="East Hanover"/>
    <x v="4"/>
    <n v="1"/>
    <x v="0"/>
    <s v="Pass"/>
    <n v="0.24"/>
    <s v="%"/>
    <n v="0"/>
    <n v="1"/>
    <x v="155"/>
    <s v="P. Meier"/>
  </r>
  <r>
    <s v="S000823"/>
    <s v="FRA-2024-00187"/>
    <s v="Fragrance Oil"/>
    <s v="Vernier CH"/>
    <x v="1"/>
    <n v="1"/>
    <x v="0"/>
    <s v="Pass"/>
    <n v="0.93"/>
    <s v="g/ml"/>
    <n v="0.88"/>
    <n v="0.97"/>
    <x v="305"/>
    <s v="S. Fischer"/>
  </r>
  <r>
    <s v="S000429"/>
    <s v="ESS-2024-00097"/>
    <s v="Essential Oil Blend"/>
    <s v="East Hanover"/>
    <x v="1"/>
    <n v="1"/>
    <x v="0"/>
    <s v="Pass"/>
    <n v="0.97"/>
    <s v="g/ml"/>
    <n v="0.88"/>
    <n v="0.97"/>
    <x v="90"/>
    <s v="J. Nagy"/>
  </r>
  <r>
    <s v="S000613"/>
    <s v="FLA-2024-00138"/>
    <s v="Flavor Compound"/>
    <s v="Ashford UK"/>
    <x v="2"/>
    <n v="1"/>
    <x v="0"/>
    <s v="Fail"/>
    <n v="259.02999999999997"/>
    <s v="um"/>
    <n v="150"/>
    <n v="400"/>
    <x v="23"/>
    <s v="S. Fischer"/>
  </r>
  <r>
    <s v="S001506"/>
    <s v="FLA-2025-00336"/>
    <s v="Flavor Compound"/>
    <s v="Budapest"/>
    <x v="5"/>
    <n v="1"/>
    <x v="0"/>
    <s v="Pass"/>
    <n v="6.77"/>
    <m/>
    <n v="6"/>
    <n v="7.5"/>
    <x v="61"/>
    <s v="J NAGY"/>
  </r>
  <r>
    <s v="S001033"/>
    <s v="ARO-2025-00232"/>
    <s v="Aroma Chemical"/>
    <s v="Budapest"/>
    <x v="4"/>
    <n v="1"/>
    <x v="0"/>
    <s v="Pass"/>
    <n v="0.26"/>
    <s v="%"/>
    <n v="0"/>
    <n v="1"/>
    <x v="295"/>
    <s v="J NAGY"/>
  </r>
  <r>
    <s v="S000157"/>
    <s v="FLA-2024-00037"/>
    <s v="Flavor Compound"/>
    <s v="Budapest"/>
    <x v="3"/>
    <n v="1"/>
    <x v="0"/>
    <s v="Pass"/>
    <n v="98.55"/>
    <s v="%"/>
    <n v="97"/>
    <n v="100"/>
    <x v="310"/>
    <s v="S. Fischer"/>
  </r>
  <r>
    <s v="S000540"/>
    <s v="ESS-2025-00122"/>
    <s v="Essential Oil Blend"/>
    <s v="Budapest"/>
    <x v="1"/>
    <n v="1"/>
    <x v="1"/>
    <s v="Fail"/>
    <n v="0.79"/>
    <s v="g/ml"/>
    <n v="0.88"/>
    <n v="0.97"/>
    <x v="243"/>
    <s v="S. Fischer"/>
  </r>
  <r>
    <s v="S001531"/>
    <s v="ESS-2024-00341"/>
    <s v="Essential Oil Blend"/>
    <s v="East Hanover"/>
    <x v="5"/>
    <n v="1"/>
    <x v="0"/>
    <s v="Fail"/>
    <n v="6.89"/>
    <m/>
    <n v="6"/>
    <n v="7.5"/>
    <x v="77"/>
    <s v="M. Toth"/>
  </r>
  <r>
    <s v="S001461"/>
    <s v="FRA-2025-00326"/>
    <s v="Fragrance Oil"/>
    <s v="Vernier CH"/>
    <x v="6"/>
    <n v="1"/>
    <x v="0"/>
    <s v="Pass"/>
    <n v="20.38"/>
    <s v="CFU/g"/>
    <n v="0"/>
    <n v="100"/>
    <x v="244"/>
    <s v="M. Toth"/>
  </r>
  <r>
    <s v="S001291"/>
    <s v="ARO-2024-00288"/>
    <s v="Aroma Chemical"/>
    <s v="Budapest"/>
    <x v="1"/>
    <n v="1"/>
    <x v="0"/>
    <s v="Pass"/>
    <n v="0.95"/>
    <s v="g/ml"/>
    <n v="0.88"/>
    <n v="0.97"/>
    <x v="161"/>
    <s v="T. Weber"/>
  </r>
  <r>
    <s v="S000462"/>
    <s v="ESS-2025-00104"/>
    <s v="Essential Oil Blend"/>
    <s v="East Hanover"/>
    <x v="4"/>
    <n v="1"/>
    <x v="0"/>
    <s v="Fail"/>
    <n v="0.3"/>
    <s v="%"/>
    <n v="0"/>
    <n v="1"/>
    <x v="131"/>
    <s v="K. Varga"/>
  </r>
  <r>
    <s v="S000577"/>
    <s v="FRA-2024-00129"/>
    <s v="Fragrance Oil"/>
    <s v="Ashford UK"/>
    <x v="3"/>
    <n v="1"/>
    <x v="0"/>
    <s v="Pass"/>
    <n v="98.61"/>
    <s v="%"/>
    <n v="97"/>
    <n v="100"/>
    <x v="101"/>
    <s v="A. Kovacs"/>
  </r>
  <r>
    <s v="S001363"/>
    <s v="ESS-2025-00305"/>
    <s v="Essential Oil Blend"/>
    <s v="Ashford UK"/>
    <x v="5"/>
    <n v="1"/>
    <x v="1"/>
    <s v="Fail"/>
    <n v="5.93"/>
    <m/>
    <n v="6"/>
    <n v="7.5"/>
    <x v="281"/>
    <s v="L. Rossi"/>
  </r>
  <r>
    <s v="S000256"/>
    <s v="FLA-2025-00058"/>
    <s v="Flavor Compound"/>
    <s v="Vernier CH"/>
    <x v="4"/>
    <n v="1"/>
    <x v="0"/>
    <s v="Pass"/>
    <n v="0.28999999999999998"/>
    <s v="%"/>
    <n v="0"/>
    <n v="1"/>
    <x v="300"/>
    <s v="M. Toth"/>
  </r>
  <r>
    <s v="S000980"/>
    <s v="FLA-2025-00222"/>
    <s v="Flavor Compound"/>
    <s v="Dortmund DE"/>
    <x v="3"/>
    <n v="1"/>
    <x v="0"/>
    <s v="Pass"/>
    <n v="98.18"/>
    <s v="%"/>
    <n v="97"/>
    <n v="100"/>
    <x v="309"/>
    <s v="P. Meier"/>
  </r>
  <r>
    <s v="S001186"/>
    <s v="ARO-2024-00266"/>
    <s v="Aroma Chemical"/>
    <s v="Dortmund DE"/>
    <x v="0"/>
    <n v="1"/>
    <x v="0"/>
    <s v="Pass"/>
    <n v="52.52"/>
    <s v="ppm"/>
    <n v="0"/>
    <n v="120"/>
    <x v="273"/>
    <s v="T. Weber"/>
  </r>
  <r>
    <s v="S001007"/>
    <s v="ARO-2025-00227"/>
    <s v="Aroma Chemical"/>
    <s v="East Hanover"/>
    <x v="4"/>
    <n v="1"/>
    <x v="0"/>
    <s v="Pass"/>
    <n v="0.39"/>
    <s v="%"/>
    <n v="0"/>
    <n v="1"/>
    <x v="298"/>
    <s v="J. Nagy"/>
  </r>
  <r>
    <s v="S001522"/>
    <s v="ARO-2024-00339"/>
    <s v="Aroma Chemical"/>
    <s v="Budapest"/>
    <x v="0"/>
    <n v="1"/>
    <x v="0"/>
    <s v="Pass"/>
    <n v="45.55"/>
    <s v="ppm"/>
    <n v="0"/>
    <n v="120"/>
    <x v="135"/>
    <s v="M. Toth"/>
  </r>
  <r>
    <s v="S001690"/>
    <s v="ESS-2025-00378"/>
    <s v="Essential Oil Blend"/>
    <s v="Budapest"/>
    <x v="2"/>
    <n v="1"/>
    <x v="0"/>
    <s v="Pass"/>
    <n v="313.58999999999997"/>
    <s v="um"/>
    <n v="150"/>
    <n v="400"/>
    <x v="323"/>
    <s v="K. Varga"/>
  </r>
  <r>
    <s v="S000561"/>
    <s v="ARO-2024-00126"/>
    <s v="Aroma Chemical"/>
    <s v="Vernier CH"/>
    <x v="3"/>
    <n v="1"/>
    <x v="0"/>
    <s v="Pass"/>
    <n v="98.59"/>
    <s v="%"/>
    <n v="97"/>
    <n v="100"/>
    <x v="136"/>
    <s v="M. Toth"/>
  </r>
  <r>
    <s v="S000209"/>
    <s v="ARO-2025-00048"/>
    <s v="Aroma Chemical"/>
    <s v="Budapest"/>
    <x v="4"/>
    <n v="1"/>
    <x v="0"/>
    <s v="Pass"/>
    <n v="0.49"/>
    <s v="%"/>
    <n v="0"/>
    <n v="1"/>
    <x v="221"/>
    <s v="M. Toth"/>
  </r>
  <r>
    <s v="S000911"/>
    <s v="FOO-2024-00206"/>
    <s v="Food Ingredient Extract"/>
    <s v="Ashford UK"/>
    <x v="4"/>
    <n v="1"/>
    <x v="0"/>
    <s v="Fail"/>
    <n v="0.48"/>
    <s v="%"/>
    <n v="0"/>
    <n v="1"/>
    <x v="256"/>
    <s v="L. Rossi"/>
  </r>
  <r>
    <s v="S001312"/>
    <s v="FOO-2025-00293"/>
    <s v="Food Ingredient Extract"/>
    <s v="Vernier CH"/>
    <x v="0"/>
    <n v="1"/>
    <x v="0"/>
    <s v="Fail"/>
    <n v="58.01"/>
    <s v="ppm"/>
    <n v="0"/>
    <n v="120"/>
    <x v="128"/>
    <s v="S. Fischer"/>
  </r>
  <r>
    <s v="S000002"/>
    <s v="ESS-2025-00001"/>
    <s v="Essential Oil Blend"/>
    <s v="Vernier CH"/>
    <x v="1"/>
    <n v="1"/>
    <x v="0"/>
    <s v="Pass"/>
    <n v="0.94"/>
    <s v="g/ml"/>
    <n v="0.88"/>
    <n v="0.97"/>
    <x v="25"/>
    <s v="T. Weber"/>
  </r>
  <r>
    <s v="S001366"/>
    <s v="ESS-2025-00305"/>
    <s v="Essential Oil Blend"/>
    <s v="Ashford UK"/>
    <x v="1"/>
    <n v="1"/>
    <x v="0"/>
    <s v="Fail"/>
    <n v="0.93"/>
    <s v="g/ml"/>
    <n v="0.88"/>
    <n v="0.97"/>
    <x v="281"/>
    <s v="P. Meier"/>
  </r>
  <r>
    <s v="S000270"/>
    <s v="FLA-2024-00061"/>
    <s v="Flavor Compound"/>
    <s v="East Hanover"/>
    <x v="1"/>
    <n v="1"/>
    <x v="0"/>
    <s v="Pass"/>
    <n v="0.95"/>
    <s v="g/ml"/>
    <n v="0.88"/>
    <n v="0.97"/>
    <x v="257"/>
    <s v="A. Kovacs"/>
  </r>
  <r>
    <s v="S000266"/>
    <s v="FLA-2024-00061"/>
    <s v="Flavor Compound"/>
    <s v="East Hanover"/>
    <x v="2"/>
    <n v="1"/>
    <x v="0"/>
    <s v="Pass"/>
    <n v="254.38"/>
    <s v="um"/>
    <n v="150"/>
    <n v="400"/>
    <x v="257"/>
    <s v="J. Nagy"/>
  </r>
  <r>
    <s v="S000915"/>
    <s v="FLA-2024-00207"/>
    <s v="Flavor Compound"/>
    <s v="East Hanover"/>
    <x v="5"/>
    <n v="1"/>
    <x v="0"/>
    <s v="Pass"/>
    <n v="6.95"/>
    <m/>
    <n v="6"/>
    <n v="7.5"/>
    <x v="106"/>
    <s v="P. Meier"/>
  </r>
  <r>
    <s v="S000231"/>
    <s v="FLA-2024-00053"/>
    <s v="Flavor Compound"/>
    <s v="Budapest"/>
    <x v="2"/>
    <n v="1"/>
    <x v="0"/>
    <s v="Pass"/>
    <n v="307.97000000000003"/>
    <s v="um"/>
    <n v="150"/>
    <n v="400"/>
    <x v="84"/>
    <s v="L. Rossi"/>
  </r>
  <r>
    <s v="S001979"/>
    <s v="FLA-2025-00442"/>
    <s v="Flavor Compound"/>
    <s v="Ashford UK"/>
    <x v="0"/>
    <n v="1"/>
    <x v="0"/>
    <s v="Pass"/>
    <n v="84.65"/>
    <s v="ppm"/>
    <n v="0"/>
    <n v="120"/>
    <x v="159"/>
    <s v="T. Weber"/>
  </r>
  <r>
    <s v="S001120"/>
    <s v="FOO-2025-00251"/>
    <s v="Food Ingredient Extract"/>
    <s v="Budapest"/>
    <x v="0"/>
    <n v="1"/>
    <x v="0"/>
    <s v="Fail"/>
    <n v="58.4"/>
    <s v="ppm"/>
    <n v="0"/>
    <n v="120"/>
    <x v="28"/>
    <s v="S. Fischer"/>
  </r>
  <r>
    <s v="S001974"/>
    <s v="ESS-2025-00441"/>
    <s v="Essential Oil Blend"/>
    <s v="East Hanover"/>
    <x v="4"/>
    <n v="1"/>
    <x v="1"/>
    <s v="Fail"/>
    <n v="-0.45"/>
    <s v="%"/>
    <n v="0"/>
    <n v="1"/>
    <x v="76"/>
    <s v="J NAGY"/>
  </r>
  <r>
    <s v="S000865"/>
    <s v="ESS-2024-00196"/>
    <s v="Essential Oil Blend"/>
    <s v="Dortmund DE"/>
    <x v="6"/>
    <n v="1"/>
    <x v="1"/>
    <s v="Fail"/>
    <n v="-22.45"/>
    <s v="CFU/g"/>
    <n v="0"/>
    <n v="100"/>
    <x v="148"/>
    <s v="K. Varga"/>
  </r>
  <r>
    <s v="S001067"/>
    <s v="ESS-2025-00239"/>
    <s v="Essential Oil Blend"/>
    <s v="Vernier CH"/>
    <x v="3"/>
    <n v="1"/>
    <x v="0"/>
    <s v="Pass"/>
    <n v="98.72"/>
    <s v="%"/>
    <n v="97"/>
    <n v="100"/>
    <x v="266"/>
    <s v="J. Nagy"/>
  </r>
  <r>
    <s v="S000874"/>
    <s v="FOO-2025-00198"/>
    <s v="Food Ingredient Extract"/>
    <s v="East Hanover"/>
    <x v="5"/>
    <n v="1"/>
    <x v="1"/>
    <s v="Fail"/>
    <n v="7.55"/>
    <m/>
    <n v="6"/>
    <n v="7.5"/>
    <x v="47"/>
    <s v="K. Varga"/>
  </r>
  <r>
    <s v="S001798"/>
    <s v="FLA-2024-00402"/>
    <s v="Flavor Compound"/>
    <s v="Dortmund DE"/>
    <x v="2"/>
    <n v="1"/>
    <x v="0"/>
    <s v="Pass"/>
    <n v="191.79"/>
    <s v="um"/>
    <n v="150"/>
    <n v="400"/>
    <x v="88"/>
    <s v="S. Fischer"/>
  </r>
  <r>
    <s v="S000399"/>
    <s v="FLA-2024-00091"/>
    <s v="Flavor Compound"/>
    <s v="Vernier CH"/>
    <x v="6"/>
    <n v="1"/>
    <x v="0"/>
    <s v="Pass"/>
    <n v="34.76"/>
    <s v="CFU/g"/>
    <n v="0"/>
    <n v="100"/>
    <x v="316"/>
    <s v="P. Meier"/>
  </r>
  <r>
    <s v="S001829"/>
    <s v="ESS-2024-00408"/>
    <s v="Essential Oil Blend"/>
    <s v="Budapest"/>
    <x v="5"/>
    <n v="1"/>
    <x v="0"/>
    <s v="Pending"/>
    <n v="6.04"/>
    <m/>
    <n v="6"/>
    <n v="7.5"/>
    <x v="0"/>
    <s v="M. Toth"/>
  </r>
  <r>
    <s v="S001653"/>
    <s v="ESS-2024-00370"/>
    <s v="Essential Oil Blend"/>
    <s v="Dortmund DE"/>
    <x v="2"/>
    <n v="1"/>
    <x v="0"/>
    <s v="Fail"/>
    <n v="209.63"/>
    <s v="um"/>
    <n v="150"/>
    <n v="400"/>
    <x v="277"/>
    <s v="K. Varga"/>
  </r>
  <r>
    <s v="S000046"/>
    <s v="FOO-2024-00011"/>
    <s v="Food Ingredient Extract"/>
    <s v="Budapest"/>
    <x v="4"/>
    <n v="1"/>
    <x v="0"/>
    <s v="Fail"/>
    <n v="0.31"/>
    <s v="%"/>
    <n v="0"/>
    <n v="1"/>
    <x v="184"/>
    <s v="J. Nagy"/>
  </r>
  <r>
    <s v="S000162"/>
    <s v="FRA-2024-00038"/>
    <s v="Fragrance Oil"/>
    <s v="Ashford UK"/>
    <x v="0"/>
    <n v="1"/>
    <x v="0"/>
    <s v="Pass"/>
    <n v="28.34"/>
    <s v="ppm"/>
    <n v="0"/>
    <n v="120"/>
    <x v="314"/>
    <s v="A. Kovacs"/>
  </r>
  <r>
    <s v="S000992"/>
    <s v="FOO-2025-00224"/>
    <s v="Food Ingredient Extract"/>
    <s v="Budapest"/>
    <x v="0"/>
    <n v="1"/>
    <x v="0"/>
    <s v="Pending"/>
    <n v="23.78"/>
    <s v="ppm"/>
    <n v="0"/>
    <n v="120"/>
    <x v="124"/>
    <s v="P. Meier"/>
  </r>
  <r>
    <s v="S000728"/>
    <s v="FRA-2024-00165"/>
    <s v="Fragrance Oil"/>
    <s v="East Hanover"/>
    <x v="6"/>
    <n v="1"/>
    <x v="0"/>
    <s v="Pass"/>
    <n v="44.16"/>
    <s v="CFU/g"/>
    <n v="0"/>
    <n v="100"/>
    <x v="36"/>
    <s v="J NAGY"/>
  </r>
  <r>
    <s v="S000630"/>
    <s v="FRA-2025-00143"/>
    <s v="Fragrance Oil"/>
    <s v="Ashford UK"/>
    <x v="1"/>
    <n v="1"/>
    <x v="1"/>
    <s v="Fail"/>
    <n v="0.86"/>
    <s v="g/ml"/>
    <n v="0.88"/>
    <n v="0.97"/>
    <x v="103"/>
    <s v="P. Meier"/>
  </r>
  <r>
    <s v="S000289"/>
    <s v="ARO-2025-00066"/>
    <s v="Aroma Chemical"/>
    <s v="Dortmund DE"/>
    <x v="5"/>
    <n v="1"/>
    <x v="0"/>
    <s v="Fail"/>
    <n v="6.37"/>
    <m/>
    <n v="6"/>
    <n v="7.5"/>
    <x v="301"/>
    <s v="M. Toth"/>
  </r>
  <r>
    <s v="S001614"/>
    <s v="FOO-2025-00360"/>
    <s v="Food Ingredient Extract"/>
    <s v="Ashford UK"/>
    <x v="0"/>
    <n v="1"/>
    <x v="0"/>
    <s v="Pass"/>
    <n v="40.69"/>
    <s v="ppm"/>
    <n v="0"/>
    <n v="120"/>
    <x v="46"/>
    <s v="M. Toth"/>
  </r>
  <r>
    <s v="S001060"/>
    <s v="FOO-2024-00237"/>
    <s v="Food Ingredient Extract"/>
    <s v="Budapest"/>
    <x v="1"/>
    <n v="1"/>
    <x v="0"/>
    <s v="Pass"/>
    <n v="0.96"/>
    <s v="g/ml"/>
    <n v="0.88"/>
    <n v="0.97"/>
    <x v="9"/>
    <s v="L. Rossi"/>
  </r>
  <r>
    <s v="S001958"/>
    <s v="FRA-2024-00438"/>
    <s v="Fragrance Oil"/>
    <s v="Budapest"/>
    <x v="1"/>
    <n v="1"/>
    <x v="0"/>
    <s v="Pass"/>
    <n v="0.94"/>
    <s v="g/ml"/>
    <n v="0.88"/>
    <n v="0.97"/>
    <x v="34"/>
    <s v="J. Nagy"/>
  </r>
  <r>
    <s v="S000576"/>
    <s v="FRA-2024-00129"/>
    <s v="Fragrance Oil"/>
    <s v="Ashford UK"/>
    <x v="4"/>
    <n v="1"/>
    <x v="0"/>
    <s v="Pass"/>
    <n v="0.36"/>
    <s v="%"/>
    <n v="0"/>
    <n v="1"/>
    <x v="101"/>
    <s v="A. Kovacs"/>
  </r>
  <r>
    <s v="S000851"/>
    <s v="FRA-2024-00193"/>
    <s v="Fragrance Oil"/>
    <s v="Dortmund DE"/>
    <x v="0"/>
    <n v="1"/>
    <x v="0"/>
    <s v="Fail"/>
    <n v="32.54"/>
    <s v="ppm"/>
    <n v="0"/>
    <n v="120"/>
    <x v="245"/>
    <s v="S. Fischer"/>
  </r>
  <r>
    <s v="S001340"/>
    <s v="ESS-2024-00299"/>
    <s v="Essential Oil Blend"/>
    <s v="Vernier CH"/>
    <x v="2"/>
    <n v="1"/>
    <x v="0"/>
    <s v="Pending"/>
    <n v="277.47000000000003"/>
    <s v="um"/>
    <n v="150"/>
    <n v="400"/>
    <x v="145"/>
    <s v="S. Fischer"/>
  </r>
  <r>
    <s v="S000912"/>
    <s v="FOO-2024-00206"/>
    <s v="Food Ingredient Extract"/>
    <s v="Ashford UK"/>
    <x v="6"/>
    <n v="1"/>
    <x v="1"/>
    <s v="Fail"/>
    <n v="-11.08"/>
    <s v="CFU/g"/>
    <n v="0"/>
    <n v="100"/>
    <x v="256"/>
    <s v="M. Toth"/>
  </r>
  <r>
    <s v="S001255"/>
    <s v="FLA-2024-00281"/>
    <s v="Flavor Compound"/>
    <s v="Budapest"/>
    <x v="1"/>
    <n v="1"/>
    <x v="0"/>
    <s v="Pass"/>
    <n v="0.89"/>
    <s v="g/ml"/>
    <n v="0.88"/>
    <n v="0.97"/>
    <x v="147"/>
    <s v="T. Weber"/>
  </r>
  <r>
    <s v="S001723"/>
    <s v="FRA-2024-00385"/>
    <s v="Fragrance Oil"/>
    <s v="East Hanover"/>
    <x v="0"/>
    <n v="1"/>
    <x v="0"/>
    <s v="Pass"/>
    <n v="43.42"/>
    <s v="ppm"/>
    <n v="0"/>
    <n v="120"/>
    <x v="297"/>
    <s v="J NAGY"/>
  </r>
  <r>
    <s v="S001878"/>
    <s v="FRA-2024-00420"/>
    <s v="Fragrance Oil"/>
    <s v="East Hanover"/>
    <x v="0"/>
    <n v="1"/>
    <x v="0"/>
    <s v="Fail"/>
    <n v="63.23"/>
    <s v="ppm"/>
    <n v="0"/>
    <n v="120"/>
    <x v="17"/>
    <s v="J. Nagy"/>
  </r>
  <r>
    <s v="S001736"/>
    <s v="ARO-2024-00388"/>
    <s v="Aroma Chemical"/>
    <s v="Vernier CH"/>
    <x v="3"/>
    <n v="1"/>
    <x v="0"/>
    <s v="Pending"/>
    <n v="98.89"/>
    <s v="%"/>
    <n v="97"/>
    <n v="100"/>
    <x v="11"/>
    <s v="M. Toth"/>
  </r>
  <r>
    <s v="S000933"/>
    <s v="ARO-2025-00211"/>
    <s v="Aroma Chemical"/>
    <s v="Ashford UK"/>
    <x v="6"/>
    <n v="1"/>
    <x v="0"/>
    <s v="Fail"/>
    <n v="17.82"/>
    <s v="CFU/g"/>
    <n v="0"/>
    <n v="100"/>
    <x v="150"/>
    <s v="J. Nagy"/>
  </r>
  <r>
    <s v="S001101"/>
    <s v="FRA-2024-00247"/>
    <s v="Fragrance Oil"/>
    <s v="Vernier CH"/>
    <x v="5"/>
    <n v="1"/>
    <x v="0"/>
    <s v="Pass"/>
    <n v="7.46"/>
    <m/>
    <n v="6"/>
    <n v="7.5"/>
    <x v="135"/>
    <s v="J. Nagy"/>
  </r>
  <r>
    <s v="S001658"/>
    <s v="FRA-2024-00371"/>
    <s v="Fragrance Oil"/>
    <s v="Vernier CH"/>
    <x v="0"/>
    <n v="1"/>
    <x v="0"/>
    <s v="Fail"/>
    <n v="23.84"/>
    <s v="ppm"/>
    <n v="0"/>
    <n v="120"/>
    <x v="37"/>
    <s v="T. Weber"/>
  </r>
  <r>
    <s v="S001208"/>
    <s v="FLA-2024-00270"/>
    <s v="Flavor Compound"/>
    <s v="Ashford UK"/>
    <x v="5"/>
    <n v="1"/>
    <x v="0"/>
    <s v="Fail"/>
    <n v="6.84"/>
    <m/>
    <n v="6"/>
    <n v="7.5"/>
    <x v="200"/>
    <s v="P. Meier"/>
  </r>
  <r>
    <s v="S000248"/>
    <s v="FRA-2025-00056"/>
    <s v="Fragrance Oil"/>
    <s v="Ashford UK"/>
    <x v="2"/>
    <n v="1"/>
    <x v="0"/>
    <s v="Pass"/>
    <n v="303.14999999999998"/>
    <s v="um"/>
    <n v="150"/>
    <n v="400"/>
    <x v="124"/>
    <s v="K. Varga"/>
  </r>
  <r>
    <s v="S000477"/>
    <s v="FRA-2025-00107"/>
    <s v="Fragrance Oil"/>
    <s v="East Hanover"/>
    <x v="4"/>
    <n v="1"/>
    <x v="0"/>
    <s v="Pass"/>
    <n v="0.23"/>
    <s v="%"/>
    <n v="0"/>
    <n v="1"/>
    <x v="48"/>
    <s v="J. Nagy"/>
  </r>
  <r>
    <s v="S001695"/>
    <s v="ESS-2024-00379"/>
    <s v="Essential Oil Blend"/>
    <s v="East Hanover"/>
    <x v="3"/>
    <n v="1"/>
    <x v="0"/>
    <s v="Fail"/>
    <n v="98.4"/>
    <s v="%"/>
    <n v="97"/>
    <n v="100"/>
    <x v="22"/>
    <s v="A. Kovacs"/>
  </r>
  <r>
    <s v="S000086"/>
    <s v="FRA-2025-00020"/>
    <s v="Fragrance Oil"/>
    <s v="Ashford UK"/>
    <x v="6"/>
    <n v="1"/>
    <x v="0"/>
    <s v="Pass"/>
    <n v="19.63"/>
    <s v="CFU/g"/>
    <n v="0"/>
    <n v="100"/>
    <x v="304"/>
    <s v="K. Varga"/>
  </r>
  <r>
    <s v="S000470"/>
    <s v="FOO-2025-00105"/>
    <s v="Food Ingredient Extract"/>
    <s v="Budapest"/>
    <x v="6"/>
    <n v="1"/>
    <x v="0"/>
    <s v="Pass"/>
    <n v="50.25"/>
    <s v="CFU/g"/>
    <n v="0"/>
    <n v="100"/>
    <x v="251"/>
    <s v="J NAGY"/>
  </r>
  <r>
    <s v="S000226"/>
    <s v="ARO-2025-00052"/>
    <s v="Aroma Chemical"/>
    <s v="Vernier CH"/>
    <x v="2"/>
    <n v="1"/>
    <x v="0"/>
    <s v="Fail"/>
    <n v="228.76"/>
    <s v="um"/>
    <n v="150"/>
    <n v="400"/>
    <x v="178"/>
    <s v="A. Kovacs"/>
  </r>
  <r>
    <s v="S000775"/>
    <s v="FOO-2024-00175"/>
    <s v="Food Ingredient Extract"/>
    <s v="Vernier CH"/>
    <x v="3"/>
    <n v="1"/>
    <x v="0"/>
    <s v="Fail"/>
    <n v="99.17"/>
    <s v="%"/>
    <n v="97"/>
    <n v="100"/>
    <x v="80"/>
    <s v="T. Weber"/>
  </r>
  <r>
    <s v="S000332"/>
    <s v="FRA-2024-00075"/>
    <s v="Fragrance Oil"/>
    <s v="East Hanover"/>
    <x v="0"/>
    <n v="1"/>
    <x v="0"/>
    <s v="Pass"/>
    <n v="40.47"/>
    <s v="ppm"/>
    <n v="0"/>
    <n v="120"/>
    <x v="82"/>
    <s v="T. Weber"/>
  </r>
  <r>
    <s v="S000234"/>
    <s v="FLA-2024-00053"/>
    <s v="Flavor Compound"/>
    <s v="Budapest"/>
    <x v="1"/>
    <n v="1"/>
    <x v="0"/>
    <s v="Pass"/>
    <n v="0.94"/>
    <s v="g/ml"/>
    <n v="0.88"/>
    <n v="0.97"/>
    <x v="84"/>
    <s v="M. Toth"/>
  </r>
  <r>
    <s v="S000589"/>
    <s v="FLA-2024-00132"/>
    <s v="Flavor Compound"/>
    <s v="Dortmund DE"/>
    <x v="2"/>
    <n v="1"/>
    <x v="0"/>
    <s v="Pass"/>
    <n v="260.33"/>
    <s v="um"/>
    <n v="150"/>
    <n v="400"/>
    <x v="109"/>
    <s v="J NAGY"/>
  </r>
  <r>
    <s v="S000476"/>
    <s v="FRA-2025-00107"/>
    <s v="Fragrance Oil"/>
    <s v="East Hanover"/>
    <x v="0"/>
    <n v="1"/>
    <x v="0"/>
    <s v="Pass"/>
    <n v="33.96"/>
    <s v="ppm"/>
    <n v="0"/>
    <n v="120"/>
    <x v="48"/>
    <s v="K. Varga"/>
  </r>
  <r>
    <s v="S001285"/>
    <s v="FLA-2025-00287"/>
    <s v="Flavor Compound"/>
    <s v="Budapest"/>
    <x v="5"/>
    <n v="1"/>
    <x v="0"/>
    <s v="Pass"/>
    <n v="6.89"/>
    <m/>
    <n v="6"/>
    <n v="7.5"/>
    <x v="239"/>
    <s v="K. Varga"/>
  </r>
  <r>
    <s v="S001872"/>
    <s v="ESS-2024-00419"/>
    <s v="Essential Oil Blend"/>
    <s v="East Hanover"/>
    <x v="5"/>
    <n v="1"/>
    <x v="0"/>
    <s v="Pass"/>
    <n v="6.86"/>
    <m/>
    <n v="6"/>
    <n v="7.5"/>
    <x v="99"/>
    <s v="M. Toth"/>
  </r>
  <r>
    <s v="S000600"/>
    <s v="FLA-2025-00135"/>
    <s v="Flavor Compound"/>
    <s v="Vernier CH"/>
    <x v="6"/>
    <n v="1"/>
    <x v="0"/>
    <s v="Pass"/>
    <n v="32.6"/>
    <s v="CFU/g"/>
    <n v="0"/>
    <n v="100"/>
    <x v="332"/>
    <s v="K. Varga"/>
  </r>
  <r>
    <s v="S000422"/>
    <s v="FOO-2025-00096"/>
    <s v="Food Ingredient Extract"/>
    <s v="East Hanover"/>
    <x v="0"/>
    <n v="1"/>
    <x v="0"/>
    <s v="Pass"/>
    <n v="100.35"/>
    <s v="ppm"/>
    <n v="0"/>
    <n v="120"/>
    <x v="219"/>
    <s v="M. Toth"/>
  </r>
  <r>
    <s v="S001712"/>
    <s v="FLA-2024-00383"/>
    <s v="Flavor Compound"/>
    <s v="Dortmund DE"/>
    <x v="3"/>
    <n v="1"/>
    <x v="0"/>
    <s v="Pass"/>
    <n v="98.89"/>
    <s v="%"/>
    <n v="97"/>
    <n v="100"/>
    <x v="151"/>
    <s v="P. Meier"/>
  </r>
  <r>
    <s v="S000183"/>
    <s v="ARO-2025-00042"/>
    <s v="Aroma Chemical"/>
    <s v="Vernier CH"/>
    <x v="4"/>
    <n v="1"/>
    <x v="0"/>
    <s v="Pass"/>
    <n v="0.35"/>
    <s v="%"/>
    <n v="0"/>
    <n v="1"/>
    <x v="18"/>
    <s v="M. Toth"/>
  </r>
  <r>
    <s v="S000989"/>
    <s v="FOO-2025-00224"/>
    <s v="Food Ingredient Extract"/>
    <s v="Budapest"/>
    <x v="1"/>
    <n v="1"/>
    <x v="0"/>
    <s v="Pending"/>
    <n v="0.92"/>
    <s v="g/ml"/>
    <n v="0.88"/>
    <n v="0.97"/>
    <x v="124"/>
    <s v="K. Varga"/>
  </r>
  <r>
    <s v="S001001"/>
    <s v="FLA-2024-00226"/>
    <s v="Flavor Compound"/>
    <s v="Vernier CH"/>
    <x v="5"/>
    <n v="0"/>
    <x v="2"/>
    <s v="Pending"/>
    <m/>
    <m/>
    <n v="6"/>
    <n v="7.5"/>
    <x v="226"/>
    <s v="T. Weber"/>
  </r>
  <r>
    <s v="S001642"/>
    <s v="ARO-2024-00368"/>
    <s v="Aroma Chemical"/>
    <s v="Vernier CH"/>
    <x v="6"/>
    <n v="1"/>
    <x v="1"/>
    <s v="Fail"/>
    <n v="-11.85"/>
    <s v="CFU/g"/>
    <n v="0"/>
    <n v="100"/>
    <x v="152"/>
    <s v="A. Kovacs"/>
  </r>
  <r>
    <s v="S001357"/>
    <s v="ESS-2024-00303"/>
    <s v="Essential Oil Blend"/>
    <s v="Dortmund DE"/>
    <x v="4"/>
    <n v="1"/>
    <x v="0"/>
    <s v="Pass"/>
    <n v="0.11"/>
    <s v="%"/>
    <n v="0"/>
    <n v="1"/>
    <x v="17"/>
    <s v="P. Meier"/>
  </r>
  <r>
    <s v="S001463"/>
    <s v="FRA-2025-00326"/>
    <s v="Fragrance Oil"/>
    <s v="Vernier CH"/>
    <x v="3"/>
    <n v="1"/>
    <x v="0"/>
    <s v="Pass"/>
    <n v="98.26"/>
    <s v="%"/>
    <n v="97"/>
    <n v="100"/>
    <x v="244"/>
    <s v="K. Varga"/>
  </r>
  <r>
    <s v="S000050"/>
    <s v="FOO-2024-00012"/>
    <s v="Food Ingredient Extract"/>
    <s v="Budapest"/>
    <x v="0"/>
    <n v="1"/>
    <x v="1"/>
    <s v="Fail"/>
    <n v="-60"/>
    <s v="ppm"/>
    <n v="0"/>
    <n v="120"/>
    <x v="135"/>
    <s v="K. Varga"/>
  </r>
  <r>
    <s v="S001879"/>
    <s v="FLA-2025-00421"/>
    <s v="Flavor Compound"/>
    <s v="East Hanover"/>
    <x v="6"/>
    <n v="1"/>
    <x v="0"/>
    <s v="Pass"/>
    <n v="34.74"/>
    <s v="CFU/g"/>
    <n v="0"/>
    <n v="100"/>
    <x v="128"/>
    <s v="J NAGY"/>
  </r>
  <r>
    <s v="S001030"/>
    <s v="FOO-2025-00231"/>
    <s v="Food Ingredient Extract"/>
    <s v="Budapest"/>
    <x v="3"/>
    <n v="1"/>
    <x v="0"/>
    <s v="Pass"/>
    <n v="98.64"/>
    <s v="%"/>
    <n v="97"/>
    <n v="100"/>
    <x v="141"/>
    <s v="L. Rossi"/>
  </r>
  <r>
    <s v="S000530"/>
    <s v="ARO-2024-00119"/>
    <s v="Aroma Chemical"/>
    <s v="East Hanover"/>
    <x v="4"/>
    <n v="1"/>
    <x v="0"/>
    <s v="Pass"/>
    <n v="0.64"/>
    <s v="%"/>
    <n v="0"/>
    <n v="1"/>
    <x v="27"/>
    <s v="T. Weber"/>
  </r>
  <r>
    <s v="S001259"/>
    <s v="FLA-2024-00282"/>
    <s v="Flavor Compound"/>
    <s v="Budapest"/>
    <x v="0"/>
    <n v="1"/>
    <x v="1"/>
    <s v="Fail"/>
    <n v="180"/>
    <s v="ppm"/>
    <n v="0"/>
    <n v="120"/>
    <x v="133"/>
    <s v="M. Toth"/>
  </r>
  <r>
    <s v="S000487"/>
    <s v="FLA-2025-00109"/>
    <s v="Flavor Compound"/>
    <s v="Budapest"/>
    <x v="1"/>
    <n v="1"/>
    <x v="0"/>
    <s v="Pass"/>
    <n v="0.93"/>
    <s v="g/ml"/>
    <n v="0.88"/>
    <n v="0.97"/>
    <x v="272"/>
    <s v="P. Meier"/>
  </r>
  <r>
    <s v="S001955"/>
    <s v="ESS-2024-00437"/>
    <s v="Essential Oil Blend"/>
    <s v="Vernier CH"/>
    <x v="0"/>
    <n v="1"/>
    <x v="0"/>
    <s v="Pass"/>
    <n v="35.520000000000003"/>
    <s v="ppm"/>
    <n v="0"/>
    <n v="120"/>
    <x v="95"/>
    <s v="J. Nagy"/>
  </r>
  <r>
    <s v="S000498"/>
    <s v="FLA-2025-00112"/>
    <s v="Flavor Compound"/>
    <s v="Budapest"/>
    <x v="5"/>
    <n v="1"/>
    <x v="0"/>
    <s v="Pass"/>
    <n v="7.26"/>
    <m/>
    <n v="6"/>
    <n v="7.5"/>
    <x v="42"/>
    <s v="J. Nagy"/>
  </r>
  <r>
    <s v="S001647"/>
    <s v="ARO-2025-00369"/>
    <s v="Aroma Chemical"/>
    <s v="East Hanover"/>
    <x v="5"/>
    <n v="1"/>
    <x v="0"/>
    <s v="Fail"/>
    <n v="6.97"/>
    <m/>
    <n v="6"/>
    <n v="7.5"/>
    <x v="102"/>
    <s v="J. Nagy"/>
  </r>
  <r>
    <s v="S000107"/>
    <s v="ARO-2025-00025"/>
    <s v="Aroma Chemical"/>
    <s v="East Hanover"/>
    <x v="5"/>
    <n v="1"/>
    <x v="0"/>
    <s v="Pass"/>
    <n v="6.31"/>
    <m/>
    <n v="6"/>
    <n v="7.5"/>
    <x v="2"/>
    <s v="S. Fischer"/>
  </r>
  <r>
    <s v="S000444"/>
    <s v="FOO-2024-00100"/>
    <s v="Food Ingredient Extract"/>
    <s v="Vernier CH"/>
    <x v="5"/>
    <n v="1"/>
    <x v="0"/>
    <s v="Pass"/>
    <n v="6.64"/>
    <m/>
    <n v="6"/>
    <n v="7.5"/>
    <x v="145"/>
    <s v="J NAGY"/>
  </r>
  <r>
    <s v="S001513"/>
    <s v="ARO-2024-00337"/>
    <s v="Aroma Chemical"/>
    <s v="East Hanover"/>
    <x v="3"/>
    <n v="1"/>
    <x v="0"/>
    <s v="Pass"/>
    <n v="99.02"/>
    <s v="%"/>
    <n v="97"/>
    <n v="100"/>
    <x v="135"/>
    <s v="T. Weber"/>
  </r>
  <r>
    <s v="S000647"/>
    <s v="ESS-2024-00147"/>
    <s v="Essential Oil Blend"/>
    <s v="Vernier CH"/>
    <x v="3"/>
    <n v="1"/>
    <x v="0"/>
    <s v="Pass"/>
    <n v="97.79"/>
    <s v="%"/>
    <n v="97"/>
    <n v="100"/>
    <x v="135"/>
    <s v="L. Rossi"/>
  </r>
  <r>
    <s v="S001037"/>
    <s v="FOO-2024-00233"/>
    <s v="Food Ingredient Extract"/>
    <s v="Dortmund DE"/>
    <x v="3"/>
    <n v="1"/>
    <x v="0"/>
    <s v="Fail"/>
    <n v="98.51"/>
    <s v="%"/>
    <n v="97"/>
    <n v="100"/>
    <x v="36"/>
    <s v="K. Varga"/>
  </r>
  <r>
    <s v="S001763"/>
    <s v="ESS-2025-00394"/>
    <s v="Essential Oil Blend"/>
    <s v="East Hanover"/>
    <x v="3"/>
    <n v="1"/>
    <x v="0"/>
    <s v="Pass"/>
    <n v="98.77"/>
    <s v="%"/>
    <n v="97"/>
    <n v="100"/>
    <x v="142"/>
    <s v="K. Varga"/>
  </r>
  <r>
    <s v="S000727"/>
    <s v="FRA-2024-00165"/>
    <s v="Fragrance Oil"/>
    <s v="East Hanover"/>
    <x v="5"/>
    <n v="1"/>
    <x v="0"/>
    <s v="Pass"/>
    <n v="6.68"/>
    <m/>
    <n v="6"/>
    <n v="7.5"/>
    <x v="36"/>
    <s v="S. Fischer"/>
  </r>
  <r>
    <s v="S000191"/>
    <s v="FLA-2025-00044"/>
    <s v="Flavor Compound"/>
    <s v="Ashford UK"/>
    <x v="6"/>
    <n v="1"/>
    <x v="1"/>
    <s v="Fail"/>
    <n v="-16.04"/>
    <s v="CFU/g"/>
    <n v="0"/>
    <n v="100"/>
    <x v="327"/>
    <s v="J NAGY"/>
  </r>
  <r>
    <s v="S001789"/>
    <s v="FLA-2024-00400"/>
    <s v="Flavor Compound"/>
    <s v="Budapest"/>
    <x v="1"/>
    <n v="0"/>
    <x v="2"/>
    <s v="Pending"/>
    <m/>
    <s v="g/ml"/>
    <n v="0.88"/>
    <n v="0.97"/>
    <x v="77"/>
    <s v="S. Fischer"/>
  </r>
  <r>
    <s v="S001857"/>
    <s v="ESS-2025-00416"/>
    <s v="Essential Oil Blend"/>
    <s v="Ashford UK"/>
    <x v="6"/>
    <n v="1"/>
    <x v="0"/>
    <s v="Fail"/>
    <n v="2.5499999999999998"/>
    <s v="CFU/g"/>
    <n v="0"/>
    <n v="100"/>
    <x v="71"/>
    <s v="A. Kovacs"/>
  </r>
  <r>
    <s v="S000283"/>
    <s v="FLA-2025-00065"/>
    <s v="Flavor Compound"/>
    <s v="East Hanover"/>
    <x v="5"/>
    <n v="1"/>
    <x v="0"/>
    <s v="Fail"/>
    <n v="6.33"/>
    <m/>
    <n v="6"/>
    <n v="7.5"/>
    <x v="49"/>
    <s v="S. Fischer"/>
  </r>
  <r>
    <s v="S000030"/>
    <s v="FOO-2025-00007"/>
    <s v="Food Ingredient Extract"/>
    <s v="East Hanover"/>
    <x v="2"/>
    <n v="1"/>
    <x v="1"/>
    <s v="Fail"/>
    <n v="520"/>
    <s v="um"/>
    <n v="150"/>
    <n v="400"/>
    <x v="276"/>
    <s v="J NAGY"/>
  </r>
  <r>
    <s v="S000170"/>
    <s v="FRA-2024-00040"/>
    <s v="Fragrance Oil"/>
    <s v="Budapest"/>
    <x v="5"/>
    <n v="1"/>
    <x v="0"/>
    <s v="Pass"/>
    <n v="7.04"/>
    <m/>
    <n v="6"/>
    <n v="7.5"/>
    <x v="286"/>
    <s v="J NAGY"/>
  </r>
  <r>
    <s v="S001002"/>
    <s v="FLA-2024-00226"/>
    <s v="Flavor Compound"/>
    <s v="Vernier CH"/>
    <x v="1"/>
    <n v="1"/>
    <x v="0"/>
    <s v="Pending"/>
    <n v="0.92"/>
    <s v="g/ml"/>
    <n v="0.88"/>
    <n v="0.97"/>
    <x v="226"/>
    <s v="M. Toth"/>
  </r>
  <r>
    <s v="S001205"/>
    <s v="FRA-2024-00269"/>
    <s v="Fragrance Oil"/>
    <s v="Dortmund DE"/>
    <x v="0"/>
    <n v="1"/>
    <x v="0"/>
    <s v="Pass"/>
    <n v="55.19"/>
    <s v="ppm"/>
    <n v="0"/>
    <n v="120"/>
    <x v="289"/>
    <s v="T. Weber"/>
  </r>
  <r>
    <s v="S000101"/>
    <s v="ESS-2025-00024"/>
    <s v="Essential Oil Blend"/>
    <s v="Dortmund DE"/>
    <x v="3"/>
    <n v="1"/>
    <x v="0"/>
    <s v="Fail"/>
    <n v="97.97"/>
    <s v="%"/>
    <n v="97"/>
    <n v="100"/>
    <x v="211"/>
    <s v="M. Toth"/>
  </r>
  <r>
    <s v="S000198"/>
    <s v="ESS-2025-00045"/>
    <s v="Essential Oil Blend"/>
    <s v="Dortmund DE"/>
    <x v="6"/>
    <n v="1"/>
    <x v="0"/>
    <s v="Fail"/>
    <n v="4.79"/>
    <s v="CFU/g"/>
    <n v="0"/>
    <n v="100"/>
    <x v="20"/>
    <s v="J. Nagy"/>
  </r>
  <r>
    <s v="S000496"/>
    <s v="ARO-2024-00111"/>
    <s v="Aroma Chemical"/>
    <s v="Dortmund DE"/>
    <x v="3"/>
    <n v="1"/>
    <x v="0"/>
    <s v="Fail"/>
    <n v="97.8"/>
    <s v="%"/>
    <n v="97"/>
    <n v="100"/>
    <x v="106"/>
    <s v="S. Fischer"/>
  </r>
  <r>
    <s v="S001746"/>
    <s v="FLA-2025-00390"/>
    <s v="Flavor Compound"/>
    <s v="Budapest"/>
    <x v="3"/>
    <n v="1"/>
    <x v="0"/>
    <s v="Pass"/>
    <n v="99.47"/>
    <s v="%"/>
    <n v="97"/>
    <n v="100"/>
    <x v="190"/>
    <s v="J NAGY"/>
  </r>
  <r>
    <s v="S000648"/>
    <s v="FRA-2025-00148"/>
    <s v="Fragrance Oil"/>
    <s v="Ashford UK"/>
    <x v="0"/>
    <n v="1"/>
    <x v="0"/>
    <s v="Pass"/>
    <n v="51.79"/>
    <s v="ppm"/>
    <n v="0"/>
    <n v="120"/>
    <x v="223"/>
    <s v="A. Kovacs"/>
  </r>
  <r>
    <s v="S000988"/>
    <s v="FOO-2025-00224"/>
    <s v="Food Ingredient Extract"/>
    <s v="Budapest"/>
    <x v="4"/>
    <n v="0"/>
    <x v="2"/>
    <s v="Pending"/>
    <m/>
    <s v="%"/>
    <n v="0"/>
    <n v="1"/>
    <x v="124"/>
    <s v="S. Fischer"/>
  </r>
  <r>
    <s v="S000045"/>
    <s v="FRA-2025-00010"/>
    <s v="Fragrance Oil"/>
    <s v="Ashford UK"/>
    <x v="4"/>
    <n v="1"/>
    <x v="0"/>
    <s v="Fail"/>
    <n v="0.67"/>
    <s v="%"/>
    <n v="0"/>
    <n v="1"/>
    <x v="237"/>
    <s v="S. Fischer"/>
  </r>
  <r>
    <s v="S001939"/>
    <s v="ESS-2024-00434"/>
    <s v="Essential Oil Blend"/>
    <s v="Ashford UK"/>
    <x v="1"/>
    <n v="1"/>
    <x v="0"/>
    <s v="Fail"/>
    <n v="0.94"/>
    <s v="g/ml"/>
    <n v="0.88"/>
    <n v="0.97"/>
    <x v="89"/>
    <s v="S. Fischer"/>
  </r>
  <r>
    <s v="S000711"/>
    <s v="ARO-2025-00161"/>
    <s v="Aroma Chemical"/>
    <s v="Budapest"/>
    <x v="2"/>
    <n v="1"/>
    <x v="0"/>
    <s v="Pass"/>
    <n v="237.35"/>
    <s v="um"/>
    <n v="150"/>
    <n v="400"/>
    <x v="255"/>
    <s v="K. Varga"/>
  </r>
  <r>
    <s v="S000374"/>
    <s v="FLA-2025-00084"/>
    <s v="Flavor Compound"/>
    <s v="Dortmund DE"/>
    <x v="5"/>
    <n v="1"/>
    <x v="0"/>
    <s v="Pass"/>
    <n v="6.91"/>
    <m/>
    <n v="6"/>
    <n v="7.5"/>
    <x v="197"/>
    <s v="J. Nagy"/>
  </r>
  <r>
    <s v="S000679"/>
    <s v="FRA-2024-00154"/>
    <s v="Fragrance Oil"/>
    <s v="Vernier CH"/>
    <x v="6"/>
    <n v="1"/>
    <x v="1"/>
    <s v="Fail"/>
    <n v="-27.71"/>
    <s v="CFU/g"/>
    <n v="0"/>
    <n v="100"/>
    <x v="240"/>
    <s v="K. Varga"/>
  </r>
  <r>
    <s v="S000567"/>
    <s v="FLA-2024-00128"/>
    <s v="Flavor Compound"/>
    <s v="East Hanover"/>
    <x v="4"/>
    <n v="1"/>
    <x v="0"/>
    <s v="Fail"/>
    <n v="0.41"/>
    <s v="%"/>
    <n v="0"/>
    <n v="1"/>
    <x v="296"/>
    <s v="P. Meier"/>
  </r>
  <r>
    <s v="S001673"/>
    <s v="FRA-2025-00374"/>
    <s v="Fragrance Oil"/>
    <s v="East Hanover"/>
    <x v="4"/>
    <n v="1"/>
    <x v="0"/>
    <s v="Pass"/>
    <n v="0.33"/>
    <s v="%"/>
    <n v="0"/>
    <n v="1"/>
    <x v="40"/>
    <s v="J NAGY"/>
  </r>
  <r>
    <s v="S001822"/>
    <s v="FRA-2025-00407"/>
    <s v="Fragrance Oil"/>
    <s v="Vernier CH"/>
    <x v="0"/>
    <n v="1"/>
    <x v="0"/>
    <s v="Pass"/>
    <n v="48.06"/>
    <s v="ppm"/>
    <n v="0"/>
    <n v="120"/>
    <x v="121"/>
    <s v="J. Nagy"/>
  </r>
  <r>
    <s v="S000848"/>
    <s v="ARO-2024-00192"/>
    <s v="Aroma Chemical"/>
    <s v="Ashford UK"/>
    <x v="3"/>
    <n v="1"/>
    <x v="0"/>
    <s v="Pending"/>
    <n v="99.03"/>
    <s v="%"/>
    <n v="97"/>
    <n v="100"/>
    <x v="21"/>
    <s v="S. Fischer"/>
  </r>
  <r>
    <s v="S000461"/>
    <s v="ESS-2025-00104"/>
    <s v="Essential Oil Blend"/>
    <s v="East Hanover"/>
    <x v="0"/>
    <n v="1"/>
    <x v="0"/>
    <s v="Fail"/>
    <n v="38.590000000000003"/>
    <s v="ppm"/>
    <n v="0"/>
    <n v="120"/>
    <x v="131"/>
    <s v="A. Kovacs"/>
  </r>
  <r>
    <s v="S001438"/>
    <s v="ESS-2024-00321"/>
    <s v="Essential Oil Blend"/>
    <s v="Dortmund DE"/>
    <x v="0"/>
    <n v="1"/>
    <x v="0"/>
    <s v="Pass"/>
    <n v="44.6"/>
    <s v="ppm"/>
    <n v="0"/>
    <n v="120"/>
    <x v="263"/>
    <s v="T. Weber"/>
  </r>
  <r>
    <s v="S001156"/>
    <s v="ESS-2025-00259"/>
    <s v="Essential Oil Blend"/>
    <s v="Vernier CH"/>
    <x v="6"/>
    <n v="1"/>
    <x v="0"/>
    <s v="Pass"/>
    <n v="41.89"/>
    <s v="CFU/g"/>
    <n v="0"/>
    <n v="100"/>
    <x v="114"/>
    <s v="J NAGY"/>
  </r>
  <r>
    <s v="S000040"/>
    <s v="FLA-2024-00009"/>
    <s v="Flavor Compound"/>
    <s v="Vernier CH"/>
    <x v="3"/>
    <n v="1"/>
    <x v="0"/>
    <s v="Fail"/>
    <n v="98.37"/>
    <s v="%"/>
    <n v="97"/>
    <n v="100"/>
    <x v="89"/>
    <s v="P. Meier"/>
  </r>
  <r>
    <s v="S000435"/>
    <s v="ESS-2024-00099"/>
    <s v="Essential Oil Blend"/>
    <s v="Vernier CH"/>
    <x v="2"/>
    <n v="1"/>
    <x v="0"/>
    <s v="Fail"/>
    <n v="228.57"/>
    <s v="um"/>
    <n v="150"/>
    <n v="400"/>
    <x v="156"/>
    <s v="L. Rossi"/>
  </r>
  <r>
    <s v="S000974"/>
    <s v="FLA-2024-00220"/>
    <s v="Flavor Compound"/>
    <s v="Budapest"/>
    <x v="2"/>
    <n v="1"/>
    <x v="0"/>
    <s v="Pass"/>
    <n v="239.97"/>
    <s v="um"/>
    <n v="150"/>
    <n v="400"/>
    <x v="247"/>
    <s v="M. Toth"/>
  </r>
  <r>
    <s v="S001240"/>
    <s v="FRA-2025-00277"/>
    <s v="Fragrance Oil"/>
    <s v="Ashford UK"/>
    <x v="1"/>
    <n v="1"/>
    <x v="0"/>
    <s v="Pass"/>
    <n v="0.9"/>
    <s v="g/ml"/>
    <n v="0.88"/>
    <n v="0.97"/>
    <x v="318"/>
    <s v="P. Meier"/>
  </r>
  <r>
    <s v="S001008"/>
    <s v="ARO-2025-00227"/>
    <s v="Aroma Chemical"/>
    <s v="East Hanover"/>
    <x v="5"/>
    <n v="1"/>
    <x v="0"/>
    <s v="Pass"/>
    <n v="7.45"/>
    <m/>
    <n v="6"/>
    <n v="7.5"/>
    <x v="298"/>
    <s v="J. Nagy"/>
  </r>
  <r>
    <s v="S001580"/>
    <s v="ARO-2024-00352"/>
    <s v="Aroma Chemical"/>
    <s v="Ashford UK"/>
    <x v="1"/>
    <n v="1"/>
    <x v="0"/>
    <s v="Pending"/>
    <n v="0.96"/>
    <s v="g/ml"/>
    <n v="0.88"/>
    <n v="0.97"/>
    <x v="0"/>
    <s v="M. Toth"/>
  </r>
  <r>
    <s v="S001591"/>
    <s v="FOO-2025-00355"/>
    <s v="Food Ingredient Extract"/>
    <s v="Vernier CH"/>
    <x v="1"/>
    <n v="1"/>
    <x v="0"/>
    <s v="Pass"/>
    <n v="0.97"/>
    <s v="g/ml"/>
    <n v="0.88"/>
    <n v="0.97"/>
    <x v="86"/>
    <s v="S. Fischer"/>
  </r>
  <r>
    <s v="S001787"/>
    <s v="FLA-2024-00400"/>
    <s v="Flavor Compound"/>
    <s v="Budapest"/>
    <x v="2"/>
    <n v="1"/>
    <x v="0"/>
    <s v="Pending"/>
    <n v="241.13"/>
    <s v="um"/>
    <n v="150"/>
    <n v="400"/>
    <x v="77"/>
    <s v="J. Nagy"/>
  </r>
  <r>
    <s v="S001499"/>
    <s v="FRA-2024-00334"/>
    <s v="Fragrance Oil"/>
    <s v="East Hanover"/>
    <x v="3"/>
    <n v="1"/>
    <x v="0"/>
    <s v="Pass"/>
    <n v="99.29"/>
    <s v="%"/>
    <n v="97"/>
    <n v="100"/>
    <x v="80"/>
    <s v="S. Fischer"/>
  </r>
  <r>
    <s v="S000457"/>
    <s v="FRA-2024-00103"/>
    <s v="Fragrance Oil"/>
    <s v="East Hanover"/>
    <x v="4"/>
    <n v="1"/>
    <x v="0"/>
    <s v="Fail"/>
    <n v="0.43"/>
    <s v="%"/>
    <n v="0"/>
    <n v="1"/>
    <x v="186"/>
    <s v="L. Rossi"/>
  </r>
  <r>
    <s v="S001836"/>
    <s v="FOO-2025-00410"/>
    <s v="Food Ingredient Extract"/>
    <s v="Vernier CH"/>
    <x v="5"/>
    <n v="1"/>
    <x v="0"/>
    <s v="Pass"/>
    <n v="6.56"/>
    <m/>
    <n v="6"/>
    <n v="7.5"/>
    <x v="225"/>
    <s v="M. Toth"/>
  </r>
  <r>
    <s v="S000261"/>
    <s v="ESS-2025-00059"/>
    <s v="Essential Oil Blend"/>
    <s v="Vernier CH"/>
    <x v="1"/>
    <n v="1"/>
    <x v="0"/>
    <s v="Pass"/>
    <n v="0.91"/>
    <s v="g/ml"/>
    <n v="0.88"/>
    <n v="0.97"/>
    <x v="3"/>
    <s v="J NAGY"/>
  </r>
  <r>
    <s v="S001841"/>
    <s v="ARO-2025-00411"/>
    <s v="Aroma Chemical"/>
    <s v="East Hanover"/>
    <x v="5"/>
    <n v="1"/>
    <x v="0"/>
    <s v="Pass"/>
    <n v="6.49"/>
    <m/>
    <n v="6"/>
    <n v="7.5"/>
    <x v="287"/>
    <s v="A. Kovacs"/>
  </r>
  <r>
    <s v="S000036"/>
    <s v="ARO-2024-00008"/>
    <s v="Aroma Chemical"/>
    <s v="Vernier CH"/>
    <x v="2"/>
    <n v="0"/>
    <x v="2"/>
    <s v="Pending"/>
    <m/>
    <s v="um"/>
    <n v="150"/>
    <n v="400"/>
    <x v="99"/>
    <s v="A. Kovacs"/>
  </r>
  <r>
    <s v="S000828"/>
    <s v="ARO-2024-00188"/>
    <s v="Aroma Chemical"/>
    <s v="Ashford UK"/>
    <x v="5"/>
    <n v="1"/>
    <x v="0"/>
    <s v="Pass"/>
    <n v="6.94"/>
    <m/>
    <n v="6"/>
    <n v="7.5"/>
    <x v="185"/>
    <s v="J. Nagy"/>
  </r>
  <r>
    <s v="S000310"/>
    <s v="FLA-2025-00070"/>
    <s v="Flavor Compound"/>
    <s v="Budapest"/>
    <x v="1"/>
    <n v="1"/>
    <x v="0"/>
    <s v="Pass"/>
    <n v="0.9"/>
    <s v="g/ml"/>
    <n v="0.88"/>
    <n v="0.97"/>
    <x v="163"/>
    <s v="M. Toth"/>
  </r>
  <r>
    <s v="S000277"/>
    <s v="FRA-2024-00063"/>
    <s v="Fragrance Oil"/>
    <s v="Budapest"/>
    <x v="6"/>
    <n v="1"/>
    <x v="0"/>
    <s v="Pass"/>
    <n v="44.96"/>
    <s v="CFU/g"/>
    <n v="0"/>
    <n v="100"/>
    <x v="212"/>
    <s v="M. Toth"/>
  </r>
  <r>
    <s v="S000637"/>
    <s v="ESS-2025-00145"/>
    <s v="Essential Oil Blend"/>
    <s v="Ashford UK"/>
    <x v="1"/>
    <n v="1"/>
    <x v="0"/>
    <s v="Pass"/>
    <n v="0.93"/>
    <s v="g/ml"/>
    <n v="0.88"/>
    <n v="0.97"/>
    <x v="65"/>
    <s v="A. Kovacs"/>
  </r>
  <r>
    <s v="S000655"/>
    <s v="FRA-2024-00149"/>
    <s v="Fragrance Oil"/>
    <s v="Budapest"/>
    <x v="0"/>
    <n v="1"/>
    <x v="0"/>
    <s v="Pass"/>
    <n v="33.409999999999997"/>
    <s v="ppm"/>
    <n v="0"/>
    <n v="120"/>
    <x v="58"/>
    <s v="M. Toth"/>
  </r>
  <r>
    <s v="S000623"/>
    <s v="ESS-2025-00141"/>
    <s v="Essential Oil Blend"/>
    <s v="Dortmund DE"/>
    <x v="6"/>
    <n v="1"/>
    <x v="0"/>
    <s v="Pass"/>
    <n v="17.5"/>
    <s v="CFU/g"/>
    <n v="0"/>
    <n v="100"/>
    <x v="73"/>
    <s v="P. Meier"/>
  </r>
  <r>
    <s v="S001860"/>
    <s v="ESS-2025-00416"/>
    <s v="Essential Oil Blend"/>
    <s v="Ashford UK"/>
    <x v="3"/>
    <n v="1"/>
    <x v="0"/>
    <s v="Fail"/>
    <n v="98.15"/>
    <s v="%"/>
    <n v="97"/>
    <n v="100"/>
    <x v="71"/>
    <s v="M. Toth"/>
  </r>
  <r>
    <s v="S000845"/>
    <s v="ARO-2024-00192"/>
    <s v="Aroma Chemical"/>
    <s v="Ashford UK"/>
    <x v="2"/>
    <n v="0"/>
    <x v="2"/>
    <s v="Pending"/>
    <m/>
    <s v="um"/>
    <n v="150"/>
    <n v="400"/>
    <x v="21"/>
    <s v="S. Fischer"/>
  </r>
  <r>
    <s v="S000394"/>
    <s v="FOO-2024-00090"/>
    <s v="Food Ingredient Extract"/>
    <s v="Dortmund DE"/>
    <x v="2"/>
    <n v="1"/>
    <x v="0"/>
    <s v="Pass"/>
    <n v="175.5"/>
    <s v="um"/>
    <n v="150"/>
    <n v="400"/>
    <x v="125"/>
    <s v="J NAGY"/>
  </r>
  <r>
    <s v="S001770"/>
    <s v="FOO-2025-00396"/>
    <s v="Food Ingredient Extract"/>
    <s v="Budapest"/>
    <x v="1"/>
    <n v="1"/>
    <x v="0"/>
    <s v="Fail"/>
    <n v="0.94"/>
    <s v="g/ml"/>
    <n v="0.88"/>
    <n v="0.97"/>
    <x v="278"/>
    <s v="J NAGY"/>
  </r>
  <r>
    <s v="S000108"/>
    <s v="ARO-2025-00025"/>
    <s v="Aroma Chemical"/>
    <s v="East Hanover"/>
    <x v="0"/>
    <n v="1"/>
    <x v="0"/>
    <s v="Pass"/>
    <n v="36.520000000000003"/>
    <s v="ppm"/>
    <n v="0"/>
    <n v="120"/>
    <x v="2"/>
    <s v="J. Nagy"/>
  </r>
  <r>
    <s v="S000350"/>
    <s v="FRA-2025-00079"/>
    <s v="Fragrance Oil"/>
    <s v="Ashford UK"/>
    <x v="1"/>
    <n v="1"/>
    <x v="0"/>
    <s v="Fail"/>
    <n v="0.96"/>
    <s v="g/ml"/>
    <n v="0.88"/>
    <n v="0.97"/>
    <x v="140"/>
    <s v="S. Fischer"/>
  </r>
  <r>
    <s v="S000525"/>
    <s v="FRA-2024-00118"/>
    <s v="Fragrance Oil"/>
    <s v="Vernier CH"/>
    <x v="6"/>
    <n v="0"/>
    <x v="2"/>
    <s v="Pending"/>
    <m/>
    <s v="CFU/g"/>
    <n v="0"/>
    <n v="100"/>
    <x v="143"/>
    <s v="J. Nagy"/>
  </r>
  <r>
    <s v="S000785"/>
    <s v="ESS-2024-00178"/>
    <s v="Essential Oil Blend"/>
    <s v="East Hanover"/>
    <x v="2"/>
    <n v="1"/>
    <x v="0"/>
    <s v="Pass"/>
    <n v="212.09"/>
    <s v="um"/>
    <n v="150"/>
    <n v="400"/>
    <x v="315"/>
    <s v="S. Fischer"/>
  </r>
  <r>
    <s v="S000048"/>
    <s v="FOO-2024-00011"/>
    <s v="Food Ingredient Extract"/>
    <s v="Budapest"/>
    <x v="5"/>
    <n v="1"/>
    <x v="1"/>
    <s v="Fail"/>
    <n v="4.8"/>
    <m/>
    <n v="6"/>
    <n v="7.5"/>
    <x v="184"/>
    <s v="L. Rossi"/>
  </r>
  <r>
    <s v="S000204"/>
    <s v="FOO-2024-00047"/>
    <s v="Food Ingredient Extract"/>
    <s v="Ashford UK"/>
    <x v="4"/>
    <n v="1"/>
    <x v="0"/>
    <s v="Pass"/>
    <n v="0.24"/>
    <s v="%"/>
    <n v="0"/>
    <n v="1"/>
    <x v="91"/>
    <s v="T. Weber"/>
  </r>
  <r>
    <s v="S001497"/>
    <s v="ESS-2025-00333"/>
    <s v="Essential Oil Blend"/>
    <s v="Budapest"/>
    <x v="5"/>
    <n v="1"/>
    <x v="0"/>
    <s v="Pass"/>
    <n v="6.33"/>
    <m/>
    <n v="6"/>
    <n v="7.5"/>
    <x v="43"/>
    <s v="L. Rossi"/>
  </r>
  <r>
    <s v="S001656"/>
    <s v="ESS-2024-00370"/>
    <s v="Essential Oil Blend"/>
    <s v="Dortmund DE"/>
    <x v="3"/>
    <n v="1"/>
    <x v="0"/>
    <s v="Fail"/>
    <n v="98.75"/>
    <s v="%"/>
    <n v="97"/>
    <n v="100"/>
    <x v="277"/>
    <s v="T. Weber"/>
  </r>
  <r>
    <s v="S000022"/>
    <s v="ARO-2025-00005"/>
    <s v="Aroma Chemical"/>
    <s v="Vernier CH"/>
    <x v="2"/>
    <n v="1"/>
    <x v="0"/>
    <s v="Pass"/>
    <n v="314.07"/>
    <s v="um"/>
    <n v="150"/>
    <n v="400"/>
    <x v="113"/>
    <s v="M. Toth"/>
  </r>
  <r>
    <s v="S000403"/>
    <s v="FLA-2024-00091"/>
    <s v="Flavor Compound"/>
    <s v="Vernier CH"/>
    <x v="0"/>
    <n v="1"/>
    <x v="0"/>
    <s v="Pass"/>
    <n v="48.02"/>
    <s v="ppm"/>
    <n v="0"/>
    <n v="120"/>
    <x v="316"/>
    <s v="T. Weber"/>
  </r>
  <r>
    <s v="S001108"/>
    <s v="FOO-2025-00249"/>
    <s v="Food Ingredient Extract"/>
    <s v="East Hanover"/>
    <x v="6"/>
    <n v="1"/>
    <x v="0"/>
    <s v="Pass"/>
    <n v="22.69"/>
    <s v="CFU/g"/>
    <n v="0"/>
    <n v="100"/>
    <x v="225"/>
    <s v="J NAGY"/>
  </r>
  <r>
    <s v="S001155"/>
    <s v="ESS-2025-00259"/>
    <s v="Essential Oil Blend"/>
    <s v="Vernier CH"/>
    <x v="1"/>
    <n v="1"/>
    <x v="0"/>
    <s v="Pass"/>
    <n v="0.94"/>
    <s v="g/ml"/>
    <n v="0.88"/>
    <n v="0.97"/>
    <x v="114"/>
    <s v="A. Kovacs"/>
  </r>
  <r>
    <s v="S001440"/>
    <s v="ESS-2024-00321"/>
    <s v="Essential Oil Blend"/>
    <s v="Dortmund DE"/>
    <x v="4"/>
    <n v="1"/>
    <x v="0"/>
    <s v="Pass"/>
    <n v="0.06"/>
    <s v="%"/>
    <n v="0"/>
    <n v="1"/>
    <x v="263"/>
    <s v="M. Toth"/>
  </r>
  <r>
    <s v="S001994"/>
    <s v="FOO-2024-00445"/>
    <s v="Food Ingredient Extract"/>
    <s v="Ashford UK"/>
    <x v="2"/>
    <n v="1"/>
    <x v="0"/>
    <s v="Fail"/>
    <n v="309.13"/>
    <s v="um"/>
    <n v="150"/>
    <n v="400"/>
    <x v="320"/>
    <s v="L. Rossi"/>
  </r>
  <r>
    <s v="S000990"/>
    <s v="FOO-2025-00224"/>
    <s v="Food Ingredient Extract"/>
    <s v="Budapest"/>
    <x v="5"/>
    <n v="1"/>
    <x v="0"/>
    <s v="Pending"/>
    <n v="7.39"/>
    <m/>
    <n v="6"/>
    <n v="7.5"/>
    <x v="124"/>
    <s v="J NAGY"/>
  </r>
  <r>
    <s v="S001866"/>
    <s v="FRA-2025-00417"/>
    <s v="Fragrance Oil"/>
    <s v="Budapest"/>
    <x v="0"/>
    <n v="1"/>
    <x v="0"/>
    <s v="Pass"/>
    <n v="67.540000000000006"/>
    <s v="ppm"/>
    <n v="0"/>
    <n v="120"/>
    <x v="203"/>
    <s v="M. Toth"/>
  </r>
  <r>
    <s v="S000742"/>
    <s v="FLA-2025-00168"/>
    <s v="Flavor Compound"/>
    <s v="East Hanover"/>
    <x v="4"/>
    <n v="1"/>
    <x v="0"/>
    <s v="Fail"/>
    <n v="0.23"/>
    <s v="%"/>
    <n v="0"/>
    <n v="1"/>
    <x v="206"/>
    <s v="L. Rossi"/>
  </r>
  <r>
    <s v="S001722"/>
    <s v="FRA-2024-00385"/>
    <s v="Fragrance Oil"/>
    <s v="East Hanover"/>
    <x v="6"/>
    <n v="1"/>
    <x v="0"/>
    <s v="Pass"/>
    <n v="26.58"/>
    <s v="CFU/g"/>
    <n v="0"/>
    <n v="100"/>
    <x v="297"/>
    <s v="K. Varga"/>
  </r>
  <r>
    <s v="S001311"/>
    <s v="ESS-2025-00292"/>
    <s v="Essential Oil Blend"/>
    <s v="East Hanover"/>
    <x v="4"/>
    <n v="1"/>
    <x v="0"/>
    <s v="Fail"/>
    <n v="0.38"/>
    <s v="%"/>
    <n v="0"/>
    <n v="1"/>
    <x v="260"/>
    <s v="S. Fischer"/>
  </r>
  <r>
    <s v="S001148"/>
    <s v="ARO-2024-00257"/>
    <s v="Aroma Chemical"/>
    <s v="Budapest"/>
    <x v="4"/>
    <n v="1"/>
    <x v="0"/>
    <s v="Pass"/>
    <n v="0.43"/>
    <s v="%"/>
    <n v="0"/>
    <n v="1"/>
    <x v="249"/>
    <s v="S. Fischer"/>
  </r>
  <r>
    <s v="S000034"/>
    <s v="ARO-2024-00008"/>
    <s v="Aroma Chemical"/>
    <s v="Vernier CH"/>
    <x v="1"/>
    <n v="1"/>
    <x v="0"/>
    <s v="Pending"/>
    <n v="0.97"/>
    <s v="g/ml"/>
    <n v="0.88"/>
    <n v="0.97"/>
    <x v="99"/>
    <s v="M. Toth"/>
  </r>
  <r>
    <s v="S000788"/>
    <s v="FOO-2024-00179"/>
    <s v="Food Ingredient Extract"/>
    <s v="Vernier CH"/>
    <x v="4"/>
    <n v="1"/>
    <x v="0"/>
    <s v="Fail"/>
    <n v="0.35"/>
    <s v="%"/>
    <n v="0"/>
    <n v="1"/>
    <x v="189"/>
    <s v="J NAGY"/>
  </r>
  <r>
    <s v="S001541"/>
    <s v="ESS-2025-00343"/>
    <s v="Essential Oil Blend"/>
    <s v="Dortmund DE"/>
    <x v="1"/>
    <n v="1"/>
    <x v="1"/>
    <s v="Fail"/>
    <n v="0.79"/>
    <s v="g/ml"/>
    <n v="0.88"/>
    <n v="0.97"/>
    <x v="169"/>
    <s v="S. Fischer"/>
  </r>
  <r>
    <s v="S000924"/>
    <s v="FOO-2024-00209"/>
    <s v="Food Ingredient Extract"/>
    <s v="Vernier CH"/>
    <x v="4"/>
    <n v="1"/>
    <x v="0"/>
    <s v="Pending"/>
    <n v="0.51"/>
    <s v="%"/>
    <n v="0"/>
    <n v="1"/>
    <x v="126"/>
    <s v="A. Kovacs"/>
  </r>
  <r>
    <s v="S001044"/>
    <s v="FLA-2024-00234"/>
    <s v="Flavor Compound"/>
    <s v="Ashford UK"/>
    <x v="2"/>
    <n v="1"/>
    <x v="0"/>
    <s v="Pass"/>
    <n v="242.47"/>
    <s v="um"/>
    <n v="150"/>
    <n v="400"/>
    <x v="199"/>
    <s v="K. Varga"/>
  </r>
  <r>
    <s v="S001936"/>
    <s v="ARO-2025-00433"/>
    <s v="Aroma Chemical"/>
    <s v="Ashford UK"/>
    <x v="2"/>
    <n v="1"/>
    <x v="0"/>
    <s v="Pass"/>
    <n v="211.63"/>
    <s v="um"/>
    <n v="150"/>
    <n v="400"/>
    <x v="157"/>
    <s v="J. Nagy"/>
  </r>
  <r>
    <s v="S001244"/>
    <s v="ESS-2025-00278"/>
    <s v="Essential Oil Blend"/>
    <s v="Ashford UK"/>
    <x v="5"/>
    <n v="1"/>
    <x v="0"/>
    <s v="Pass"/>
    <n v="7.1"/>
    <m/>
    <n v="6"/>
    <n v="7.5"/>
    <x v="206"/>
    <s v="P. Meier"/>
  </r>
  <r>
    <s v="S001916"/>
    <s v="FLA-2024-00429"/>
    <s v="Flavor Compound"/>
    <s v="Vernier CH"/>
    <x v="3"/>
    <n v="1"/>
    <x v="0"/>
    <s v="Pass"/>
    <n v="98.68"/>
    <s v="%"/>
    <n v="97"/>
    <n v="100"/>
    <x v="32"/>
    <s v="A. Kovacs"/>
  </r>
  <r>
    <s v="S000580"/>
    <s v="FRA-2025-00130"/>
    <s v="Fragrance Oil"/>
    <s v="Vernier CH"/>
    <x v="0"/>
    <n v="1"/>
    <x v="0"/>
    <s v="Pass"/>
    <n v="18.96"/>
    <s v="ppm"/>
    <n v="0"/>
    <n v="120"/>
    <x v="207"/>
    <s v="J. Nagy"/>
  </r>
  <r>
    <s v="S000482"/>
    <s v="FRA-2024-00108"/>
    <s v="Fragrance Oil"/>
    <s v="Ashford UK"/>
    <x v="4"/>
    <n v="1"/>
    <x v="0"/>
    <s v="Pass"/>
    <n v="0.54"/>
    <s v="%"/>
    <n v="0"/>
    <n v="1"/>
    <x v="84"/>
    <s v="S. Fischer"/>
  </r>
  <r>
    <s v="S000932"/>
    <s v="ARO-2025-00211"/>
    <s v="Aroma Chemical"/>
    <s v="Ashford UK"/>
    <x v="4"/>
    <n v="1"/>
    <x v="1"/>
    <s v="Fail"/>
    <n v="-0.08"/>
    <s v="%"/>
    <n v="0"/>
    <n v="1"/>
    <x v="150"/>
    <s v="S. Fischer"/>
  </r>
  <r>
    <s v="S000357"/>
    <s v="FRA-2025-00080"/>
    <s v="Fragrance Oil"/>
    <s v="Dortmund DE"/>
    <x v="0"/>
    <n v="1"/>
    <x v="0"/>
    <s v="Pass"/>
    <n v="60.93"/>
    <s v="ppm"/>
    <n v="0"/>
    <n v="120"/>
    <x v="196"/>
    <s v="P. Meier"/>
  </r>
  <r>
    <s v="S001686"/>
    <s v="FRA-2024-00377"/>
    <s v="Fragrance Oil"/>
    <s v="Dortmund DE"/>
    <x v="1"/>
    <n v="1"/>
    <x v="0"/>
    <s v="Pass"/>
    <n v="0.94"/>
    <s v="g/ml"/>
    <n v="0.88"/>
    <n v="0.97"/>
    <x v="165"/>
    <s v="P. Meier"/>
  </r>
  <r>
    <s v="S001249"/>
    <s v="FRA-2025-00279"/>
    <s v="Fragrance Oil"/>
    <s v="Budapest"/>
    <x v="4"/>
    <n v="1"/>
    <x v="0"/>
    <s v="Pass"/>
    <n v="0.37"/>
    <s v="%"/>
    <n v="0"/>
    <n v="1"/>
    <x v="45"/>
    <s v="J NAGY"/>
  </r>
  <r>
    <s v="S000760"/>
    <s v="ARO-2024-00172"/>
    <s v="Aroma Chemical"/>
    <s v="Budapest"/>
    <x v="6"/>
    <n v="1"/>
    <x v="0"/>
    <s v="Pass"/>
    <n v="14.28"/>
    <s v="CFU/g"/>
    <n v="0"/>
    <n v="100"/>
    <x v="9"/>
    <s v="M. Toth"/>
  </r>
  <r>
    <s v="S000093"/>
    <s v="ESS-2025-00022"/>
    <s v="Essential Oil Blend"/>
    <s v="Budapest"/>
    <x v="5"/>
    <n v="1"/>
    <x v="0"/>
    <s v="Pass"/>
    <n v="6.84"/>
    <m/>
    <n v="6"/>
    <n v="7.5"/>
    <x v="272"/>
    <s v="L. Rossi"/>
  </r>
  <r>
    <s v="S001176"/>
    <s v="FOO-2025-00264"/>
    <s v="Food Ingredient Extract"/>
    <s v="East Hanover"/>
    <x v="2"/>
    <n v="1"/>
    <x v="0"/>
    <s v="Pass"/>
    <n v="256.55"/>
    <s v="um"/>
    <n v="150"/>
    <n v="400"/>
    <x v="268"/>
    <s v="T. Weber"/>
  </r>
  <r>
    <s v="S001416"/>
    <s v="ARO-2025-00316"/>
    <s v="Aroma Chemical"/>
    <s v="Ashford UK"/>
    <x v="6"/>
    <n v="1"/>
    <x v="1"/>
    <s v="Fail"/>
    <n v="-7.46"/>
    <s v="CFU/g"/>
    <n v="0"/>
    <n v="100"/>
    <x v="98"/>
    <s v="M. Toth"/>
  </r>
  <r>
    <s v="S001342"/>
    <s v="ARO-2024-00300"/>
    <s v="Aroma Chemical"/>
    <s v="Vernier CH"/>
    <x v="3"/>
    <n v="1"/>
    <x v="0"/>
    <s v="Pass"/>
    <n v="98.4"/>
    <s v="%"/>
    <n v="97"/>
    <n v="100"/>
    <x v="284"/>
    <s v="J. Nagy"/>
  </r>
  <r>
    <s v="S001473"/>
    <s v="ESS-2024-00328"/>
    <s v="Essential Oil Blend"/>
    <s v="Ashford UK"/>
    <x v="0"/>
    <n v="1"/>
    <x v="0"/>
    <s v="Pass"/>
    <n v="59.69"/>
    <s v="ppm"/>
    <n v="0"/>
    <n v="120"/>
    <x v="1"/>
    <s v="L. Rossi"/>
  </r>
  <r>
    <s v="S000804"/>
    <s v="FOO-2025-00182"/>
    <s v="Food Ingredient Extract"/>
    <s v="Ashford UK"/>
    <x v="0"/>
    <n v="1"/>
    <x v="0"/>
    <s v="Pass"/>
    <n v="16.57"/>
    <s v="ppm"/>
    <n v="0"/>
    <n v="120"/>
    <x v="276"/>
    <s v="J NAGY"/>
  </r>
  <r>
    <s v="S000746"/>
    <s v="FOO-2024-00169"/>
    <s v="Food Ingredient Extract"/>
    <s v="East Hanover"/>
    <x v="5"/>
    <n v="1"/>
    <x v="0"/>
    <s v="Fail"/>
    <n v="7.02"/>
    <m/>
    <n v="6"/>
    <n v="7.5"/>
    <x v="188"/>
    <s v="M. Toth"/>
  </r>
  <r>
    <s v="S001547"/>
    <s v="FLA-2024-00344"/>
    <s v="Flavor Compound"/>
    <s v="Vernier CH"/>
    <x v="0"/>
    <n v="0"/>
    <x v="2"/>
    <s v="Fail"/>
    <m/>
    <s v="ppm"/>
    <n v="0"/>
    <n v="120"/>
    <x v="15"/>
    <s v="T. Weber"/>
  </r>
  <r>
    <s v="S000280"/>
    <s v="ARO-2024-00064"/>
    <s v="Aroma Chemical"/>
    <s v="Dortmund DE"/>
    <x v="6"/>
    <n v="1"/>
    <x v="1"/>
    <s v="Fail"/>
    <n v="-29.52"/>
    <s v="CFU/g"/>
    <n v="0"/>
    <n v="100"/>
    <x v="185"/>
    <s v="J NAGY"/>
  </r>
  <r>
    <s v="S001608"/>
    <s v="ESS-2024-00359"/>
    <s v="Essential Oil Blend"/>
    <s v="Ashford UK"/>
    <x v="0"/>
    <n v="1"/>
    <x v="0"/>
    <s v="Pass"/>
    <n v="34.020000000000003"/>
    <s v="ppm"/>
    <n v="0"/>
    <n v="120"/>
    <x v="187"/>
    <s v="S. Fischer"/>
  </r>
  <r>
    <s v="S000765"/>
    <s v="FLA-2025-00173"/>
    <s v="Flavor Compound"/>
    <s v="Dortmund DE"/>
    <x v="5"/>
    <n v="1"/>
    <x v="0"/>
    <s v="Pass"/>
    <n v="6.81"/>
    <m/>
    <n v="6"/>
    <n v="7.5"/>
    <x v="274"/>
    <s v="P. Meier"/>
  </r>
  <r>
    <s v="S000605"/>
    <s v="FRA-2025-00136"/>
    <s v="Fragrance Oil"/>
    <s v="Ashford UK"/>
    <x v="5"/>
    <n v="1"/>
    <x v="0"/>
    <s v="Pass"/>
    <n v="6.64"/>
    <m/>
    <n v="6"/>
    <n v="7.5"/>
    <x v="30"/>
    <s v="J NAGY"/>
  </r>
  <r>
    <s v="S001992"/>
    <s v="FOO-2024-00445"/>
    <s v="Food Ingredient Extract"/>
    <s v="Ashford UK"/>
    <x v="5"/>
    <n v="1"/>
    <x v="0"/>
    <s v="Fail"/>
    <n v="6.81"/>
    <m/>
    <n v="6"/>
    <n v="7.5"/>
    <x v="320"/>
    <s v="M. Toth"/>
  </r>
  <r>
    <s v="S001374"/>
    <s v="ARO-2025-00307"/>
    <s v="Aroma Chemical"/>
    <s v="Budapest"/>
    <x v="3"/>
    <n v="1"/>
    <x v="0"/>
    <s v="Pass"/>
    <n v="98.21"/>
    <s v="%"/>
    <n v="97"/>
    <n v="100"/>
    <x v="48"/>
    <s v="K. Varga"/>
  </r>
  <r>
    <s v="S001952"/>
    <s v="ESS-2024-00437"/>
    <s v="Essential Oil Blend"/>
    <s v="Vernier CH"/>
    <x v="2"/>
    <n v="1"/>
    <x v="0"/>
    <s v="Pass"/>
    <n v="252.88"/>
    <s v="um"/>
    <n v="150"/>
    <n v="400"/>
    <x v="95"/>
    <s v="K. Varga"/>
  </r>
  <r>
    <s v="S001399"/>
    <s v="FOO-2024-00312"/>
    <s v="Food Ingredient Extract"/>
    <s v="Dortmund DE"/>
    <x v="2"/>
    <n v="1"/>
    <x v="0"/>
    <s v="Fail"/>
    <n v="241.04"/>
    <s v="um"/>
    <n v="150"/>
    <n v="400"/>
    <x v="235"/>
    <s v="J. Nagy"/>
  </r>
  <r>
    <s v="S000401"/>
    <s v="FLA-2024-00091"/>
    <s v="Flavor Compound"/>
    <s v="Vernier CH"/>
    <x v="3"/>
    <n v="1"/>
    <x v="0"/>
    <s v="Pass"/>
    <n v="98.11"/>
    <s v="%"/>
    <n v="97"/>
    <n v="100"/>
    <x v="316"/>
    <s v="M. Toth"/>
  </r>
  <r>
    <s v="S001729"/>
    <s v="ESS-2025-00387"/>
    <s v="Essential Oil Blend"/>
    <s v="East Hanover"/>
    <x v="6"/>
    <n v="1"/>
    <x v="1"/>
    <s v="Fail"/>
    <n v="-16.37"/>
    <s v="CFU/g"/>
    <n v="0"/>
    <n v="100"/>
    <x v="294"/>
    <s v="J NAGY"/>
  </r>
  <r>
    <s v="S000258"/>
    <s v="ESS-2025-00059"/>
    <s v="Essential Oil Blend"/>
    <s v="Vernier CH"/>
    <x v="0"/>
    <n v="1"/>
    <x v="0"/>
    <s v="Pass"/>
    <n v="48.63"/>
    <s v="ppm"/>
    <n v="0"/>
    <n v="120"/>
    <x v="3"/>
    <s v="K. Varga"/>
  </r>
  <r>
    <s v="S000945"/>
    <s v="FLA-2024-00214"/>
    <s v="Flavor Compound"/>
    <s v="East Hanover"/>
    <x v="4"/>
    <n v="1"/>
    <x v="0"/>
    <s v="Pass"/>
    <n v="0.24"/>
    <s v="%"/>
    <n v="0"/>
    <n v="1"/>
    <x v="37"/>
    <s v="M. Toth"/>
  </r>
  <r>
    <s v="S001876"/>
    <s v="FRA-2024-00420"/>
    <s v="Fragrance Oil"/>
    <s v="East Hanover"/>
    <x v="6"/>
    <n v="1"/>
    <x v="0"/>
    <s v="Fail"/>
    <n v="25.01"/>
    <s v="CFU/g"/>
    <n v="0"/>
    <n v="100"/>
    <x v="17"/>
    <s v="J. Nagy"/>
  </r>
  <r>
    <s v="S001097"/>
    <s v="FLA-2025-00246"/>
    <s v="Flavor Compound"/>
    <s v="Dortmund DE"/>
    <x v="1"/>
    <n v="1"/>
    <x v="0"/>
    <s v="Pass"/>
    <n v="0.92"/>
    <s v="g/ml"/>
    <n v="0.88"/>
    <n v="0.97"/>
    <x v="57"/>
    <s v="M. Toth"/>
  </r>
  <r>
    <s v="S001220"/>
    <s v="FOO-2024-00273"/>
    <s v="Food Ingredient Extract"/>
    <s v="Budapest"/>
    <x v="0"/>
    <n v="1"/>
    <x v="0"/>
    <s v="Pending"/>
    <n v="29.36"/>
    <s v="ppm"/>
    <n v="0"/>
    <n v="120"/>
    <x v="258"/>
    <s v="J NAGY"/>
  </r>
  <r>
    <s v="S001508"/>
    <s v="FLA-2025-00336"/>
    <s v="Flavor Compound"/>
    <s v="Budapest"/>
    <x v="1"/>
    <n v="1"/>
    <x v="0"/>
    <s v="Pass"/>
    <n v="0.88"/>
    <s v="g/ml"/>
    <n v="0.88"/>
    <n v="0.97"/>
    <x v="61"/>
    <s v="S. Fischer"/>
  </r>
  <r>
    <s v="S001880"/>
    <s v="FLA-2025-00421"/>
    <s v="Flavor Compound"/>
    <s v="East Hanover"/>
    <x v="2"/>
    <n v="1"/>
    <x v="0"/>
    <s v="Pass"/>
    <n v="221.97"/>
    <s v="um"/>
    <n v="150"/>
    <n v="400"/>
    <x v="128"/>
    <s v="K. Varga"/>
  </r>
  <r>
    <s v="S001162"/>
    <s v="FOO-2024-00260"/>
    <s v="Food Ingredient Extract"/>
    <s v="Budapest"/>
    <x v="1"/>
    <n v="1"/>
    <x v="0"/>
    <s v="Pass"/>
    <n v="0.93"/>
    <s v="g/ml"/>
    <n v="0.88"/>
    <n v="0.97"/>
    <x v="280"/>
    <s v="J. Nagy"/>
  </r>
  <r>
    <s v="S000495"/>
    <s v="ARO-2024-00111"/>
    <s v="Aroma Chemical"/>
    <s v="Dortmund DE"/>
    <x v="2"/>
    <n v="1"/>
    <x v="0"/>
    <s v="Fail"/>
    <n v="213.81"/>
    <s v="um"/>
    <n v="150"/>
    <n v="400"/>
    <x v="106"/>
    <s v="A. Kovacs"/>
  </r>
  <r>
    <s v="S000773"/>
    <s v="FOO-2024-00175"/>
    <s v="Food Ingredient Extract"/>
    <s v="Vernier CH"/>
    <x v="6"/>
    <n v="1"/>
    <x v="1"/>
    <s v="Fail"/>
    <n v="-30.91"/>
    <s v="CFU/g"/>
    <n v="0"/>
    <n v="100"/>
    <x v="80"/>
    <s v="J NAGY"/>
  </r>
  <r>
    <s v="S000551"/>
    <s v="FRA-2024-00124"/>
    <s v="Fragrance Oil"/>
    <s v="Budapest"/>
    <x v="0"/>
    <n v="1"/>
    <x v="0"/>
    <s v="Pass"/>
    <n v="52.14"/>
    <s v="ppm"/>
    <n v="0"/>
    <n v="120"/>
    <x v="328"/>
    <s v="A. Kovacs"/>
  </r>
  <r>
    <s v="S001487"/>
    <s v="FOO-2024-00331"/>
    <s v="Food Ingredient Extract"/>
    <s v="Dortmund DE"/>
    <x v="5"/>
    <n v="1"/>
    <x v="0"/>
    <s v="Pass"/>
    <n v="7.06"/>
    <m/>
    <n v="6"/>
    <n v="7.5"/>
    <x v="152"/>
    <s v="K. Varga"/>
  </r>
  <r>
    <s v="S000202"/>
    <s v="ARO-2025-00046"/>
    <s v="Aroma Chemical"/>
    <s v="Vernier CH"/>
    <x v="3"/>
    <n v="1"/>
    <x v="0"/>
    <s v="Pass"/>
    <n v="99.28"/>
    <s v="%"/>
    <n v="97"/>
    <n v="100"/>
    <x v="116"/>
    <s v="L. Rossi"/>
  </r>
  <r>
    <s v="S000313"/>
    <s v="FLA-2024-00071"/>
    <s v="Flavor Compound"/>
    <s v="Budapest"/>
    <x v="3"/>
    <n v="1"/>
    <x v="0"/>
    <s v="Pass"/>
    <n v="98.18"/>
    <s v="%"/>
    <n v="97"/>
    <n v="100"/>
    <x v="204"/>
    <s v="T. Weber"/>
  </r>
  <r>
    <s v="S000291"/>
    <s v="ARO-2025-00066"/>
    <s v="Aroma Chemical"/>
    <s v="Dortmund DE"/>
    <x v="0"/>
    <n v="1"/>
    <x v="0"/>
    <s v="Fail"/>
    <n v="48.91"/>
    <s v="ppm"/>
    <n v="0"/>
    <n v="120"/>
    <x v="301"/>
    <s v="S. Fischer"/>
  </r>
  <r>
    <s v="S001214"/>
    <s v="FLA-2024-00271"/>
    <s v="Flavor Compound"/>
    <s v="Ashford UK"/>
    <x v="2"/>
    <n v="1"/>
    <x v="0"/>
    <s v="Fail"/>
    <n v="347.39"/>
    <s v="um"/>
    <n v="150"/>
    <n v="400"/>
    <x v="319"/>
    <s v="A. Kovacs"/>
  </r>
  <r>
    <s v="S000764"/>
    <s v="FLA-2025-00173"/>
    <s v="Flavor Compound"/>
    <s v="Dortmund DE"/>
    <x v="2"/>
    <n v="1"/>
    <x v="0"/>
    <s v="Pass"/>
    <n v="250.35"/>
    <s v="um"/>
    <n v="150"/>
    <n v="400"/>
    <x v="274"/>
    <s v="P. Meier"/>
  </r>
  <r>
    <s v="S001137"/>
    <s v="FRA-2025-00255"/>
    <s v="Fragrance Oil"/>
    <s v="East Hanover"/>
    <x v="0"/>
    <n v="1"/>
    <x v="0"/>
    <s v="Fail"/>
    <n v="45.25"/>
    <s v="ppm"/>
    <n v="0"/>
    <n v="120"/>
    <x v="139"/>
    <s v="K. Varga"/>
  </r>
  <r>
    <s v="S000950"/>
    <s v="ARO-2024-00215"/>
    <s v="Aroma Chemical"/>
    <s v="East Hanover"/>
    <x v="6"/>
    <n v="1"/>
    <x v="0"/>
    <s v="Pass"/>
    <n v="34.72"/>
    <s v="CFU/g"/>
    <n v="0"/>
    <n v="100"/>
    <x v="261"/>
    <s v="M. Toth"/>
  </r>
  <r>
    <s v="S000184"/>
    <s v="ARO-2025-00042"/>
    <s v="Aroma Chemical"/>
    <s v="Vernier CH"/>
    <x v="6"/>
    <n v="1"/>
    <x v="0"/>
    <s v="Pass"/>
    <n v="33.909999999999997"/>
    <s v="CFU/g"/>
    <n v="0"/>
    <n v="100"/>
    <x v="18"/>
    <s v="L. Rossi"/>
  </r>
  <r>
    <s v="S001177"/>
    <s v="FOO-2025-00264"/>
    <s v="Food Ingredient Extract"/>
    <s v="East Hanover"/>
    <x v="4"/>
    <n v="1"/>
    <x v="0"/>
    <s v="Pass"/>
    <n v="0.34"/>
    <s v="%"/>
    <n v="0"/>
    <n v="1"/>
    <x v="268"/>
    <s v="M. Toth"/>
  </r>
  <r>
    <s v="S001849"/>
    <s v="FLA-2025-00413"/>
    <s v="Flavor Compound"/>
    <s v="Budapest"/>
    <x v="5"/>
    <n v="1"/>
    <x v="0"/>
    <s v="Fail"/>
    <n v="6.98"/>
    <m/>
    <n v="6"/>
    <n v="7.5"/>
    <x v="131"/>
    <s v="M. Toth"/>
  </r>
  <r>
    <s v="S001350"/>
    <s v="FRA-2024-00301"/>
    <s v="Fragrance Oil"/>
    <s v="East Hanover"/>
    <x v="3"/>
    <n v="1"/>
    <x v="0"/>
    <s v="Pass"/>
    <n v="98.62"/>
    <s v="%"/>
    <n v="97"/>
    <n v="100"/>
    <x v="37"/>
    <s v="T. Weber"/>
  </r>
  <r>
    <s v="S001728"/>
    <s v="FRA-2025-00386"/>
    <s v="Fragrance Oil"/>
    <s v="Ashford UK"/>
    <x v="5"/>
    <n v="1"/>
    <x v="0"/>
    <s v="Pass"/>
    <n v="6.61"/>
    <m/>
    <n v="6"/>
    <n v="7.5"/>
    <x v="172"/>
    <s v="M. Toth"/>
  </r>
  <r>
    <s v="S001069"/>
    <s v="ESS-2025-00239"/>
    <s v="Essential Oil Blend"/>
    <s v="Vernier CH"/>
    <x v="2"/>
    <n v="1"/>
    <x v="0"/>
    <s v="Pass"/>
    <n v="297.48"/>
    <s v="um"/>
    <n v="150"/>
    <n v="400"/>
    <x v="266"/>
    <s v="M. Toth"/>
  </r>
  <r>
    <s v="S001469"/>
    <s v="ESS-2025-00327"/>
    <s v="Essential Oil Blend"/>
    <s v="Ashford UK"/>
    <x v="4"/>
    <n v="1"/>
    <x v="0"/>
    <s v="Pending"/>
    <n v="0.53"/>
    <s v="%"/>
    <n v="0"/>
    <n v="1"/>
    <x v="79"/>
    <s v="S. Fischer"/>
  </r>
  <r>
    <s v="S001812"/>
    <s v="ARO-2024-00405"/>
    <s v="Aroma Chemical"/>
    <s v="Budapest"/>
    <x v="2"/>
    <n v="1"/>
    <x v="0"/>
    <s v="Pass"/>
    <n v="257.58999999999997"/>
    <s v="um"/>
    <n v="150"/>
    <n v="400"/>
    <x v="193"/>
    <s v="L. Rossi"/>
  </r>
  <r>
    <s v="S001031"/>
    <s v="ARO-2025-00232"/>
    <s v="Aroma Chemical"/>
    <s v="Budapest"/>
    <x v="0"/>
    <n v="1"/>
    <x v="0"/>
    <s v="Pass"/>
    <n v="81.23"/>
    <s v="ppm"/>
    <n v="0"/>
    <n v="120"/>
    <x v="295"/>
    <s v="L. Rossi"/>
  </r>
  <r>
    <s v="S000251"/>
    <s v="FRA-2025-00056"/>
    <s v="Fragrance Oil"/>
    <s v="Ashford UK"/>
    <x v="6"/>
    <n v="1"/>
    <x v="0"/>
    <s v="Pass"/>
    <n v="51.84"/>
    <s v="CFU/g"/>
    <n v="0"/>
    <n v="100"/>
    <x v="124"/>
    <s v="A. Kovacs"/>
  </r>
  <r>
    <s v="S000824"/>
    <s v="FRA-2024-00187"/>
    <s v="Fragrance Oil"/>
    <s v="Vernier CH"/>
    <x v="0"/>
    <n v="1"/>
    <x v="0"/>
    <s v="Pass"/>
    <n v="52.33"/>
    <s v="ppm"/>
    <n v="0"/>
    <n v="120"/>
    <x v="305"/>
    <s v="M. Toth"/>
  </r>
  <r>
    <s v="S001100"/>
    <s v="FRA-2024-00247"/>
    <s v="Fragrance Oil"/>
    <s v="Vernier CH"/>
    <x v="1"/>
    <n v="1"/>
    <x v="0"/>
    <s v="Pass"/>
    <n v="0.92"/>
    <s v="g/ml"/>
    <n v="0.88"/>
    <n v="0.97"/>
    <x v="135"/>
    <s v="T. Weber"/>
  </r>
  <r>
    <s v="S001537"/>
    <s v="FOO-2024-00342"/>
    <s v="Food Ingredient Extract"/>
    <s v="Budapest"/>
    <x v="5"/>
    <n v="1"/>
    <x v="0"/>
    <s v="Pass"/>
    <n v="6.81"/>
    <m/>
    <n v="6"/>
    <n v="7.5"/>
    <x v="285"/>
    <s v="T. Weber"/>
  </r>
  <r>
    <s v="S000941"/>
    <s v="ESS-2025-00213"/>
    <s v="Essential Oil Blend"/>
    <s v="Ashford UK"/>
    <x v="6"/>
    <n v="1"/>
    <x v="0"/>
    <s v="Pending"/>
    <n v="27.78"/>
    <s v="CFU/g"/>
    <n v="0"/>
    <n v="100"/>
    <x v="85"/>
    <s v="M. Toth"/>
  </r>
  <r>
    <s v="S000392"/>
    <s v="ARO-2024-00089"/>
    <s v="Aroma Chemical"/>
    <s v="Dortmund DE"/>
    <x v="1"/>
    <n v="1"/>
    <x v="1"/>
    <s v="Fail"/>
    <n v="0.87"/>
    <s v="g/ml"/>
    <n v="0.88"/>
    <n v="0.97"/>
    <x v="123"/>
    <s v="K. Varga"/>
  </r>
  <r>
    <s v="S001920"/>
    <s v="ARO-2024-00430"/>
    <s v="Aroma Chemical"/>
    <s v="East Hanover"/>
    <x v="1"/>
    <n v="1"/>
    <x v="0"/>
    <s v="Fail"/>
    <n v="0.9"/>
    <s v="g/ml"/>
    <n v="0.88"/>
    <n v="0.97"/>
    <x v="10"/>
    <s v="S. Fischer"/>
  </r>
  <r>
    <s v="S001457"/>
    <s v="ESS-2024-00325"/>
    <s v="Essential Oil Blend"/>
    <s v="Ashford UK"/>
    <x v="4"/>
    <n v="1"/>
    <x v="1"/>
    <s v="Fail"/>
    <n v="-0.45"/>
    <s v="%"/>
    <n v="0"/>
    <n v="1"/>
    <x v="39"/>
    <s v="T. Weber"/>
  </r>
  <r>
    <s v="S001093"/>
    <s v="FOO-2025-00245"/>
    <s v="Food Ingredient Extract"/>
    <s v="East Hanover"/>
    <x v="3"/>
    <n v="1"/>
    <x v="0"/>
    <s v="Pass"/>
    <n v="98.41"/>
    <s v="%"/>
    <n v="97"/>
    <n v="100"/>
    <x v="16"/>
    <s v="K. Varga"/>
  </r>
  <r>
    <s v="S001192"/>
    <s v="FLA-2025-00267"/>
    <s v="Flavor Compound"/>
    <s v="Budapest"/>
    <x v="1"/>
    <n v="1"/>
    <x v="0"/>
    <s v="Pass"/>
    <n v="0.91"/>
    <s v="g/ml"/>
    <n v="0.88"/>
    <n v="0.97"/>
    <x v="115"/>
    <s v="M. Toth"/>
  </r>
  <r>
    <s v="S000905"/>
    <s v="ARO-2025-00204"/>
    <s v="Aroma Chemical"/>
    <s v="Vernier CH"/>
    <x v="6"/>
    <n v="1"/>
    <x v="1"/>
    <s v="Fail"/>
    <n v="-20.97"/>
    <s v="CFU/g"/>
    <n v="0"/>
    <n v="100"/>
    <x v="57"/>
    <s v="J. Nagy"/>
  </r>
  <r>
    <s v="S000731"/>
    <s v="FOO-2025-00166"/>
    <s v="Food Ingredient Extract"/>
    <s v="East Hanover"/>
    <x v="5"/>
    <n v="1"/>
    <x v="0"/>
    <s v="Fail"/>
    <n v="6.31"/>
    <m/>
    <n v="6"/>
    <n v="7.5"/>
    <x v="121"/>
    <s v="K. Varga"/>
  </r>
  <r>
    <s v="S000555"/>
    <s v="FOO-2024-00125"/>
    <s v="Food Ingredient Extract"/>
    <s v="Vernier CH"/>
    <x v="2"/>
    <n v="1"/>
    <x v="0"/>
    <s v="Pass"/>
    <n v="231.02"/>
    <s v="um"/>
    <n v="150"/>
    <n v="400"/>
    <x v="249"/>
    <s v="M. Toth"/>
  </r>
  <r>
    <s v="S000367"/>
    <s v="FLA-2025-00082"/>
    <s v="Flavor Compound"/>
    <s v="Ashford UK"/>
    <x v="1"/>
    <n v="1"/>
    <x v="0"/>
    <s v="Pending"/>
    <n v="0.92"/>
    <s v="g/ml"/>
    <n v="0.88"/>
    <n v="0.97"/>
    <x v="24"/>
    <s v="T. Weber"/>
  </r>
  <r>
    <s v="S000346"/>
    <s v="ESS-2025-00078"/>
    <s v="Essential Oil Blend"/>
    <s v="East Hanover"/>
    <x v="4"/>
    <n v="1"/>
    <x v="0"/>
    <s v="Pending"/>
    <n v="0.28000000000000003"/>
    <s v="%"/>
    <n v="0"/>
    <n v="1"/>
    <x v="215"/>
    <s v="S. Fischer"/>
  </r>
  <r>
    <s v="S001609"/>
    <s v="ESS-2024-00359"/>
    <s v="Essential Oil Blend"/>
    <s v="Ashford UK"/>
    <x v="5"/>
    <n v="1"/>
    <x v="0"/>
    <s v="Pass"/>
    <n v="7.09"/>
    <m/>
    <n v="6"/>
    <n v="7.5"/>
    <x v="187"/>
    <s v="S. Fischer"/>
  </r>
  <r>
    <s v="S000536"/>
    <s v="ARO-2024-00120"/>
    <s v="Aroma Chemical"/>
    <s v="East Hanover"/>
    <x v="0"/>
    <n v="1"/>
    <x v="0"/>
    <s v="Fail"/>
    <n v="53.45"/>
    <s v="ppm"/>
    <n v="0"/>
    <n v="120"/>
    <x v="288"/>
    <s v="T. Weber"/>
  </r>
  <r>
    <s v="S001423"/>
    <s v="FOO-2024-00317"/>
    <s v="Food Ingredient Extract"/>
    <s v="Budapest"/>
    <x v="2"/>
    <n v="1"/>
    <x v="0"/>
    <s v="Pending"/>
    <n v="297.67"/>
    <s v="um"/>
    <n v="150"/>
    <n v="400"/>
    <x v="222"/>
    <s v="M. Toth"/>
  </r>
  <r>
    <s v="S001210"/>
    <s v="FLA-2024-00270"/>
    <s v="Flavor Compound"/>
    <s v="Ashford UK"/>
    <x v="0"/>
    <n v="0"/>
    <x v="2"/>
    <s v="Fail"/>
    <m/>
    <s v="ppm"/>
    <n v="0"/>
    <n v="120"/>
    <x v="200"/>
    <s v="L. Rossi"/>
  </r>
  <r>
    <s v="S001373"/>
    <s v="ARO-2025-00307"/>
    <s v="Aroma Chemical"/>
    <s v="Budapest"/>
    <x v="6"/>
    <n v="1"/>
    <x v="0"/>
    <s v="Pass"/>
    <n v="33.83"/>
    <s v="CFU/g"/>
    <n v="0"/>
    <n v="100"/>
    <x v="48"/>
    <s v="J NAGY"/>
  </r>
  <r>
    <s v="S001640"/>
    <s v="FOO-2024-00367"/>
    <s v="Food Ingredient Extract"/>
    <s v="Dortmund DE"/>
    <x v="4"/>
    <n v="1"/>
    <x v="0"/>
    <s v="Pass"/>
    <n v="0.54"/>
    <s v="%"/>
    <n v="0"/>
    <n v="1"/>
    <x v="67"/>
    <s v="M. Toth"/>
  </r>
  <r>
    <s v="S000920"/>
    <s v="FOO-2024-00209"/>
    <s v="Food Ingredient Extract"/>
    <s v="Vernier CH"/>
    <x v="1"/>
    <n v="0"/>
    <x v="2"/>
    <s v="Pending"/>
    <m/>
    <s v="g/ml"/>
    <n v="0.88"/>
    <n v="0.97"/>
    <x v="126"/>
    <s v="L. Rossi"/>
  </r>
  <r>
    <s v="S000212"/>
    <s v="ARO-2025-00048"/>
    <s v="Aroma Chemical"/>
    <s v="Budapest"/>
    <x v="2"/>
    <n v="1"/>
    <x v="0"/>
    <s v="Pass"/>
    <n v="189.71"/>
    <s v="um"/>
    <n v="150"/>
    <n v="400"/>
    <x v="221"/>
    <s v="M. Toth"/>
  </r>
  <r>
    <s v="S001604"/>
    <s v="FRA-2024-00358"/>
    <s v="Fragrance Oil"/>
    <s v="Ashford UK"/>
    <x v="2"/>
    <n v="1"/>
    <x v="0"/>
    <s v="Fail"/>
    <n v="331.9"/>
    <s v="um"/>
    <n v="150"/>
    <n v="400"/>
    <x v="78"/>
    <s v="J. Nagy"/>
  </r>
  <r>
    <s v="S000503"/>
    <s v="FOO-2025-00113"/>
    <s v="Food Ingredient Extract"/>
    <s v="Ashford UK"/>
    <x v="4"/>
    <n v="1"/>
    <x v="0"/>
    <s v="Fail"/>
    <n v="0.33"/>
    <s v="%"/>
    <n v="0"/>
    <n v="1"/>
    <x v="177"/>
    <s v="A. Kovacs"/>
  </r>
  <r>
    <s v="S000538"/>
    <s v="FLA-2024-00121"/>
    <s v="Flavor Compound"/>
    <s v="Dortmund DE"/>
    <x v="4"/>
    <n v="1"/>
    <x v="0"/>
    <s v="Pass"/>
    <n v="0.16"/>
    <s v="%"/>
    <n v="0"/>
    <n v="1"/>
    <x v="67"/>
    <s v="K. Varga"/>
  </r>
  <r>
    <s v="S001221"/>
    <s v="FOO-2024-00273"/>
    <s v="Food Ingredient Extract"/>
    <s v="Budapest"/>
    <x v="5"/>
    <n v="1"/>
    <x v="0"/>
    <s v="Pending"/>
    <n v="6.9"/>
    <m/>
    <n v="6"/>
    <n v="7.5"/>
    <x v="258"/>
    <s v="K. Varga"/>
  </r>
  <r>
    <s v="S000176"/>
    <s v="FOO-2025-00041"/>
    <s v="Food Ingredient Extract"/>
    <s v="Dortmund DE"/>
    <x v="5"/>
    <n v="1"/>
    <x v="0"/>
    <s v="Pass"/>
    <n v="6.5"/>
    <m/>
    <n v="6"/>
    <n v="7.5"/>
    <x v="85"/>
    <s v="A. Kovac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6DFD30-3BED-4849-BAD9-94AD062793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12" firstHeaderRow="1" firstDataRow="1" firstDataCol="1"/>
  <pivotFields count="11">
    <pivotField showAll="0"/>
    <pivotField showAll="0"/>
    <pivotField showAll="0">
      <items count="7">
        <item x="0"/>
        <item x="2"/>
        <item x="4"/>
        <item x="1"/>
        <item x="3"/>
        <item x="5"/>
        <item t="default"/>
      </items>
    </pivotField>
    <pivotField showAll="0">
      <items count="13">
        <item x="3"/>
        <item x="0"/>
        <item x="10"/>
        <item x="7"/>
        <item x="9"/>
        <item x="5"/>
        <item x="8"/>
        <item x="6"/>
        <item x="2"/>
        <item x="1"/>
        <item x="4"/>
        <item x="11"/>
        <item t="default"/>
      </items>
    </pivotField>
    <pivotField axis="axisRow" dataField="1" showAll="0">
      <items count="9">
        <item x="1"/>
        <item x="6"/>
        <item x="4"/>
        <item x="2"/>
        <item x="5"/>
        <item x="3"/>
        <item x="0"/>
        <item x="7"/>
        <item t="default"/>
      </items>
    </pivotField>
    <pivotField showAll="0"/>
    <pivotField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Count of Test_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B8A107-8D58-487D-AEC3-1534084A3E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6" firstHeaderRow="1" firstDataRow="1" firstDataCol="1"/>
  <pivotFields count="11">
    <pivotField showAll="0"/>
    <pivotField showAll="0"/>
    <pivotField showAll="0">
      <items count="7">
        <item x="0"/>
        <item x="2"/>
        <item x="4"/>
        <item x="1"/>
        <item x="3"/>
        <item x="5"/>
        <item t="default"/>
      </items>
    </pivotField>
    <pivotField axis="axisRow" dataField="1" showAll="0">
      <items count="13">
        <item x="3"/>
        <item x="0"/>
        <item x="10"/>
        <item x="7"/>
        <item x="9"/>
        <item x="5"/>
        <item x="8"/>
        <item x="6"/>
        <item x="2"/>
        <item x="1"/>
        <item x="4"/>
        <item x="11"/>
        <item t="default"/>
      </items>
    </pivotField>
    <pivotField showAll="0"/>
    <pivotField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Count of Sit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5E9F41-6E4C-4D90-8FAE-356171540E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0" firstHeaderRow="1" firstDataRow="1" firstDataCol="1"/>
  <pivotFields count="11">
    <pivotField showAll="0"/>
    <pivotField showAll="0"/>
    <pivotField axis="axisRow" dataField="1" showAll="0">
      <items count="7">
        <item x="0"/>
        <item x="2"/>
        <item x="4"/>
        <item x="1"/>
        <item x="3"/>
        <item x="5"/>
        <item t="default"/>
      </items>
    </pivotField>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Product_Lin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537656-B916-4609-B99F-5664C9675D0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C24" firstHeaderRow="1" firstDataRow="1" firstDataCol="1"/>
  <pivotFields count="11">
    <pivotField showAll="0"/>
    <pivotField showAll="0"/>
    <pivotField showAll="0">
      <items count="7">
        <item x="0"/>
        <item x="2"/>
        <item x="4"/>
        <item x="1"/>
        <item x="3"/>
        <item x="5"/>
        <item t="default"/>
      </items>
    </pivotField>
    <pivotField showAll="0">
      <items count="13">
        <item x="3"/>
        <item x="0"/>
        <item x="10"/>
        <item x="7"/>
        <item x="9"/>
        <item x="5"/>
        <item x="8"/>
        <item x="6"/>
        <item x="2"/>
        <item x="1"/>
        <item x="4"/>
        <item x="11"/>
        <item t="default"/>
      </items>
    </pivotField>
    <pivotField showAll="0">
      <items count="9">
        <item x="1"/>
        <item x="6"/>
        <item x="4"/>
        <item x="2"/>
        <item x="5"/>
        <item x="3"/>
        <item x="0"/>
        <item x="7"/>
        <item t="default"/>
      </items>
    </pivotField>
    <pivotField showAll="0">
      <items count="1196">
        <item x="88"/>
        <item x="649"/>
        <item x="436"/>
        <item x="54"/>
        <item x="671"/>
        <item x="880"/>
        <item x="295"/>
        <item x="903"/>
        <item x="1073"/>
        <item x="573"/>
        <item x="1175"/>
        <item x="1062"/>
        <item x="248"/>
        <item x="952"/>
        <item x="470"/>
        <item x="1165"/>
        <item x="664"/>
        <item x="218"/>
        <item x="38"/>
        <item x="1131"/>
        <item x="620"/>
        <item x="324"/>
        <item x="527"/>
        <item x="22"/>
        <item x="929"/>
        <item x="1089"/>
        <item x="277"/>
        <item x="889"/>
        <item x="56"/>
        <item x="1188"/>
        <item x="301"/>
        <item x="458"/>
        <item x="253"/>
        <item x="991"/>
        <item x="256"/>
        <item x="729"/>
        <item x="592"/>
        <item x="1170"/>
        <item x="1123"/>
        <item x="136"/>
        <item x="942"/>
        <item x="152"/>
        <item x="678"/>
        <item x="150"/>
        <item x="759"/>
        <item x="778"/>
        <item x="70"/>
        <item x="500"/>
        <item x="968"/>
        <item x="628"/>
        <item x="856"/>
        <item x="1117"/>
        <item x="892"/>
        <item x="676"/>
        <item x="830"/>
        <item x="1101"/>
        <item x="550"/>
        <item x="765"/>
        <item x="416"/>
        <item x="575"/>
        <item x="748"/>
        <item x="317"/>
        <item x="945"/>
        <item x="423"/>
        <item x="1162"/>
        <item x="310"/>
        <item x="594"/>
        <item x="250"/>
        <item x="203"/>
        <item x="715"/>
        <item x="376"/>
        <item x="734"/>
        <item x="269"/>
        <item x="973"/>
        <item x="342"/>
        <item x="616"/>
        <item x="560"/>
        <item x="255"/>
        <item x="209"/>
        <item x="76"/>
        <item x="806"/>
        <item x="780"/>
        <item x="874"/>
        <item x="125"/>
        <item x="618"/>
        <item x="1159"/>
        <item x="257"/>
        <item x="447"/>
        <item x="123"/>
        <item x="1152"/>
        <item x="496"/>
        <item x="1026"/>
        <item x="861"/>
        <item x="266"/>
        <item x="44"/>
        <item x="829"/>
        <item x="781"/>
        <item x="849"/>
        <item x="262"/>
        <item x="460"/>
        <item x="450"/>
        <item x="93"/>
        <item x="127"/>
        <item x="50"/>
        <item x="36"/>
        <item x="157"/>
        <item x="384"/>
        <item x="653"/>
        <item x="119"/>
        <item x="368"/>
        <item x="122"/>
        <item x="455"/>
        <item x="101"/>
        <item x="106"/>
        <item x="23"/>
        <item x="124"/>
        <item x="149"/>
        <item x="19"/>
        <item x="274"/>
        <item x="52"/>
        <item x="11"/>
        <item x="6"/>
        <item x="688"/>
        <item x="29"/>
        <item x="62"/>
        <item x="797"/>
        <item x="179"/>
        <item x="59"/>
        <item x="82"/>
        <item x="57"/>
        <item x="111"/>
        <item x="307"/>
        <item x="564"/>
        <item x="559"/>
        <item x="467"/>
        <item x="109"/>
        <item x="113"/>
        <item x="49"/>
        <item x="145"/>
        <item x="446"/>
        <item x="81"/>
        <item x="83"/>
        <item x="613"/>
        <item x="1015"/>
        <item x="304"/>
        <item x="1027"/>
        <item x="867"/>
        <item x="291"/>
        <item x="296"/>
        <item x="1129"/>
        <item x="569"/>
        <item x="35"/>
        <item x="792"/>
        <item x="820"/>
        <item x="220"/>
        <item x="46"/>
        <item x="645"/>
        <item x="96"/>
        <item x="33"/>
        <item x="17"/>
        <item x="224"/>
        <item x="1"/>
        <item x="75"/>
        <item x="80"/>
        <item x="430"/>
        <item x="85"/>
        <item x="292"/>
        <item x="633"/>
        <item x="97"/>
        <item x="252"/>
        <item x="247"/>
        <item x="314"/>
        <item x="138"/>
        <item x="828"/>
        <item x="192"/>
        <item x="1124"/>
        <item x="879"/>
        <item x="736"/>
        <item x="930"/>
        <item x="493"/>
        <item x="650"/>
        <item x="45"/>
        <item x="751"/>
        <item x="134"/>
        <item x="21"/>
        <item x="944"/>
        <item x="666"/>
        <item x="1127"/>
        <item x="375"/>
        <item x="178"/>
        <item x="843"/>
        <item x="737"/>
        <item x="972"/>
        <item x="1066"/>
        <item x="530"/>
        <item x="996"/>
        <item x="442"/>
        <item x="498"/>
        <item x="538"/>
        <item x="1080"/>
        <item x="242"/>
        <item x="698"/>
        <item x="184"/>
        <item x="1093"/>
        <item x="79"/>
        <item x="750"/>
        <item x="104"/>
        <item x="191"/>
        <item x="617"/>
        <item x="175"/>
        <item x="378"/>
        <item x="775"/>
        <item x="400"/>
        <item x="1022"/>
        <item x="704"/>
        <item x="237"/>
        <item x="103"/>
        <item x="640"/>
        <item x="469"/>
        <item x="980"/>
        <item x="293"/>
        <item x="863"/>
        <item x="325"/>
        <item x="65"/>
        <item x="864"/>
        <item x="842"/>
        <item x="241"/>
        <item x="742"/>
        <item x="302"/>
        <item x="240"/>
        <item x="476"/>
        <item x="836"/>
        <item x="758"/>
        <item x="791"/>
        <item x="327"/>
        <item x="395"/>
        <item x="984"/>
        <item x="992"/>
        <item x="629"/>
        <item x="405"/>
        <item x="102"/>
        <item x="131"/>
        <item x="298"/>
        <item x="524"/>
        <item x="449"/>
        <item x="99"/>
        <item x="1120"/>
        <item x="558"/>
        <item x="1063"/>
        <item x="350"/>
        <item x="1122"/>
        <item x="153"/>
        <item x="14"/>
        <item x="195"/>
        <item x="389"/>
        <item x="120"/>
        <item x="361"/>
        <item x="32"/>
        <item x="234"/>
        <item x="549"/>
        <item x="652"/>
        <item x="382"/>
        <item x="432"/>
        <item x="169"/>
        <item x="533"/>
        <item x="762"/>
        <item x="969"/>
        <item x="146"/>
        <item x="1049"/>
        <item x="404"/>
        <item x="517"/>
        <item x="364"/>
        <item x="587"/>
        <item x="278"/>
        <item x="986"/>
        <item x="197"/>
        <item x="386"/>
        <item x="185"/>
        <item x="920"/>
        <item x="90"/>
        <item x="964"/>
        <item x="105"/>
        <item x="885"/>
        <item x="180"/>
        <item x="182"/>
        <item x="58"/>
        <item x="265"/>
        <item x="264"/>
        <item x="1189"/>
        <item x="1060"/>
        <item x="431"/>
        <item x="860"/>
        <item x="898"/>
        <item x="189"/>
        <item x="871"/>
        <item x="429"/>
        <item x="216"/>
        <item x="1064"/>
        <item x="73"/>
        <item x="1068"/>
        <item x="401"/>
        <item x="606"/>
        <item x="545"/>
        <item x="800"/>
        <item x="171"/>
        <item x="128"/>
        <item x="783"/>
        <item x="928"/>
        <item x="854"/>
        <item x="235"/>
        <item x="766"/>
        <item x="539"/>
        <item x="603"/>
        <item x="323"/>
        <item x="767"/>
        <item x="761"/>
        <item x="1139"/>
        <item x="1104"/>
        <item x="284"/>
        <item x="699"/>
        <item x="706"/>
        <item x="1046"/>
        <item x="663"/>
        <item x="622"/>
        <item x="673"/>
        <item x="245"/>
        <item x="202"/>
        <item x="311"/>
        <item x="336"/>
        <item x="346"/>
        <item x="593"/>
        <item x="567"/>
        <item x="353"/>
        <item x="669"/>
        <item x="812"/>
        <item x="282"/>
        <item x="391"/>
        <item x="381"/>
        <item x="872"/>
        <item x="605"/>
        <item x="561"/>
        <item x="1072"/>
        <item x="588"/>
        <item x="1030"/>
        <item x="204"/>
        <item x="147"/>
        <item x="227"/>
        <item x="953"/>
        <item x="1070"/>
        <item x="796"/>
        <item x="488"/>
        <item x="787"/>
        <item x="660"/>
        <item x="526"/>
        <item x="453"/>
        <item x="683"/>
        <item x="712"/>
        <item x="408"/>
        <item x="77"/>
        <item x="740"/>
        <item x="568"/>
        <item x="967"/>
        <item x="41"/>
        <item x="249"/>
        <item x="625"/>
        <item x="347"/>
        <item x="637"/>
        <item x="337"/>
        <item x="508"/>
        <item x="686"/>
        <item x="866"/>
        <item x="212"/>
        <item x="419"/>
        <item x="916"/>
        <item x="172"/>
        <item x="465"/>
        <item x="707"/>
        <item x="656"/>
        <item x="528"/>
        <item x="799"/>
        <item x="724"/>
        <item x="554"/>
        <item x="504"/>
        <item x="756"/>
        <item x="1164"/>
        <item x="98"/>
        <item x="279"/>
        <item x="668"/>
        <item x="621"/>
        <item x="354"/>
        <item x="862"/>
        <item x="840"/>
        <item x="1144"/>
        <item x="108"/>
        <item x="590"/>
        <item x="833"/>
        <item x="0"/>
        <item x="546"/>
        <item x="321"/>
        <item x="60"/>
        <item x="1158"/>
        <item x="974"/>
        <item x="290"/>
        <item x="433"/>
        <item x="1108"/>
        <item x="1047"/>
        <item x="779"/>
        <item x="817"/>
        <item x="112"/>
        <item x="1057"/>
        <item x="1079"/>
        <item x="804"/>
        <item x="369"/>
        <item x="409"/>
        <item x="976"/>
        <item x="672"/>
        <item x="1017"/>
        <item x="901"/>
        <item x="495"/>
        <item x="399"/>
        <item x="343"/>
        <item x="1151"/>
        <item x="462"/>
        <item x="55"/>
        <item x="228"/>
        <item x="163"/>
        <item x="1096"/>
        <item x="1069"/>
        <item x="1105"/>
        <item x="703"/>
        <item x="769"/>
        <item x="427"/>
        <item x="461"/>
        <item x="831"/>
        <item x="413"/>
        <item x="900"/>
        <item x="948"/>
        <item x="329"/>
        <item x="482"/>
        <item x="451"/>
        <item x="411"/>
        <item x="815"/>
        <item x="850"/>
        <item x="188"/>
        <item x="1025"/>
        <item x="1065"/>
        <item x="1155"/>
        <item x="100"/>
        <item x="846"/>
        <item x="886"/>
        <item x="472"/>
        <item x="586"/>
        <item x="1075"/>
        <item x="233"/>
        <item x="1042"/>
        <item x="1095"/>
        <item x="78"/>
        <item x="225"/>
        <item x="720"/>
        <item x="331"/>
        <item x="826"/>
        <item x="857"/>
        <item x="1172"/>
        <item x="1018"/>
        <item x="349"/>
        <item x="907"/>
        <item x="584"/>
        <item x="914"/>
        <item x="148"/>
        <item x="39"/>
        <item x="303"/>
        <item x="851"/>
        <item x="697"/>
        <item x="858"/>
        <item x="933"/>
        <item x="570"/>
        <item x="509"/>
        <item x="936"/>
        <item x="913"/>
        <item x="785"/>
        <item x="144"/>
        <item x="540"/>
        <item x="1032"/>
        <item x="716"/>
        <item x="770"/>
        <item x="638"/>
        <item x="260"/>
        <item x="1099"/>
        <item x="1115"/>
        <item x="484"/>
        <item x="776"/>
        <item x="194"/>
        <item x="887"/>
        <item x="9"/>
        <item x="1143"/>
        <item x="738"/>
        <item x="793"/>
        <item x="677"/>
        <item x="1029"/>
        <item x="294"/>
        <item x="1192"/>
        <item x="199"/>
        <item x="1181"/>
        <item x="1114"/>
        <item x="1166"/>
        <item x="12"/>
        <item x="471"/>
        <item x="1021"/>
        <item x="1051"/>
        <item x="1118"/>
        <item x="1092"/>
        <item x="896"/>
        <item x="63"/>
        <item x="838"/>
        <item x="1033"/>
        <item x="1001"/>
        <item x="981"/>
        <item x="1119"/>
        <item x="362"/>
        <item x="572"/>
        <item x="238"/>
        <item x="516"/>
        <item x="641"/>
        <item x="1147"/>
        <item x="506"/>
        <item x="417"/>
        <item x="1010"/>
        <item x="782"/>
        <item x="665"/>
        <item x="1058"/>
        <item x="941"/>
        <item x="110"/>
        <item x="481"/>
        <item x="1134"/>
        <item x="744"/>
        <item x="396"/>
        <item x="1074"/>
        <item x="365"/>
        <item x="155"/>
        <item x="755"/>
        <item x="658"/>
        <item x="313"/>
        <item x="807"/>
        <item x="143"/>
        <item x="614"/>
        <item x="1112"/>
        <item x="71"/>
        <item x="1098"/>
        <item x="911"/>
        <item x="743"/>
        <item x="642"/>
        <item x="723"/>
        <item x="497"/>
        <item x="306"/>
        <item x="1050"/>
        <item x="439"/>
        <item x="226"/>
        <item x="571"/>
        <item x="486"/>
        <item x="1136"/>
        <item x="20"/>
        <item x="230"/>
        <item x="459"/>
        <item x="983"/>
        <item x="95"/>
        <item x="151"/>
        <item x="599"/>
        <item x="379"/>
        <item x="1102"/>
        <item x="694"/>
        <item x="721"/>
        <item x="662"/>
        <item x="1097"/>
        <item x="814"/>
        <item x="548"/>
        <item x="319"/>
        <item x="963"/>
        <item x="1135"/>
        <item x="869"/>
        <item x="367"/>
        <item x="1142"/>
        <item x="42"/>
        <item x="1180"/>
        <item x="27"/>
        <item x="1082"/>
        <item x="1043"/>
        <item x="802"/>
        <item x="702"/>
        <item x="630"/>
        <item x="627"/>
        <item x="164"/>
        <item x="609"/>
        <item x="392"/>
        <item x="529"/>
        <item x="543"/>
        <item x="585"/>
        <item x="418"/>
        <item x="634"/>
        <item x="1150"/>
        <item x="13"/>
        <item x="1132"/>
        <item x="773"/>
        <item x="441"/>
        <item x="1171"/>
        <item x="1177"/>
        <item x="931"/>
        <item x="623"/>
        <item x="562"/>
        <item x="501"/>
        <item x="679"/>
        <item x="651"/>
        <item x="818"/>
        <item x="1109"/>
        <item x="30"/>
        <item x="835"/>
        <item x="348"/>
        <item x="918"/>
        <item x="1128"/>
        <item x="608"/>
        <item x="1185"/>
        <item x="825"/>
        <item x="1176"/>
        <item x="985"/>
        <item x="271"/>
        <item x="1186"/>
        <item x="464"/>
        <item x="466"/>
        <item x="709"/>
        <item x="61"/>
        <item x="1081"/>
        <item x="485"/>
        <item x="1024"/>
        <item x="895"/>
        <item x="1037"/>
        <item x="1055"/>
        <item x="1190"/>
        <item x="345"/>
        <item x="520"/>
        <item x="924"/>
        <item x="463"/>
        <item x="745"/>
        <item x="67"/>
        <item x="784"/>
        <item x="805"/>
        <item x="522"/>
        <item x="186"/>
        <item x="499"/>
        <item x="1125"/>
        <item x="428"/>
        <item x="690"/>
        <item x="682"/>
        <item x="1011"/>
        <item x="339"/>
        <item x="542"/>
        <item x="551"/>
        <item x="696"/>
        <item x="899"/>
        <item x="579"/>
        <item x="753"/>
        <item x="763"/>
        <item x="553"/>
        <item x="208"/>
        <item x="754"/>
        <item x="732"/>
        <item x="200"/>
        <item x="951"/>
        <item x="684"/>
        <item x="958"/>
        <item x="444"/>
        <item x="1088"/>
        <item x="483"/>
        <item x="422"/>
        <item x="577"/>
        <item x="1034"/>
        <item x="426"/>
        <item x="655"/>
        <item x="657"/>
        <item x="624"/>
        <item x="536"/>
        <item x="803"/>
        <item x="421"/>
        <item x="1163"/>
        <item x="1012"/>
        <item x="358"/>
        <item x="1013"/>
        <item x="287"/>
        <item x="714"/>
        <item x="489"/>
        <item x="890"/>
        <item x="1160"/>
        <item x="636"/>
        <item x="733"/>
        <item x="908"/>
        <item x="946"/>
        <item x="139"/>
        <item x="280"/>
        <item x="474"/>
        <item x="701"/>
        <item x="341"/>
        <item x="1103"/>
        <item x="768"/>
        <item x="604"/>
        <item x="718"/>
        <item x="809"/>
        <item x="207"/>
        <item x="174"/>
        <item x="64"/>
        <item x="210"/>
        <item x="644"/>
        <item x="852"/>
        <item x="1154"/>
        <item x="507"/>
        <item x="309"/>
        <item x="424"/>
        <item x="521"/>
        <item x="661"/>
        <item x="1028"/>
        <item x="752"/>
        <item x="681"/>
        <item x="333"/>
        <item x="393"/>
        <item x="975"/>
        <item x="909"/>
        <item x="746"/>
        <item x="445"/>
        <item x="722"/>
        <item x="268"/>
        <item x="91"/>
        <item x="919"/>
        <item x="1005"/>
        <item x="888"/>
        <item x="795"/>
        <item x="183"/>
        <item x="1006"/>
        <item x="190"/>
        <item x="610"/>
        <item x="1184"/>
        <item x="760"/>
        <item x="1087"/>
        <item x="334"/>
        <item x="615"/>
        <item x="297"/>
        <item x="1019"/>
        <item x="477"/>
        <item x="884"/>
        <item x="961"/>
        <item x="4"/>
        <item x="917"/>
        <item x="819"/>
        <item x="878"/>
        <item x="283"/>
        <item x="383"/>
        <item x="925"/>
        <item x="566"/>
        <item x="338"/>
        <item x="915"/>
        <item x="950"/>
        <item x="912"/>
        <item x="922"/>
        <item x="999"/>
        <item x="479"/>
        <item x="473"/>
        <item x="674"/>
        <item x="454"/>
        <item x="132"/>
        <item x="834"/>
        <item x="387"/>
        <item x="10"/>
        <item x="1121"/>
        <item x="693"/>
        <item x="115"/>
        <item x="904"/>
        <item x="359"/>
        <item x="322"/>
        <item x="28"/>
        <item x="518"/>
        <item x="357"/>
        <item x="281"/>
        <item x="938"/>
        <item x="246"/>
        <item x="1126"/>
        <item x="3"/>
        <item x="827"/>
        <item x="710"/>
        <item x="219"/>
        <item x="126"/>
        <item x="222"/>
        <item x="1169"/>
        <item x="777"/>
        <item x="547"/>
        <item x="244"/>
        <item x="1145"/>
        <item x="868"/>
        <item x="440"/>
        <item x="161"/>
        <item x="308"/>
        <item x="523"/>
        <item x="8"/>
        <item x="730"/>
        <item x="708"/>
        <item x="438"/>
        <item x="490"/>
        <item x="565"/>
        <item x="410"/>
        <item x="239"/>
        <item x="954"/>
        <item x="691"/>
        <item x="977"/>
        <item x="258"/>
        <item x="193"/>
        <item x="631"/>
        <item x="839"/>
        <item x="1107"/>
        <item x="1187"/>
        <item x="510"/>
        <item x="934"/>
        <item x="435"/>
        <item x="532"/>
        <item x="574"/>
        <item x="351"/>
        <item x="366"/>
        <item x="667"/>
        <item x="801"/>
        <item x="315"/>
        <item x="717"/>
        <item x="747"/>
        <item x="412"/>
        <item x="1084"/>
        <item x="142"/>
        <item x="43"/>
        <item x="487"/>
        <item x="217"/>
        <item x="987"/>
        <item x="598"/>
        <item x="34"/>
        <item x="531"/>
        <item x="170"/>
        <item x="229"/>
        <item x="1090"/>
        <item x="725"/>
        <item x="845"/>
        <item x="69"/>
        <item x="494"/>
        <item x="37"/>
        <item x="289"/>
        <item x="166"/>
        <item x="205"/>
        <item x="305"/>
        <item x="371"/>
        <item x="140"/>
        <item x="607"/>
        <item x="356"/>
        <item x="537"/>
        <item x="84"/>
        <item x="514"/>
        <item x="51"/>
        <item x="156"/>
        <item x="407"/>
        <item x="87"/>
        <item x="713"/>
        <item x="86"/>
        <item x="363"/>
        <item x="1133"/>
        <item x="1007"/>
        <item x="578"/>
        <item x="947"/>
        <item x="687"/>
        <item x="689"/>
        <item x="1111"/>
        <item x="276"/>
        <item x="993"/>
        <item x="299"/>
        <item x="160"/>
        <item x="168"/>
        <item x="251"/>
        <item x="272"/>
        <item x="267"/>
        <item x="1141"/>
        <item x="167"/>
        <item x="414"/>
        <item x="385"/>
        <item x="810"/>
        <item x="711"/>
        <item x="982"/>
        <item x="891"/>
        <item x="906"/>
        <item x="468"/>
        <item x="286"/>
        <item x="726"/>
        <item x="380"/>
        <item x="92"/>
        <item x="515"/>
        <item x="114"/>
        <item x="437"/>
        <item x="597"/>
        <item x="89"/>
        <item x="695"/>
        <item x="894"/>
        <item x="997"/>
        <item x="735"/>
        <item x="1116"/>
        <item x="15"/>
        <item x="910"/>
        <item x="965"/>
        <item x="648"/>
        <item x="635"/>
        <item x="841"/>
        <item x="434"/>
        <item x="328"/>
        <item x="107"/>
        <item x="1146"/>
        <item x="373"/>
        <item x="133"/>
        <item x="390"/>
        <item x="824"/>
        <item x="832"/>
        <item x="16"/>
        <item x="1039"/>
        <item x="1061"/>
        <item x="1016"/>
        <item x="848"/>
        <item x="1193"/>
        <item x="600"/>
        <item x="1091"/>
        <item x="995"/>
        <item x="563"/>
        <item x="503"/>
        <item x="196"/>
        <item x="1054"/>
        <item x="273"/>
        <item x="261"/>
        <item x="316"/>
        <item x="1077"/>
        <item x="939"/>
        <item x="187"/>
        <item x="902"/>
        <item x="855"/>
        <item x="647"/>
        <item x="774"/>
        <item x="935"/>
        <item x="619"/>
        <item x="129"/>
        <item x="1094"/>
        <item x="541"/>
        <item x="955"/>
        <item x="1157"/>
        <item x="865"/>
        <item x="165"/>
        <item x="1148"/>
        <item x="739"/>
        <item x="794"/>
        <item x="1174"/>
        <item x="525"/>
        <item x="223"/>
        <item x="595"/>
        <item x="943"/>
        <item x="626"/>
        <item x="406"/>
        <item x="394"/>
        <item x="25"/>
        <item x="822"/>
        <item x="1076"/>
        <item x="611"/>
        <item x="557"/>
        <item x="798"/>
        <item x="135"/>
        <item x="957"/>
        <item x="966"/>
        <item x="602"/>
        <item x="116"/>
        <item x="680"/>
        <item x="905"/>
        <item x="443"/>
        <item x="1173"/>
        <item x="1052"/>
        <item x="1041"/>
        <item x="198"/>
        <item x="415"/>
        <item x="154"/>
        <item x="2"/>
        <item x="875"/>
        <item x="425"/>
        <item x="581"/>
        <item x="1002"/>
        <item x="990"/>
        <item x="959"/>
        <item x="5"/>
        <item x="335"/>
        <item x="757"/>
        <item x="1137"/>
        <item x="1110"/>
        <item x="1048"/>
        <item x="377"/>
        <item x="700"/>
        <item x="989"/>
        <item x="332"/>
        <item x="1053"/>
        <item x="344"/>
        <item x="40"/>
        <item x="552"/>
        <item x="201"/>
        <item x="971"/>
        <item x="352"/>
        <item x="675"/>
        <item x="646"/>
        <item x="398"/>
        <item x="580"/>
        <item x="998"/>
        <item x="214"/>
        <item x="1038"/>
        <item x="288"/>
        <item x="176"/>
        <item x="285"/>
        <item x="749"/>
        <item x="1130"/>
        <item x="66"/>
        <item x="956"/>
        <item x="962"/>
        <item x="403"/>
        <item x="764"/>
        <item x="18"/>
        <item x="72"/>
        <item x="1138"/>
        <item x="492"/>
        <item x="457"/>
        <item x="478"/>
        <item x="312"/>
        <item x="771"/>
        <item x="1168"/>
        <item x="1140"/>
        <item x="927"/>
        <item x="601"/>
        <item x="813"/>
        <item x="1156"/>
        <item x="68"/>
        <item x="1023"/>
        <item x="589"/>
        <item x="31"/>
        <item x="118"/>
        <item x="932"/>
        <item x="790"/>
        <item x="53"/>
        <item x="372"/>
        <item x="270"/>
        <item x="1000"/>
        <item x="1044"/>
        <item x="576"/>
        <item x="808"/>
        <item x="988"/>
        <item x="254"/>
        <item x="731"/>
        <item x="643"/>
        <item x="535"/>
        <item x="1179"/>
        <item x="177"/>
        <item x="1009"/>
        <item x="583"/>
        <item x="448"/>
        <item x="859"/>
        <item x="1167"/>
        <item x="330"/>
        <item x="26"/>
        <item x="263"/>
        <item x="719"/>
        <item x="1085"/>
        <item x="873"/>
        <item x="979"/>
        <item x="659"/>
        <item x="772"/>
        <item x="921"/>
        <item x="1161"/>
        <item x="876"/>
        <item x="480"/>
        <item x="705"/>
        <item x="1183"/>
        <item x="456"/>
        <item x="1078"/>
        <item x="320"/>
        <item x="340"/>
        <item x="1113"/>
        <item x="811"/>
        <item x="360"/>
        <item x="519"/>
        <item x="870"/>
        <item x="121"/>
        <item x="591"/>
        <item x="893"/>
        <item x="1045"/>
        <item x="970"/>
        <item x="786"/>
        <item x="1071"/>
        <item x="788"/>
        <item x="923"/>
        <item x="158"/>
        <item x="1003"/>
        <item x="853"/>
        <item x="544"/>
        <item x="1040"/>
        <item x="402"/>
        <item x="960"/>
        <item x="654"/>
        <item x="370"/>
        <item x="355"/>
        <item x="420"/>
        <item x="300"/>
        <item x="221"/>
        <item x="883"/>
        <item x="556"/>
        <item x="1008"/>
        <item x="130"/>
        <item x="816"/>
        <item x="318"/>
        <item x="511"/>
        <item x="452"/>
        <item x="137"/>
        <item x="231"/>
        <item x="882"/>
        <item x="94"/>
        <item x="502"/>
        <item x="897"/>
        <item x="326"/>
        <item x="612"/>
        <item x="1100"/>
        <item x="881"/>
        <item x="236"/>
        <item x="1067"/>
        <item x="491"/>
        <item x="1056"/>
        <item x="632"/>
        <item x="232"/>
        <item x="173"/>
        <item x="211"/>
        <item x="1031"/>
        <item x="844"/>
        <item x="213"/>
        <item x="259"/>
        <item x="275"/>
        <item x="1014"/>
        <item x="670"/>
        <item x="685"/>
        <item x="639"/>
        <item x="847"/>
        <item x="1059"/>
        <item x="141"/>
        <item x="206"/>
        <item x="162"/>
        <item x="582"/>
        <item x="215"/>
        <item x="940"/>
        <item x="555"/>
        <item x="978"/>
        <item x="475"/>
        <item x="534"/>
        <item x="926"/>
        <item x="1182"/>
        <item x="1191"/>
        <item x="397"/>
        <item x="159"/>
        <item x="505"/>
        <item x="789"/>
        <item x="1106"/>
        <item x="877"/>
        <item x="181"/>
        <item x="949"/>
        <item x="1020"/>
        <item x="1086"/>
        <item x="74"/>
        <item x="1153"/>
        <item x="821"/>
        <item x="513"/>
        <item x="1004"/>
        <item x="388"/>
        <item x="596"/>
        <item x="1083"/>
        <item x="1149"/>
        <item x="823"/>
        <item x="7"/>
        <item x="937"/>
        <item x="837"/>
        <item x="47"/>
        <item x="512"/>
        <item x="728"/>
        <item x="243"/>
        <item x="1194"/>
        <item x="117"/>
        <item x="692"/>
        <item x="727"/>
        <item x="374"/>
        <item x="1178"/>
        <item x="1036"/>
        <item x="741"/>
        <item x="1035"/>
        <item x="994"/>
        <item x="48"/>
        <item x="24"/>
        <item t="default"/>
      </items>
    </pivotField>
    <pivotField showAll="0"/>
    <pivotField showAll="0"/>
    <pivotField showAll="0"/>
    <pivotField showAll="0">
      <items count="434">
        <item x="250"/>
        <item x="54"/>
        <item x="222"/>
        <item x="409"/>
        <item x="396"/>
        <item x="384"/>
        <item x="275"/>
        <item x="363"/>
        <item x="427"/>
        <item x="413"/>
        <item x="401"/>
        <item x="328"/>
        <item x="424"/>
        <item x="408"/>
        <item x="423"/>
        <item x="151"/>
        <item x="366"/>
        <item x="36"/>
        <item x="254"/>
        <item x="357"/>
        <item x="177"/>
        <item x="392"/>
        <item x="251"/>
        <item x="273"/>
        <item x="377"/>
        <item x="385"/>
        <item x="402"/>
        <item x="105"/>
        <item x="420"/>
        <item x="403"/>
        <item x="407"/>
        <item x="293"/>
        <item x="332"/>
        <item x="425"/>
        <item x="368"/>
        <item x="397"/>
        <item x="167"/>
        <item x="430"/>
        <item x="111"/>
        <item x="394"/>
        <item x="410"/>
        <item x="414"/>
        <item x="382"/>
        <item x="431"/>
        <item x="242"/>
        <item x="179"/>
        <item x="349"/>
        <item x="418"/>
        <item x="429"/>
        <item x="223"/>
        <item x="213"/>
        <item x="291"/>
        <item x="71"/>
        <item x="426"/>
        <item x="16"/>
        <item x="422"/>
        <item x="23"/>
        <item x="117"/>
        <item x="405"/>
        <item x="15"/>
        <item x="123"/>
        <item x="58"/>
        <item x="68"/>
        <item x="209"/>
        <item x="277"/>
        <item x="157"/>
        <item x="81"/>
        <item x="196"/>
        <item x="282"/>
        <item x="295"/>
        <item x="247"/>
        <item x="241"/>
        <item x="22"/>
        <item x="361"/>
        <item x="135"/>
        <item x="314"/>
        <item x="204"/>
        <item x="307"/>
        <item x="347"/>
        <item x="214"/>
        <item x="98"/>
        <item x="309"/>
        <item x="104"/>
        <item x="138"/>
        <item x="33"/>
        <item x="14"/>
        <item x="389"/>
        <item x="308"/>
        <item x="91"/>
        <item x="94"/>
        <item x="364"/>
        <item x="226"/>
        <item x="193"/>
        <item x="131"/>
        <item x="27"/>
        <item x="100"/>
        <item x="281"/>
        <item x="83"/>
        <item x="29"/>
        <item x="92"/>
        <item x="386"/>
        <item x="70"/>
        <item x="141"/>
        <item x="306"/>
        <item x="38"/>
        <item x="1"/>
        <item x="283"/>
        <item x="139"/>
        <item x="21"/>
        <item x="87"/>
        <item x="62"/>
        <item x="274"/>
        <item x="303"/>
        <item x="171"/>
        <item x="32"/>
        <item x="321"/>
        <item x="208"/>
        <item x="137"/>
        <item x="5"/>
        <item x="239"/>
        <item x="188"/>
        <item x="215"/>
        <item x="37"/>
        <item x="154"/>
        <item x="354"/>
        <item x="259"/>
        <item x="85"/>
        <item x="40"/>
        <item x="353"/>
        <item x="130"/>
        <item x="260"/>
        <item x="327"/>
        <item x="172"/>
        <item x="236"/>
        <item x="238"/>
        <item x="4"/>
        <item x="262"/>
        <item x="261"/>
        <item x="302"/>
        <item x="197"/>
        <item x="180"/>
        <item x="162"/>
        <item x="7"/>
        <item x="398"/>
        <item x="355"/>
        <item x="185"/>
        <item x="358"/>
        <item x="248"/>
        <item x="292"/>
        <item x="42"/>
        <item x="142"/>
        <item x="232"/>
        <item x="198"/>
        <item x="78"/>
        <item x="300"/>
        <item x="158"/>
        <item x="224"/>
        <item x="257"/>
        <item x="388"/>
        <item x="333"/>
        <item x="149"/>
        <item x="13"/>
        <item x="11"/>
        <item x="280"/>
        <item x="375"/>
        <item x="77"/>
        <item x="202"/>
        <item x="343"/>
        <item x="127"/>
        <item x="80"/>
        <item x="35"/>
        <item x="60"/>
        <item x="276"/>
        <item x="315"/>
        <item x="96"/>
        <item x="367"/>
        <item x="173"/>
        <item x="201"/>
        <item x="310"/>
        <item x="298"/>
        <item x="344"/>
        <item x="150"/>
        <item x="244"/>
        <item x="116"/>
        <item x="39"/>
        <item x="113"/>
        <item x="313"/>
        <item x="329"/>
        <item x="263"/>
        <item x="90"/>
        <item x="290"/>
        <item x="10"/>
        <item x="217"/>
        <item x="228"/>
        <item x="234"/>
        <item x="175"/>
        <item x="346"/>
        <item x="140"/>
        <item x="95"/>
        <item x="287"/>
        <item x="271"/>
        <item x="285"/>
        <item x="374"/>
        <item x="155"/>
        <item x="69"/>
        <item x="337"/>
        <item x="19"/>
        <item x="102"/>
        <item x="114"/>
        <item x="340"/>
        <item x="351"/>
        <item x="194"/>
        <item x="252"/>
        <item x="221"/>
        <item x="195"/>
        <item x="153"/>
        <item x="93"/>
        <item x="103"/>
        <item x="128"/>
        <item x="61"/>
        <item x="26"/>
        <item x="174"/>
        <item x="243"/>
        <item x="161"/>
        <item x="17"/>
        <item x="9"/>
        <item x="230"/>
        <item x="235"/>
        <item x="324"/>
        <item x="326"/>
        <item x="121"/>
        <item x="165"/>
        <item x="73"/>
        <item x="325"/>
        <item x="212"/>
        <item x="107"/>
        <item x="186"/>
        <item x="216"/>
        <item x="229"/>
        <item x="163"/>
        <item x="233"/>
        <item x="63"/>
        <item x="106"/>
        <item x="169"/>
        <item x="160"/>
        <item x="46"/>
        <item x="203"/>
        <item x="145"/>
        <item x="265"/>
        <item x="334"/>
        <item x="41"/>
        <item x="178"/>
        <item x="267"/>
        <item x="350"/>
        <item x="52"/>
        <item x="119"/>
        <item x="189"/>
        <item x="378"/>
        <item x="110"/>
        <item x="391"/>
        <item x="184"/>
        <item x="152"/>
        <item x="34"/>
        <item x="18"/>
        <item x="255"/>
        <item x="47"/>
        <item x="122"/>
        <item x="289"/>
        <item x="48"/>
        <item x="237"/>
        <item x="316"/>
        <item x="288"/>
        <item x="57"/>
        <item x="320"/>
        <item x="25"/>
        <item x="31"/>
        <item x="249"/>
        <item x="66"/>
        <item x="294"/>
        <item x="305"/>
        <item x="205"/>
        <item x="258"/>
        <item x="134"/>
        <item x="112"/>
        <item x="76"/>
        <item x="312"/>
        <item x="190"/>
        <item x="297"/>
        <item x="371"/>
        <item x="253"/>
        <item x="227"/>
        <item x="246"/>
        <item x="118"/>
        <item x="359"/>
        <item x="164"/>
        <item x="279"/>
        <item x="199"/>
        <item x="183"/>
        <item x="159"/>
        <item x="129"/>
        <item x="207"/>
        <item x="30"/>
        <item x="82"/>
        <item x="84"/>
        <item x="317"/>
        <item x="264"/>
        <item x="166"/>
        <item x="49"/>
        <item x="335"/>
        <item x="206"/>
        <item x="345"/>
        <item x="132"/>
        <item x="55"/>
        <item x="50"/>
        <item x="268"/>
        <item x="24"/>
        <item x="176"/>
        <item x="67"/>
        <item x="220"/>
        <item x="59"/>
        <item x="45"/>
        <item x="322"/>
        <item x="192"/>
        <item x="72"/>
        <item x="8"/>
        <item x="383"/>
        <item x="219"/>
        <item x="51"/>
        <item x="65"/>
        <item x="147"/>
        <item x="20"/>
        <item x="380"/>
        <item x="79"/>
        <item x="278"/>
        <item x="124"/>
        <item x="240"/>
        <item x="120"/>
        <item x="336"/>
        <item x="231"/>
        <item x="182"/>
        <item x="146"/>
        <item x="86"/>
        <item x="133"/>
        <item x="156"/>
        <item x="318"/>
        <item x="74"/>
        <item x="331"/>
        <item x="99"/>
        <item x="125"/>
        <item x="338"/>
        <item x="144"/>
        <item x="126"/>
        <item x="115"/>
        <item x="191"/>
        <item x="376"/>
        <item x="181"/>
        <item x="53"/>
        <item x="101"/>
        <item x="301"/>
        <item x="311"/>
        <item x="210"/>
        <item x="136"/>
        <item x="89"/>
        <item x="187"/>
        <item x="341"/>
        <item x="143"/>
        <item x="323"/>
        <item x="28"/>
        <item x="148"/>
        <item x="75"/>
        <item x="108"/>
        <item x="245"/>
        <item x="109"/>
        <item x="3"/>
        <item x="339"/>
        <item x="373"/>
        <item x="266"/>
        <item x="399"/>
        <item x="200"/>
        <item x="97"/>
        <item x="225"/>
        <item x="44"/>
        <item x="56"/>
        <item x="168"/>
        <item x="299"/>
        <item x="6"/>
        <item x="256"/>
        <item x="88"/>
        <item x="12"/>
        <item x="272"/>
        <item x="43"/>
        <item x="379"/>
        <item x="404"/>
        <item x="390"/>
        <item x="296"/>
        <item x="400"/>
        <item x="269"/>
        <item x="419"/>
        <item x="395"/>
        <item x="360"/>
        <item x="415"/>
        <item x="356"/>
        <item x="284"/>
        <item x="411"/>
        <item x="286"/>
        <item x="330"/>
        <item x="365"/>
        <item x="2"/>
        <item x="348"/>
        <item x="387"/>
        <item x="270"/>
        <item x="352"/>
        <item x="64"/>
        <item x="381"/>
        <item x="362"/>
        <item x="428"/>
        <item x="416"/>
        <item x="211"/>
        <item x="370"/>
        <item x="372"/>
        <item x="0"/>
        <item x="342"/>
        <item x="319"/>
        <item x="412"/>
        <item x="369"/>
        <item x="304"/>
        <item x="421"/>
        <item x="417"/>
        <item x="406"/>
        <item x="393"/>
        <item x="170"/>
        <item x="218"/>
        <item x="432"/>
        <item t="default"/>
      </items>
    </pivotField>
    <pivotField axis="axisRow" dataField="1" showAll="0">
      <items count="11">
        <item x="0"/>
        <item x="1"/>
        <item x="7"/>
        <item x="4"/>
        <item x="8"/>
        <item x="3"/>
        <item x="5"/>
        <item x="2"/>
        <item x="6"/>
        <item x="9"/>
        <item t="default"/>
      </items>
    </pivotField>
  </pivotFields>
  <rowFields count="1">
    <field x="10"/>
  </rowFields>
  <rowItems count="11">
    <i>
      <x/>
    </i>
    <i>
      <x v="1"/>
    </i>
    <i>
      <x v="2"/>
    </i>
    <i>
      <x v="3"/>
    </i>
    <i>
      <x v="4"/>
    </i>
    <i>
      <x v="5"/>
    </i>
    <i>
      <x v="6"/>
    </i>
    <i>
      <x v="7"/>
    </i>
    <i>
      <x v="8"/>
    </i>
    <i>
      <x v="9"/>
    </i>
    <i t="grand">
      <x/>
    </i>
  </rowItems>
  <colItems count="1">
    <i/>
  </colItems>
  <dataFields count="1">
    <dataField name="Count of Analyst"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FFBBDB-C410-4D59-844B-1D16CFCD30F8}"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4">
    <i>
      <x/>
    </i>
    <i>
      <x v="1"/>
    </i>
    <i>
      <x v="2"/>
    </i>
    <i t="grand">
      <x/>
    </i>
  </colItems>
  <dataFields count="1">
    <dataField name="Distinct Count of Batch_ID" fld="0" subtotal="count" showDataAs="percentOfRow" baseField="1" baseItem="0" numFmtId="10">
      <extLst>
        <ext xmlns:x15="http://schemas.microsoft.com/office/spreadsheetml/2010/11/main" uri="{FABC7310-3BB5-11E1-824E-6D434824019B}">
          <x15:dataField isCountDistinct="1"/>
        </ext>
      </extLst>
    </dataField>
  </dataFields>
  <pivotHierarchies count="1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Batch_ID"/>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IMS_Export_worked!$B$2:$O$201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A75BD9-69F6-47A4-8FB0-C3EDBDE49C7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
  <location ref="A3:E12" firstHeaderRow="1" firstDataRow="2" firstDataCol="1"/>
  <pivotFields count="17">
    <pivotField dataField="1" showAll="0"/>
    <pivotField showAll="0"/>
    <pivotField showAll="0"/>
    <pivotField showAll="0"/>
    <pivotField axis="axisRow" showAll="0">
      <items count="8">
        <item x="1"/>
        <item x="6"/>
        <item x="4"/>
        <item x="2"/>
        <item x="5"/>
        <item x="3"/>
        <item x="0"/>
        <item t="default"/>
      </items>
    </pivotField>
    <pivotField showAll="0"/>
    <pivotField axis="axisCol" showAll="0">
      <items count="4">
        <item x="1"/>
        <item x="2"/>
        <item x="0"/>
        <item t="default"/>
      </items>
    </pivotField>
    <pivotField showAll="0"/>
    <pivotField showAll="0"/>
    <pivotField showAll="0"/>
    <pivotField showAll="0"/>
    <pivotField showAll="0"/>
    <pivotField numFmtId="17" showAll="0">
      <items count="334">
        <item x="15"/>
        <item x="118"/>
        <item x="56"/>
        <item x="66"/>
        <item x="200"/>
        <item x="258"/>
        <item x="151"/>
        <item x="78"/>
        <item x="187"/>
        <item x="263"/>
        <item x="273"/>
        <item x="235"/>
        <item x="229"/>
        <item x="22"/>
        <item x="319"/>
        <item x="130"/>
        <item x="288"/>
        <item x="195"/>
        <item x="283"/>
        <item x="311"/>
        <item x="204"/>
        <item x="95"/>
        <item x="285"/>
        <item x="100"/>
        <item x="133"/>
        <item x="0"/>
        <item x="14"/>
        <item x="329"/>
        <item x="284"/>
        <item x="88"/>
        <item x="91"/>
        <item x="106"/>
        <item x="214"/>
        <item x="184"/>
        <item x="126"/>
        <item x="27"/>
        <item x="97"/>
        <item x="262"/>
        <item x="80"/>
        <item x="29"/>
        <item x="89"/>
        <item x="242"/>
        <item x="68"/>
        <item x="101"/>
        <item x="282"/>
        <item x="37"/>
        <item x="1"/>
        <item x="264"/>
        <item x="134"/>
        <item x="21"/>
        <item x="84"/>
        <item x="60"/>
        <item x="256"/>
        <item x="280"/>
        <item x="164"/>
        <item x="32"/>
        <item x="292"/>
        <item x="199"/>
        <item x="132"/>
        <item x="5"/>
        <item x="227"/>
        <item x="179"/>
        <item x="205"/>
        <item x="36"/>
        <item x="148"/>
        <item x="315"/>
        <item x="247"/>
        <item x="82"/>
        <item x="39"/>
        <item x="314"/>
        <item x="125"/>
        <item x="248"/>
        <item x="296"/>
        <item x="165"/>
        <item x="224"/>
        <item x="226"/>
        <item x="4"/>
        <item x="249"/>
        <item x="112"/>
        <item x="279"/>
        <item x="188"/>
        <item x="171"/>
        <item x="156"/>
        <item x="7"/>
        <item x="331"/>
        <item x="316"/>
        <item x="176"/>
        <item x="317"/>
        <item x="236"/>
        <item x="271"/>
        <item x="41"/>
        <item x="136"/>
        <item x="220"/>
        <item x="189"/>
        <item x="75"/>
        <item x="277"/>
        <item x="152"/>
        <item x="212"/>
        <item x="245"/>
        <item x="328"/>
        <item x="299"/>
        <item x="143"/>
        <item x="13"/>
        <item x="11"/>
        <item x="261"/>
        <item x="322"/>
        <item x="74"/>
        <item x="193"/>
        <item x="307"/>
        <item x="122"/>
        <item x="77"/>
        <item x="34"/>
        <item x="58"/>
        <item x="257"/>
        <item x="289"/>
        <item x="93"/>
        <item x="320"/>
        <item x="166"/>
        <item x="192"/>
        <item x="286"/>
        <item x="275"/>
        <item x="308"/>
        <item x="144"/>
        <item x="232"/>
        <item x="111"/>
        <item x="38"/>
        <item x="108"/>
        <item x="52"/>
        <item x="297"/>
        <item x="145"/>
        <item x="87"/>
        <item x="270"/>
        <item x="10"/>
        <item x="161"/>
        <item x="216"/>
        <item x="222"/>
        <item x="168"/>
        <item x="310"/>
        <item x="135"/>
        <item x="92"/>
        <item x="267"/>
        <item x="254"/>
        <item x="265"/>
        <item x="321"/>
        <item x="149"/>
        <item x="67"/>
        <item x="302"/>
        <item x="19"/>
        <item x="23"/>
        <item x="109"/>
        <item x="305"/>
        <item x="312"/>
        <item x="185"/>
        <item x="240"/>
        <item x="209"/>
        <item x="186"/>
        <item x="147"/>
        <item x="90"/>
        <item x="99"/>
        <item x="123"/>
        <item x="59"/>
        <item x="26"/>
        <item x="167"/>
        <item x="231"/>
        <item x="155"/>
        <item x="17"/>
        <item x="9"/>
        <item x="218"/>
        <item x="223"/>
        <item x="210"/>
        <item x="295"/>
        <item x="116"/>
        <item x="159"/>
        <item x="71"/>
        <item x="294"/>
        <item x="203"/>
        <item x="103"/>
        <item x="177"/>
        <item x="206"/>
        <item x="217"/>
        <item x="157"/>
        <item x="221"/>
        <item x="61"/>
        <item x="102"/>
        <item x="163"/>
        <item x="154"/>
        <item x="45"/>
        <item x="194"/>
        <item x="139"/>
        <item x="251"/>
        <item x="300"/>
        <item x="40"/>
        <item x="170"/>
        <item x="252"/>
        <item x="313"/>
        <item x="50"/>
        <item x="114"/>
        <item x="180"/>
        <item x="324"/>
        <item x="105"/>
        <item x="330"/>
        <item x="175"/>
        <item x="146"/>
        <item x="33"/>
        <item x="18"/>
        <item x="243"/>
        <item x="46"/>
        <item x="117"/>
        <item x="269"/>
        <item x="47"/>
        <item x="225"/>
        <item x="230"/>
        <item x="268"/>
        <item x="55"/>
        <item x="291"/>
        <item x="25"/>
        <item x="31"/>
        <item x="237"/>
        <item x="64"/>
        <item x="272"/>
        <item x="281"/>
        <item x="196"/>
        <item x="246"/>
        <item x="129"/>
        <item x="107"/>
        <item x="73"/>
        <item x="287"/>
        <item x="181"/>
        <item x="274"/>
        <item x="211"/>
        <item x="241"/>
        <item x="215"/>
        <item x="234"/>
        <item x="113"/>
        <item x="318"/>
        <item x="158"/>
        <item x="260"/>
        <item x="190"/>
        <item x="174"/>
        <item x="153"/>
        <item x="124"/>
        <item x="198"/>
        <item x="30"/>
        <item x="79"/>
        <item x="81"/>
        <item x="16"/>
        <item x="250"/>
        <item x="160"/>
        <item x="48"/>
        <item x="301"/>
        <item x="197"/>
        <item x="309"/>
        <item x="127"/>
        <item x="53"/>
        <item x="35"/>
        <item x="253"/>
        <item x="24"/>
        <item x="169"/>
        <item x="65"/>
        <item x="208"/>
        <item x="57"/>
        <item x="44"/>
        <item x="238"/>
        <item x="183"/>
        <item x="70"/>
        <item x="8"/>
        <item x="327"/>
        <item x="207"/>
        <item x="49"/>
        <item x="63"/>
        <item x="141"/>
        <item x="20"/>
        <item x="326"/>
        <item x="76"/>
        <item x="259"/>
        <item x="119"/>
        <item x="228"/>
        <item x="115"/>
        <item x="239"/>
        <item x="219"/>
        <item x="173"/>
        <item x="140"/>
        <item x="83"/>
        <item x="128"/>
        <item x="150"/>
        <item x="290"/>
        <item x="2"/>
        <item x="298"/>
        <item x="96"/>
        <item x="120"/>
        <item x="303"/>
        <item x="138"/>
        <item x="121"/>
        <item x="110"/>
        <item x="182"/>
        <item x="323"/>
        <item x="172"/>
        <item x="51"/>
        <item x="98"/>
        <item x="278"/>
        <item x="62"/>
        <item x="201"/>
        <item x="131"/>
        <item x="86"/>
        <item x="178"/>
        <item x="306"/>
        <item x="137"/>
        <item x="293"/>
        <item x="28"/>
        <item x="142"/>
        <item x="72"/>
        <item x="104"/>
        <item x="233"/>
        <item x="69"/>
        <item x="3"/>
        <item x="304"/>
        <item x="266"/>
        <item x="202"/>
        <item x="332"/>
        <item x="191"/>
        <item x="94"/>
        <item x="213"/>
        <item x="43"/>
        <item x="54"/>
        <item x="162"/>
        <item x="276"/>
        <item x="6"/>
        <item x="244"/>
        <item x="85"/>
        <item x="12"/>
        <item x="255"/>
        <item x="42"/>
        <item x="325"/>
        <item t="default"/>
      </items>
    </pivotField>
    <pivotField showAll="0"/>
    <pivotField showAll="0" defaultSubtotal="0"/>
    <pivotField showAll="0" defaultSubtotal="0"/>
    <pivotField showAll="0" defaultSubtotal="0">
      <items count="4">
        <item x="0"/>
        <item x="1"/>
        <item x="2"/>
        <item x="3"/>
      </items>
    </pivotField>
  </pivotFields>
  <rowFields count="1">
    <field x="4"/>
  </rowFields>
  <rowItems count="8">
    <i>
      <x/>
    </i>
    <i>
      <x v="1"/>
    </i>
    <i>
      <x v="2"/>
    </i>
    <i>
      <x v="3"/>
    </i>
    <i>
      <x v="4"/>
    </i>
    <i>
      <x v="5"/>
    </i>
    <i>
      <x v="6"/>
    </i>
    <i t="grand">
      <x/>
    </i>
  </rowItems>
  <colFields count="1">
    <field x="6"/>
  </colFields>
  <colItems count="4">
    <i>
      <x/>
    </i>
    <i>
      <x v="1"/>
    </i>
    <i>
      <x v="2"/>
    </i>
    <i t="grand">
      <x/>
    </i>
  </colItems>
  <dataFields count="1">
    <dataField name="Count of Sampl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B4FF2B7-048C-4D5E-BAD3-30AE1748E75D}" autoFormatId="16" applyNumberFormats="0" applyBorderFormats="0" applyFontFormats="0" applyPatternFormats="0" applyAlignmentFormats="0" applyWidthHeightFormats="0">
  <queryTableRefresh nextId="7">
    <queryTableFields count="5">
      <queryTableField id="1" name="Batch_ID" tableColumnId="1"/>
      <queryTableField id="3" name="Aggregated_Batch_Result" tableColumnId="2"/>
      <queryTableField id="4" name="Earliest_Test_Date" tableColumnId="3"/>
      <queryTableField id="5" name="Site" tableColumnId="4"/>
      <queryTableField id="6" name="Product Lin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63A8B7A3-CD37-4B26-8984-603A3916F0EF}" sourceName="[Range].[Product_Line]">
  <pivotTables>
    <pivotTable tabId="8" name="PivotTable3"/>
  </pivotTables>
  <data>
    <olap pivotCacheId="584300214">
      <levels count="2">
        <level uniqueName="[Range].[Product_Line].[(All)]" sourceCaption="(All)" count="0"/>
        <level uniqueName="[Range].[Product_Line].[Product_Line]" sourceCaption="Product_Line" count="5">
          <ranges>
            <range startItem="0">
              <i n="[Range].[Product_Line].&amp;[Aroma Chemical]" c="Aroma Chemical"/>
              <i n="[Range].[Product_Line].&amp;[Essential Oil Blend]" c="Essential Oil Blend"/>
              <i n="[Range].[Product_Line].&amp;[Flavor Compound]" c="Flavor Compound"/>
              <i n="[Range].[Product_Line].&amp;[Food Ingredient Extract]" c="Food Ingredient Extract"/>
              <i n="[Range].[Product_Line].&amp;[Fragrance Oil]" c="Fragrance Oil"/>
            </range>
          </ranges>
        </level>
      </levels>
      <selections count="1">
        <selection n="[Range].[Product_Lin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Type" xr10:uid="{DA825E7E-B78B-42EC-B05D-108AC5E81734}" sourceName="[Range].[Test_Type]">
  <pivotTables>
    <pivotTable tabId="8" name="PivotTable3"/>
  </pivotTables>
  <data>
    <olap pivotCacheId="584300214">
      <levels count="2">
        <level uniqueName="[Range].[Test_Type].[(All)]" sourceCaption="(All)" count="0"/>
        <level uniqueName="[Range].[Test_Type].[Test_Type]" sourceCaption="Test_Type" count="7">
          <ranges>
            <range startItem="0">
              <i n="[Range].[Test_Type].&amp;[Density_g_ml]" c="Density_g_ml"/>
              <i n="[Range].[Test_Type].&amp;[Microbial_Count_CFU_g]" c="Microbial_Count_CFU_g"/>
              <i n="[Range].[Test_Type].&amp;[Moisture_Pct]" c="Moisture_Pct"/>
              <i n="[Range].[Test_Type].&amp;[Particle_Size_um]" c="Particle_Size_um"/>
              <i n="[Range].[Test_Type].&amp;[pH]" c="pH"/>
              <i n="[Range].[Test_Type].&amp;[Purity_Pct]" c="Purity_Pct"/>
              <i n="[Range].[Test_Type].&amp;[Residual_Solvent_ppm]" c="Residual_Solvent_ppm"/>
            </range>
          </ranges>
        </level>
      </levels>
      <selections count="1">
        <selection n="[Range].[Test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Line" xr10:uid="{4780E9E4-3E61-4941-B320-3B076C041623}" cache="Slicer_Product_Line" caption="Product_Line" level="1" rowHeight="241300"/>
  <slicer name="Test_Type" xr10:uid="{DD76F252-7A0C-42F4-99F3-5D0A15C67204}" cache="Slicer_Test_Type" caption="Test_Type"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0A0950-DEBC-4533-A0C3-C815379CCE29}" name="Table1" displayName="Table1" ref="A1:N2016" totalsRowShown="0" headerRowDxfId="22" dataDxfId="20" headerRowBorderDxfId="21" tableBorderDxfId="19" totalsRowBorderDxfId="18">
  <autoFilter ref="A1:N2016" xr:uid="{E218ED5B-AAF8-4FE0-9014-EB3CA8A75EA6}"/>
  <tableColumns count="14">
    <tableColumn id="1" xr3:uid="{F99C8B14-2BE1-4B36-9FE8-571720064C05}" name="Sample_ID" dataDxfId="17"/>
    <tableColumn id="2" xr3:uid="{2B3FBEF6-EB8D-471F-9570-0629F1A6312F}" name="Batch_ID" dataDxfId="16"/>
    <tableColumn id="3" xr3:uid="{20227623-50B0-48C2-BC35-859731E24030}" name="Product_Line" dataDxfId="15"/>
    <tableColumn id="4" xr3:uid="{E76F5F57-1B36-4D65-B18C-3E74D1A9D169}" name="Site" dataDxfId="14">
      <calculatedColumnFormula>_xlfn.XLOOKUP(Raw_LIMS_Export!E2,'mapping Site table'!$B$4:$B$14,'mapping Site table'!$C$4:$C$14,Raw_LIMS_Export!E2)</calculatedColumnFormula>
    </tableColumn>
    <tableColumn id="5" xr3:uid="{B150F983-0109-46E5-AC25-8A78894667AA}" name="Test_Type" dataDxfId="13"/>
    <tableColumn id="6" xr3:uid="{E109095B-FC64-414A-A6C7-959AAD64CDB2}" name="Result_Exists" dataDxfId="12">
      <calculatedColumnFormula>IF(I2="",0,1)</calculatedColumnFormula>
    </tableColumn>
    <tableColumn id="7" xr3:uid="{5ACADEC9-0E95-4803-9B01-45CC0640ADB2}" name="Result_Pass" dataDxfId="11">
      <calculatedColumnFormula>IF(I2="", "Missing", IF(AND(I2&gt;=K2, I2&lt;=L2), "Pass", "Fail"))</calculatedColumnFormula>
    </tableColumn>
    <tableColumn id="8" xr3:uid="{C900962C-D0B0-43DB-9676-89C1DB91B248}" name="Batch_Result" dataDxfId="10">
      <calculatedColumnFormula>IF(COUNTIFS($B$2:$B$2016,B2,$G$2:$G$2016,"Fail")&gt;0,"Fail",
  IF(COUNTIFS($B$2:$B$2016,B2,$G$2:$G$2016,"Missing")&gt;0,"Pending",
    "Pass"))</calculatedColumnFormula>
    </tableColumn>
    <tableColumn id="9" xr3:uid="{EB773988-BE58-4400-A6FF-996716BE5016}" name="Result_Value" dataDxfId="9"/>
    <tableColumn id="10" xr3:uid="{C451E338-58BC-42C7-82B5-41393A4011F3}" name="Unit" dataDxfId="8"/>
    <tableColumn id="11" xr3:uid="{B53A0839-256B-475A-ACAA-9A89D3D93A3A}" name="Spec_Lower" dataDxfId="7"/>
    <tableColumn id="12" xr3:uid="{F0C88B95-AA63-4B5E-A128-5F6ED11B02E6}" name="Spec_Upper" dataDxfId="6"/>
    <tableColumn id="13" xr3:uid="{2690DBCD-7BD7-4909-BB17-B9B503BE76DD}" name="Test_Date" dataDxfId="5">
      <calculatedColumnFormula>Raw_LIMS_Export!K2</calculatedColumnFormula>
    </tableColumn>
    <tableColumn id="14" xr3:uid="{C75541DF-4D19-472C-95DA-7E15980040D1}" name="Analyst" dataDxfId="4"/>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C32FF3-36EF-4612-BC88-97ADDA709DF7}" name="Batch_level_table" displayName="Batch_level_table" ref="A1:E447" tableType="queryTable" totalsRowShown="0">
  <autoFilter ref="A1:E447" xr:uid="{4FC32FF3-36EF-4612-BC88-97ADDA709DF7}"/>
  <tableColumns count="5">
    <tableColumn id="1" xr3:uid="{9AB10625-FF53-46D1-B7C7-6BF6B06FD672}" uniqueName="1" name="Batch_ID" queryTableFieldId="1" dataDxfId="3"/>
    <tableColumn id="2" xr3:uid="{654E4DA5-97A1-42E1-BD08-641899B24286}" uniqueName="2" name="Aggregated_Batch_Result" queryTableFieldId="3"/>
    <tableColumn id="3" xr3:uid="{1CD968B8-A253-4782-8A16-FCC030BE0532}" uniqueName="3" name="Earliest_Test_Date" queryTableFieldId="4" dataDxfId="2"/>
    <tableColumn id="4" xr3:uid="{C652D406-18BB-4053-B975-7C04E54B0CF9}" uniqueName="4" name="Site" queryTableFieldId="5" dataDxfId="1"/>
    <tableColumn id="5" xr3:uid="{F2F5ACCA-2A94-45B2-B67A-DBB59C740292}" uniqueName="5" name="Product Lin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8F1E0-C924-42C7-BFBA-4F8E2802E2BA}">
  <dimension ref="B3:I24"/>
  <sheetViews>
    <sheetView topLeftCell="A2" workbookViewId="0">
      <selection activeCell="E15" sqref="E15:F15"/>
      <pivotSelection pane="bottomRight" showHeader="1" extendable="1" axis="axisRow" start="11" max="13" activeRow="14" activeCol="4" previousRow="14" previousCol="4" click="1" r:id="rId2">
        <pivotArea dataOnly="0" fieldPosition="0">
          <references count="1">
            <reference field="3" count="1">
              <x v="11"/>
            </reference>
          </references>
        </pivotArea>
      </pivotSelection>
    </sheetView>
  </sheetViews>
  <sheetFormatPr defaultRowHeight="14.5" x14ac:dyDescent="0.35"/>
  <cols>
    <col min="2" max="2" width="20.36328125" bestFit="1" customWidth="1"/>
    <col min="3" max="3" width="19.7265625" bestFit="1" customWidth="1"/>
    <col min="5" max="5" width="12.36328125" bestFit="1" customWidth="1"/>
    <col min="6" max="6" width="11.6328125" bestFit="1" customWidth="1"/>
    <col min="8" max="8" width="21.08984375" bestFit="1" customWidth="1"/>
    <col min="9" max="9" width="17.26953125" bestFit="1" customWidth="1"/>
  </cols>
  <sheetData>
    <row r="3" spans="2:9" x14ac:dyDescent="0.35">
      <c r="B3" s="1" t="s">
        <v>2933</v>
      </c>
      <c r="C3" t="s">
        <v>2936</v>
      </c>
      <c r="E3" s="1" t="s">
        <v>2933</v>
      </c>
      <c r="F3" t="s">
        <v>2937</v>
      </c>
      <c r="H3" s="1" t="s">
        <v>2933</v>
      </c>
      <c r="I3" t="s">
        <v>2938</v>
      </c>
    </row>
    <row r="4" spans="2:9" x14ac:dyDescent="0.35">
      <c r="B4" s="2" t="s">
        <v>2457</v>
      </c>
      <c r="C4">
        <v>433</v>
      </c>
      <c r="E4" s="2" t="s">
        <v>2467</v>
      </c>
      <c r="F4">
        <v>232</v>
      </c>
      <c r="H4" s="2" t="s">
        <v>2480</v>
      </c>
      <c r="I4">
        <v>285</v>
      </c>
    </row>
    <row r="5" spans="2:9" x14ac:dyDescent="0.35">
      <c r="B5" s="2" t="s">
        <v>2459</v>
      </c>
      <c r="C5">
        <v>413</v>
      </c>
      <c r="E5" s="2" t="s">
        <v>2462</v>
      </c>
      <c r="F5">
        <v>127</v>
      </c>
      <c r="H5" s="2" t="s">
        <v>2485</v>
      </c>
      <c r="I5">
        <v>295</v>
      </c>
    </row>
    <row r="6" spans="2:9" x14ac:dyDescent="0.35">
      <c r="B6" s="2" t="s">
        <v>2461</v>
      </c>
      <c r="C6">
        <v>392</v>
      </c>
      <c r="E6" s="2" t="s">
        <v>2478</v>
      </c>
      <c r="F6">
        <v>105</v>
      </c>
      <c r="H6" s="2" t="s">
        <v>2483</v>
      </c>
      <c r="I6">
        <v>279</v>
      </c>
    </row>
    <row r="7" spans="2:9" x14ac:dyDescent="0.35">
      <c r="B7" s="2" t="s">
        <v>2458</v>
      </c>
      <c r="C7">
        <v>361</v>
      </c>
      <c r="E7" s="2" t="s">
        <v>2471</v>
      </c>
      <c r="F7">
        <v>222</v>
      </c>
      <c r="H7" s="2" t="s">
        <v>2481</v>
      </c>
      <c r="I7">
        <v>311</v>
      </c>
    </row>
    <row r="8" spans="2:9" x14ac:dyDescent="0.35">
      <c r="B8" s="2" t="s">
        <v>2460</v>
      </c>
      <c r="C8">
        <v>416</v>
      </c>
      <c r="E8" s="2" t="s">
        <v>2476</v>
      </c>
      <c r="F8">
        <v>107</v>
      </c>
      <c r="H8" s="2" t="s">
        <v>2484</v>
      </c>
      <c r="I8">
        <v>264</v>
      </c>
    </row>
    <row r="9" spans="2:9" x14ac:dyDescent="0.35">
      <c r="B9" s="2" t="s">
        <v>2934</v>
      </c>
      <c r="E9" s="2" t="s">
        <v>2469</v>
      </c>
      <c r="F9">
        <v>253</v>
      </c>
      <c r="H9" s="2" t="s">
        <v>2482</v>
      </c>
      <c r="I9">
        <v>286</v>
      </c>
    </row>
    <row r="10" spans="2:9" x14ac:dyDescent="0.35">
      <c r="B10" s="2" t="s">
        <v>2935</v>
      </c>
      <c r="C10">
        <v>2015</v>
      </c>
      <c r="E10" s="2" t="s">
        <v>2474</v>
      </c>
      <c r="F10">
        <v>130</v>
      </c>
      <c r="H10" s="2" t="s">
        <v>2479</v>
      </c>
      <c r="I10">
        <v>295</v>
      </c>
    </row>
    <row r="11" spans="2:9" x14ac:dyDescent="0.35">
      <c r="E11" s="2" t="s">
        <v>2470</v>
      </c>
      <c r="F11">
        <v>149</v>
      </c>
      <c r="H11" s="2" t="s">
        <v>2934</v>
      </c>
    </row>
    <row r="12" spans="2:9" x14ac:dyDescent="0.35">
      <c r="E12" s="2" t="s">
        <v>2464</v>
      </c>
      <c r="F12">
        <v>300</v>
      </c>
      <c r="H12" s="2" t="s">
        <v>2935</v>
      </c>
      <c r="I12">
        <v>2015</v>
      </c>
    </row>
    <row r="13" spans="2:9" x14ac:dyDescent="0.35">
      <c r="B13" s="1" t="s">
        <v>2933</v>
      </c>
      <c r="C13" t="s">
        <v>2939</v>
      </c>
      <c r="E13" s="2" t="s">
        <v>2463</v>
      </c>
      <c r="F13">
        <v>299</v>
      </c>
    </row>
    <row r="14" spans="2:9" x14ac:dyDescent="0.35">
      <c r="B14" s="2" t="s">
        <v>2923</v>
      </c>
      <c r="C14">
        <v>197</v>
      </c>
      <c r="E14" s="2" t="s">
        <v>2468</v>
      </c>
      <c r="F14">
        <v>91</v>
      </c>
    </row>
    <row r="15" spans="2:9" x14ac:dyDescent="0.35">
      <c r="B15" s="2" t="s">
        <v>2924</v>
      </c>
      <c r="C15">
        <v>188</v>
      </c>
      <c r="E15" s="2" t="s">
        <v>2934</v>
      </c>
    </row>
    <row r="16" spans="2:9" x14ac:dyDescent="0.35">
      <c r="B16" s="2" t="s">
        <v>2931</v>
      </c>
      <c r="C16">
        <v>214</v>
      </c>
      <c r="E16" s="2" t="s">
        <v>2935</v>
      </c>
      <c r="F16">
        <v>2015</v>
      </c>
    </row>
    <row r="17" spans="2:3" x14ac:dyDescent="0.35">
      <c r="B17" s="2" t="s">
        <v>2927</v>
      </c>
      <c r="C17">
        <v>194</v>
      </c>
    </row>
    <row r="18" spans="2:3" x14ac:dyDescent="0.35">
      <c r="B18" s="2" t="s">
        <v>2932</v>
      </c>
      <c r="C18">
        <v>213</v>
      </c>
    </row>
    <row r="19" spans="2:3" x14ac:dyDescent="0.35">
      <c r="B19" s="2" t="s">
        <v>2926</v>
      </c>
      <c r="C19">
        <v>375</v>
      </c>
    </row>
    <row r="20" spans="2:3" x14ac:dyDescent="0.35">
      <c r="B20" s="2" t="s">
        <v>2929</v>
      </c>
      <c r="C20">
        <v>208</v>
      </c>
    </row>
    <row r="21" spans="2:3" x14ac:dyDescent="0.35">
      <c r="B21" s="2" t="s">
        <v>2925</v>
      </c>
      <c r="C21">
        <v>235</v>
      </c>
    </row>
    <row r="22" spans="2:3" x14ac:dyDescent="0.35">
      <c r="B22" s="2" t="s">
        <v>2930</v>
      </c>
      <c r="C22">
        <v>191</v>
      </c>
    </row>
    <row r="23" spans="2:3" x14ac:dyDescent="0.35">
      <c r="B23" s="2" t="s">
        <v>2934</v>
      </c>
    </row>
    <row r="24" spans="2:3" x14ac:dyDescent="0.35">
      <c r="B24" s="2" t="s">
        <v>2935</v>
      </c>
      <c r="C24">
        <v>2015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12644-BA8C-49C5-A0AB-AC81F23C514C}">
  <dimension ref="B2:C14"/>
  <sheetViews>
    <sheetView workbookViewId="0">
      <selection activeCell="E14" sqref="E14"/>
    </sheetView>
  </sheetViews>
  <sheetFormatPr defaultRowHeight="14.5" x14ac:dyDescent="0.35"/>
  <cols>
    <col min="1" max="1" width="12.36328125" bestFit="1" customWidth="1"/>
    <col min="2" max="2" width="12.1796875" bestFit="1" customWidth="1"/>
    <col min="3" max="3" width="16.6328125" bestFit="1" customWidth="1"/>
  </cols>
  <sheetData>
    <row r="2" spans="2:3" ht="15" thickBot="1" x14ac:dyDescent="0.4"/>
    <row r="3" spans="2:3" x14ac:dyDescent="0.35">
      <c r="B3" s="5" t="s">
        <v>2940</v>
      </c>
      <c r="C3" s="6" t="s">
        <v>2941</v>
      </c>
    </row>
    <row r="4" spans="2:3" x14ac:dyDescent="0.35">
      <c r="B4" s="7" t="s">
        <v>2944</v>
      </c>
      <c r="C4" s="3" t="s">
        <v>2462</v>
      </c>
    </row>
    <row r="5" spans="2:3" x14ac:dyDescent="0.35">
      <c r="B5" s="7" t="s">
        <v>2463</v>
      </c>
      <c r="C5" s="3" t="s">
        <v>2468</v>
      </c>
    </row>
    <row r="6" spans="2:3" x14ac:dyDescent="0.35">
      <c r="B6" s="7" t="s">
        <v>2466</v>
      </c>
      <c r="C6" s="3" t="s">
        <v>2464</v>
      </c>
    </row>
    <row r="7" spans="2:3" x14ac:dyDescent="0.35">
      <c r="B7" s="7" t="s">
        <v>2943</v>
      </c>
      <c r="C7" s="3" t="s">
        <v>2462</v>
      </c>
    </row>
    <row r="8" spans="2:3" x14ac:dyDescent="0.35">
      <c r="B8" s="7" t="s">
        <v>2950</v>
      </c>
      <c r="C8" s="3" t="s">
        <v>2468</v>
      </c>
    </row>
    <row r="9" spans="2:3" x14ac:dyDescent="0.35">
      <c r="B9" s="7" t="s">
        <v>2947</v>
      </c>
      <c r="C9" s="3" t="s">
        <v>2474</v>
      </c>
    </row>
    <row r="10" spans="2:3" x14ac:dyDescent="0.35">
      <c r="B10" s="7" t="s">
        <v>2949</v>
      </c>
      <c r="C10" s="3" t="s">
        <v>2464</v>
      </c>
    </row>
    <row r="11" spans="2:3" x14ac:dyDescent="0.35">
      <c r="B11" s="7" t="s">
        <v>2945</v>
      </c>
      <c r="C11" s="3" t="s">
        <v>2471</v>
      </c>
    </row>
    <row r="12" spans="2:3" x14ac:dyDescent="0.35">
      <c r="B12" s="7" t="s">
        <v>2948</v>
      </c>
      <c r="C12" s="3" t="s">
        <v>2474</v>
      </c>
    </row>
    <row r="13" spans="2:3" x14ac:dyDescent="0.35">
      <c r="B13" s="7" t="s">
        <v>2946</v>
      </c>
      <c r="C13" s="3" t="s">
        <v>2471</v>
      </c>
    </row>
    <row r="14" spans="2:3" ht="15" thickBot="1" x14ac:dyDescent="0.4">
      <c r="B14" s="8" t="s">
        <v>2478</v>
      </c>
      <c r="C14" s="4" t="s">
        <v>2471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2016"/>
  <sheetViews>
    <sheetView workbookViewId="0">
      <selection activeCell="K354" sqref="K354"/>
    </sheetView>
  </sheetViews>
  <sheetFormatPr defaultRowHeight="14.5" x14ac:dyDescent="0.35"/>
  <cols>
    <col min="1" max="1" width="9.7265625" bestFit="1" customWidth="1"/>
    <col min="2" max="2" width="14.81640625" bestFit="1" customWidth="1"/>
    <col min="3" max="3" width="20.36328125" bestFit="1" customWidth="1"/>
    <col min="4" max="4" width="13.7265625" bestFit="1" customWidth="1"/>
    <col min="5" max="5" width="13.7265625" customWidth="1"/>
    <col min="6" max="6" width="21.08984375" bestFit="1" customWidth="1"/>
    <col min="7" max="7" width="11.54296875" bestFit="1" customWidth="1"/>
    <col min="8" max="8" width="5.81640625" bestFit="1" customWidth="1"/>
    <col min="9" max="9" width="10.7265625" bestFit="1" customWidth="1"/>
    <col min="10" max="10" width="10.81640625" bestFit="1" customWidth="1"/>
    <col min="11" max="11" width="10.81640625" customWidth="1"/>
    <col min="12" max="12" width="10.453125" bestFit="1" customWidth="1"/>
    <col min="13" max="13" width="8.6328125" bestFit="1" customWidth="1"/>
  </cols>
  <sheetData>
    <row r="1" spans="1:13" x14ac:dyDescent="0.35">
      <c r="A1" t="s">
        <v>0</v>
      </c>
      <c r="B1" t="s">
        <v>1</v>
      </c>
      <c r="C1" t="s">
        <v>2</v>
      </c>
      <c r="D1" t="s">
        <v>3</v>
      </c>
      <c r="E1" t="s">
        <v>2942</v>
      </c>
      <c r="F1" t="s">
        <v>4</v>
      </c>
      <c r="G1" t="s">
        <v>5</v>
      </c>
      <c r="H1" t="s">
        <v>6</v>
      </c>
      <c r="I1" t="s">
        <v>7</v>
      </c>
      <c r="J1" t="s">
        <v>8</v>
      </c>
      <c r="K1" t="s">
        <v>2951</v>
      </c>
      <c r="L1" t="s">
        <v>9</v>
      </c>
      <c r="M1" t="s">
        <v>10</v>
      </c>
    </row>
    <row r="2" spans="1:13" hidden="1" x14ac:dyDescent="0.35">
      <c r="A2" t="s">
        <v>11</v>
      </c>
      <c r="B2" t="s">
        <v>2011</v>
      </c>
      <c r="C2" t="s">
        <v>2457</v>
      </c>
      <c r="D2" t="s">
        <v>2462</v>
      </c>
      <c r="E2" t="str">
        <f>UPPER(D2)</f>
        <v>ASHFORD UK</v>
      </c>
      <c r="F2" t="s">
        <v>2479</v>
      </c>
      <c r="G2">
        <v>18.09</v>
      </c>
      <c r="H2" t="s">
        <v>2486</v>
      </c>
      <c r="I2">
        <v>0</v>
      </c>
      <c r="J2">
        <v>120</v>
      </c>
      <c r="K2" s="9">
        <f>IF(L2="","",
IF(MID(L2,5,1)="-",
DATE(LEFT(L2,4),MID(L2,6,2),RIGHT(L2,2)),
DATE(RIGHT(L2,4),MID(L2,4,2),LEFT(L2,2))
))</f>
        <v>45350</v>
      </c>
      <c r="L2" t="s">
        <v>2491</v>
      </c>
      <c r="M2" t="s">
        <v>2923</v>
      </c>
    </row>
    <row r="3" spans="1:13" hidden="1" x14ac:dyDescent="0.35">
      <c r="A3" t="s">
        <v>12</v>
      </c>
      <c r="B3" t="s">
        <v>2012</v>
      </c>
      <c r="C3" t="s">
        <v>2458</v>
      </c>
      <c r="D3" t="s">
        <v>2463</v>
      </c>
      <c r="E3" t="str">
        <f t="shared" ref="E3:E66" si="0">UPPER(D3)</f>
        <v>VERNIER</v>
      </c>
      <c r="F3" t="s">
        <v>2480</v>
      </c>
      <c r="G3">
        <v>0.92</v>
      </c>
      <c r="H3" t="s">
        <v>2487</v>
      </c>
      <c r="I3">
        <v>0.88</v>
      </c>
      <c r="J3">
        <v>0.97</v>
      </c>
      <c r="K3" s="9">
        <f t="shared" ref="K3:K66" si="1">IF(L3="","",
IF(MID(L3,5,1)="-",
DATE(LEFT(L3,4),MID(L3,6,2),RIGHT(L3,2)),
DATE(RIGHT(L3,4),MID(L3,4,2),LEFT(L3,2))
))</f>
        <v>45399</v>
      </c>
      <c r="L3" t="s">
        <v>2492</v>
      </c>
      <c r="M3" t="s">
        <v>2924</v>
      </c>
    </row>
    <row r="4" spans="1:13" hidden="1" x14ac:dyDescent="0.35">
      <c r="A4" t="s">
        <v>13</v>
      </c>
      <c r="B4" t="s">
        <v>2013</v>
      </c>
      <c r="C4" t="s">
        <v>2457</v>
      </c>
      <c r="D4" t="s">
        <v>2464</v>
      </c>
      <c r="E4" t="str">
        <f t="shared" si="0"/>
        <v>EAST HANOVER</v>
      </c>
      <c r="F4" t="s">
        <v>2481</v>
      </c>
      <c r="G4">
        <v>224.54</v>
      </c>
      <c r="H4" t="s">
        <v>2488</v>
      </c>
      <c r="I4">
        <v>150</v>
      </c>
      <c r="J4">
        <v>400</v>
      </c>
      <c r="K4" s="9">
        <f t="shared" si="1"/>
        <v>45924</v>
      </c>
      <c r="L4" t="s">
        <v>2493</v>
      </c>
      <c r="M4" t="s">
        <v>2924</v>
      </c>
    </row>
    <row r="5" spans="1:13" hidden="1" x14ac:dyDescent="0.35">
      <c r="A5" t="s">
        <v>14</v>
      </c>
      <c r="B5" t="s">
        <v>2014</v>
      </c>
      <c r="C5" t="s">
        <v>2459</v>
      </c>
      <c r="D5" t="s">
        <v>2465</v>
      </c>
      <c r="E5" t="str">
        <f t="shared" si="0"/>
        <v>VERNIER</v>
      </c>
      <c r="F5" t="s">
        <v>2482</v>
      </c>
      <c r="G5">
        <v>97.98</v>
      </c>
      <c r="H5" t="s">
        <v>2489</v>
      </c>
      <c r="I5">
        <v>97</v>
      </c>
      <c r="J5">
        <v>100</v>
      </c>
      <c r="K5" s="9">
        <f t="shared" si="1"/>
        <v>45982</v>
      </c>
      <c r="L5" t="s">
        <v>2494</v>
      </c>
      <c r="M5" t="s">
        <v>2923</v>
      </c>
    </row>
    <row r="6" spans="1:13" hidden="1" x14ac:dyDescent="0.35">
      <c r="A6" t="s">
        <v>15</v>
      </c>
      <c r="B6" t="s">
        <v>2015</v>
      </c>
      <c r="C6" t="s">
        <v>2457</v>
      </c>
      <c r="D6" t="s">
        <v>2466</v>
      </c>
      <c r="E6" t="str">
        <f t="shared" si="0"/>
        <v>EAST HANOVER</v>
      </c>
      <c r="F6" t="s">
        <v>2482</v>
      </c>
      <c r="G6">
        <v>95.2</v>
      </c>
      <c r="H6" t="s">
        <v>2489</v>
      </c>
      <c r="I6">
        <v>97</v>
      </c>
      <c r="J6">
        <v>100</v>
      </c>
      <c r="K6" s="9">
        <f t="shared" si="1"/>
        <v>45488</v>
      </c>
      <c r="L6" t="s">
        <v>2495</v>
      </c>
      <c r="M6" t="s">
        <v>2925</v>
      </c>
    </row>
    <row r="7" spans="1:13" hidden="1" x14ac:dyDescent="0.35">
      <c r="A7" t="s">
        <v>16</v>
      </c>
      <c r="B7" t="s">
        <v>2016</v>
      </c>
      <c r="C7" t="s">
        <v>2458</v>
      </c>
      <c r="D7" t="s">
        <v>2467</v>
      </c>
      <c r="E7" t="str">
        <f t="shared" si="0"/>
        <v>ASHFORD</v>
      </c>
      <c r="F7" t="s">
        <v>2481</v>
      </c>
      <c r="G7">
        <v>227.62</v>
      </c>
      <c r="H7" t="s">
        <v>2488</v>
      </c>
      <c r="I7">
        <v>150</v>
      </c>
      <c r="J7">
        <v>400</v>
      </c>
      <c r="K7" s="9">
        <f t="shared" si="1"/>
        <v>45446</v>
      </c>
      <c r="L7" t="s">
        <v>2496</v>
      </c>
      <c r="M7" t="s">
        <v>2926</v>
      </c>
    </row>
    <row r="8" spans="1:13" hidden="1" x14ac:dyDescent="0.35">
      <c r="A8" t="s">
        <v>17</v>
      </c>
      <c r="B8" t="s">
        <v>2017</v>
      </c>
      <c r="C8" t="s">
        <v>2458</v>
      </c>
      <c r="D8" t="s">
        <v>2468</v>
      </c>
      <c r="E8" t="str">
        <f t="shared" si="0"/>
        <v>VERNIER CH</v>
      </c>
      <c r="F8" t="s">
        <v>2483</v>
      </c>
      <c r="G8">
        <v>0.38</v>
      </c>
      <c r="H8" t="s">
        <v>2489</v>
      </c>
      <c r="I8">
        <v>0</v>
      </c>
      <c r="J8">
        <v>1</v>
      </c>
      <c r="K8" s="9">
        <f t="shared" si="1"/>
        <v>46008</v>
      </c>
      <c r="L8" t="s">
        <v>2497</v>
      </c>
      <c r="M8" t="s">
        <v>2924</v>
      </c>
    </row>
    <row r="9" spans="1:13" hidden="1" x14ac:dyDescent="0.35">
      <c r="A9" t="s">
        <v>18</v>
      </c>
      <c r="B9" t="s">
        <v>2018</v>
      </c>
      <c r="C9" t="s">
        <v>2460</v>
      </c>
      <c r="D9" t="s">
        <v>2469</v>
      </c>
      <c r="E9" t="str">
        <f t="shared" si="0"/>
        <v>DORTMUND</v>
      </c>
      <c r="F9" t="s">
        <v>2481</v>
      </c>
      <c r="G9">
        <v>318.47000000000003</v>
      </c>
      <c r="H9" t="s">
        <v>2488</v>
      </c>
      <c r="I9">
        <v>150</v>
      </c>
      <c r="J9">
        <v>400</v>
      </c>
      <c r="K9" s="9">
        <f t="shared" si="1"/>
        <v>45501</v>
      </c>
      <c r="L9" t="s">
        <v>2498</v>
      </c>
      <c r="M9" t="s">
        <v>2923</v>
      </c>
    </row>
    <row r="10" spans="1:13" hidden="1" x14ac:dyDescent="0.35">
      <c r="A10" t="s">
        <v>19</v>
      </c>
      <c r="B10" t="s">
        <v>2019</v>
      </c>
      <c r="C10" t="s">
        <v>2461</v>
      </c>
      <c r="D10" t="s">
        <v>2470</v>
      </c>
      <c r="E10" t="str">
        <f t="shared" si="0"/>
        <v>E. HANOVER</v>
      </c>
      <c r="F10" t="s">
        <v>2482</v>
      </c>
      <c r="G10">
        <v>98.21</v>
      </c>
      <c r="H10" t="s">
        <v>2489</v>
      </c>
      <c r="I10">
        <v>97</v>
      </c>
      <c r="J10">
        <v>100</v>
      </c>
      <c r="K10" s="9">
        <f t="shared" si="1"/>
        <v>45881</v>
      </c>
      <c r="L10" t="s">
        <v>2499</v>
      </c>
      <c r="M10" t="s">
        <v>2924</v>
      </c>
    </row>
    <row r="11" spans="1:13" hidden="1" x14ac:dyDescent="0.35">
      <c r="A11" t="s">
        <v>20</v>
      </c>
      <c r="B11" t="s">
        <v>2020</v>
      </c>
      <c r="C11" t="s">
        <v>2458</v>
      </c>
      <c r="D11" t="s">
        <v>2471</v>
      </c>
      <c r="E11" t="str">
        <f t="shared" si="0"/>
        <v>BUDAPEST</v>
      </c>
      <c r="F11" t="s">
        <v>2479</v>
      </c>
      <c r="G11">
        <v>33.35</v>
      </c>
      <c r="H11" t="s">
        <v>2486</v>
      </c>
      <c r="I11">
        <v>0</v>
      </c>
      <c r="J11">
        <v>120</v>
      </c>
      <c r="K11" s="9">
        <f t="shared" si="1"/>
        <v>45655</v>
      </c>
      <c r="L11" t="s">
        <v>2500</v>
      </c>
      <c r="M11" t="s">
        <v>2927</v>
      </c>
    </row>
    <row r="12" spans="1:13" hidden="1" x14ac:dyDescent="0.35">
      <c r="A12" t="s">
        <v>21</v>
      </c>
      <c r="B12" t="s">
        <v>2021</v>
      </c>
      <c r="C12" t="s">
        <v>2457</v>
      </c>
      <c r="D12" t="s">
        <v>2464</v>
      </c>
      <c r="E12" t="str">
        <f t="shared" si="0"/>
        <v>EAST HANOVER</v>
      </c>
      <c r="F12" t="s">
        <v>2482</v>
      </c>
      <c r="G12">
        <v>97.78</v>
      </c>
      <c r="H12" t="s">
        <v>2489</v>
      </c>
      <c r="I12">
        <v>97</v>
      </c>
      <c r="J12">
        <v>100</v>
      </c>
      <c r="K12" s="9">
        <f t="shared" si="1"/>
        <v>45577</v>
      </c>
      <c r="L12" t="s">
        <v>2501</v>
      </c>
      <c r="M12" t="s">
        <v>2928</v>
      </c>
    </row>
    <row r="13" spans="1:13" hidden="1" x14ac:dyDescent="0.35">
      <c r="A13" t="s">
        <v>22</v>
      </c>
      <c r="B13" t="s">
        <v>2022</v>
      </c>
      <c r="C13" t="s">
        <v>2457</v>
      </c>
      <c r="D13" t="s">
        <v>2463</v>
      </c>
      <c r="E13" t="str">
        <f t="shared" si="0"/>
        <v>VERNIER</v>
      </c>
      <c r="F13" t="s">
        <v>2483</v>
      </c>
      <c r="G13">
        <v>0.37</v>
      </c>
      <c r="H13" t="s">
        <v>2489</v>
      </c>
      <c r="I13">
        <v>0</v>
      </c>
      <c r="J13">
        <v>1</v>
      </c>
      <c r="K13" s="9">
        <f t="shared" si="1"/>
        <v>45530</v>
      </c>
      <c r="L13" t="s">
        <v>2502</v>
      </c>
      <c r="M13" t="s">
        <v>2925</v>
      </c>
    </row>
    <row r="14" spans="1:13" hidden="1" x14ac:dyDescent="0.35">
      <c r="A14" t="s">
        <v>23</v>
      </c>
      <c r="B14" t="s">
        <v>2023</v>
      </c>
      <c r="C14" t="s">
        <v>2460</v>
      </c>
      <c r="D14" t="s">
        <v>2464</v>
      </c>
      <c r="E14" t="str">
        <f t="shared" si="0"/>
        <v>EAST HANOVER</v>
      </c>
      <c r="F14" t="s">
        <v>2479</v>
      </c>
      <c r="G14">
        <v>34.119999999999997</v>
      </c>
      <c r="H14" t="s">
        <v>2486</v>
      </c>
      <c r="I14">
        <v>0</v>
      </c>
      <c r="J14">
        <v>120</v>
      </c>
      <c r="K14" s="9">
        <f t="shared" si="1"/>
        <v>46016</v>
      </c>
      <c r="L14" t="s">
        <v>2503</v>
      </c>
      <c r="M14" t="s">
        <v>2928</v>
      </c>
    </row>
    <row r="15" spans="1:13" hidden="1" x14ac:dyDescent="0.35">
      <c r="A15" t="s">
        <v>24</v>
      </c>
      <c r="B15" t="s">
        <v>2024</v>
      </c>
      <c r="C15" t="s">
        <v>2457</v>
      </c>
      <c r="D15" t="s">
        <v>2465</v>
      </c>
      <c r="E15" t="str">
        <f t="shared" si="0"/>
        <v>VERNIER</v>
      </c>
      <c r="F15" t="s">
        <v>2479</v>
      </c>
      <c r="G15">
        <v>48.04</v>
      </c>
      <c r="H15" t="s">
        <v>2486</v>
      </c>
      <c r="I15">
        <v>0</v>
      </c>
      <c r="J15">
        <v>120</v>
      </c>
      <c r="K15" s="9">
        <f t="shared" si="1"/>
        <v>45529</v>
      </c>
      <c r="L15" t="s">
        <v>2504</v>
      </c>
      <c r="M15" t="s">
        <v>2929</v>
      </c>
    </row>
    <row r="16" spans="1:13" hidden="1" x14ac:dyDescent="0.35">
      <c r="A16" t="s">
        <v>25</v>
      </c>
      <c r="B16" t="s">
        <v>2025</v>
      </c>
      <c r="C16" t="s">
        <v>2458</v>
      </c>
      <c r="D16" t="s">
        <v>2464</v>
      </c>
      <c r="E16" t="str">
        <f t="shared" si="0"/>
        <v>EAST HANOVER</v>
      </c>
      <c r="F16" t="s">
        <v>2484</v>
      </c>
      <c r="G16">
        <v>6.7</v>
      </c>
      <c r="I16">
        <v>6</v>
      </c>
      <c r="J16">
        <v>7.5</v>
      </c>
      <c r="K16" s="9">
        <f t="shared" si="1"/>
        <v>45351</v>
      </c>
      <c r="L16" t="s">
        <v>2505</v>
      </c>
      <c r="M16" t="s">
        <v>2930</v>
      </c>
    </row>
    <row r="17" spans="1:13" hidden="1" x14ac:dyDescent="0.35">
      <c r="A17" t="s">
        <v>26</v>
      </c>
      <c r="B17" t="s">
        <v>2026</v>
      </c>
      <c r="C17" t="s">
        <v>2461</v>
      </c>
      <c r="D17" t="s">
        <v>2472</v>
      </c>
      <c r="E17" t="str">
        <f t="shared" si="0"/>
        <v>VERNIER</v>
      </c>
      <c r="F17" t="s">
        <v>2482</v>
      </c>
      <c r="G17">
        <v>101.8</v>
      </c>
      <c r="H17" t="s">
        <v>2489</v>
      </c>
      <c r="I17">
        <v>97</v>
      </c>
      <c r="J17">
        <v>100</v>
      </c>
      <c r="K17" s="9">
        <f t="shared" si="1"/>
        <v>45294</v>
      </c>
      <c r="L17" t="s">
        <v>2506</v>
      </c>
      <c r="M17" t="s">
        <v>2931</v>
      </c>
    </row>
    <row r="18" spans="1:13" hidden="1" x14ac:dyDescent="0.35">
      <c r="A18" t="s">
        <v>27</v>
      </c>
      <c r="B18" t="s">
        <v>2027</v>
      </c>
      <c r="C18" t="s">
        <v>2458</v>
      </c>
      <c r="D18" t="s">
        <v>2470</v>
      </c>
      <c r="E18" t="str">
        <f t="shared" si="0"/>
        <v>E. HANOVER</v>
      </c>
      <c r="F18" t="s">
        <v>2481</v>
      </c>
      <c r="G18">
        <v>184.37</v>
      </c>
      <c r="H18" t="s">
        <v>2488</v>
      </c>
      <c r="I18">
        <v>150</v>
      </c>
      <c r="J18">
        <v>400</v>
      </c>
      <c r="K18" s="9">
        <f t="shared" si="1"/>
        <v>45827</v>
      </c>
      <c r="L18" t="s">
        <v>2507</v>
      </c>
      <c r="M18" t="s">
        <v>2923</v>
      </c>
    </row>
    <row r="19" spans="1:13" hidden="1" x14ac:dyDescent="0.35">
      <c r="A19" t="s">
        <v>28</v>
      </c>
      <c r="B19" t="s">
        <v>2028</v>
      </c>
      <c r="C19" t="s">
        <v>2459</v>
      </c>
      <c r="D19" t="s">
        <v>2469</v>
      </c>
      <c r="E19" t="str">
        <f t="shared" si="0"/>
        <v>DORTMUND</v>
      </c>
      <c r="F19" t="s">
        <v>2480</v>
      </c>
      <c r="G19">
        <v>0.9</v>
      </c>
      <c r="H19" t="s">
        <v>2487</v>
      </c>
      <c r="I19">
        <v>0.88</v>
      </c>
      <c r="J19">
        <v>0.97</v>
      </c>
      <c r="K19" s="9">
        <f t="shared" si="1"/>
        <v>45654</v>
      </c>
      <c r="L19" t="s">
        <v>2508</v>
      </c>
      <c r="M19" t="s">
        <v>2927</v>
      </c>
    </row>
    <row r="20" spans="1:13" hidden="1" x14ac:dyDescent="0.35">
      <c r="A20" t="s">
        <v>29</v>
      </c>
      <c r="B20" t="s">
        <v>2029</v>
      </c>
      <c r="C20" t="s">
        <v>2459</v>
      </c>
      <c r="D20" t="s">
        <v>2473</v>
      </c>
      <c r="E20" t="str">
        <f t="shared" si="0"/>
        <v>DORTMUND</v>
      </c>
      <c r="F20" t="s">
        <v>2481</v>
      </c>
      <c r="G20">
        <v>239.92</v>
      </c>
      <c r="H20" t="s">
        <v>2488</v>
      </c>
      <c r="I20">
        <v>150</v>
      </c>
      <c r="J20">
        <v>400</v>
      </c>
      <c r="K20" s="9">
        <f t="shared" si="1"/>
        <v>45740</v>
      </c>
      <c r="L20" t="s">
        <v>2509</v>
      </c>
      <c r="M20" t="s">
        <v>2929</v>
      </c>
    </row>
    <row r="21" spans="1:13" hidden="1" x14ac:dyDescent="0.35">
      <c r="A21" t="s">
        <v>30</v>
      </c>
      <c r="B21" t="s">
        <v>2030</v>
      </c>
      <c r="C21" t="s">
        <v>2457</v>
      </c>
      <c r="D21" t="s">
        <v>2468</v>
      </c>
      <c r="E21" t="str">
        <f t="shared" si="0"/>
        <v>VERNIER CH</v>
      </c>
      <c r="F21" t="s">
        <v>2483</v>
      </c>
      <c r="G21">
        <v>0.34</v>
      </c>
      <c r="H21" t="s">
        <v>2489</v>
      </c>
      <c r="I21">
        <v>0</v>
      </c>
      <c r="J21">
        <v>1</v>
      </c>
      <c r="K21" s="9">
        <f t="shared" si="1"/>
        <v>45613</v>
      </c>
      <c r="L21" t="s">
        <v>2510</v>
      </c>
      <c r="M21" t="s">
        <v>2923</v>
      </c>
    </row>
    <row r="22" spans="1:13" hidden="1" x14ac:dyDescent="0.35">
      <c r="A22" t="s">
        <v>31</v>
      </c>
      <c r="B22" t="s">
        <v>2031</v>
      </c>
      <c r="C22" t="s">
        <v>2459</v>
      </c>
      <c r="D22" t="s">
        <v>2474</v>
      </c>
      <c r="E22" t="str">
        <f t="shared" si="0"/>
        <v>DORTMUND DE</v>
      </c>
      <c r="F22" t="s">
        <v>2479</v>
      </c>
      <c r="G22">
        <v>41.98</v>
      </c>
      <c r="H22" t="s">
        <v>2486</v>
      </c>
      <c r="I22">
        <v>0</v>
      </c>
      <c r="J22">
        <v>120</v>
      </c>
      <c r="K22" s="9">
        <f t="shared" si="1"/>
        <v>45887</v>
      </c>
      <c r="L22" t="s">
        <v>2511</v>
      </c>
      <c r="M22" t="s">
        <v>2930</v>
      </c>
    </row>
    <row r="23" spans="1:13" hidden="1" x14ac:dyDescent="0.35">
      <c r="A23" t="s">
        <v>32</v>
      </c>
      <c r="B23" t="s">
        <v>2032</v>
      </c>
      <c r="C23" t="s">
        <v>2460</v>
      </c>
      <c r="D23" t="s">
        <v>2462</v>
      </c>
      <c r="E23" t="str">
        <f t="shared" si="0"/>
        <v>ASHFORD UK</v>
      </c>
      <c r="F23" t="s">
        <v>2485</v>
      </c>
      <c r="G23">
        <v>4.6900000000000004</v>
      </c>
      <c r="H23" t="s">
        <v>2490</v>
      </c>
      <c r="I23">
        <v>0</v>
      </c>
      <c r="J23">
        <v>100</v>
      </c>
      <c r="K23" s="9">
        <f t="shared" si="1"/>
        <v>45409</v>
      </c>
      <c r="L23" t="s">
        <v>2512</v>
      </c>
      <c r="M23" t="s">
        <v>2931</v>
      </c>
    </row>
    <row r="24" spans="1:13" hidden="1" x14ac:dyDescent="0.35">
      <c r="A24" t="s">
        <v>33</v>
      </c>
      <c r="B24" t="s">
        <v>2033</v>
      </c>
      <c r="C24" t="s">
        <v>2459</v>
      </c>
      <c r="D24" t="s">
        <v>2466</v>
      </c>
      <c r="E24" t="str">
        <f t="shared" si="0"/>
        <v>EAST HANOVER</v>
      </c>
      <c r="F24" t="s">
        <v>2485</v>
      </c>
      <c r="G24">
        <v>-25</v>
      </c>
      <c r="H24" t="s">
        <v>2490</v>
      </c>
      <c r="I24">
        <v>0</v>
      </c>
      <c r="J24">
        <v>100</v>
      </c>
      <c r="K24" s="9">
        <f t="shared" si="1"/>
        <v>45330</v>
      </c>
      <c r="L24" t="s">
        <v>2513</v>
      </c>
      <c r="M24" t="s">
        <v>2925</v>
      </c>
    </row>
    <row r="25" spans="1:13" hidden="1" x14ac:dyDescent="0.35">
      <c r="A25" t="s">
        <v>34</v>
      </c>
      <c r="B25" t="s">
        <v>2034</v>
      </c>
      <c r="C25" t="s">
        <v>2461</v>
      </c>
      <c r="D25" t="s">
        <v>2462</v>
      </c>
      <c r="E25" t="str">
        <f t="shared" si="0"/>
        <v>ASHFORD UK</v>
      </c>
      <c r="F25" t="s">
        <v>2483</v>
      </c>
      <c r="G25">
        <v>0.31</v>
      </c>
      <c r="H25" t="s">
        <v>2489</v>
      </c>
      <c r="I25">
        <v>0</v>
      </c>
      <c r="J25">
        <v>1</v>
      </c>
      <c r="K25" s="9">
        <f t="shared" si="1"/>
        <v>45615</v>
      </c>
      <c r="L25" t="s">
        <v>2514</v>
      </c>
      <c r="M25" t="s">
        <v>2926</v>
      </c>
    </row>
    <row r="26" spans="1:13" x14ac:dyDescent="0.35">
      <c r="A26" t="s">
        <v>35</v>
      </c>
      <c r="B26" t="s">
        <v>2035</v>
      </c>
      <c r="C26" t="s">
        <v>2461</v>
      </c>
      <c r="D26" t="s">
        <v>2475</v>
      </c>
      <c r="E26" t="str">
        <f t="shared" si="0"/>
        <v>ASHFORD</v>
      </c>
      <c r="F26" t="s">
        <v>2482</v>
      </c>
      <c r="H26" t="s">
        <v>2489</v>
      </c>
      <c r="I26">
        <v>97</v>
      </c>
      <c r="J26">
        <v>100</v>
      </c>
      <c r="K26" s="9">
        <f t="shared" si="1"/>
        <v>45853</v>
      </c>
      <c r="L26" t="s">
        <v>2515</v>
      </c>
      <c r="M26" t="s">
        <v>2926</v>
      </c>
    </row>
    <row r="27" spans="1:13" hidden="1" x14ac:dyDescent="0.35">
      <c r="A27" t="s">
        <v>36</v>
      </c>
      <c r="B27" t="s">
        <v>2036</v>
      </c>
      <c r="C27" t="s">
        <v>2459</v>
      </c>
      <c r="D27" t="s">
        <v>2465</v>
      </c>
      <c r="E27" t="str">
        <f t="shared" si="0"/>
        <v>VERNIER</v>
      </c>
      <c r="F27" t="s">
        <v>2481</v>
      </c>
      <c r="G27">
        <v>215.63</v>
      </c>
      <c r="H27" t="s">
        <v>2488</v>
      </c>
      <c r="I27">
        <v>150</v>
      </c>
      <c r="J27">
        <v>400</v>
      </c>
      <c r="K27" s="9">
        <f t="shared" si="1"/>
        <v>45769</v>
      </c>
      <c r="L27" t="s">
        <v>2516</v>
      </c>
      <c r="M27" t="s">
        <v>2926</v>
      </c>
    </row>
    <row r="28" spans="1:13" hidden="1" x14ac:dyDescent="0.35">
      <c r="A28" t="s">
        <v>37</v>
      </c>
      <c r="B28" t="s">
        <v>2037</v>
      </c>
      <c r="C28" t="s">
        <v>2461</v>
      </c>
      <c r="D28" t="s">
        <v>2471</v>
      </c>
      <c r="E28" t="str">
        <f t="shared" si="0"/>
        <v>BUDAPEST</v>
      </c>
      <c r="F28" t="s">
        <v>2481</v>
      </c>
      <c r="G28">
        <v>253.19</v>
      </c>
      <c r="H28" t="s">
        <v>2488</v>
      </c>
      <c r="I28">
        <v>150</v>
      </c>
      <c r="J28">
        <v>400</v>
      </c>
      <c r="K28" s="9">
        <f t="shared" si="1"/>
        <v>45643</v>
      </c>
      <c r="L28" t="s">
        <v>2517</v>
      </c>
      <c r="M28" t="s">
        <v>2925</v>
      </c>
    </row>
    <row r="29" spans="1:13" hidden="1" x14ac:dyDescent="0.35">
      <c r="A29" t="s">
        <v>38</v>
      </c>
      <c r="B29" t="s">
        <v>2038</v>
      </c>
      <c r="C29" t="s">
        <v>2457</v>
      </c>
      <c r="D29" t="s">
        <v>2470</v>
      </c>
      <c r="E29" t="str">
        <f t="shared" si="0"/>
        <v>E. HANOVER</v>
      </c>
      <c r="F29" t="s">
        <v>2479</v>
      </c>
      <c r="G29">
        <v>45.4</v>
      </c>
      <c r="H29" t="s">
        <v>2486</v>
      </c>
      <c r="I29">
        <v>0</v>
      </c>
      <c r="J29">
        <v>120</v>
      </c>
      <c r="K29" s="9">
        <f t="shared" si="1"/>
        <v>45374</v>
      </c>
      <c r="L29" t="s">
        <v>2518</v>
      </c>
      <c r="M29" t="s">
        <v>2923</v>
      </c>
    </row>
    <row r="30" spans="1:13" hidden="1" x14ac:dyDescent="0.35">
      <c r="A30" t="s">
        <v>39</v>
      </c>
      <c r="B30" t="s">
        <v>2039</v>
      </c>
      <c r="C30" t="s">
        <v>2458</v>
      </c>
      <c r="D30" t="s">
        <v>2471</v>
      </c>
      <c r="E30" t="str">
        <f t="shared" si="0"/>
        <v>BUDAPEST</v>
      </c>
      <c r="F30" t="s">
        <v>2482</v>
      </c>
      <c r="G30">
        <v>97.88</v>
      </c>
      <c r="H30" t="s">
        <v>2489</v>
      </c>
      <c r="I30">
        <v>97</v>
      </c>
      <c r="J30">
        <v>100</v>
      </c>
      <c r="K30" s="9">
        <f t="shared" si="1"/>
        <v>45969</v>
      </c>
      <c r="L30" t="s">
        <v>2519</v>
      </c>
      <c r="M30" t="s">
        <v>2924</v>
      </c>
    </row>
    <row r="31" spans="1:13" hidden="1" x14ac:dyDescent="0.35">
      <c r="A31" t="s">
        <v>40</v>
      </c>
      <c r="B31" t="s">
        <v>2040</v>
      </c>
      <c r="C31" t="s">
        <v>2460</v>
      </c>
      <c r="D31" t="s">
        <v>2474</v>
      </c>
      <c r="E31" t="str">
        <f t="shared" si="0"/>
        <v>DORTMUND DE</v>
      </c>
      <c r="F31" t="s">
        <v>2483</v>
      </c>
      <c r="G31">
        <v>0.4</v>
      </c>
      <c r="H31" t="s">
        <v>2489</v>
      </c>
      <c r="I31">
        <v>0</v>
      </c>
      <c r="J31">
        <v>1</v>
      </c>
      <c r="K31" s="9">
        <f t="shared" si="1"/>
        <v>45386</v>
      </c>
      <c r="L31" t="s">
        <v>2520</v>
      </c>
      <c r="M31" t="s">
        <v>2927</v>
      </c>
    </row>
    <row r="32" spans="1:13" hidden="1" x14ac:dyDescent="0.35">
      <c r="A32" t="s">
        <v>41</v>
      </c>
      <c r="B32" t="s">
        <v>2041</v>
      </c>
      <c r="C32" t="s">
        <v>2460</v>
      </c>
      <c r="D32" t="s">
        <v>2467</v>
      </c>
      <c r="E32" t="str">
        <f t="shared" si="0"/>
        <v>ASHFORD</v>
      </c>
      <c r="F32" t="s">
        <v>2479</v>
      </c>
      <c r="G32">
        <v>50.68</v>
      </c>
      <c r="H32" t="s">
        <v>2486</v>
      </c>
      <c r="I32">
        <v>0</v>
      </c>
      <c r="J32">
        <v>120</v>
      </c>
      <c r="K32" s="9">
        <f t="shared" si="1"/>
        <v>45824</v>
      </c>
      <c r="L32" t="s">
        <v>2521</v>
      </c>
      <c r="M32" t="s">
        <v>2923</v>
      </c>
    </row>
    <row r="33" spans="1:13" hidden="1" x14ac:dyDescent="0.35">
      <c r="A33" t="s">
        <v>42</v>
      </c>
      <c r="B33" t="s">
        <v>2042</v>
      </c>
      <c r="C33" t="s">
        <v>2460</v>
      </c>
      <c r="D33" t="s">
        <v>2463</v>
      </c>
      <c r="E33" t="str">
        <f t="shared" si="0"/>
        <v>VERNIER</v>
      </c>
      <c r="F33" t="s">
        <v>2481</v>
      </c>
      <c r="G33">
        <v>244.91</v>
      </c>
      <c r="H33" t="s">
        <v>2488</v>
      </c>
      <c r="I33">
        <v>150</v>
      </c>
      <c r="J33">
        <v>400</v>
      </c>
      <c r="K33" s="9">
        <f t="shared" si="1"/>
        <v>45774</v>
      </c>
      <c r="L33" t="s">
        <v>2522</v>
      </c>
      <c r="M33" t="s">
        <v>2929</v>
      </c>
    </row>
    <row r="34" spans="1:13" hidden="1" x14ac:dyDescent="0.35">
      <c r="A34" t="s">
        <v>43</v>
      </c>
      <c r="B34" t="s">
        <v>2043</v>
      </c>
      <c r="C34" t="s">
        <v>2461</v>
      </c>
      <c r="D34" t="s">
        <v>2465</v>
      </c>
      <c r="E34" t="str">
        <f t="shared" si="0"/>
        <v>VERNIER</v>
      </c>
      <c r="F34" t="s">
        <v>2484</v>
      </c>
      <c r="G34">
        <v>6.76</v>
      </c>
      <c r="I34">
        <v>6</v>
      </c>
      <c r="J34">
        <v>7.5</v>
      </c>
      <c r="K34" s="9">
        <f t="shared" si="1"/>
        <v>45431</v>
      </c>
      <c r="L34" t="s">
        <v>2523</v>
      </c>
      <c r="M34" t="s">
        <v>2931</v>
      </c>
    </row>
    <row r="35" spans="1:13" hidden="1" x14ac:dyDescent="0.35">
      <c r="A35" t="s">
        <v>44</v>
      </c>
      <c r="B35" t="s">
        <v>2044</v>
      </c>
      <c r="C35" t="s">
        <v>2459</v>
      </c>
      <c r="D35" t="s">
        <v>2471</v>
      </c>
      <c r="E35" t="str">
        <f t="shared" si="0"/>
        <v>BUDAPEST</v>
      </c>
      <c r="F35" t="s">
        <v>2480</v>
      </c>
      <c r="G35">
        <v>0.89</v>
      </c>
      <c r="H35" t="s">
        <v>2487</v>
      </c>
      <c r="I35">
        <v>0.88</v>
      </c>
      <c r="J35">
        <v>0.97</v>
      </c>
      <c r="K35" s="9">
        <f t="shared" si="1"/>
        <v>45350</v>
      </c>
      <c r="L35" t="s">
        <v>2524</v>
      </c>
      <c r="M35" t="s">
        <v>2923</v>
      </c>
    </row>
    <row r="36" spans="1:13" hidden="1" x14ac:dyDescent="0.35">
      <c r="A36" t="s">
        <v>45</v>
      </c>
      <c r="B36" t="s">
        <v>2045</v>
      </c>
      <c r="C36" t="s">
        <v>2457</v>
      </c>
      <c r="D36" t="s">
        <v>2471</v>
      </c>
      <c r="E36" t="str">
        <f t="shared" si="0"/>
        <v>BUDAPEST</v>
      </c>
      <c r="F36" t="s">
        <v>2482</v>
      </c>
      <c r="G36">
        <v>98.67</v>
      </c>
      <c r="H36" t="s">
        <v>2489</v>
      </c>
      <c r="I36">
        <v>97</v>
      </c>
      <c r="J36">
        <v>100</v>
      </c>
      <c r="K36" s="9">
        <f t="shared" si="1"/>
        <v>45655</v>
      </c>
      <c r="L36" t="s">
        <v>2500</v>
      </c>
      <c r="M36" t="s">
        <v>2925</v>
      </c>
    </row>
    <row r="37" spans="1:13" hidden="1" x14ac:dyDescent="0.35">
      <c r="A37" t="s">
        <v>46</v>
      </c>
      <c r="B37" t="s">
        <v>2046</v>
      </c>
      <c r="C37" t="s">
        <v>2457</v>
      </c>
      <c r="D37" t="s">
        <v>2473</v>
      </c>
      <c r="E37" t="str">
        <f t="shared" si="0"/>
        <v>DORTMUND</v>
      </c>
      <c r="F37" t="s">
        <v>2480</v>
      </c>
      <c r="G37">
        <v>0.79</v>
      </c>
      <c r="H37" t="s">
        <v>2487</v>
      </c>
      <c r="I37">
        <v>0.88</v>
      </c>
      <c r="J37">
        <v>0.97</v>
      </c>
      <c r="K37" s="9">
        <f t="shared" si="1"/>
        <v>45739</v>
      </c>
      <c r="L37" t="s">
        <v>2525</v>
      </c>
      <c r="M37" t="s">
        <v>2928</v>
      </c>
    </row>
    <row r="38" spans="1:13" hidden="1" x14ac:dyDescent="0.35">
      <c r="A38" t="s">
        <v>47</v>
      </c>
      <c r="B38" t="s">
        <v>2047</v>
      </c>
      <c r="C38" t="s">
        <v>2460</v>
      </c>
      <c r="D38" t="s">
        <v>2476</v>
      </c>
      <c r="E38" t="str">
        <f t="shared" si="0"/>
        <v>BUDAPEST SITE</v>
      </c>
      <c r="F38" t="s">
        <v>2483</v>
      </c>
      <c r="G38">
        <v>0.21</v>
      </c>
      <c r="H38" t="s">
        <v>2489</v>
      </c>
      <c r="I38">
        <v>0</v>
      </c>
      <c r="J38">
        <v>1</v>
      </c>
      <c r="K38" s="9">
        <f t="shared" si="1"/>
        <v>45543</v>
      </c>
      <c r="L38" t="s">
        <v>2526</v>
      </c>
      <c r="M38" t="s">
        <v>2929</v>
      </c>
    </row>
    <row r="39" spans="1:13" hidden="1" x14ac:dyDescent="0.35">
      <c r="A39" t="s">
        <v>48</v>
      </c>
      <c r="B39" t="s">
        <v>2048</v>
      </c>
      <c r="C39" t="s">
        <v>2458</v>
      </c>
      <c r="D39" t="s">
        <v>2474</v>
      </c>
      <c r="E39" t="str">
        <f t="shared" si="0"/>
        <v>DORTMUND DE</v>
      </c>
      <c r="F39" t="s">
        <v>2482</v>
      </c>
      <c r="G39">
        <v>98.78</v>
      </c>
      <c r="H39" t="s">
        <v>2489</v>
      </c>
      <c r="I39">
        <v>97</v>
      </c>
      <c r="J39">
        <v>100</v>
      </c>
      <c r="K39" s="9">
        <f t="shared" si="1"/>
        <v>45845</v>
      </c>
      <c r="L39" t="s">
        <v>2527</v>
      </c>
      <c r="M39" t="s">
        <v>2923</v>
      </c>
    </row>
    <row r="40" spans="1:13" hidden="1" x14ac:dyDescent="0.35">
      <c r="A40" t="s">
        <v>49</v>
      </c>
      <c r="B40" t="s">
        <v>2049</v>
      </c>
      <c r="C40" t="s">
        <v>2458</v>
      </c>
      <c r="D40" t="s">
        <v>2469</v>
      </c>
      <c r="E40" t="str">
        <f t="shared" si="0"/>
        <v>DORTMUND</v>
      </c>
      <c r="F40" t="s">
        <v>2485</v>
      </c>
      <c r="G40">
        <v>-27.76</v>
      </c>
      <c r="H40" t="s">
        <v>2490</v>
      </c>
      <c r="I40">
        <v>0</v>
      </c>
      <c r="J40">
        <v>100</v>
      </c>
      <c r="K40" s="9">
        <f t="shared" si="1"/>
        <v>45452</v>
      </c>
      <c r="L40" t="s">
        <v>2528</v>
      </c>
      <c r="M40" t="s">
        <v>2927</v>
      </c>
    </row>
    <row r="41" spans="1:13" hidden="1" x14ac:dyDescent="0.35">
      <c r="A41" t="s">
        <v>50</v>
      </c>
      <c r="B41" t="s">
        <v>2050</v>
      </c>
      <c r="C41" t="s">
        <v>2461</v>
      </c>
      <c r="D41" t="s">
        <v>2470</v>
      </c>
      <c r="E41" t="str">
        <f t="shared" si="0"/>
        <v>E. HANOVER</v>
      </c>
      <c r="F41" t="s">
        <v>2485</v>
      </c>
      <c r="G41">
        <v>30.04</v>
      </c>
      <c r="H41" t="s">
        <v>2490</v>
      </c>
      <c r="I41">
        <v>0</v>
      </c>
      <c r="J41">
        <v>100</v>
      </c>
      <c r="K41" s="9">
        <f t="shared" si="1"/>
        <v>45398</v>
      </c>
      <c r="L41" t="s">
        <v>2529</v>
      </c>
      <c r="M41" t="s">
        <v>2926</v>
      </c>
    </row>
    <row r="42" spans="1:13" hidden="1" x14ac:dyDescent="0.35">
      <c r="A42" t="s">
        <v>51</v>
      </c>
      <c r="B42" t="s">
        <v>2051</v>
      </c>
      <c r="C42" t="s">
        <v>2461</v>
      </c>
      <c r="D42" t="s">
        <v>2473</v>
      </c>
      <c r="E42" t="str">
        <f t="shared" si="0"/>
        <v>DORTMUND</v>
      </c>
      <c r="F42" t="s">
        <v>2481</v>
      </c>
      <c r="G42">
        <v>231.5</v>
      </c>
      <c r="H42" t="s">
        <v>2488</v>
      </c>
      <c r="I42">
        <v>150</v>
      </c>
      <c r="J42">
        <v>400</v>
      </c>
      <c r="K42" s="9">
        <f t="shared" si="1"/>
        <v>45564</v>
      </c>
      <c r="L42" t="s">
        <v>2530</v>
      </c>
      <c r="M42" t="s">
        <v>2927</v>
      </c>
    </row>
    <row r="43" spans="1:13" hidden="1" x14ac:dyDescent="0.35">
      <c r="A43" t="s">
        <v>52</v>
      </c>
      <c r="B43" t="s">
        <v>2052</v>
      </c>
      <c r="C43" t="s">
        <v>2460</v>
      </c>
      <c r="D43" t="s">
        <v>2466</v>
      </c>
      <c r="E43" t="str">
        <f t="shared" si="0"/>
        <v>EAST HANOVER</v>
      </c>
      <c r="F43" t="s">
        <v>2479</v>
      </c>
      <c r="G43">
        <v>14.22</v>
      </c>
      <c r="H43" t="s">
        <v>2486</v>
      </c>
      <c r="I43">
        <v>0</v>
      </c>
      <c r="J43">
        <v>120</v>
      </c>
      <c r="K43" s="9">
        <f t="shared" si="1"/>
        <v>45461</v>
      </c>
      <c r="L43" t="s">
        <v>2531</v>
      </c>
      <c r="M43" t="s">
        <v>2927</v>
      </c>
    </row>
    <row r="44" spans="1:13" hidden="1" x14ac:dyDescent="0.35">
      <c r="A44" t="s">
        <v>53</v>
      </c>
      <c r="B44" t="s">
        <v>2053</v>
      </c>
      <c r="C44" t="s">
        <v>2460</v>
      </c>
      <c r="D44" t="s">
        <v>2470</v>
      </c>
      <c r="E44" t="str">
        <f t="shared" si="0"/>
        <v>E. HANOVER</v>
      </c>
      <c r="F44" t="s">
        <v>2479</v>
      </c>
      <c r="G44">
        <v>45.13</v>
      </c>
      <c r="H44" t="s">
        <v>2486</v>
      </c>
      <c r="I44">
        <v>0</v>
      </c>
      <c r="J44">
        <v>120</v>
      </c>
      <c r="K44" s="9">
        <f t="shared" si="1"/>
        <v>45703</v>
      </c>
      <c r="L44" t="s">
        <v>2532</v>
      </c>
      <c r="M44" t="s">
        <v>2928</v>
      </c>
    </row>
    <row r="45" spans="1:13" hidden="1" x14ac:dyDescent="0.35">
      <c r="A45" t="s">
        <v>54</v>
      </c>
      <c r="B45" t="s">
        <v>2054</v>
      </c>
      <c r="C45" t="s">
        <v>2457</v>
      </c>
      <c r="D45" t="s">
        <v>2468</v>
      </c>
      <c r="E45" t="str">
        <f t="shared" si="0"/>
        <v>VERNIER CH</v>
      </c>
      <c r="F45" t="s">
        <v>2482</v>
      </c>
      <c r="G45">
        <v>98.61</v>
      </c>
      <c r="H45" t="s">
        <v>2489</v>
      </c>
      <c r="I45">
        <v>97</v>
      </c>
      <c r="J45">
        <v>100</v>
      </c>
      <c r="K45" s="9">
        <f t="shared" si="1"/>
        <v>45510</v>
      </c>
      <c r="L45" t="s">
        <v>2533</v>
      </c>
      <c r="M45" t="s">
        <v>2929</v>
      </c>
    </row>
    <row r="46" spans="1:13" hidden="1" x14ac:dyDescent="0.35">
      <c r="A46" t="s">
        <v>55</v>
      </c>
      <c r="B46" t="s">
        <v>2055</v>
      </c>
      <c r="C46" t="s">
        <v>2461</v>
      </c>
      <c r="D46" t="s">
        <v>2477</v>
      </c>
      <c r="E46" t="str">
        <f t="shared" si="0"/>
        <v>BUDAPEST</v>
      </c>
      <c r="F46" t="s">
        <v>2483</v>
      </c>
      <c r="G46">
        <v>0.11</v>
      </c>
      <c r="H46" t="s">
        <v>2489</v>
      </c>
      <c r="I46">
        <v>0</v>
      </c>
      <c r="J46">
        <v>1</v>
      </c>
      <c r="K46" s="9">
        <f t="shared" si="1"/>
        <v>46020</v>
      </c>
      <c r="L46" t="s">
        <v>2534</v>
      </c>
      <c r="M46" t="s">
        <v>2930</v>
      </c>
    </row>
    <row r="47" spans="1:13" hidden="1" x14ac:dyDescent="0.35">
      <c r="A47" t="s">
        <v>56</v>
      </c>
      <c r="B47" t="s">
        <v>2056</v>
      </c>
      <c r="C47" t="s">
        <v>2459</v>
      </c>
      <c r="D47" t="s">
        <v>2478</v>
      </c>
      <c r="E47" t="str">
        <f t="shared" si="0"/>
        <v>BUD</v>
      </c>
      <c r="F47" t="s">
        <v>2485</v>
      </c>
      <c r="G47">
        <v>4.34</v>
      </c>
      <c r="H47" t="s">
        <v>2490</v>
      </c>
      <c r="I47">
        <v>0</v>
      </c>
      <c r="J47">
        <v>100</v>
      </c>
      <c r="K47" s="9">
        <f t="shared" si="1"/>
        <v>45997</v>
      </c>
      <c r="L47" t="s">
        <v>2535</v>
      </c>
      <c r="M47" t="s">
        <v>2924</v>
      </c>
    </row>
    <row r="48" spans="1:13" hidden="1" x14ac:dyDescent="0.35">
      <c r="A48" t="s">
        <v>57</v>
      </c>
      <c r="B48" t="s">
        <v>2057</v>
      </c>
      <c r="C48" t="s">
        <v>2461</v>
      </c>
      <c r="D48" t="s">
        <v>2467</v>
      </c>
      <c r="E48" t="str">
        <f t="shared" si="0"/>
        <v>ASHFORD</v>
      </c>
      <c r="F48" t="s">
        <v>2480</v>
      </c>
      <c r="G48">
        <v>0.86</v>
      </c>
      <c r="H48" t="s">
        <v>2487</v>
      </c>
      <c r="I48">
        <v>0.88</v>
      </c>
      <c r="J48">
        <v>0.97</v>
      </c>
      <c r="K48" s="9">
        <f t="shared" si="1"/>
        <v>45869</v>
      </c>
      <c r="L48" t="s">
        <v>2536</v>
      </c>
      <c r="M48" t="s">
        <v>2927</v>
      </c>
    </row>
    <row r="49" spans="1:13" hidden="1" x14ac:dyDescent="0.35">
      <c r="A49" t="s">
        <v>58</v>
      </c>
      <c r="B49" t="s">
        <v>2058</v>
      </c>
      <c r="C49" t="s">
        <v>2460</v>
      </c>
      <c r="D49" t="s">
        <v>2471</v>
      </c>
      <c r="E49" t="str">
        <f t="shared" si="0"/>
        <v>BUDAPEST</v>
      </c>
      <c r="F49" t="s">
        <v>2481</v>
      </c>
      <c r="G49">
        <v>325.49</v>
      </c>
      <c r="H49" t="s">
        <v>2488</v>
      </c>
      <c r="I49">
        <v>150</v>
      </c>
      <c r="J49">
        <v>400</v>
      </c>
      <c r="K49" s="9">
        <f t="shared" si="1"/>
        <v>45695</v>
      </c>
      <c r="L49" t="s">
        <v>2537</v>
      </c>
      <c r="M49" t="s">
        <v>2925</v>
      </c>
    </row>
    <row r="50" spans="1:13" hidden="1" x14ac:dyDescent="0.35">
      <c r="A50" t="s">
        <v>59</v>
      </c>
      <c r="B50" t="s">
        <v>2059</v>
      </c>
      <c r="C50" t="s">
        <v>2459</v>
      </c>
      <c r="D50" t="s">
        <v>2463</v>
      </c>
      <c r="E50" t="str">
        <f t="shared" si="0"/>
        <v>VERNIER</v>
      </c>
      <c r="F50" t="s">
        <v>2481</v>
      </c>
      <c r="G50">
        <v>520</v>
      </c>
      <c r="H50" t="s">
        <v>2488</v>
      </c>
      <c r="I50">
        <v>150</v>
      </c>
      <c r="J50">
        <v>400</v>
      </c>
      <c r="K50" s="9">
        <f t="shared" si="1"/>
        <v>45743</v>
      </c>
      <c r="L50" t="s">
        <v>2538</v>
      </c>
      <c r="M50" t="s">
        <v>2931</v>
      </c>
    </row>
    <row r="51" spans="1:13" hidden="1" x14ac:dyDescent="0.35">
      <c r="A51" t="s">
        <v>60</v>
      </c>
      <c r="B51" t="s">
        <v>2060</v>
      </c>
      <c r="C51" t="s">
        <v>2458</v>
      </c>
      <c r="D51" t="s">
        <v>2470</v>
      </c>
      <c r="E51" t="str">
        <f t="shared" si="0"/>
        <v>E. HANOVER</v>
      </c>
      <c r="F51" t="s">
        <v>2483</v>
      </c>
      <c r="G51">
        <v>0.54</v>
      </c>
      <c r="H51" t="s">
        <v>2489</v>
      </c>
      <c r="I51">
        <v>0</v>
      </c>
      <c r="J51">
        <v>1</v>
      </c>
      <c r="K51" s="9">
        <f t="shared" si="1"/>
        <v>45751</v>
      </c>
      <c r="L51" t="s">
        <v>2539</v>
      </c>
      <c r="M51" t="s">
        <v>2925</v>
      </c>
    </row>
    <row r="52" spans="1:13" hidden="1" x14ac:dyDescent="0.35">
      <c r="A52" t="s">
        <v>61</v>
      </c>
      <c r="B52" t="s">
        <v>2061</v>
      </c>
      <c r="C52" t="s">
        <v>2457</v>
      </c>
      <c r="D52" t="s">
        <v>2477</v>
      </c>
      <c r="E52" t="str">
        <f t="shared" si="0"/>
        <v>BUDAPEST</v>
      </c>
      <c r="F52" t="s">
        <v>2480</v>
      </c>
      <c r="G52">
        <v>0.9</v>
      </c>
      <c r="H52" t="s">
        <v>2487</v>
      </c>
      <c r="I52">
        <v>0.88</v>
      </c>
      <c r="J52">
        <v>0.97</v>
      </c>
      <c r="K52" s="9">
        <f t="shared" si="1"/>
        <v>45831</v>
      </c>
      <c r="L52" t="s">
        <v>2540</v>
      </c>
      <c r="M52" t="s">
        <v>2925</v>
      </c>
    </row>
    <row r="53" spans="1:13" hidden="1" x14ac:dyDescent="0.35">
      <c r="A53" t="s">
        <v>62</v>
      </c>
      <c r="B53" t="s">
        <v>2062</v>
      </c>
      <c r="C53" t="s">
        <v>2458</v>
      </c>
      <c r="D53" t="s">
        <v>2470</v>
      </c>
      <c r="E53" t="str">
        <f t="shared" si="0"/>
        <v>E. HANOVER</v>
      </c>
      <c r="F53" t="s">
        <v>2483</v>
      </c>
      <c r="G53">
        <v>0.2</v>
      </c>
      <c r="H53" t="s">
        <v>2489</v>
      </c>
      <c r="I53">
        <v>0</v>
      </c>
      <c r="J53">
        <v>1</v>
      </c>
      <c r="K53" s="9">
        <f t="shared" si="1"/>
        <v>45845</v>
      </c>
      <c r="L53" t="s">
        <v>2541</v>
      </c>
      <c r="M53" t="s">
        <v>2931</v>
      </c>
    </row>
    <row r="54" spans="1:13" x14ac:dyDescent="0.35">
      <c r="A54" t="s">
        <v>63</v>
      </c>
      <c r="B54" t="s">
        <v>2063</v>
      </c>
      <c r="C54" t="s">
        <v>2461</v>
      </c>
      <c r="D54" t="s">
        <v>2466</v>
      </c>
      <c r="E54" t="str">
        <f t="shared" si="0"/>
        <v>EAST HANOVER</v>
      </c>
      <c r="F54" t="s">
        <v>2481</v>
      </c>
      <c r="H54" t="s">
        <v>2488</v>
      </c>
      <c r="I54">
        <v>150</v>
      </c>
      <c r="J54">
        <v>400</v>
      </c>
      <c r="K54" s="9">
        <f t="shared" si="1"/>
        <v>45884</v>
      </c>
      <c r="L54" t="s">
        <v>2542</v>
      </c>
      <c r="M54" t="s">
        <v>2925</v>
      </c>
    </row>
    <row r="55" spans="1:13" hidden="1" x14ac:dyDescent="0.35">
      <c r="A55" t="s">
        <v>64</v>
      </c>
      <c r="B55" t="s">
        <v>2064</v>
      </c>
      <c r="C55" t="s">
        <v>2458</v>
      </c>
      <c r="D55" t="s">
        <v>2463</v>
      </c>
      <c r="E55" t="str">
        <f t="shared" si="0"/>
        <v>VERNIER</v>
      </c>
      <c r="F55" t="s">
        <v>2482</v>
      </c>
      <c r="G55">
        <v>98.92</v>
      </c>
      <c r="H55" t="s">
        <v>2489</v>
      </c>
      <c r="I55">
        <v>97</v>
      </c>
      <c r="J55">
        <v>100</v>
      </c>
      <c r="K55" s="9">
        <f t="shared" si="1"/>
        <v>45715</v>
      </c>
      <c r="L55" t="s">
        <v>2543</v>
      </c>
      <c r="M55" t="s">
        <v>2932</v>
      </c>
    </row>
    <row r="56" spans="1:13" hidden="1" x14ac:dyDescent="0.35">
      <c r="A56" t="s">
        <v>65</v>
      </c>
      <c r="B56" t="s">
        <v>2065</v>
      </c>
      <c r="C56" t="s">
        <v>2459</v>
      </c>
      <c r="D56" t="s">
        <v>2464</v>
      </c>
      <c r="E56" t="str">
        <f t="shared" si="0"/>
        <v>EAST HANOVER</v>
      </c>
      <c r="F56" t="s">
        <v>2483</v>
      </c>
      <c r="G56">
        <v>0.36</v>
      </c>
      <c r="H56" t="s">
        <v>2489</v>
      </c>
      <c r="I56">
        <v>0</v>
      </c>
      <c r="J56">
        <v>1</v>
      </c>
      <c r="K56" s="9">
        <f t="shared" si="1"/>
        <v>45950</v>
      </c>
      <c r="L56" t="s">
        <v>2544</v>
      </c>
      <c r="M56" t="s">
        <v>2925</v>
      </c>
    </row>
    <row r="57" spans="1:13" hidden="1" x14ac:dyDescent="0.35">
      <c r="A57" t="s">
        <v>66</v>
      </c>
      <c r="B57" t="s">
        <v>2066</v>
      </c>
      <c r="C57" t="s">
        <v>2459</v>
      </c>
      <c r="D57" t="s">
        <v>2467</v>
      </c>
      <c r="E57" t="str">
        <f t="shared" si="0"/>
        <v>ASHFORD</v>
      </c>
      <c r="F57" t="s">
        <v>2481</v>
      </c>
      <c r="G57">
        <v>246.32</v>
      </c>
      <c r="H57" t="s">
        <v>2488</v>
      </c>
      <c r="I57">
        <v>150</v>
      </c>
      <c r="J57">
        <v>400</v>
      </c>
      <c r="K57" s="9">
        <f t="shared" si="1"/>
        <v>45566</v>
      </c>
      <c r="L57" t="s">
        <v>2545</v>
      </c>
      <c r="M57" t="s">
        <v>2929</v>
      </c>
    </row>
    <row r="58" spans="1:13" hidden="1" x14ac:dyDescent="0.35">
      <c r="A58" t="s">
        <v>67</v>
      </c>
      <c r="B58" t="s">
        <v>2067</v>
      </c>
      <c r="C58" t="s">
        <v>2459</v>
      </c>
      <c r="D58" t="s">
        <v>2462</v>
      </c>
      <c r="E58" t="str">
        <f t="shared" si="0"/>
        <v>ASHFORD UK</v>
      </c>
      <c r="F58" t="s">
        <v>2485</v>
      </c>
      <c r="G58">
        <v>-50.75</v>
      </c>
      <c r="H58" t="s">
        <v>2490</v>
      </c>
      <c r="I58">
        <v>0</v>
      </c>
      <c r="J58">
        <v>100</v>
      </c>
      <c r="K58" s="9">
        <f t="shared" si="1"/>
        <v>45844</v>
      </c>
      <c r="L58" t="s">
        <v>2546</v>
      </c>
      <c r="M58" t="s">
        <v>2932</v>
      </c>
    </row>
    <row r="59" spans="1:13" hidden="1" x14ac:dyDescent="0.35">
      <c r="A59" t="s">
        <v>68</v>
      </c>
      <c r="B59" t="s">
        <v>2068</v>
      </c>
      <c r="C59" t="s">
        <v>2459</v>
      </c>
      <c r="D59" t="s">
        <v>2476</v>
      </c>
      <c r="E59" t="str">
        <f t="shared" si="0"/>
        <v>BUDAPEST SITE</v>
      </c>
      <c r="F59" t="s">
        <v>2485</v>
      </c>
      <c r="G59">
        <v>23.3</v>
      </c>
      <c r="H59" t="s">
        <v>2490</v>
      </c>
      <c r="I59">
        <v>0</v>
      </c>
      <c r="J59">
        <v>100</v>
      </c>
      <c r="K59" s="9">
        <f t="shared" si="1"/>
        <v>45999</v>
      </c>
      <c r="L59" t="s">
        <v>2547</v>
      </c>
      <c r="M59" t="s">
        <v>2923</v>
      </c>
    </row>
    <row r="60" spans="1:13" hidden="1" x14ac:dyDescent="0.35">
      <c r="A60" t="s">
        <v>69</v>
      </c>
      <c r="B60" t="s">
        <v>2069</v>
      </c>
      <c r="C60" t="s">
        <v>2458</v>
      </c>
      <c r="D60" t="s">
        <v>2464</v>
      </c>
      <c r="E60" t="str">
        <f t="shared" si="0"/>
        <v>EAST HANOVER</v>
      </c>
      <c r="F60" t="s">
        <v>2485</v>
      </c>
      <c r="G60">
        <v>-21.13</v>
      </c>
      <c r="H60" t="s">
        <v>2490</v>
      </c>
      <c r="I60">
        <v>0</v>
      </c>
      <c r="J60">
        <v>100</v>
      </c>
      <c r="K60" s="9">
        <f t="shared" si="1"/>
        <v>45766</v>
      </c>
      <c r="L60" t="s">
        <v>2548</v>
      </c>
      <c r="M60" t="s">
        <v>2925</v>
      </c>
    </row>
    <row r="61" spans="1:13" hidden="1" x14ac:dyDescent="0.35">
      <c r="A61" t="s">
        <v>70</v>
      </c>
      <c r="B61" t="s">
        <v>2070</v>
      </c>
      <c r="C61" t="s">
        <v>2460</v>
      </c>
      <c r="D61" t="s">
        <v>2463</v>
      </c>
      <c r="E61" t="str">
        <f t="shared" si="0"/>
        <v>VERNIER</v>
      </c>
      <c r="F61" t="s">
        <v>2483</v>
      </c>
      <c r="G61">
        <v>0.46</v>
      </c>
      <c r="H61" t="s">
        <v>2489</v>
      </c>
      <c r="I61">
        <v>0</v>
      </c>
      <c r="J61">
        <v>1</v>
      </c>
      <c r="K61" s="9">
        <f t="shared" si="1"/>
        <v>45300</v>
      </c>
      <c r="L61" t="s">
        <v>2549</v>
      </c>
      <c r="M61" t="s">
        <v>2923</v>
      </c>
    </row>
    <row r="62" spans="1:13" hidden="1" x14ac:dyDescent="0.35">
      <c r="A62" t="s">
        <v>71</v>
      </c>
      <c r="B62" t="s">
        <v>2035</v>
      </c>
      <c r="C62" t="s">
        <v>2461</v>
      </c>
      <c r="D62" t="s">
        <v>2475</v>
      </c>
      <c r="E62" t="str">
        <f t="shared" si="0"/>
        <v>ASHFORD</v>
      </c>
      <c r="F62" t="s">
        <v>2484</v>
      </c>
      <c r="G62">
        <v>7.06</v>
      </c>
      <c r="I62">
        <v>6</v>
      </c>
      <c r="J62">
        <v>7.5</v>
      </c>
      <c r="K62" s="9">
        <f t="shared" si="1"/>
        <v>45853</v>
      </c>
      <c r="L62" t="s">
        <v>2515</v>
      </c>
      <c r="M62" t="s">
        <v>2926</v>
      </c>
    </row>
    <row r="63" spans="1:13" hidden="1" x14ac:dyDescent="0.35">
      <c r="A63" t="s">
        <v>72</v>
      </c>
      <c r="B63" t="s">
        <v>2071</v>
      </c>
      <c r="C63" t="s">
        <v>2457</v>
      </c>
      <c r="D63" t="s">
        <v>2465</v>
      </c>
      <c r="E63" t="str">
        <f t="shared" si="0"/>
        <v>VERNIER</v>
      </c>
      <c r="F63" t="s">
        <v>2483</v>
      </c>
      <c r="G63">
        <v>0.44</v>
      </c>
      <c r="H63" t="s">
        <v>2489</v>
      </c>
      <c r="I63">
        <v>0</v>
      </c>
      <c r="J63">
        <v>1</v>
      </c>
      <c r="K63" s="9">
        <f t="shared" si="1"/>
        <v>45864</v>
      </c>
      <c r="L63" t="s">
        <v>2550</v>
      </c>
      <c r="M63" t="s">
        <v>2926</v>
      </c>
    </row>
    <row r="64" spans="1:13" hidden="1" x14ac:dyDescent="0.35">
      <c r="A64" t="s">
        <v>73</v>
      </c>
      <c r="B64" t="s">
        <v>2072</v>
      </c>
      <c r="C64" t="s">
        <v>2460</v>
      </c>
      <c r="D64" t="s">
        <v>2469</v>
      </c>
      <c r="E64" t="str">
        <f t="shared" si="0"/>
        <v>DORTMUND</v>
      </c>
      <c r="F64" t="s">
        <v>2485</v>
      </c>
      <c r="G64">
        <v>18.95</v>
      </c>
      <c r="H64" t="s">
        <v>2490</v>
      </c>
      <c r="I64">
        <v>0</v>
      </c>
      <c r="J64">
        <v>100</v>
      </c>
      <c r="K64" s="9">
        <f t="shared" si="1"/>
        <v>45544</v>
      </c>
      <c r="L64" t="s">
        <v>2551</v>
      </c>
      <c r="M64" t="s">
        <v>2932</v>
      </c>
    </row>
    <row r="65" spans="1:13" hidden="1" x14ac:dyDescent="0.35">
      <c r="A65" t="s">
        <v>74</v>
      </c>
      <c r="B65" t="s">
        <v>2032</v>
      </c>
      <c r="C65" t="s">
        <v>2460</v>
      </c>
      <c r="D65" t="s">
        <v>2462</v>
      </c>
      <c r="E65" t="str">
        <f t="shared" si="0"/>
        <v>ASHFORD UK</v>
      </c>
      <c r="F65" t="s">
        <v>2482</v>
      </c>
      <c r="G65">
        <v>101.8</v>
      </c>
      <c r="H65" t="s">
        <v>2489</v>
      </c>
      <c r="I65">
        <v>97</v>
      </c>
      <c r="J65">
        <v>100</v>
      </c>
      <c r="K65" s="9">
        <f t="shared" si="1"/>
        <v>45409</v>
      </c>
      <c r="L65" t="s">
        <v>2512</v>
      </c>
      <c r="M65" t="s">
        <v>2928</v>
      </c>
    </row>
    <row r="66" spans="1:13" hidden="1" x14ac:dyDescent="0.35">
      <c r="A66" t="s">
        <v>75</v>
      </c>
      <c r="B66" t="s">
        <v>2073</v>
      </c>
      <c r="C66" t="s">
        <v>2457</v>
      </c>
      <c r="D66" t="s">
        <v>2469</v>
      </c>
      <c r="E66" t="str">
        <f t="shared" si="0"/>
        <v>DORTMUND</v>
      </c>
      <c r="F66" t="s">
        <v>2479</v>
      </c>
      <c r="G66">
        <v>52.51</v>
      </c>
      <c r="H66" t="s">
        <v>2486</v>
      </c>
      <c r="I66">
        <v>0</v>
      </c>
      <c r="J66">
        <v>120</v>
      </c>
      <c r="K66" s="9">
        <f t="shared" si="1"/>
        <v>45638</v>
      </c>
      <c r="L66" t="s">
        <v>2552</v>
      </c>
      <c r="M66" t="s">
        <v>2925</v>
      </c>
    </row>
    <row r="67" spans="1:13" hidden="1" x14ac:dyDescent="0.35">
      <c r="A67" t="s">
        <v>76</v>
      </c>
      <c r="B67" t="s">
        <v>2074</v>
      </c>
      <c r="C67" t="s">
        <v>2457</v>
      </c>
      <c r="D67" t="s">
        <v>2462</v>
      </c>
      <c r="E67" t="str">
        <f t="shared" ref="E67:E130" si="2">UPPER(D67)</f>
        <v>ASHFORD UK</v>
      </c>
      <c r="F67" t="s">
        <v>2483</v>
      </c>
      <c r="G67">
        <v>0.41</v>
      </c>
      <c r="H67" t="s">
        <v>2489</v>
      </c>
      <c r="I67">
        <v>0</v>
      </c>
      <c r="J67">
        <v>1</v>
      </c>
      <c r="K67" s="9">
        <f t="shared" ref="K67:K130" si="3">IF(L67="","",
IF(MID(L67,5,1)="-",
DATE(LEFT(L67,4),MID(L67,6,2),RIGHT(L67,2)),
DATE(RIGHT(L67,4),MID(L67,4,2),LEFT(L67,2))
))</f>
        <v>45416</v>
      </c>
      <c r="L67" t="s">
        <v>2553</v>
      </c>
      <c r="M67" t="s">
        <v>2930</v>
      </c>
    </row>
    <row r="68" spans="1:13" hidden="1" x14ac:dyDescent="0.35">
      <c r="A68" t="s">
        <v>77</v>
      </c>
      <c r="B68" t="s">
        <v>2075</v>
      </c>
      <c r="C68" t="s">
        <v>2461</v>
      </c>
      <c r="D68" t="s">
        <v>2477</v>
      </c>
      <c r="E68" t="str">
        <f t="shared" si="2"/>
        <v>BUDAPEST</v>
      </c>
      <c r="F68" t="s">
        <v>2479</v>
      </c>
      <c r="G68">
        <v>34.86</v>
      </c>
      <c r="H68" t="s">
        <v>2486</v>
      </c>
      <c r="I68">
        <v>0</v>
      </c>
      <c r="J68">
        <v>120</v>
      </c>
      <c r="K68" s="9">
        <f t="shared" si="3"/>
        <v>45686</v>
      </c>
      <c r="L68" t="s">
        <v>2554</v>
      </c>
      <c r="M68" t="s">
        <v>2930</v>
      </c>
    </row>
    <row r="69" spans="1:13" hidden="1" x14ac:dyDescent="0.35">
      <c r="A69" t="s">
        <v>78</v>
      </c>
      <c r="B69" t="s">
        <v>2076</v>
      </c>
      <c r="C69" t="s">
        <v>2458</v>
      </c>
      <c r="D69" t="s">
        <v>2470</v>
      </c>
      <c r="E69" t="str">
        <f t="shared" si="2"/>
        <v>E. HANOVER</v>
      </c>
      <c r="F69" t="s">
        <v>2479</v>
      </c>
      <c r="G69">
        <v>65.31</v>
      </c>
      <c r="H69" t="s">
        <v>2486</v>
      </c>
      <c r="I69">
        <v>0</v>
      </c>
      <c r="J69">
        <v>120</v>
      </c>
      <c r="K69" s="9">
        <f t="shared" si="3"/>
        <v>45955</v>
      </c>
      <c r="L69" t="s">
        <v>2555</v>
      </c>
      <c r="M69" t="s">
        <v>2929</v>
      </c>
    </row>
    <row r="70" spans="1:13" hidden="1" x14ac:dyDescent="0.35">
      <c r="A70" t="s">
        <v>79</v>
      </c>
      <c r="B70" t="s">
        <v>2077</v>
      </c>
      <c r="C70" t="s">
        <v>2461</v>
      </c>
      <c r="D70" t="s">
        <v>2462</v>
      </c>
      <c r="E70" t="str">
        <f t="shared" si="2"/>
        <v>ASHFORD UK</v>
      </c>
      <c r="F70" t="s">
        <v>2483</v>
      </c>
      <c r="G70">
        <v>0.34</v>
      </c>
      <c r="H70" t="s">
        <v>2489</v>
      </c>
      <c r="I70">
        <v>0</v>
      </c>
      <c r="J70">
        <v>1</v>
      </c>
      <c r="K70" s="9">
        <f t="shared" si="3"/>
        <v>45885</v>
      </c>
      <c r="L70" t="s">
        <v>2556</v>
      </c>
      <c r="M70" t="s">
        <v>2923</v>
      </c>
    </row>
    <row r="71" spans="1:13" hidden="1" x14ac:dyDescent="0.35">
      <c r="A71" t="s">
        <v>80</v>
      </c>
      <c r="B71" t="s">
        <v>2078</v>
      </c>
      <c r="C71" t="s">
        <v>2460</v>
      </c>
      <c r="D71" t="s">
        <v>2467</v>
      </c>
      <c r="E71" t="str">
        <f t="shared" si="2"/>
        <v>ASHFORD</v>
      </c>
      <c r="F71" t="s">
        <v>2484</v>
      </c>
      <c r="G71">
        <v>6.37</v>
      </c>
      <c r="I71">
        <v>6</v>
      </c>
      <c r="J71">
        <v>7.5</v>
      </c>
      <c r="K71" s="9">
        <f t="shared" si="3"/>
        <v>45777</v>
      </c>
      <c r="L71" t="s">
        <v>2557</v>
      </c>
      <c r="M71" t="s">
        <v>2929</v>
      </c>
    </row>
    <row r="72" spans="1:13" hidden="1" x14ac:dyDescent="0.35">
      <c r="A72" t="s">
        <v>81</v>
      </c>
      <c r="B72" t="s">
        <v>2079</v>
      </c>
      <c r="C72" t="s">
        <v>2459</v>
      </c>
      <c r="D72" t="s">
        <v>2475</v>
      </c>
      <c r="E72" t="str">
        <f t="shared" si="2"/>
        <v>ASHFORD</v>
      </c>
      <c r="F72" t="s">
        <v>2481</v>
      </c>
      <c r="G72">
        <v>237.51</v>
      </c>
      <c r="H72" t="s">
        <v>2488</v>
      </c>
      <c r="I72">
        <v>150</v>
      </c>
      <c r="J72">
        <v>400</v>
      </c>
      <c r="K72" s="9">
        <f t="shared" si="3"/>
        <v>45860</v>
      </c>
      <c r="L72" t="s">
        <v>2558</v>
      </c>
      <c r="M72" t="s">
        <v>2925</v>
      </c>
    </row>
    <row r="73" spans="1:13" hidden="1" x14ac:dyDescent="0.35">
      <c r="A73" t="s">
        <v>82</v>
      </c>
      <c r="B73" t="s">
        <v>2080</v>
      </c>
      <c r="C73" t="s">
        <v>2457</v>
      </c>
      <c r="D73" t="s">
        <v>2471</v>
      </c>
      <c r="E73" t="str">
        <f t="shared" si="2"/>
        <v>BUDAPEST</v>
      </c>
      <c r="F73" t="s">
        <v>2480</v>
      </c>
      <c r="G73">
        <v>0.92</v>
      </c>
      <c r="H73" t="s">
        <v>2487</v>
      </c>
      <c r="I73">
        <v>0.88</v>
      </c>
      <c r="J73">
        <v>0.97</v>
      </c>
      <c r="K73" s="9">
        <f t="shared" si="3"/>
        <v>45304</v>
      </c>
      <c r="L73" t="s">
        <v>2559</v>
      </c>
      <c r="M73" t="s">
        <v>2931</v>
      </c>
    </row>
    <row r="74" spans="1:13" hidden="1" x14ac:dyDescent="0.35">
      <c r="A74" t="s">
        <v>83</v>
      </c>
      <c r="B74" t="s">
        <v>2081</v>
      </c>
      <c r="C74" t="s">
        <v>2458</v>
      </c>
      <c r="D74" t="s">
        <v>2469</v>
      </c>
      <c r="E74" t="str">
        <f t="shared" si="2"/>
        <v>DORTMUND</v>
      </c>
      <c r="F74" t="s">
        <v>2479</v>
      </c>
      <c r="G74">
        <v>54.35</v>
      </c>
      <c r="H74" t="s">
        <v>2486</v>
      </c>
      <c r="I74">
        <v>0</v>
      </c>
      <c r="J74">
        <v>120</v>
      </c>
      <c r="K74" s="9">
        <f t="shared" si="3"/>
        <v>45610</v>
      </c>
      <c r="L74" t="s">
        <v>2560</v>
      </c>
      <c r="M74" t="s">
        <v>2930</v>
      </c>
    </row>
    <row r="75" spans="1:13" hidden="1" x14ac:dyDescent="0.35">
      <c r="A75" t="s">
        <v>84</v>
      </c>
      <c r="B75" t="s">
        <v>2082</v>
      </c>
      <c r="C75" t="s">
        <v>2461</v>
      </c>
      <c r="D75" t="s">
        <v>2475</v>
      </c>
      <c r="E75" t="str">
        <f t="shared" si="2"/>
        <v>ASHFORD</v>
      </c>
      <c r="F75" t="s">
        <v>2481</v>
      </c>
      <c r="G75">
        <v>242.7</v>
      </c>
      <c r="H75" t="s">
        <v>2488</v>
      </c>
      <c r="I75">
        <v>150</v>
      </c>
      <c r="J75">
        <v>400</v>
      </c>
      <c r="K75" s="9">
        <f t="shared" si="3"/>
        <v>45392</v>
      </c>
      <c r="L75" t="s">
        <v>2561</v>
      </c>
      <c r="M75" t="s">
        <v>2929</v>
      </c>
    </row>
    <row r="76" spans="1:13" hidden="1" x14ac:dyDescent="0.35">
      <c r="A76" t="s">
        <v>85</v>
      </c>
      <c r="B76" t="s">
        <v>2083</v>
      </c>
      <c r="C76" t="s">
        <v>2459</v>
      </c>
      <c r="D76" t="s">
        <v>2475</v>
      </c>
      <c r="E76" t="str">
        <f t="shared" si="2"/>
        <v>ASHFORD</v>
      </c>
      <c r="F76" t="s">
        <v>2480</v>
      </c>
      <c r="G76">
        <v>0.92</v>
      </c>
      <c r="H76" t="s">
        <v>2487</v>
      </c>
      <c r="I76">
        <v>0.88</v>
      </c>
      <c r="J76">
        <v>0.97</v>
      </c>
      <c r="K76" s="9">
        <f t="shared" si="3"/>
        <v>45979</v>
      </c>
      <c r="L76" t="s">
        <v>2562</v>
      </c>
      <c r="M76" t="s">
        <v>2929</v>
      </c>
    </row>
    <row r="77" spans="1:13" hidden="1" x14ac:dyDescent="0.35">
      <c r="A77" t="s">
        <v>86</v>
      </c>
      <c r="B77" t="s">
        <v>2084</v>
      </c>
      <c r="C77" t="s">
        <v>2458</v>
      </c>
      <c r="D77" t="s">
        <v>2475</v>
      </c>
      <c r="E77" t="str">
        <f t="shared" si="2"/>
        <v>ASHFORD</v>
      </c>
      <c r="F77" t="s">
        <v>2483</v>
      </c>
      <c r="G77">
        <v>0.41</v>
      </c>
      <c r="H77" t="s">
        <v>2489</v>
      </c>
      <c r="I77">
        <v>0</v>
      </c>
      <c r="J77">
        <v>1</v>
      </c>
      <c r="K77" s="9">
        <f t="shared" si="3"/>
        <v>45874</v>
      </c>
      <c r="L77" t="s">
        <v>2563</v>
      </c>
      <c r="M77" t="s">
        <v>2923</v>
      </c>
    </row>
    <row r="78" spans="1:13" hidden="1" x14ac:dyDescent="0.35">
      <c r="A78" t="s">
        <v>87</v>
      </c>
      <c r="B78" t="s">
        <v>2085</v>
      </c>
      <c r="C78" t="s">
        <v>2461</v>
      </c>
      <c r="D78" t="s">
        <v>2473</v>
      </c>
      <c r="E78" t="str">
        <f t="shared" si="2"/>
        <v>DORTMUND</v>
      </c>
      <c r="F78" t="s">
        <v>2482</v>
      </c>
      <c r="G78">
        <v>98.76</v>
      </c>
      <c r="H78" t="s">
        <v>2489</v>
      </c>
      <c r="I78">
        <v>97</v>
      </c>
      <c r="J78">
        <v>100</v>
      </c>
      <c r="K78" s="9">
        <f t="shared" si="3"/>
        <v>46008</v>
      </c>
      <c r="L78" t="s">
        <v>2497</v>
      </c>
      <c r="M78" t="s">
        <v>2931</v>
      </c>
    </row>
    <row r="79" spans="1:13" hidden="1" x14ac:dyDescent="0.35">
      <c r="A79" t="s">
        <v>88</v>
      </c>
      <c r="B79" t="s">
        <v>2086</v>
      </c>
      <c r="C79" t="s">
        <v>2459</v>
      </c>
      <c r="D79" t="s">
        <v>2462</v>
      </c>
      <c r="E79" t="str">
        <f t="shared" si="2"/>
        <v>ASHFORD UK</v>
      </c>
      <c r="F79" t="s">
        <v>2479</v>
      </c>
      <c r="G79">
        <v>-13.42</v>
      </c>
      <c r="H79" t="s">
        <v>2486</v>
      </c>
      <c r="I79">
        <v>0</v>
      </c>
      <c r="J79">
        <v>120</v>
      </c>
      <c r="K79" s="9">
        <f t="shared" si="3"/>
        <v>45668</v>
      </c>
      <c r="L79" t="s">
        <v>2564</v>
      </c>
      <c r="M79" t="s">
        <v>2930</v>
      </c>
    </row>
    <row r="80" spans="1:13" hidden="1" x14ac:dyDescent="0.35">
      <c r="A80" t="s">
        <v>89</v>
      </c>
      <c r="B80" t="s">
        <v>2013</v>
      </c>
      <c r="C80" t="s">
        <v>2457</v>
      </c>
      <c r="D80" t="s">
        <v>2466</v>
      </c>
      <c r="E80" t="str">
        <f t="shared" si="2"/>
        <v>EAST HANOVER</v>
      </c>
      <c r="F80" t="s">
        <v>2480</v>
      </c>
      <c r="G80">
        <v>0.9</v>
      </c>
      <c r="H80" t="s">
        <v>2487</v>
      </c>
      <c r="I80">
        <v>0.88</v>
      </c>
      <c r="J80">
        <v>0.97</v>
      </c>
      <c r="K80" s="9">
        <f t="shared" si="3"/>
        <v>45924</v>
      </c>
      <c r="L80" t="s">
        <v>2565</v>
      </c>
      <c r="M80" t="s">
        <v>2924</v>
      </c>
    </row>
    <row r="81" spans="1:13" hidden="1" x14ac:dyDescent="0.35">
      <c r="A81" t="s">
        <v>90</v>
      </c>
      <c r="B81" t="s">
        <v>2087</v>
      </c>
      <c r="C81" t="s">
        <v>2459</v>
      </c>
      <c r="D81" t="s">
        <v>2467</v>
      </c>
      <c r="E81" t="str">
        <f t="shared" si="2"/>
        <v>ASHFORD</v>
      </c>
      <c r="F81" t="s">
        <v>2485</v>
      </c>
      <c r="G81">
        <v>40.64</v>
      </c>
      <c r="H81" t="s">
        <v>2490</v>
      </c>
      <c r="I81">
        <v>0</v>
      </c>
      <c r="J81">
        <v>100</v>
      </c>
      <c r="K81" s="9">
        <f t="shared" si="3"/>
        <v>45399</v>
      </c>
      <c r="L81" t="s">
        <v>2492</v>
      </c>
      <c r="M81" t="s">
        <v>2927</v>
      </c>
    </row>
    <row r="82" spans="1:13" hidden="1" x14ac:dyDescent="0.35">
      <c r="A82" t="s">
        <v>91</v>
      </c>
      <c r="B82" t="s">
        <v>2088</v>
      </c>
      <c r="C82" t="s">
        <v>2461</v>
      </c>
      <c r="D82" t="s">
        <v>2478</v>
      </c>
      <c r="E82" t="str">
        <f t="shared" si="2"/>
        <v>BUD</v>
      </c>
      <c r="F82" t="s">
        <v>2481</v>
      </c>
      <c r="G82">
        <v>239.96</v>
      </c>
      <c r="H82" t="s">
        <v>2488</v>
      </c>
      <c r="I82">
        <v>150</v>
      </c>
      <c r="J82">
        <v>400</v>
      </c>
      <c r="K82" s="9">
        <f t="shared" si="3"/>
        <v>45973</v>
      </c>
      <c r="L82" t="s">
        <v>2566</v>
      </c>
      <c r="M82" t="s">
        <v>2927</v>
      </c>
    </row>
    <row r="83" spans="1:13" hidden="1" x14ac:dyDescent="0.35">
      <c r="A83" t="s">
        <v>92</v>
      </c>
      <c r="B83" t="s">
        <v>2017</v>
      </c>
      <c r="C83" t="s">
        <v>2458</v>
      </c>
      <c r="D83" t="s">
        <v>2468</v>
      </c>
      <c r="E83" t="str">
        <f t="shared" si="2"/>
        <v>VERNIER CH</v>
      </c>
      <c r="F83" t="s">
        <v>2484</v>
      </c>
      <c r="G83">
        <v>7.19</v>
      </c>
      <c r="I83">
        <v>6</v>
      </c>
      <c r="J83">
        <v>7.5</v>
      </c>
      <c r="K83" s="9">
        <f t="shared" si="3"/>
        <v>46008</v>
      </c>
      <c r="L83" t="s">
        <v>2497</v>
      </c>
      <c r="M83" t="s">
        <v>2931</v>
      </c>
    </row>
    <row r="84" spans="1:13" hidden="1" x14ac:dyDescent="0.35">
      <c r="A84" t="s">
        <v>93</v>
      </c>
      <c r="B84" t="s">
        <v>2089</v>
      </c>
      <c r="C84" t="s">
        <v>2460</v>
      </c>
      <c r="D84" t="s">
        <v>2471</v>
      </c>
      <c r="E84" t="str">
        <f t="shared" si="2"/>
        <v>BUDAPEST</v>
      </c>
      <c r="F84" t="s">
        <v>2481</v>
      </c>
      <c r="G84">
        <v>308.02999999999997</v>
      </c>
      <c r="H84" t="s">
        <v>2488</v>
      </c>
      <c r="I84">
        <v>150</v>
      </c>
      <c r="J84">
        <v>400</v>
      </c>
      <c r="K84" s="9">
        <f t="shared" si="3"/>
        <v>45789</v>
      </c>
      <c r="L84" t="s">
        <v>2567</v>
      </c>
      <c r="M84" t="s">
        <v>2924</v>
      </c>
    </row>
    <row r="85" spans="1:13" hidden="1" x14ac:dyDescent="0.35">
      <c r="A85" t="s">
        <v>94</v>
      </c>
      <c r="B85" t="s">
        <v>2089</v>
      </c>
      <c r="C85" t="s">
        <v>2460</v>
      </c>
      <c r="D85" t="s">
        <v>2476</v>
      </c>
      <c r="E85" t="str">
        <f t="shared" si="2"/>
        <v>BUDAPEST SITE</v>
      </c>
      <c r="F85" t="s">
        <v>2480</v>
      </c>
      <c r="G85">
        <v>0.93</v>
      </c>
      <c r="H85" t="s">
        <v>2487</v>
      </c>
      <c r="I85">
        <v>0.88</v>
      </c>
      <c r="J85">
        <v>0.97</v>
      </c>
      <c r="K85" s="9">
        <f t="shared" si="3"/>
        <v>45789</v>
      </c>
      <c r="L85" t="s">
        <v>2567</v>
      </c>
      <c r="M85" t="s">
        <v>2926</v>
      </c>
    </row>
    <row r="86" spans="1:13" hidden="1" x14ac:dyDescent="0.35">
      <c r="A86" t="s">
        <v>95</v>
      </c>
      <c r="B86" t="s">
        <v>2090</v>
      </c>
      <c r="C86" t="s">
        <v>2457</v>
      </c>
      <c r="D86" t="s">
        <v>2475</v>
      </c>
      <c r="E86" t="str">
        <f t="shared" si="2"/>
        <v>ASHFORD</v>
      </c>
      <c r="F86" t="s">
        <v>2485</v>
      </c>
      <c r="G86">
        <v>-1.3</v>
      </c>
      <c r="H86" t="s">
        <v>2490</v>
      </c>
      <c r="I86">
        <v>0</v>
      </c>
      <c r="J86">
        <v>100</v>
      </c>
      <c r="K86" s="9">
        <f t="shared" si="3"/>
        <v>45534</v>
      </c>
      <c r="L86" t="s">
        <v>2568</v>
      </c>
      <c r="M86" t="s">
        <v>2923</v>
      </c>
    </row>
    <row r="87" spans="1:13" hidden="1" x14ac:dyDescent="0.35">
      <c r="A87" t="s">
        <v>96</v>
      </c>
      <c r="B87" t="s">
        <v>2091</v>
      </c>
      <c r="C87" t="s">
        <v>2460</v>
      </c>
      <c r="D87" t="s">
        <v>2468</v>
      </c>
      <c r="E87" t="str">
        <f t="shared" si="2"/>
        <v>VERNIER CH</v>
      </c>
      <c r="F87" t="s">
        <v>2485</v>
      </c>
      <c r="G87">
        <v>13.81</v>
      </c>
      <c r="H87" t="s">
        <v>2490</v>
      </c>
      <c r="I87">
        <v>0</v>
      </c>
      <c r="J87">
        <v>100</v>
      </c>
      <c r="K87" s="9">
        <f t="shared" si="3"/>
        <v>45517</v>
      </c>
      <c r="L87" t="s">
        <v>2569</v>
      </c>
      <c r="M87" t="s">
        <v>2930</v>
      </c>
    </row>
    <row r="88" spans="1:13" hidden="1" x14ac:dyDescent="0.35">
      <c r="A88" t="s">
        <v>97</v>
      </c>
      <c r="B88" t="s">
        <v>2092</v>
      </c>
      <c r="C88" t="s">
        <v>2459</v>
      </c>
      <c r="D88" t="s">
        <v>2466</v>
      </c>
      <c r="E88" t="str">
        <f t="shared" si="2"/>
        <v>EAST HANOVER</v>
      </c>
      <c r="F88" t="s">
        <v>2479</v>
      </c>
      <c r="G88">
        <v>28.51</v>
      </c>
      <c r="H88" t="s">
        <v>2486</v>
      </c>
      <c r="I88">
        <v>0</v>
      </c>
      <c r="J88">
        <v>120</v>
      </c>
      <c r="K88" s="9">
        <f t="shared" si="3"/>
        <v>45889</v>
      </c>
      <c r="L88" t="s">
        <v>2570</v>
      </c>
      <c r="M88" t="s">
        <v>2926</v>
      </c>
    </row>
    <row r="89" spans="1:13" hidden="1" x14ac:dyDescent="0.35">
      <c r="A89" t="s">
        <v>98</v>
      </c>
      <c r="B89" t="s">
        <v>2093</v>
      </c>
      <c r="C89" t="s">
        <v>2459</v>
      </c>
      <c r="D89" t="s">
        <v>2464</v>
      </c>
      <c r="E89" t="str">
        <f t="shared" si="2"/>
        <v>EAST HANOVER</v>
      </c>
      <c r="F89" t="s">
        <v>2482</v>
      </c>
      <c r="G89">
        <v>95.2</v>
      </c>
      <c r="H89" t="s">
        <v>2489</v>
      </c>
      <c r="I89">
        <v>97</v>
      </c>
      <c r="J89">
        <v>100</v>
      </c>
      <c r="K89" s="9">
        <f t="shared" si="3"/>
        <v>45542</v>
      </c>
      <c r="L89" t="s">
        <v>2571</v>
      </c>
      <c r="M89" t="s">
        <v>2924</v>
      </c>
    </row>
    <row r="90" spans="1:13" hidden="1" x14ac:dyDescent="0.35">
      <c r="A90" t="s">
        <v>99</v>
      </c>
      <c r="B90" t="s">
        <v>2094</v>
      </c>
      <c r="C90" t="s">
        <v>2460</v>
      </c>
      <c r="D90" t="s">
        <v>2467</v>
      </c>
      <c r="E90" t="str">
        <f t="shared" si="2"/>
        <v>ASHFORD</v>
      </c>
      <c r="F90" t="s">
        <v>2484</v>
      </c>
      <c r="G90">
        <v>6.05</v>
      </c>
      <c r="I90">
        <v>6</v>
      </c>
      <c r="J90">
        <v>7.5</v>
      </c>
      <c r="K90" s="9">
        <f t="shared" si="3"/>
        <v>45316</v>
      </c>
      <c r="L90" t="s">
        <v>2572</v>
      </c>
      <c r="M90" t="s">
        <v>2925</v>
      </c>
    </row>
    <row r="91" spans="1:13" hidden="1" x14ac:dyDescent="0.35">
      <c r="A91" t="s">
        <v>100</v>
      </c>
      <c r="B91" t="s">
        <v>2095</v>
      </c>
      <c r="C91" t="s">
        <v>2459</v>
      </c>
      <c r="D91" t="s">
        <v>2467</v>
      </c>
      <c r="E91" t="str">
        <f t="shared" si="2"/>
        <v>ASHFORD</v>
      </c>
      <c r="F91" t="s">
        <v>2480</v>
      </c>
      <c r="G91">
        <v>0.94</v>
      </c>
      <c r="H91" t="s">
        <v>2487</v>
      </c>
      <c r="I91">
        <v>0.88</v>
      </c>
      <c r="J91">
        <v>0.97</v>
      </c>
      <c r="K91" s="9">
        <f t="shared" si="3"/>
        <v>45825</v>
      </c>
      <c r="L91" t="s">
        <v>2573</v>
      </c>
      <c r="M91" t="s">
        <v>2930</v>
      </c>
    </row>
    <row r="92" spans="1:13" hidden="1" x14ac:dyDescent="0.35">
      <c r="A92" t="s">
        <v>101</v>
      </c>
      <c r="B92" t="s">
        <v>2096</v>
      </c>
      <c r="C92" t="s">
        <v>2460</v>
      </c>
      <c r="D92" t="s">
        <v>2464</v>
      </c>
      <c r="E92" t="str">
        <f t="shared" si="2"/>
        <v>EAST HANOVER</v>
      </c>
      <c r="F92" t="s">
        <v>2483</v>
      </c>
      <c r="G92">
        <v>0.38</v>
      </c>
      <c r="H92" t="s">
        <v>2489</v>
      </c>
      <c r="I92">
        <v>0</v>
      </c>
      <c r="J92">
        <v>1</v>
      </c>
      <c r="K92" s="9">
        <f t="shared" si="3"/>
        <v>45385</v>
      </c>
      <c r="L92" t="s">
        <v>2574</v>
      </c>
      <c r="M92" t="s">
        <v>2925</v>
      </c>
    </row>
    <row r="93" spans="1:13" hidden="1" x14ac:dyDescent="0.35">
      <c r="A93" t="s">
        <v>102</v>
      </c>
      <c r="B93" t="s">
        <v>2097</v>
      </c>
      <c r="C93" t="s">
        <v>2457</v>
      </c>
      <c r="D93" t="s">
        <v>2466</v>
      </c>
      <c r="E93" t="str">
        <f t="shared" si="2"/>
        <v>EAST HANOVER</v>
      </c>
      <c r="F93" t="s">
        <v>2483</v>
      </c>
      <c r="G93">
        <v>0.56999999999999995</v>
      </c>
      <c r="H93" t="s">
        <v>2489</v>
      </c>
      <c r="I93">
        <v>0</v>
      </c>
      <c r="J93">
        <v>1</v>
      </c>
      <c r="K93" s="9">
        <f t="shared" si="3"/>
        <v>45826</v>
      </c>
      <c r="L93" t="s">
        <v>2575</v>
      </c>
      <c r="M93" t="s">
        <v>2927</v>
      </c>
    </row>
    <row r="94" spans="1:13" hidden="1" x14ac:dyDescent="0.35">
      <c r="A94" t="s">
        <v>103</v>
      </c>
      <c r="B94" t="s">
        <v>2098</v>
      </c>
      <c r="C94" t="s">
        <v>2460</v>
      </c>
      <c r="D94" t="s">
        <v>2466</v>
      </c>
      <c r="E94" t="str">
        <f t="shared" si="2"/>
        <v>EAST HANOVER</v>
      </c>
      <c r="F94" t="s">
        <v>2483</v>
      </c>
      <c r="G94">
        <v>0.45</v>
      </c>
      <c r="H94" t="s">
        <v>2489</v>
      </c>
      <c r="I94">
        <v>0</v>
      </c>
      <c r="J94">
        <v>1</v>
      </c>
      <c r="K94" s="9">
        <f t="shared" si="3"/>
        <v>45460</v>
      </c>
      <c r="L94" t="s">
        <v>2576</v>
      </c>
      <c r="M94" t="s">
        <v>2923</v>
      </c>
    </row>
    <row r="95" spans="1:13" hidden="1" x14ac:dyDescent="0.35">
      <c r="A95" t="s">
        <v>104</v>
      </c>
      <c r="B95" t="s">
        <v>2099</v>
      </c>
      <c r="C95" t="s">
        <v>2457</v>
      </c>
      <c r="D95" t="s">
        <v>2469</v>
      </c>
      <c r="E95" t="str">
        <f t="shared" si="2"/>
        <v>DORTMUND</v>
      </c>
      <c r="F95" t="s">
        <v>2483</v>
      </c>
      <c r="G95">
        <v>0.57999999999999996</v>
      </c>
      <c r="H95" t="s">
        <v>2489</v>
      </c>
      <c r="I95">
        <v>0</v>
      </c>
      <c r="J95">
        <v>1</v>
      </c>
      <c r="K95" s="9">
        <f t="shared" si="3"/>
        <v>45915</v>
      </c>
      <c r="L95" t="s">
        <v>2577</v>
      </c>
      <c r="M95" t="s">
        <v>2929</v>
      </c>
    </row>
    <row r="96" spans="1:13" hidden="1" x14ac:dyDescent="0.35">
      <c r="A96" t="s">
        <v>105</v>
      </c>
      <c r="B96" t="s">
        <v>2100</v>
      </c>
      <c r="C96" t="s">
        <v>2461</v>
      </c>
      <c r="D96" t="s">
        <v>2471</v>
      </c>
      <c r="E96" t="str">
        <f t="shared" si="2"/>
        <v>BUDAPEST</v>
      </c>
      <c r="F96" t="s">
        <v>2482</v>
      </c>
      <c r="G96">
        <v>98.9</v>
      </c>
      <c r="H96" t="s">
        <v>2489</v>
      </c>
      <c r="I96">
        <v>97</v>
      </c>
      <c r="J96">
        <v>100</v>
      </c>
      <c r="K96" s="9">
        <f t="shared" si="3"/>
        <v>45413</v>
      </c>
      <c r="L96" t="s">
        <v>2578</v>
      </c>
      <c r="M96" t="s">
        <v>2929</v>
      </c>
    </row>
    <row r="97" spans="1:13" hidden="1" x14ac:dyDescent="0.35">
      <c r="A97" t="s">
        <v>106</v>
      </c>
      <c r="B97" t="s">
        <v>2101</v>
      </c>
      <c r="C97" t="s">
        <v>2458</v>
      </c>
      <c r="D97" t="s">
        <v>2473</v>
      </c>
      <c r="E97" t="str">
        <f t="shared" si="2"/>
        <v>DORTMUND</v>
      </c>
      <c r="F97" t="s">
        <v>2480</v>
      </c>
      <c r="G97">
        <v>0.96</v>
      </c>
      <c r="H97" t="s">
        <v>2487</v>
      </c>
      <c r="I97">
        <v>0.88</v>
      </c>
      <c r="J97">
        <v>0.97</v>
      </c>
      <c r="K97" s="9">
        <f t="shared" si="3"/>
        <v>46013</v>
      </c>
      <c r="L97" t="s">
        <v>2579</v>
      </c>
      <c r="M97" t="s">
        <v>2930</v>
      </c>
    </row>
    <row r="98" spans="1:13" hidden="1" x14ac:dyDescent="0.35">
      <c r="A98" t="s">
        <v>107</v>
      </c>
      <c r="B98" t="s">
        <v>2102</v>
      </c>
      <c r="C98" t="s">
        <v>2461</v>
      </c>
      <c r="D98" t="s">
        <v>2472</v>
      </c>
      <c r="E98" t="str">
        <f t="shared" si="2"/>
        <v>VERNIER</v>
      </c>
      <c r="F98" t="s">
        <v>2482</v>
      </c>
      <c r="G98">
        <v>99.01</v>
      </c>
      <c r="H98" t="s">
        <v>2489</v>
      </c>
      <c r="I98">
        <v>97</v>
      </c>
      <c r="J98">
        <v>100</v>
      </c>
      <c r="K98" s="9">
        <f t="shared" si="3"/>
        <v>45959</v>
      </c>
      <c r="L98" t="s">
        <v>2580</v>
      </c>
      <c r="M98" t="s">
        <v>2929</v>
      </c>
    </row>
    <row r="99" spans="1:13" hidden="1" x14ac:dyDescent="0.35">
      <c r="A99" t="s">
        <v>108</v>
      </c>
      <c r="B99" t="s">
        <v>2103</v>
      </c>
      <c r="C99" t="s">
        <v>2460</v>
      </c>
      <c r="D99" t="s">
        <v>2473</v>
      </c>
      <c r="E99" t="str">
        <f t="shared" si="2"/>
        <v>DORTMUND</v>
      </c>
      <c r="F99" t="s">
        <v>2482</v>
      </c>
      <c r="G99">
        <v>98.96</v>
      </c>
      <c r="H99" t="s">
        <v>2489</v>
      </c>
      <c r="I99">
        <v>97</v>
      </c>
      <c r="J99">
        <v>100</v>
      </c>
      <c r="K99" s="9">
        <f t="shared" si="3"/>
        <v>45573</v>
      </c>
      <c r="L99" t="s">
        <v>2581</v>
      </c>
      <c r="M99" t="s">
        <v>2927</v>
      </c>
    </row>
    <row r="100" spans="1:13" hidden="1" x14ac:dyDescent="0.35">
      <c r="A100" t="s">
        <v>109</v>
      </c>
      <c r="B100" t="s">
        <v>2104</v>
      </c>
      <c r="C100" t="s">
        <v>2458</v>
      </c>
      <c r="D100" t="s">
        <v>2475</v>
      </c>
      <c r="E100" t="str">
        <f t="shared" si="2"/>
        <v>ASHFORD</v>
      </c>
      <c r="F100" t="s">
        <v>2485</v>
      </c>
      <c r="G100">
        <v>-75</v>
      </c>
      <c r="H100" t="s">
        <v>2490</v>
      </c>
      <c r="I100">
        <v>0</v>
      </c>
      <c r="J100">
        <v>100</v>
      </c>
      <c r="K100" s="9">
        <f t="shared" si="3"/>
        <v>45831</v>
      </c>
      <c r="L100" t="s">
        <v>2540</v>
      </c>
      <c r="M100" t="s">
        <v>2926</v>
      </c>
    </row>
    <row r="101" spans="1:13" hidden="1" x14ac:dyDescent="0.35">
      <c r="A101" t="s">
        <v>110</v>
      </c>
      <c r="B101" t="s">
        <v>2105</v>
      </c>
      <c r="C101" t="s">
        <v>2457</v>
      </c>
      <c r="D101" t="s">
        <v>2467</v>
      </c>
      <c r="E101" t="str">
        <f t="shared" si="2"/>
        <v>ASHFORD</v>
      </c>
      <c r="F101" t="s">
        <v>2482</v>
      </c>
      <c r="G101">
        <v>99.97</v>
      </c>
      <c r="H101" t="s">
        <v>2489</v>
      </c>
      <c r="I101">
        <v>97</v>
      </c>
      <c r="J101">
        <v>100</v>
      </c>
      <c r="K101" s="9">
        <f t="shared" si="3"/>
        <v>45358</v>
      </c>
      <c r="L101" t="s">
        <v>2582</v>
      </c>
      <c r="M101" t="s">
        <v>2924</v>
      </c>
    </row>
    <row r="102" spans="1:13" hidden="1" x14ac:dyDescent="0.35">
      <c r="A102" t="s">
        <v>111</v>
      </c>
      <c r="B102" t="s">
        <v>2106</v>
      </c>
      <c r="C102" t="s">
        <v>2461</v>
      </c>
      <c r="D102" t="s">
        <v>2472</v>
      </c>
      <c r="E102" t="str">
        <f t="shared" si="2"/>
        <v>VERNIER</v>
      </c>
      <c r="F102" t="s">
        <v>2484</v>
      </c>
      <c r="G102">
        <v>7</v>
      </c>
      <c r="I102">
        <v>6</v>
      </c>
      <c r="J102">
        <v>7.5</v>
      </c>
      <c r="K102" s="9">
        <f t="shared" si="3"/>
        <v>45388</v>
      </c>
      <c r="L102" t="s">
        <v>2583</v>
      </c>
      <c r="M102" t="s">
        <v>2932</v>
      </c>
    </row>
    <row r="103" spans="1:13" hidden="1" x14ac:dyDescent="0.35">
      <c r="A103" t="s">
        <v>112</v>
      </c>
      <c r="B103" t="s">
        <v>2107</v>
      </c>
      <c r="C103" t="s">
        <v>2459</v>
      </c>
      <c r="D103" t="s">
        <v>2470</v>
      </c>
      <c r="E103" t="str">
        <f t="shared" si="2"/>
        <v>E. HANOVER</v>
      </c>
      <c r="F103" t="s">
        <v>2479</v>
      </c>
      <c r="G103">
        <v>74.599999999999994</v>
      </c>
      <c r="H103" t="s">
        <v>2486</v>
      </c>
      <c r="I103">
        <v>0</v>
      </c>
      <c r="J103">
        <v>120</v>
      </c>
      <c r="K103" s="9">
        <f t="shared" si="3"/>
        <v>45633</v>
      </c>
      <c r="L103" t="s">
        <v>2584</v>
      </c>
      <c r="M103" t="s">
        <v>2932</v>
      </c>
    </row>
    <row r="104" spans="1:13" hidden="1" x14ac:dyDescent="0.35">
      <c r="A104" t="s">
        <v>113</v>
      </c>
      <c r="B104" t="s">
        <v>2108</v>
      </c>
      <c r="C104" t="s">
        <v>2458</v>
      </c>
      <c r="D104" t="s">
        <v>2462</v>
      </c>
      <c r="E104" t="str">
        <f t="shared" si="2"/>
        <v>ASHFORD UK</v>
      </c>
      <c r="F104" t="s">
        <v>2482</v>
      </c>
      <c r="G104">
        <v>99.56</v>
      </c>
      <c r="H104" t="s">
        <v>2489</v>
      </c>
      <c r="I104">
        <v>97</v>
      </c>
      <c r="J104">
        <v>100</v>
      </c>
      <c r="K104" s="9">
        <f t="shared" si="3"/>
        <v>45362</v>
      </c>
      <c r="L104" t="s">
        <v>2585</v>
      </c>
      <c r="M104" t="s">
        <v>2931</v>
      </c>
    </row>
    <row r="105" spans="1:13" hidden="1" x14ac:dyDescent="0.35">
      <c r="A105" t="s">
        <v>114</v>
      </c>
      <c r="B105" t="s">
        <v>2109</v>
      </c>
      <c r="C105" t="s">
        <v>2461</v>
      </c>
      <c r="D105" t="s">
        <v>2471</v>
      </c>
      <c r="E105" t="str">
        <f t="shared" si="2"/>
        <v>BUDAPEST</v>
      </c>
      <c r="F105" t="s">
        <v>2483</v>
      </c>
      <c r="G105">
        <v>0.37</v>
      </c>
      <c r="H105" t="s">
        <v>2489</v>
      </c>
      <c r="I105">
        <v>0</v>
      </c>
      <c r="J105">
        <v>1</v>
      </c>
      <c r="K105" s="9">
        <f t="shared" si="3"/>
        <v>45596</v>
      </c>
      <c r="L105" t="s">
        <v>2586</v>
      </c>
      <c r="M105" t="s">
        <v>2932</v>
      </c>
    </row>
    <row r="106" spans="1:13" hidden="1" x14ac:dyDescent="0.35">
      <c r="A106" t="s">
        <v>115</v>
      </c>
      <c r="B106" t="s">
        <v>2110</v>
      </c>
      <c r="C106" t="s">
        <v>2460</v>
      </c>
      <c r="D106" t="s">
        <v>2463</v>
      </c>
      <c r="E106" t="str">
        <f t="shared" si="2"/>
        <v>VERNIER</v>
      </c>
      <c r="F106" t="s">
        <v>2480</v>
      </c>
      <c r="G106">
        <v>0.86</v>
      </c>
      <c r="H106" t="s">
        <v>2487</v>
      </c>
      <c r="I106">
        <v>0.88</v>
      </c>
      <c r="J106">
        <v>0.97</v>
      </c>
      <c r="K106" s="9">
        <f t="shared" si="3"/>
        <v>45860</v>
      </c>
      <c r="L106" t="s">
        <v>2558</v>
      </c>
      <c r="M106" t="s">
        <v>2924</v>
      </c>
    </row>
    <row r="107" spans="1:13" hidden="1" x14ac:dyDescent="0.35">
      <c r="A107" t="s">
        <v>116</v>
      </c>
      <c r="B107" t="s">
        <v>2111</v>
      </c>
      <c r="C107" t="s">
        <v>2461</v>
      </c>
      <c r="D107" t="s">
        <v>2465</v>
      </c>
      <c r="E107" t="str">
        <f t="shared" si="2"/>
        <v>VERNIER</v>
      </c>
      <c r="F107" t="s">
        <v>2483</v>
      </c>
      <c r="G107">
        <v>0.18</v>
      </c>
      <c r="H107" t="s">
        <v>2489</v>
      </c>
      <c r="I107">
        <v>0</v>
      </c>
      <c r="J107">
        <v>1</v>
      </c>
      <c r="K107" s="9">
        <f t="shared" si="3"/>
        <v>45547</v>
      </c>
      <c r="L107" t="s">
        <v>2587</v>
      </c>
      <c r="M107" t="s">
        <v>2926</v>
      </c>
    </row>
    <row r="108" spans="1:13" hidden="1" x14ac:dyDescent="0.35">
      <c r="A108" t="s">
        <v>117</v>
      </c>
      <c r="B108" t="s">
        <v>2112</v>
      </c>
      <c r="C108" t="s">
        <v>2457</v>
      </c>
      <c r="D108" t="s">
        <v>2469</v>
      </c>
      <c r="E108" t="str">
        <f t="shared" si="2"/>
        <v>DORTMUND</v>
      </c>
      <c r="F108" t="s">
        <v>2481</v>
      </c>
      <c r="G108">
        <v>275.5</v>
      </c>
      <c r="H108" t="s">
        <v>2488</v>
      </c>
      <c r="I108">
        <v>150</v>
      </c>
      <c r="J108">
        <v>400</v>
      </c>
      <c r="K108" s="9">
        <f t="shared" si="3"/>
        <v>45993</v>
      </c>
      <c r="L108" t="s">
        <v>2588</v>
      </c>
      <c r="M108" t="s">
        <v>2924</v>
      </c>
    </row>
    <row r="109" spans="1:13" hidden="1" x14ac:dyDescent="0.35">
      <c r="A109" t="s">
        <v>118</v>
      </c>
      <c r="B109" t="s">
        <v>2075</v>
      </c>
      <c r="C109" t="s">
        <v>2461</v>
      </c>
      <c r="D109" t="s">
        <v>2471</v>
      </c>
      <c r="E109" t="str">
        <f t="shared" si="2"/>
        <v>BUDAPEST</v>
      </c>
      <c r="F109" t="s">
        <v>2485</v>
      </c>
      <c r="G109">
        <v>42.8</v>
      </c>
      <c r="H109" t="s">
        <v>2490</v>
      </c>
      <c r="I109">
        <v>0</v>
      </c>
      <c r="J109">
        <v>100</v>
      </c>
      <c r="K109" s="9">
        <f t="shared" si="3"/>
        <v>45686</v>
      </c>
      <c r="L109" t="s">
        <v>2554</v>
      </c>
      <c r="M109" t="s">
        <v>2923</v>
      </c>
    </row>
    <row r="110" spans="1:13" hidden="1" x14ac:dyDescent="0.35">
      <c r="A110" t="s">
        <v>119</v>
      </c>
      <c r="B110" t="s">
        <v>2113</v>
      </c>
      <c r="C110" t="s">
        <v>2458</v>
      </c>
      <c r="D110" t="s">
        <v>2470</v>
      </c>
      <c r="E110" t="str">
        <f t="shared" si="2"/>
        <v>E. HANOVER</v>
      </c>
      <c r="F110" t="s">
        <v>2480</v>
      </c>
      <c r="G110">
        <v>0.88</v>
      </c>
      <c r="H110" t="s">
        <v>2487</v>
      </c>
      <c r="I110">
        <v>0.88</v>
      </c>
      <c r="J110">
        <v>0.97</v>
      </c>
      <c r="K110" s="9">
        <f t="shared" si="3"/>
        <v>45345</v>
      </c>
      <c r="L110" t="s">
        <v>2589</v>
      </c>
      <c r="M110" t="s">
        <v>2925</v>
      </c>
    </row>
    <row r="111" spans="1:13" hidden="1" x14ac:dyDescent="0.35">
      <c r="A111" t="s">
        <v>120</v>
      </c>
      <c r="B111" t="s">
        <v>2114</v>
      </c>
      <c r="C111" t="s">
        <v>2460</v>
      </c>
      <c r="D111" t="s">
        <v>2466</v>
      </c>
      <c r="E111" t="str">
        <f t="shared" si="2"/>
        <v>EAST HANOVER</v>
      </c>
      <c r="F111" t="s">
        <v>2480</v>
      </c>
      <c r="G111">
        <v>0.99</v>
      </c>
      <c r="H111" t="s">
        <v>2487</v>
      </c>
      <c r="I111">
        <v>0.88</v>
      </c>
      <c r="J111">
        <v>0.97</v>
      </c>
      <c r="K111" s="9">
        <f t="shared" si="3"/>
        <v>45654</v>
      </c>
      <c r="L111" t="s">
        <v>2508</v>
      </c>
      <c r="M111" t="s">
        <v>2927</v>
      </c>
    </row>
    <row r="112" spans="1:13" hidden="1" x14ac:dyDescent="0.35">
      <c r="A112" t="s">
        <v>121</v>
      </c>
      <c r="B112" t="s">
        <v>2097</v>
      </c>
      <c r="C112" t="s">
        <v>2457</v>
      </c>
      <c r="D112" t="s">
        <v>2464</v>
      </c>
      <c r="E112" t="str">
        <f t="shared" si="2"/>
        <v>EAST HANOVER</v>
      </c>
      <c r="F112" t="s">
        <v>2485</v>
      </c>
      <c r="G112">
        <v>16.61</v>
      </c>
      <c r="H112" t="s">
        <v>2490</v>
      </c>
      <c r="I112">
        <v>0</v>
      </c>
      <c r="J112">
        <v>100</v>
      </c>
      <c r="K112" s="9">
        <f t="shared" si="3"/>
        <v>45826</v>
      </c>
      <c r="L112" t="s">
        <v>2575</v>
      </c>
      <c r="M112" t="s">
        <v>2928</v>
      </c>
    </row>
    <row r="113" spans="1:13" hidden="1" x14ac:dyDescent="0.35">
      <c r="A113" t="s">
        <v>122</v>
      </c>
      <c r="B113" t="s">
        <v>2115</v>
      </c>
      <c r="C113" t="s">
        <v>2457</v>
      </c>
      <c r="D113" t="s">
        <v>2477</v>
      </c>
      <c r="E113" t="str">
        <f t="shared" si="2"/>
        <v>BUDAPEST</v>
      </c>
      <c r="F113" t="s">
        <v>2484</v>
      </c>
      <c r="G113">
        <v>6.63</v>
      </c>
      <c r="I113">
        <v>6</v>
      </c>
      <c r="J113">
        <v>7.5</v>
      </c>
      <c r="K113" s="9">
        <f t="shared" si="3"/>
        <v>45931</v>
      </c>
      <c r="L113" t="s">
        <v>2590</v>
      </c>
      <c r="M113" t="s">
        <v>2927</v>
      </c>
    </row>
    <row r="114" spans="1:13" hidden="1" x14ac:dyDescent="0.35">
      <c r="A114" t="s">
        <v>123</v>
      </c>
      <c r="B114" t="s">
        <v>2116</v>
      </c>
      <c r="C114" t="s">
        <v>2461</v>
      </c>
      <c r="D114" t="s">
        <v>2469</v>
      </c>
      <c r="E114" t="str">
        <f t="shared" si="2"/>
        <v>DORTMUND</v>
      </c>
      <c r="F114" t="s">
        <v>2485</v>
      </c>
      <c r="G114">
        <v>26.67</v>
      </c>
      <c r="H114" t="s">
        <v>2490</v>
      </c>
      <c r="I114">
        <v>0</v>
      </c>
      <c r="J114">
        <v>100</v>
      </c>
      <c r="K114" s="9">
        <f t="shared" si="3"/>
        <v>45376</v>
      </c>
      <c r="L114" t="s">
        <v>2591</v>
      </c>
      <c r="M114" t="s">
        <v>2927</v>
      </c>
    </row>
    <row r="115" spans="1:13" hidden="1" x14ac:dyDescent="0.35">
      <c r="A115" t="s">
        <v>124</v>
      </c>
      <c r="B115" t="s">
        <v>2117</v>
      </c>
      <c r="C115" t="s">
        <v>2457</v>
      </c>
      <c r="D115" t="s">
        <v>2467</v>
      </c>
      <c r="E115" t="str">
        <f t="shared" si="2"/>
        <v>ASHFORD</v>
      </c>
      <c r="F115" t="s">
        <v>2483</v>
      </c>
      <c r="G115">
        <v>0.28999999999999998</v>
      </c>
      <c r="H115" t="s">
        <v>2489</v>
      </c>
      <c r="I115">
        <v>0</v>
      </c>
      <c r="J115">
        <v>1</v>
      </c>
      <c r="K115" s="9">
        <f t="shared" si="3"/>
        <v>45951</v>
      </c>
      <c r="L115" t="s">
        <v>2592</v>
      </c>
      <c r="M115" t="s">
        <v>2924</v>
      </c>
    </row>
    <row r="116" spans="1:13" hidden="1" x14ac:dyDescent="0.35">
      <c r="A116" t="s">
        <v>125</v>
      </c>
      <c r="B116" t="s">
        <v>2034</v>
      </c>
      <c r="C116" t="s">
        <v>2461</v>
      </c>
      <c r="D116" t="s">
        <v>2467</v>
      </c>
      <c r="E116" t="str">
        <f t="shared" si="2"/>
        <v>ASHFORD</v>
      </c>
      <c r="F116" t="s">
        <v>2484</v>
      </c>
      <c r="G116">
        <v>6.56</v>
      </c>
      <c r="I116">
        <v>6</v>
      </c>
      <c r="J116">
        <v>7.5</v>
      </c>
      <c r="K116" s="9">
        <f t="shared" si="3"/>
        <v>45615</v>
      </c>
      <c r="L116" t="s">
        <v>2593</v>
      </c>
      <c r="M116" t="s">
        <v>2927</v>
      </c>
    </row>
    <row r="117" spans="1:13" hidden="1" x14ac:dyDescent="0.35">
      <c r="A117" t="s">
        <v>126</v>
      </c>
      <c r="B117" t="s">
        <v>2118</v>
      </c>
      <c r="C117" t="s">
        <v>2457</v>
      </c>
      <c r="D117" t="s">
        <v>2472</v>
      </c>
      <c r="E117" t="str">
        <f t="shared" si="2"/>
        <v>VERNIER</v>
      </c>
      <c r="F117" t="s">
        <v>2483</v>
      </c>
      <c r="G117">
        <v>0.18</v>
      </c>
      <c r="H117" t="s">
        <v>2489</v>
      </c>
      <c r="I117">
        <v>0</v>
      </c>
      <c r="J117">
        <v>1</v>
      </c>
      <c r="K117" s="9">
        <f t="shared" si="3"/>
        <v>45634</v>
      </c>
      <c r="L117" t="s">
        <v>2594</v>
      </c>
      <c r="M117" t="s">
        <v>2925</v>
      </c>
    </row>
    <row r="118" spans="1:13" hidden="1" x14ac:dyDescent="0.35">
      <c r="A118" t="s">
        <v>127</v>
      </c>
      <c r="B118" t="s">
        <v>2119</v>
      </c>
      <c r="C118" t="s">
        <v>2459</v>
      </c>
      <c r="D118" t="s">
        <v>2472</v>
      </c>
      <c r="E118" t="str">
        <f t="shared" si="2"/>
        <v>VERNIER</v>
      </c>
      <c r="F118" t="s">
        <v>2484</v>
      </c>
      <c r="G118">
        <v>6.26</v>
      </c>
      <c r="I118">
        <v>6</v>
      </c>
      <c r="J118">
        <v>7.5</v>
      </c>
      <c r="K118" s="9">
        <f t="shared" si="3"/>
        <v>45348</v>
      </c>
      <c r="L118" t="s">
        <v>2595</v>
      </c>
      <c r="M118" t="s">
        <v>2925</v>
      </c>
    </row>
    <row r="119" spans="1:13" hidden="1" x14ac:dyDescent="0.35">
      <c r="A119" t="s">
        <v>128</v>
      </c>
      <c r="B119" t="s">
        <v>2044</v>
      </c>
      <c r="C119" t="s">
        <v>2459</v>
      </c>
      <c r="D119" t="s">
        <v>2476</v>
      </c>
      <c r="E119" t="str">
        <f t="shared" si="2"/>
        <v>BUDAPEST SITE</v>
      </c>
      <c r="F119" t="s">
        <v>2485</v>
      </c>
      <c r="G119">
        <v>6.07</v>
      </c>
      <c r="H119" t="s">
        <v>2490</v>
      </c>
      <c r="I119">
        <v>0</v>
      </c>
      <c r="J119">
        <v>100</v>
      </c>
      <c r="K119" s="9">
        <f t="shared" si="3"/>
        <v>45350</v>
      </c>
      <c r="L119" t="s">
        <v>2524</v>
      </c>
      <c r="M119" t="s">
        <v>2929</v>
      </c>
    </row>
    <row r="120" spans="1:13" hidden="1" x14ac:dyDescent="0.35">
      <c r="A120" t="s">
        <v>129</v>
      </c>
      <c r="B120" t="s">
        <v>2029</v>
      </c>
      <c r="C120" t="s">
        <v>2459</v>
      </c>
      <c r="D120" t="s">
        <v>2473</v>
      </c>
      <c r="E120" t="str">
        <f t="shared" si="2"/>
        <v>DORTMUND</v>
      </c>
      <c r="F120" t="s">
        <v>2484</v>
      </c>
      <c r="G120">
        <v>7.02</v>
      </c>
      <c r="I120">
        <v>6</v>
      </c>
      <c r="J120">
        <v>7.5</v>
      </c>
      <c r="K120" s="9">
        <f t="shared" si="3"/>
        <v>45740</v>
      </c>
      <c r="L120" t="s">
        <v>2509</v>
      </c>
      <c r="M120" t="s">
        <v>2926</v>
      </c>
    </row>
    <row r="121" spans="1:13" hidden="1" x14ac:dyDescent="0.35">
      <c r="A121" t="s">
        <v>130</v>
      </c>
      <c r="B121" t="s">
        <v>2120</v>
      </c>
      <c r="C121" t="s">
        <v>2459</v>
      </c>
      <c r="D121" t="s">
        <v>2465</v>
      </c>
      <c r="E121" t="str">
        <f t="shared" si="2"/>
        <v>VERNIER</v>
      </c>
      <c r="F121" t="s">
        <v>2480</v>
      </c>
      <c r="G121">
        <v>0.96</v>
      </c>
      <c r="H121" t="s">
        <v>2487</v>
      </c>
      <c r="I121">
        <v>0.88</v>
      </c>
      <c r="J121">
        <v>0.97</v>
      </c>
      <c r="K121" s="9">
        <f t="shared" si="3"/>
        <v>45393</v>
      </c>
      <c r="L121" t="s">
        <v>2596</v>
      </c>
      <c r="M121" t="s">
        <v>2928</v>
      </c>
    </row>
    <row r="122" spans="1:13" hidden="1" x14ac:dyDescent="0.35">
      <c r="A122" t="s">
        <v>131</v>
      </c>
      <c r="B122" t="s">
        <v>2121</v>
      </c>
      <c r="C122" t="s">
        <v>2457</v>
      </c>
      <c r="D122" t="s">
        <v>2466</v>
      </c>
      <c r="E122" t="str">
        <f t="shared" si="2"/>
        <v>EAST HANOVER</v>
      </c>
      <c r="F122" t="s">
        <v>2483</v>
      </c>
      <c r="G122">
        <v>0.3</v>
      </c>
      <c r="H122" t="s">
        <v>2489</v>
      </c>
      <c r="I122">
        <v>0</v>
      </c>
      <c r="J122">
        <v>1</v>
      </c>
      <c r="K122" s="9">
        <f t="shared" si="3"/>
        <v>45690</v>
      </c>
      <c r="L122" t="s">
        <v>2597</v>
      </c>
      <c r="M122" t="s">
        <v>2924</v>
      </c>
    </row>
    <row r="123" spans="1:13" hidden="1" x14ac:dyDescent="0.35">
      <c r="A123" t="s">
        <v>132</v>
      </c>
      <c r="B123" t="s">
        <v>2122</v>
      </c>
      <c r="C123" t="s">
        <v>2457</v>
      </c>
      <c r="D123" t="s">
        <v>2470</v>
      </c>
      <c r="E123" t="str">
        <f t="shared" si="2"/>
        <v>E. HANOVER</v>
      </c>
      <c r="F123" t="s">
        <v>2485</v>
      </c>
      <c r="G123">
        <v>175</v>
      </c>
      <c r="H123" t="s">
        <v>2490</v>
      </c>
      <c r="I123">
        <v>0</v>
      </c>
      <c r="J123">
        <v>100</v>
      </c>
      <c r="K123" s="9">
        <f t="shared" si="3"/>
        <v>45671</v>
      </c>
      <c r="L123" t="s">
        <v>2598</v>
      </c>
      <c r="M123" t="s">
        <v>2929</v>
      </c>
    </row>
    <row r="124" spans="1:13" hidden="1" x14ac:dyDescent="0.35">
      <c r="A124" t="s">
        <v>133</v>
      </c>
      <c r="B124" t="s">
        <v>2123</v>
      </c>
      <c r="C124" t="s">
        <v>2457</v>
      </c>
      <c r="D124" t="s">
        <v>2474</v>
      </c>
      <c r="E124" t="str">
        <f t="shared" si="2"/>
        <v>DORTMUND DE</v>
      </c>
      <c r="F124" t="s">
        <v>2479</v>
      </c>
      <c r="G124">
        <v>17.82</v>
      </c>
      <c r="H124" t="s">
        <v>2486</v>
      </c>
      <c r="I124">
        <v>0</v>
      </c>
      <c r="J124">
        <v>120</v>
      </c>
      <c r="K124" s="9">
        <f t="shared" si="3"/>
        <v>45974</v>
      </c>
      <c r="L124" t="s">
        <v>2599</v>
      </c>
      <c r="M124" t="s">
        <v>2931</v>
      </c>
    </row>
    <row r="125" spans="1:13" hidden="1" x14ac:dyDescent="0.35">
      <c r="A125" t="s">
        <v>134</v>
      </c>
      <c r="B125" t="s">
        <v>2083</v>
      </c>
      <c r="C125" t="s">
        <v>2459</v>
      </c>
      <c r="D125" t="s">
        <v>2475</v>
      </c>
      <c r="E125" t="str">
        <f t="shared" si="2"/>
        <v>ASHFORD</v>
      </c>
      <c r="F125" t="s">
        <v>2483</v>
      </c>
      <c r="G125">
        <v>0.52</v>
      </c>
      <c r="H125" t="s">
        <v>2489</v>
      </c>
      <c r="I125">
        <v>0</v>
      </c>
      <c r="J125">
        <v>1</v>
      </c>
      <c r="K125" s="9">
        <f t="shared" si="3"/>
        <v>45979</v>
      </c>
      <c r="L125" t="s">
        <v>2600</v>
      </c>
      <c r="M125" t="s">
        <v>2925</v>
      </c>
    </row>
    <row r="126" spans="1:13" hidden="1" x14ac:dyDescent="0.35">
      <c r="A126" t="s">
        <v>135</v>
      </c>
      <c r="B126" t="s">
        <v>2124</v>
      </c>
      <c r="C126" t="s">
        <v>2457</v>
      </c>
      <c r="D126" t="s">
        <v>2474</v>
      </c>
      <c r="E126" t="str">
        <f t="shared" si="2"/>
        <v>DORTMUND DE</v>
      </c>
      <c r="F126" t="s">
        <v>2479</v>
      </c>
      <c r="G126">
        <v>38.25</v>
      </c>
      <c r="H126" t="s">
        <v>2486</v>
      </c>
      <c r="I126">
        <v>0</v>
      </c>
      <c r="J126">
        <v>120</v>
      </c>
      <c r="K126" s="9">
        <f t="shared" si="3"/>
        <v>45733</v>
      </c>
      <c r="L126" t="s">
        <v>2601</v>
      </c>
      <c r="M126" t="s">
        <v>2928</v>
      </c>
    </row>
    <row r="127" spans="1:13" hidden="1" x14ac:dyDescent="0.35">
      <c r="A127" t="s">
        <v>136</v>
      </c>
      <c r="B127" t="s">
        <v>2125</v>
      </c>
      <c r="C127" t="s">
        <v>2460</v>
      </c>
      <c r="D127" t="s">
        <v>2471</v>
      </c>
      <c r="E127" t="str">
        <f t="shared" si="2"/>
        <v>BUDAPEST</v>
      </c>
      <c r="F127" t="s">
        <v>2483</v>
      </c>
      <c r="G127">
        <v>0.47</v>
      </c>
      <c r="H127" t="s">
        <v>2489</v>
      </c>
      <c r="I127">
        <v>0</v>
      </c>
      <c r="J127">
        <v>1</v>
      </c>
      <c r="K127" s="9">
        <f t="shared" si="3"/>
        <v>45544</v>
      </c>
      <c r="L127" t="s">
        <v>2551</v>
      </c>
      <c r="M127" t="s">
        <v>2930</v>
      </c>
    </row>
    <row r="128" spans="1:13" hidden="1" x14ac:dyDescent="0.35">
      <c r="A128" t="s">
        <v>137</v>
      </c>
      <c r="B128" t="s">
        <v>2126</v>
      </c>
      <c r="C128" t="s">
        <v>2461</v>
      </c>
      <c r="D128" t="s">
        <v>2470</v>
      </c>
      <c r="E128" t="str">
        <f t="shared" si="2"/>
        <v>E. HANOVER</v>
      </c>
      <c r="F128" t="s">
        <v>2483</v>
      </c>
      <c r="G128">
        <v>0.2</v>
      </c>
      <c r="H128" t="s">
        <v>2489</v>
      </c>
      <c r="I128">
        <v>0</v>
      </c>
      <c r="J128">
        <v>1</v>
      </c>
      <c r="K128" s="9">
        <f t="shared" si="3"/>
        <v>45366</v>
      </c>
      <c r="L128" t="s">
        <v>2602</v>
      </c>
      <c r="M128" t="s">
        <v>2928</v>
      </c>
    </row>
    <row r="129" spans="1:13" hidden="1" x14ac:dyDescent="0.35">
      <c r="A129" t="s">
        <v>138</v>
      </c>
      <c r="B129" t="s">
        <v>2127</v>
      </c>
      <c r="C129" t="s">
        <v>2459</v>
      </c>
      <c r="D129" t="s">
        <v>2468</v>
      </c>
      <c r="E129" t="str">
        <f t="shared" si="2"/>
        <v>VERNIER CH</v>
      </c>
      <c r="F129" t="s">
        <v>2485</v>
      </c>
      <c r="G129">
        <v>20.11</v>
      </c>
      <c r="H129" t="s">
        <v>2490</v>
      </c>
      <c r="I129">
        <v>0</v>
      </c>
      <c r="J129">
        <v>100</v>
      </c>
      <c r="K129" s="9">
        <f t="shared" si="3"/>
        <v>45788</v>
      </c>
      <c r="L129" t="s">
        <v>2603</v>
      </c>
      <c r="M129" t="s">
        <v>2924</v>
      </c>
    </row>
    <row r="130" spans="1:13" hidden="1" x14ac:dyDescent="0.35">
      <c r="A130" t="s">
        <v>139</v>
      </c>
      <c r="B130" t="s">
        <v>2128</v>
      </c>
      <c r="C130" t="s">
        <v>2458</v>
      </c>
      <c r="D130" t="s">
        <v>2477</v>
      </c>
      <c r="E130" t="str">
        <f t="shared" si="2"/>
        <v>BUDAPEST</v>
      </c>
      <c r="F130" t="s">
        <v>2483</v>
      </c>
      <c r="G130">
        <v>0.53</v>
      </c>
      <c r="H130" t="s">
        <v>2489</v>
      </c>
      <c r="I130">
        <v>0</v>
      </c>
      <c r="J130">
        <v>1</v>
      </c>
      <c r="K130" s="9">
        <f t="shared" si="3"/>
        <v>45565</v>
      </c>
      <c r="L130" t="s">
        <v>2604</v>
      </c>
      <c r="M130" t="s">
        <v>2926</v>
      </c>
    </row>
    <row r="131" spans="1:13" hidden="1" x14ac:dyDescent="0.35">
      <c r="A131" t="s">
        <v>140</v>
      </c>
      <c r="B131" t="s">
        <v>2057</v>
      </c>
      <c r="C131" t="s">
        <v>2461</v>
      </c>
      <c r="D131" t="s">
        <v>2467</v>
      </c>
      <c r="E131" t="str">
        <f t="shared" ref="E131:E194" si="4">UPPER(D131)</f>
        <v>ASHFORD</v>
      </c>
      <c r="F131" t="s">
        <v>2482</v>
      </c>
      <c r="G131">
        <v>99.78</v>
      </c>
      <c r="H131" t="s">
        <v>2489</v>
      </c>
      <c r="I131">
        <v>97</v>
      </c>
      <c r="J131">
        <v>100</v>
      </c>
      <c r="K131" s="9">
        <f t="shared" ref="K131:K194" si="5">IF(L131="","",
IF(MID(L131,5,1)="-",
DATE(LEFT(L131,4),MID(L131,6,2),RIGHT(L131,2)),
DATE(RIGHT(L131,4),MID(L131,4,2),LEFT(L131,2))
))</f>
        <v>45869</v>
      </c>
      <c r="L131" t="s">
        <v>2536</v>
      </c>
      <c r="M131" t="s">
        <v>2927</v>
      </c>
    </row>
    <row r="132" spans="1:13" hidden="1" x14ac:dyDescent="0.35">
      <c r="A132" t="s">
        <v>141</v>
      </c>
      <c r="B132" t="s">
        <v>2129</v>
      </c>
      <c r="C132" t="s">
        <v>2461</v>
      </c>
      <c r="D132" t="s">
        <v>2474</v>
      </c>
      <c r="E132" t="str">
        <f t="shared" si="4"/>
        <v>DORTMUND DE</v>
      </c>
      <c r="F132" t="s">
        <v>2482</v>
      </c>
      <c r="G132">
        <v>97.81</v>
      </c>
      <c r="H132" t="s">
        <v>2489</v>
      </c>
      <c r="I132">
        <v>97</v>
      </c>
      <c r="J132">
        <v>100</v>
      </c>
      <c r="K132" s="9">
        <f t="shared" si="5"/>
        <v>45617</v>
      </c>
      <c r="L132" t="s">
        <v>2605</v>
      </c>
      <c r="M132" t="s">
        <v>2928</v>
      </c>
    </row>
    <row r="133" spans="1:13" hidden="1" x14ac:dyDescent="0.35">
      <c r="A133" t="s">
        <v>142</v>
      </c>
      <c r="B133" t="s">
        <v>2130</v>
      </c>
      <c r="C133" t="s">
        <v>2457</v>
      </c>
      <c r="D133" t="s">
        <v>2466</v>
      </c>
      <c r="E133" t="str">
        <f t="shared" si="4"/>
        <v>EAST HANOVER</v>
      </c>
      <c r="F133" t="s">
        <v>2480</v>
      </c>
      <c r="G133">
        <v>0.94</v>
      </c>
      <c r="H133" t="s">
        <v>2487</v>
      </c>
      <c r="I133">
        <v>0.88</v>
      </c>
      <c r="J133">
        <v>0.97</v>
      </c>
      <c r="K133" s="9">
        <f t="shared" si="5"/>
        <v>45943</v>
      </c>
      <c r="L133" t="s">
        <v>2606</v>
      </c>
      <c r="M133" t="s">
        <v>2928</v>
      </c>
    </row>
    <row r="134" spans="1:13" hidden="1" x14ac:dyDescent="0.35">
      <c r="A134" t="s">
        <v>143</v>
      </c>
      <c r="B134" t="s">
        <v>2131</v>
      </c>
      <c r="C134" t="s">
        <v>2459</v>
      </c>
      <c r="D134" t="s">
        <v>2478</v>
      </c>
      <c r="E134" t="str">
        <f t="shared" si="4"/>
        <v>BUD</v>
      </c>
      <c r="F134" t="s">
        <v>2483</v>
      </c>
      <c r="G134">
        <v>0.53</v>
      </c>
      <c r="H134" t="s">
        <v>2489</v>
      </c>
      <c r="I134">
        <v>0</v>
      </c>
      <c r="J134">
        <v>1</v>
      </c>
      <c r="K134" s="9">
        <f t="shared" si="5"/>
        <v>45561</v>
      </c>
      <c r="L134" t="s">
        <v>2607</v>
      </c>
      <c r="M134" t="s">
        <v>2926</v>
      </c>
    </row>
    <row r="135" spans="1:13" hidden="1" x14ac:dyDescent="0.35">
      <c r="A135" t="s">
        <v>144</v>
      </c>
      <c r="B135" t="s">
        <v>2040</v>
      </c>
      <c r="C135" t="s">
        <v>2460</v>
      </c>
      <c r="D135" t="s">
        <v>2474</v>
      </c>
      <c r="E135" t="str">
        <f t="shared" si="4"/>
        <v>DORTMUND DE</v>
      </c>
      <c r="F135" t="s">
        <v>2481</v>
      </c>
      <c r="G135">
        <v>220.97</v>
      </c>
      <c r="H135" t="s">
        <v>2488</v>
      </c>
      <c r="I135">
        <v>150</v>
      </c>
      <c r="J135">
        <v>400</v>
      </c>
      <c r="K135" s="9">
        <f t="shared" si="5"/>
        <v>45386</v>
      </c>
      <c r="L135" t="s">
        <v>2520</v>
      </c>
      <c r="M135" t="s">
        <v>2926</v>
      </c>
    </row>
    <row r="136" spans="1:13" hidden="1" x14ac:dyDescent="0.35">
      <c r="A136" t="s">
        <v>145</v>
      </c>
      <c r="B136" t="s">
        <v>2116</v>
      </c>
      <c r="C136" t="s">
        <v>2461</v>
      </c>
      <c r="D136" t="s">
        <v>2473</v>
      </c>
      <c r="E136" t="str">
        <f t="shared" si="4"/>
        <v>DORTMUND</v>
      </c>
      <c r="F136" t="s">
        <v>2480</v>
      </c>
      <c r="G136">
        <v>0.9</v>
      </c>
      <c r="H136" t="s">
        <v>2487</v>
      </c>
      <c r="I136">
        <v>0.88</v>
      </c>
      <c r="J136">
        <v>0.97</v>
      </c>
      <c r="K136" s="9">
        <f t="shared" si="5"/>
        <v>45376</v>
      </c>
      <c r="L136" t="s">
        <v>2591</v>
      </c>
      <c r="M136" t="s">
        <v>2926</v>
      </c>
    </row>
    <row r="137" spans="1:13" hidden="1" x14ac:dyDescent="0.35">
      <c r="A137" t="s">
        <v>146</v>
      </c>
      <c r="B137" t="s">
        <v>2132</v>
      </c>
      <c r="C137" t="s">
        <v>2457</v>
      </c>
      <c r="D137" t="s">
        <v>2477</v>
      </c>
      <c r="E137" t="str">
        <f t="shared" si="4"/>
        <v>BUDAPEST</v>
      </c>
      <c r="F137" t="s">
        <v>2483</v>
      </c>
      <c r="G137">
        <v>0.38</v>
      </c>
      <c r="H137" t="s">
        <v>2489</v>
      </c>
      <c r="I137">
        <v>0</v>
      </c>
      <c r="J137">
        <v>1</v>
      </c>
      <c r="K137" s="9">
        <f t="shared" si="5"/>
        <v>45493</v>
      </c>
      <c r="L137" t="s">
        <v>2608</v>
      </c>
      <c r="M137" t="s">
        <v>2927</v>
      </c>
    </row>
    <row r="138" spans="1:13" hidden="1" x14ac:dyDescent="0.35">
      <c r="A138" t="s">
        <v>147</v>
      </c>
      <c r="B138" t="s">
        <v>2133</v>
      </c>
      <c r="C138" t="s">
        <v>2457</v>
      </c>
      <c r="D138" t="s">
        <v>2463</v>
      </c>
      <c r="E138" t="str">
        <f t="shared" si="4"/>
        <v>VERNIER</v>
      </c>
      <c r="F138" t="s">
        <v>2480</v>
      </c>
      <c r="G138">
        <v>0.92</v>
      </c>
      <c r="H138" t="s">
        <v>2487</v>
      </c>
      <c r="I138">
        <v>0.88</v>
      </c>
      <c r="J138">
        <v>0.97</v>
      </c>
      <c r="K138" s="9">
        <f t="shared" si="5"/>
        <v>45805</v>
      </c>
      <c r="L138" t="s">
        <v>2609</v>
      </c>
      <c r="M138" t="s">
        <v>2923</v>
      </c>
    </row>
    <row r="139" spans="1:13" hidden="1" x14ac:dyDescent="0.35">
      <c r="A139" t="s">
        <v>148</v>
      </c>
      <c r="B139" t="s">
        <v>2134</v>
      </c>
      <c r="C139" t="s">
        <v>2459</v>
      </c>
      <c r="D139" t="s">
        <v>2463</v>
      </c>
      <c r="E139" t="str">
        <f t="shared" si="4"/>
        <v>VERNIER</v>
      </c>
      <c r="F139" t="s">
        <v>2481</v>
      </c>
      <c r="G139">
        <v>332.82</v>
      </c>
      <c r="H139" t="s">
        <v>2488</v>
      </c>
      <c r="I139">
        <v>150</v>
      </c>
      <c r="J139">
        <v>400</v>
      </c>
      <c r="K139" s="9">
        <f t="shared" si="5"/>
        <v>45721</v>
      </c>
      <c r="L139" t="s">
        <v>2610</v>
      </c>
      <c r="M139" t="s">
        <v>2927</v>
      </c>
    </row>
    <row r="140" spans="1:13" hidden="1" x14ac:dyDescent="0.35">
      <c r="A140" t="s">
        <v>149</v>
      </c>
      <c r="B140" t="s">
        <v>2135</v>
      </c>
      <c r="C140" t="s">
        <v>2461</v>
      </c>
      <c r="D140" t="s">
        <v>2478</v>
      </c>
      <c r="E140" t="str">
        <f t="shared" si="4"/>
        <v>BUD</v>
      </c>
      <c r="F140" t="s">
        <v>2481</v>
      </c>
      <c r="G140">
        <v>244.96</v>
      </c>
      <c r="H140" t="s">
        <v>2488</v>
      </c>
      <c r="I140">
        <v>150</v>
      </c>
      <c r="J140">
        <v>400</v>
      </c>
      <c r="K140" s="9">
        <f t="shared" si="5"/>
        <v>45904</v>
      </c>
      <c r="L140" t="s">
        <v>2611</v>
      </c>
      <c r="M140" t="s">
        <v>2923</v>
      </c>
    </row>
    <row r="141" spans="1:13" hidden="1" x14ac:dyDescent="0.35">
      <c r="A141" t="s">
        <v>150</v>
      </c>
      <c r="B141" t="s">
        <v>2136</v>
      </c>
      <c r="C141" t="s">
        <v>2458</v>
      </c>
      <c r="D141" t="s">
        <v>2473</v>
      </c>
      <c r="E141" t="str">
        <f t="shared" si="4"/>
        <v>DORTMUND</v>
      </c>
      <c r="F141" t="s">
        <v>2483</v>
      </c>
      <c r="G141">
        <v>0.25</v>
      </c>
      <c r="H141" t="s">
        <v>2489</v>
      </c>
      <c r="I141">
        <v>0</v>
      </c>
      <c r="J141">
        <v>1</v>
      </c>
      <c r="K141" s="9">
        <f t="shared" si="5"/>
        <v>45534</v>
      </c>
      <c r="L141" t="s">
        <v>2568</v>
      </c>
      <c r="M141" t="s">
        <v>2929</v>
      </c>
    </row>
    <row r="142" spans="1:13" hidden="1" x14ac:dyDescent="0.35">
      <c r="A142" t="s">
        <v>151</v>
      </c>
      <c r="B142" t="s">
        <v>2108</v>
      </c>
      <c r="C142" t="s">
        <v>2458</v>
      </c>
      <c r="D142" t="s">
        <v>2462</v>
      </c>
      <c r="E142" t="str">
        <f t="shared" si="4"/>
        <v>ASHFORD UK</v>
      </c>
      <c r="F142" t="s">
        <v>2484</v>
      </c>
      <c r="G142">
        <v>6.73</v>
      </c>
      <c r="I142">
        <v>6</v>
      </c>
      <c r="J142">
        <v>7.5</v>
      </c>
      <c r="K142" s="9">
        <f t="shared" si="5"/>
        <v>45362</v>
      </c>
      <c r="L142" t="s">
        <v>2585</v>
      </c>
      <c r="M142" t="s">
        <v>2930</v>
      </c>
    </row>
    <row r="143" spans="1:13" hidden="1" x14ac:dyDescent="0.35">
      <c r="A143" t="s">
        <v>152</v>
      </c>
      <c r="B143" t="s">
        <v>2137</v>
      </c>
      <c r="C143" t="s">
        <v>2460</v>
      </c>
      <c r="D143" t="s">
        <v>2462</v>
      </c>
      <c r="E143" t="str">
        <f t="shared" si="4"/>
        <v>ASHFORD UK</v>
      </c>
      <c r="F143" t="s">
        <v>2481</v>
      </c>
      <c r="G143">
        <v>262.94</v>
      </c>
      <c r="H143" t="s">
        <v>2488</v>
      </c>
      <c r="I143">
        <v>150</v>
      </c>
      <c r="J143">
        <v>400</v>
      </c>
      <c r="K143" s="9">
        <f t="shared" si="5"/>
        <v>45661</v>
      </c>
      <c r="L143" t="s">
        <v>2612</v>
      </c>
      <c r="M143" t="s">
        <v>2927</v>
      </c>
    </row>
    <row r="144" spans="1:13" hidden="1" x14ac:dyDescent="0.35">
      <c r="A144" t="s">
        <v>153</v>
      </c>
      <c r="B144" t="s">
        <v>2064</v>
      </c>
      <c r="C144" t="s">
        <v>2458</v>
      </c>
      <c r="D144" t="s">
        <v>2468</v>
      </c>
      <c r="E144" t="str">
        <f t="shared" si="4"/>
        <v>VERNIER CH</v>
      </c>
      <c r="F144" t="s">
        <v>2483</v>
      </c>
      <c r="G144">
        <v>0.27</v>
      </c>
      <c r="H144" t="s">
        <v>2489</v>
      </c>
      <c r="I144">
        <v>0</v>
      </c>
      <c r="J144">
        <v>1</v>
      </c>
      <c r="K144" s="9">
        <f t="shared" si="5"/>
        <v>45715</v>
      </c>
      <c r="L144" t="s">
        <v>2543</v>
      </c>
      <c r="M144" t="s">
        <v>2926</v>
      </c>
    </row>
    <row r="145" spans="1:13" hidden="1" x14ac:dyDescent="0.35">
      <c r="A145" t="s">
        <v>154</v>
      </c>
      <c r="B145" t="s">
        <v>2138</v>
      </c>
      <c r="C145" t="s">
        <v>2457</v>
      </c>
      <c r="D145" t="s">
        <v>2473</v>
      </c>
      <c r="E145" t="str">
        <f t="shared" si="4"/>
        <v>DORTMUND</v>
      </c>
      <c r="F145" t="s">
        <v>2483</v>
      </c>
      <c r="G145">
        <v>0.03</v>
      </c>
      <c r="H145" t="s">
        <v>2489</v>
      </c>
      <c r="I145">
        <v>0</v>
      </c>
      <c r="J145">
        <v>1</v>
      </c>
      <c r="K145" s="9">
        <f t="shared" si="5"/>
        <v>45747</v>
      </c>
      <c r="L145" t="s">
        <v>2613</v>
      </c>
      <c r="M145" t="s">
        <v>2925</v>
      </c>
    </row>
    <row r="146" spans="1:13" hidden="1" x14ac:dyDescent="0.35">
      <c r="A146" t="s">
        <v>155</v>
      </c>
      <c r="B146" t="s">
        <v>2139</v>
      </c>
      <c r="C146" t="s">
        <v>2460</v>
      </c>
      <c r="D146" t="s">
        <v>2469</v>
      </c>
      <c r="E146" t="str">
        <f t="shared" si="4"/>
        <v>DORTMUND</v>
      </c>
      <c r="F146" t="s">
        <v>2483</v>
      </c>
      <c r="G146">
        <v>0.32</v>
      </c>
      <c r="H146" t="s">
        <v>2489</v>
      </c>
      <c r="I146">
        <v>0</v>
      </c>
      <c r="J146">
        <v>1</v>
      </c>
      <c r="K146" s="9">
        <f t="shared" si="5"/>
        <v>45295</v>
      </c>
      <c r="L146" t="s">
        <v>2614</v>
      </c>
      <c r="M146" t="s">
        <v>2925</v>
      </c>
    </row>
    <row r="147" spans="1:13" hidden="1" x14ac:dyDescent="0.35">
      <c r="A147" t="s">
        <v>156</v>
      </c>
      <c r="B147" t="s">
        <v>2140</v>
      </c>
      <c r="C147" t="s">
        <v>2460</v>
      </c>
      <c r="D147" t="s">
        <v>2478</v>
      </c>
      <c r="E147" t="str">
        <f t="shared" si="4"/>
        <v>BUD</v>
      </c>
      <c r="F147" t="s">
        <v>2485</v>
      </c>
      <c r="G147">
        <v>-0.45</v>
      </c>
      <c r="H147" t="s">
        <v>2490</v>
      </c>
      <c r="I147">
        <v>0</v>
      </c>
      <c r="J147">
        <v>100</v>
      </c>
      <c r="K147" s="9">
        <f t="shared" si="5"/>
        <v>45891</v>
      </c>
      <c r="L147" t="s">
        <v>2615</v>
      </c>
      <c r="M147" t="s">
        <v>2929</v>
      </c>
    </row>
    <row r="148" spans="1:13" hidden="1" x14ac:dyDescent="0.35">
      <c r="A148" t="s">
        <v>157</v>
      </c>
      <c r="B148" t="s">
        <v>2141</v>
      </c>
      <c r="C148" t="s">
        <v>2458</v>
      </c>
      <c r="D148" t="s">
        <v>2463</v>
      </c>
      <c r="E148" t="str">
        <f t="shared" si="4"/>
        <v>VERNIER</v>
      </c>
      <c r="F148" t="s">
        <v>2480</v>
      </c>
      <c r="G148">
        <v>0.9</v>
      </c>
      <c r="H148" t="s">
        <v>2487</v>
      </c>
      <c r="I148">
        <v>0.88</v>
      </c>
      <c r="J148">
        <v>0.97</v>
      </c>
      <c r="K148" s="9">
        <f t="shared" si="5"/>
        <v>45936</v>
      </c>
      <c r="L148" t="s">
        <v>2616</v>
      </c>
      <c r="M148" t="s">
        <v>2930</v>
      </c>
    </row>
    <row r="149" spans="1:13" hidden="1" x14ac:dyDescent="0.35">
      <c r="A149" t="s">
        <v>158</v>
      </c>
      <c r="B149" t="s">
        <v>2142</v>
      </c>
      <c r="C149" t="s">
        <v>2458</v>
      </c>
      <c r="D149" t="s">
        <v>2464</v>
      </c>
      <c r="E149" t="str">
        <f t="shared" si="4"/>
        <v>EAST HANOVER</v>
      </c>
      <c r="F149" t="s">
        <v>2482</v>
      </c>
      <c r="G149">
        <v>98.07</v>
      </c>
      <c r="H149" t="s">
        <v>2489</v>
      </c>
      <c r="I149">
        <v>97</v>
      </c>
      <c r="J149">
        <v>100</v>
      </c>
      <c r="K149" s="9">
        <f t="shared" si="5"/>
        <v>45942</v>
      </c>
      <c r="L149" t="s">
        <v>2617</v>
      </c>
      <c r="M149" t="s">
        <v>2929</v>
      </c>
    </row>
    <row r="150" spans="1:13" hidden="1" x14ac:dyDescent="0.35">
      <c r="A150" t="s">
        <v>159</v>
      </c>
      <c r="B150" t="s">
        <v>2143</v>
      </c>
      <c r="C150" t="s">
        <v>2460</v>
      </c>
      <c r="D150" t="s">
        <v>2473</v>
      </c>
      <c r="E150" t="str">
        <f t="shared" si="4"/>
        <v>DORTMUND</v>
      </c>
      <c r="F150" t="s">
        <v>2483</v>
      </c>
      <c r="G150">
        <v>0.19</v>
      </c>
      <c r="H150" t="s">
        <v>2489</v>
      </c>
      <c r="I150">
        <v>0</v>
      </c>
      <c r="J150">
        <v>1</v>
      </c>
      <c r="K150" s="9">
        <f t="shared" si="5"/>
        <v>45540</v>
      </c>
      <c r="L150" t="s">
        <v>2618</v>
      </c>
      <c r="M150" t="s">
        <v>2923</v>
      </c>
    </row>
    <row r="151" spans="1:13" hidden="1" x14ac:dyDescent="0.35">
      <c r="A151" t="s">
        <v>160</v>
      </c>
      <c r="B151" t="s">
        <v>2144</v>
      </c>
      <c r="C151" t="s">
        <v>2461</v>
      </c>
      <c r="D151" t="s">
        <v>2470</v>
      </c>
      <c r="E151" t="str">
        <f t="shared" si="4"/>
        <v>E. HANOVER</v>
      </c>
      <c r="F151" t="s">
        <v>2484</v>
      </c>
      <c r="G151">
        <v>7.26</v>
      </c>
      <c r="I151">
        <v>6</v>
      </c>
      <c r="J151">
        <v>7.5</v>
      </c>
      <c r="K151" s="9">
        <f t="shared" si="5"/>
        <v>45635</v>
      </c>
      <c r="L151" t="s">
        <v>2619</v>
      </c>
      <c r="M151" t="s">
        <v>2930</v>
      </c>
    </row>
    <row r="152" spans="1:13" hidden="1" x14ac:dyDescent="0.35">
      <c r="A152" t="s">
        <v>161</v>
      </c>
      <c r="B152" t="s">
        <v>2109</v>
      </c>
      <c r="C152" t="s">
        <v>2461</v>
      </c>
      <c r="D152" t="s">
        <v>2471</v>
      </c>
      <c r="E152" t="str">
        <f t="shared" si="4"/>
        <v>BUDAPEST</v>
      </c>
      <c r="F152" t="s">
        <v>2481</v>
      </c>
      <c r="G152">
        <v>208.78</v>
      </c>
      <c r="H152" t="s">
        <v>2488</v>
      </c>
      <c r="I152">
        <v>150</v>
      </c>
      <c r="J152">
        <v>400</v>
      </c>
      <c r="K152" s="9">
        <f t="shared" si="5"/>
        <v>45596</v>
      </c>
      <c r="L152" t="s">
        <v>2586</v>
      </c>
      <c r="M152" t="s">
        <v>2932</v>
      </c>
    </row>
    <row r="153" spans="1:13" hidden="1" x14ac:dyDescent="0.35">
      <c r="A153" t="s">
        <v>162</v>
      </c>
      <c r="B153" t="s">
        <v>2145</v>
      </c>
      <c r="C153" t="s">
        <v>2458</v>
      </c>
      <c r="D153" t="s">
        <v>2476</v>
      </c>
      <c r="E153" t="str">
        <f t="shared" si="4"/>
        <v>BUDAPEST SITE</v>
      </c>
      <c r="F153" t="s">
        <v>2481</v>
      </c>
      <c r="G153">
        <v>272.8</v>
      </c>
      <c r="H153" t="s">
        <v>2488</v>
      </c>
      <c r="I153">
        <v>150</v>
      </c>
      <c r="J153">
        <v>400</v>
      </c>
      <c r="K153" s="9">
        <f t="shared" si="5"/>
        <v>45819</v>
      </c>
      <c r="L153" t="s">
        <v>2620</v>
      </c>
      <c r="M153" t="s">
        <v>2929</v>
      </c>
    </row>
    <row r="154" spans="1:13" hidden="1" x14ac:dyDescent="0.35">
      <c r="A154" t="s">
        <v>163</v>
      </c>
      <c r="B154" t="s">
        <v>2146</v>
      </c>
      <c r="C154" t="s">
        <v>2459</v>
      </c>
      <c r="D154" t="s">
        <v>2477</v>
      </c>
      <c r="E154" t="str">
        <f t="shared" si="4"/>
        <v>BUDAPEST</v>
      </c>
      <c r="F154" t="s">
        <v>2484</v>
      </c>
      <c r="G154">
        <v>6.57</v>
      </c>
      <c r="I154">
        <v>6</v>
      </c>
      <c r="J154">
        <v>7.5</v>
      </c>
      <c r="K154" s="9">
        <f t="shared" si="5"/>
        <v>45476</v>
      </c>
      <c r="L154" t="s">
        <v>2621</v>
      </c>
      <c r="M154" t="s">
        <v>2930</v>
      </c>
    </row>
    <row r="155" spans="1:13" hidden="1" x14ac:dyDescent="0.35">
      <c r="A155" t="s">
        <v>164</v>
      </c>
      <c r="B155" t="s">
        <v>2147</v>
      </c>
      <c r="C155" t="s">
        <v>2458</v>
      </c>
      <c r="D155" t="s">
        <v>2472</v>
      </c>
      <c r="E155" t="str">
        <f t="shared" si="4"/>
        <v>VERNIER</v>
      </c>
      <c r="F155" t="s">
        <v>2482</v>
      </c>
      <c r="G155">
        <v>97.64</v>
      </c>
      <c r="H155" t="s">
        <v>2489</v>
      </c>
      <c r="I155">
        <v>97</v>
      </c>
      <c r="J155">
        <v>100</v>
      </c>
      <c r="K155" s="9">
        <f t="shared" si="5"/>
        <v>45371</v>
      </c>
      <c r="L155" t="s">
        <v>2622</v>
      </c>
      <c r="M155" t="s">
        <v>2931</v>
      </c>
    </row>
    <row r="156" spans="1:13" hidden="1" x14ac:dyDescent="0.35">
      <c r="A156" t="s">
        <v>165</v>
      </c>
      <c r="B156" t="s">
        <v>2148</v>
      </c>
      <c r="C156" t="s">
        <v>2460</v>
      </c>
      <c r="D156" t="s">
        <v>2468</v>
      </c>
      <c r="E156" t="str">
        <f t="shared" si="4"/>
        <v>VERNIER CH</v>
      </c>
      <c r="F156" t="s">
        <v>2479</v>
      </c>
      <c r="G156">
        <v>180</v>
      </c>
      <c r="H156" t="s">
        <v>2486</v>
      </c>
      <c r="I156">
        <v>0</v>
      </c>
      <c r="J156">
        <v>120</v>
      </c>
      <c r="K156" s="9">
        <f t="shared" si="5"/>
        <v>45840</v>
      </c>
      <c r="L156" t="s">
        <v>2623</v>
      </c>
      <c r="M156" t="s">
        <v>2927</v>
      </c>
    </row>
    <row r="157" spans="1:13" hidden="1" x14ac:dyDescent="0.35">
      <c r="A157" t="s">
        <v>166</v>
      </c>
      <c r="B157" t="s">
        <v>2149</v>
      </c>
      <c r="C157" t="s">
        <v>2458</v>
      </c>
      <c r="D157" t="s">
        <v>2463</v>
      </c>
      <c r="E157" t="str">
        <f t="shared" si="4"/>
        <v>VERNIER</v>
      </c>
      <c r="F157" t="s">
        <v>2480</v>
      </c>
      <c r="G157">
        <v>0.9</v>
      </c>
      <c r="H157" t="s">
        <v>2487</v>
      </c>
      <c r="I157">
        <v>0.88</v>
      </c>
      <c r="J157">
        <v>0.97</v>
      </c>
      <c r="K157" s="9">
        <f t="shared" si="5"/>
        <v>45916</v>
      </c>
      <c r="L157" t="s">
        <v>2624</v>
      </c>
      <c r="M157" t="s">
        <v>2926</v>
      </c>
    </row>
    <row r="158" spans="1:13" hidden="1" x14ac:dyDescent="0.35">
      <c r="A158" t="s">
        <v>167</v>
      </c>
      <c r="B158" t="s">
        <v>2150</v>
      </c>
      <c r="C158" t="s">
        <v>2459</v>
      </c>
      <c r="D158" t="s">
        <v>2469</v>
      </c>
      <c r="E158" t="str">
        <f t="shared" si="4"/>
        <v>DORTMUND</v>
      </c>
      <c r="F158" t="s">
        <v>2479</v>
      </c>
      <c r="G158">
        <v>4.59</v>
      </c>
      <c r="H158" t="s">
        <v>2486</v>
      </c>
      <c r="I158">
        <v>0</v>
      </c>
      <c r="J158">
        <v>120</v>
      </c>
      <c r="K158" s="9">
        <f t="shared" si="5"/>
        <v>45787</v>
      </c>
      <c r="L158" t="s">
        <v>2625</v>
      </c>
      <c r="M158" t="s">
        <v>2932</v>
      </c>
    </row>
    <row r="159" spans="1:13" hidden="1" x14ac:dyDescent="0.35">
      <c r="A159" t="s">
        <v>168</v>
      </c>
      <c r="B159" t="s">
        <v>2151</v>
      </c>
      <c r="C159" t="s">
        <v>2458</v>
      </c>
      <c r="D159" t="s">
        <v>2464</v>
      </c>
      <c r="E159" t="str">
        <f t="shared" si="4"/>
        <v>EAST HANOVER</v>
      </c>
      <c r="F159" t="s">
        <v>2481</v>
      </c>
      <c r="G159">
        <v>220.05</v>
      </c>
      <c r="H159" t="s">
        <v>2488</v>
      </c>
      <c r="I159">
        <v>150</v>
      </c>
      <c r="J159">
        <v>400</v>
      </c>
      <c r="K159" s="9">
        <f t="shared" si="5"/>
        <v>45334</v>
      </c>
      <c r="L159" t="s">
        <v>2626</v>
      </c>
      <c r="M159" t="s">
        <v>2929</v>
      </c>
    </row>
    <row r="160" spans="1:13" hidden="1" x14ac:dyDescent="0.35">
      <c r="A160" t="s">
        <v>169</v>
      </c>
      <c r="B160" t="s">
        <v>2152</v>
      </c>
      <c r="C160" t="s">
        <v>2461</v>
      </c>
      <c r="D160" t="s">
        <v>2471</v>
      </c>
      <c r="E160" t="str">
        <f t="shared" si="4"/>
        <v>BUDAPEST</v>
      </c>
      <c r="F160" t="s">
        <v>2485</v>
      </c>
      <c r="G160">
        <v>-15.7</v>
      </c>
      <c r="H160" t="s">
        <v>2490</v>
      </c>
      <c r="I160">
        <v>0</v>
      </c>
      <c r="J160">
        <v>100</v>
      </c>
      <c r="K160" s="9">
        <f t="shared" si="5"/>
        <v>45958</v>
      </c>
      <c r="L160" t="s">
        <v>2627</v>
      </c>
      <c r="M160" t="s">
        <v>2932</v>
      </c>
    </row>
    <row r="161" spans="1:13" hidden="1" x14ac:dyDescent="0.35">
      <c r="A161" t="s">
        <v>170</v>
      </c>
      <c r="B161" t="s">
        <v>2153</v>
      </c>
      <c r="C161" t="s">
        <v>2461</v>
      </c>
      <c r="D161" t="s">
        <v>2478</v>
      </c>
      <c r="E161" t="str">
        <f t="shared" si="4"/>
        <v>BUD</v>
      </c>
      <c r="F161" t="s">
        <v>2481</v>
      </c>
      <c r="G161">
        <v>274.44</v>
      </c>
      <c r="H161" t="s">
        <v>2488</v>
      </c>
      <c r="I161">
        <v>150</v>
      </c>
      <c r="J161">
        <v>400</v>
      </c>
      <c r="K161" s="9">
        <f t="shared" si="5"/>
        <v>45445</v>
      </c>
      <c r="L161" t="s">
        <v>2628</v>
      </c>
      <c r="M161" t="s">
        <v>2925</v>
      </c>
    </row>
    <row r="162" spans="1:13" hidden="1" x14ac:dyDescent="0.35">
      <c r="A162" t="s">
        <v>171</v>
      </c>
      <c r="B162" t="s">
        <v>2154</v>
      </c>
      <c r="C162" t="s">
        <v>2461</v>
      </c>
      <c r="D162" t="s">
        <v>2476</v>
      </c>
      <c r="E162" t="str">
        <f t="shared" si="4"/>
        <v>BUDAPEST SITE</v>
      </c>
      <c r="F162" t="s">
        <v>2485</v>
      </c>
      <c r="G162">
        <v>1.31</v>
      </c>
      <c r="H162" t="s">
        <v>2490</v>
      </c>
      <c r="I162">
        <v>0</v>
      </c>
      <c r="J162">
        <v>100</v>
      </c>
      <c r="K162" s="9">
        <f t="shared" si="5"/>
        <v>45349</v>
      </c>
      <c r="L162" t="s">
        <v>2629</v>
      </c>
      <c r="M162" t="s">
        <v>2929</v>
      </c>
    </row>
    <row r="163" spans="1:13" hidden="1" x14ac:dyDescent="0.35">
      <c r="A163" t="s">
        <v>172</v>
      </c>
      <c r="B163" t="s">
        <v>2155</v>
      </c>
      <c r="C163" t="s">
        <v>2461</v>
      </c>
      <c r="D163" t="s">
        <v>2473</v>
      </c>
      <c r="E163" t="str">
        <f t="shared" si="4"/>
        <v>DORTMUND</v>
      </c>
      <c r="F163" t="s">
        <v>2480</v>
      </c>
      <c r="G163">
        <v>0.96</v>
      </c>
      <c r="H163" t="s">
        <v>2487</v>
      </c>
      <c r="I163">
        <v>0.88</v>
      </c>
      <c r="J163">
        <v>0.97</v>
      </c>
      <c r="K163" s="9">
        <f t="shared" si="5"/>
        <v>45358</v>
      </c>
      <c r="L163" t="s">
        <v>2582</v>
      </c>
      <c r="M163" t="s">
        <v>2932</v>
      </c>
    </row>
    <row r="164" spans="1:13" hidden="1" x14ac:dyDescent="0.35">
      <c r="A164" t="s">
        <v>173</v>
      </c>
      <c r="B164" t="s">
        <v>2038</v>
      </c>
      <c r="C164" t="s">
        <v>2457</v>
      </c>
      <c r="D164" t="s">
        <v>2466</v>
      </c>
      <c r="E164" t="str">
        <f t="shared" si="4"/>
        <v>EAST HANOVER</v>
      </c>
      <c r="F164" t="s">
        <v>2485</v>
      </c>
      <c r="G164">
        <v>62.2</v>
      </c>
      <c r="H164" t="s">
        <v>2490</v>
      </c>
      <c r="I164">
        <v>0</v>
      </c>
      <c r="J164">
        <v>100</v>
      </c>
      <c r="K164" s="9">
        <f t="shared" si="5"/>
        <v>45374</v>
      </c>
      <c r="L164" t="s">
        <v>2518</v>
      </c>
      <c r="M164" t="s">
        <v>2927</v>
      </c>
    </row>
    <row r="165" spans="1:13" hidden="1" x14ac:dyDescent="0.35">
      <c r="A165" t="s">
        <v>174</v>
      </c>
      <c r="B165" t="s">
        <v>2156</v>
      </c>
      <c r="C165" t="s">
        <v>2460</v>
      </c>
      <c r="D165" t="s">
        <v>2468</v>
      </c>
      <c r="E165" t="str">
        <f t="shared" si="4"/>
        <v>VERNIER CH</v>
      </c>
      <c r="F165" t="s">
        <v>2482</v>
      </c>
      <c r="G165">
        <v>98.86</v>
      </c>
      <c r="H165" t="s">
        <v>2489</v>
      </c>
      <c r="I165">
        <v>97</v>
      </c>
      <c r="J165">
        <v>100</v>
      </c>
      <c r="K165" s="9">
        <f t="shared" si="5"/>
        <v>45404</v>
      </c>
      <c r="L165" t="s">
        <v>2630</v>
      </c>
      <c r="M165" t="s">
        <v>2925</v>
      </c>
    </row>
    <row r="166" spans="1:13" hidden="1" x14ac:dyDescent="0.35">
      <c r="A166" t="s">
        <v>175</v>
      </c>
      <c r="B166" t="s">
        <v>2157</v>
      </c>
      <c r="C166" t="s">
        <v>2458</v>
      </c>
      <c r="D166" t="s">
        <v>2477</v>
      </c>
      <c r="E166" t="str">
        <f t="shared" si="4"/>
        <v>BUDAPEST</v>
      </c>
      <c r="F166" t="s">
        <v>2480</v>
      </c>
      <c r="G166">
        <v>0.92</v>
      </c>
      <c r="H166" t="s">
        <v>2487</v>
      </c>
      <c r="I166">
        <v>0.88</v>
      </c>
      <c r="J166">
        <v>0.97</v>
      </c>
      <c r="K166" s="9">
        <f t="shared" si="5"/>
        <v>45595</v>
      </c>
      <c r="L166" t="s">
        <v>2631</v>
      </c>
      <c r="M166" t="s">
        <v>2932</v>
      </c>
    </row>
    <row r="167" spans="1:13" hidden="1" x14ac:dyDescent="0.35">
      <c r="A167" t="s">
        <v>176</v>
      </c>
      <c r="B167" t="s">
        <v>2106</v>
      </c>
      <c r="C167" t="s">
        <v>2461</v>
      </c>
      <c r="D167" t="s">
        <v>2472</v>
      </c>
      <c r="E167" t="str">
        <f t="shared" si="4"/>
        <v>VERNIER</v>
      </c>
      <c r="F167" t="s">
        <v>2481</v>
      </c>
      <c r="G167">
        <v>286.64</v>
      </c>
      <c r="H167" t="s">
        <v>2488</v>
      </c>
      <c r="I167">
        <v>150</v>
      </c>
      <c r="J167">
        <v>400</v>
      </c>
      <c r="K167" s="9">
        <f t="shared" si="5"/>
        <v>45388</v>
      </c>
      <c r="L167" t="s">
        <v>2583</v>
      </c>
      <c r="M167" t="s">
        <v>2930</v>
      </c>
    </row>
    <row r="168" spans="1:13" hidden="1" x14ac:dyDescent="0.35">
      <c r="A168" t="s">
        <v>177</v>
      </c>
      <c r="B168" t="s">
        <v>2120</v>
      </c>
      <c r="C168" t="s">
        <v>2459</v>
      </c>
      <c r="D168" t="s">
        <v>2465</v>
      </c>
      <c r="E168" t="str">
        <f t="shared" si="4"/>
        <v>VERNIER</v>
      </c>
      <c r="F168" t="s">
        <v>2482</v>
      </c>
      <c r="G168">
        <v>98.6</v>
      </c>
      <c r="H168" t="s">
        <v>2489</v>
      </c>
      <c r="I168">
        <v>97</v>
      </c>
      <c r="J168">
        <v>100</v>
      </c>
      <c r="K168" s="9">
        <f t="shared" si="5"/>
        <v>45393</v>
      </c>
      <c r="L168" t="s">
        <v>2632</v>
      </c>
      <c r="M168" t="s">
        <v>2929</v>
      </c>
    </row>
    <row r="169" spans="1:13" hidden="1" x14ac:dyDescent="0.35">
      <c r="A169" t="s">
        <v>178</v>
      </c>
      <c r="B169" t="s">
        <v>2083</v>
      </c>
      <c r="C169" t="s">
        <v>2459</v>
      </c>
      <c r="D169" t="s">
        <v>2462</v>
      </c>
      <c r="E169" t="str">
        <f t="shared" si="4"/>
        <v>ASHFORD UK</v>
      </c>
      <c r="F169" t="s">
        <v>2485</v>
      </c>
      <c r="G169">
        <v>39.93</v>
      </c>
      <c r="H169" t="s">
        <v>2490</v>
      </c>
      <c r="I169">
        <v>0</v>
      </c>
      <c r="J169">
        <v>100</v>
      </c>
      <c r="K169" s="9">
        <f t="shared" si="5"/>
        <v>45979</v>
      </c>
      <c r="L169" t="s">
        <v>2600</v>
      </c>
      <c r="M169" t="s">
        <v>2928</v>
      </c>
    </row>
    <row r="170" spans="1:13" hidden="1" x14ac:dyDescent="0.35">
      <c r="A170" t="s">
        <v>179</v>
      </c>
      <c r="B170" t="s">
        <v>2158</v>
      </c>
      <c r="C170" t="s">
        <v>2459</v>
      </c>
      <c r="D170" t="s">
        <v>2470</v>
      </c>
      <c r="E170" t="str">
        <f t="shared" si="4"/>
        <v>E. HANOVER</v>
      </c>
      <c r="F170" t="s">
        <v>2479</v>
      </c>
      <c r="G170">
        <v>31.26</v>
      </c>
      <c r="H170" t="s">
        <v>2486</v>
      </c>
      <c r="I170">
        <v>0</v>
      </c>
      <c r="J170">
        <v>120</v>
      </c>
      <c r="K170" s="9">
        <f t="shared" si="5"/>
        <v>45374</v>
      </c>
      <c r="L170" t="s">
        <v>2518</v>
      </c>
      <c r="M170" t="s">
        <v>2925</v>
      </c>
    </row>
    <row r="171" spans="1:13" hidden="1" x14ac:dyDescent="0.35">
      <c r="A171" t="s">
        <v>180</v>
      </c>
      <c r="B171" t="s">
        <v>2159</v>
      </c>
      <c r="C171" t="s">
        <v>2457</v>
      </c>
      <c r="D171" t="s">
        <v>2472</v>
      </c>
      <c r="E171" t="str">
        <f t="shared" si="4"/>
        <v>VERNIER</v>
      </c>
      <c r="F171" t="s">
        <v>2483</v>
      </c>
      <c r="G171">
        <v>0.55000000000000004</v>
      </c>
      <c r="H171" t="s">
        <v>2489</v>
      </c>
      <c r="I171">
        <v>0</v>
      </c>
      <c r="J171">
        <v>1</v>
      </c>
      <c r="K171" s="9">
        <f t="shared" si="5"/>
        <v>45511</v>
      </c>
      <c r="L171" t="s">
        <v>2633</v>
      </c>
      <c r="M171" t="s">
        <v>2927</v>
      </c>
    </row>
    <row r="172" spans="1:13" hidden="1" x14ac:dyDescent="0.35">
      <c r="A172" t="s">
        <v>181</v>
      </c>
      <c r="B172" t="s">
        <v>2160</v>
      </c>
      <c r="C172" t="s">
        <v>2458</v>
      </c>
      <c r="D172" t="s">
        <v>2473</v>
      </c>
      <c r="E172" t="str">
        <f t="shared" si="4"/>
        <v>DORTMUND</v>
      </c>
      <c r="F172" t="s">
        <v>2484</v>
      </c>
      <c r="G172">
        <v>6.87</v>
      </c>
      <c r="I172">
        <v>6</v>
      </c>
      <c r="J172">
        <v>7.5</v>
      </c>
      <c r="K172" s="9">
        <f t="shared" si="5"/>
        <v>45476</v>
      </c>
      <c r="L172" t="s">
        <v>2621</v>
      </c>
      <c r="M172" t="s">
        <v>2931</v>
      </c>
    </row>
    <row r="173" spans="1:13" hidden="1" x14ac:dyDescent="0.35">
      <c r="A173" t="s">
        <v>182</v>
      </c>
      <c r="B173" t="s">
        <v>2121</v>
      </c>
      <c r="C173" t="s">
        <v>2457</v>
      </c>
      <c r="D173" t="s">
        <v>2464</v>
      </c>
      <c r="E173" t="str">
        <f t="shared" si="4"/>
        <v>EAST HANOVER</v>
      </c>
      <c r="F173" t="s">
        <v>2485</v>
      </c>
      <c r="G173">
        <v>12.06</v>
      </c>
      <c r="H173" t="s">
        <v>2490</v>
      </c>
      <c r="I173">
        <v>0</v>
      </c>
      <c r="J173">
        <v>100</v>
      </c>
      <c r="K173" s="9">
        <f t="shared" si="5"/>
        <v>45690</v>
      </c>
      <c r="L173" t="s">
        <v>2597</v>
      </c>
      <c r="M173" t="s">
        <v>2932</v>
      </c>
    </row>
    <row r="174" spans="1:13" hidden="1" x14ac:dyDescent="0.35">
      <c r="A174" t="s">
        <v>183</v>
      </c>
      <c r="B174" t="s">
        <v>2161</v>
      </c>
      <c r="C174" t="s">
        <v>2459</v>
      </c>
      <c r="D174" t="s">
        <v>2473</v>
      </c>
      <c r="E174" t="str">
        <f t="shared" si="4"/>
        <v>DORTMUND</v>
      </c>
      <c r="F174" t="s">
        <v>2479</v>
      </c>
      <c r="G174">
        <v>30.03</v>
      </c>
      <c r="H174" t="s">
        <v>2486</v>
      </c>
      <c r="I174">
        <v>0</v>
      </c>
      <c r="J174">
        <v>120</v>
      </c>
      <c r="K174" s="9">
        <f t="shared" si="5"/>
        <v>45963</v>
      </c>
      <c r="L174" t="s">
        <v>2634</v>
      </c>
      <c r="M174" t="s">
        <v>2929</v>
      </c>
    </row>
    <row r="175" spans="1:13" hidden="1" x14ac:dyDescent="0.35">
      <c r="A175" t="s">
        <v>184</v>
      </c>
      <c r="B175" t="s">
        <v>2162</v>
      </c>
      <c r="C175" t="s">
        <v>2459</v>
      </c>
      <c r="D175" t="s">
        <v>2466</v>
      </c>
      <c r="E175" t="str">
        <f t="shared" si="4"/>
        <v>EAST HANOVER</v>
      </c>
      <c r="F175" t="s">
        <v>2483</v>
      </c>
      <c r="G175">
        <v>0.33</v>
      </c>
      <c r="H175" t="s">
        <v>2489</v>
      </c>
      <c r="I175">
        <v>0</v>
      </c>
      <c r="J175">
        <v>1</v>
      </c>
      <c r="K175" s="9">
        <f t="shared" si="5"/>
        <v>45940</v>
      </c>
      <c r="L175" t="s">
        <v>2635</v>
      </c>
      <c r="M175" t="s">
        <v>2928</v>
      </c>
    </row>
    <row r="176" spans="1:13" hidden="1" x14ac:dyDescent="0.35">
      <c r="A176" t="s">
        <v>185</v>
      </c>
      <c r="B176" t="s">
        <v>2163</v>
      </c>
      <c r="C176" t="s">
        <v>2460</v>
      </c>
      <c r="D176" t="s">
        <v>2464</v>
      </c>
      <c r="E176" t="str">
        <f t="shared" si="4"/>
        <v>EAST HANOVER</v>
      </c>
      <c r="F176" t="s">
        <v>2485</v>
      </c>
      <c r="G176">
        <v>-13.67</v>
      </c>
      <c r="H176" t="s">
        <v>2490</v>
      </c>
      <c r="I176">
        <v>0</v>
      </c>
      <c r="J176">
        <v>100</v>
      </c>
      <c r="K176" s="9">
        <f t="shared" si="5"/>
        <v>45698</v>
      </c>
      <c r="L176" t="s">
        <v>2636</v>
      </c>
      <c r="M176" t="s">
        <v>2932</v>
      </c>
    </row>
    <row r="177" spans="1:13" hidden="1" x14ac:dyDescent="0.35">
      <c r="A177" t="s">
        <v>186</v>
      </c>
      <c r="B177" t="s">
        <v>2116</v>
      </c>
      <c r="C177" t="s">
        <v>2461</v>
      </c>
      <c r="D177" t="s">
        <v>2469</v>
      </c>
      <c r="E177" t="str">
        <f t="shared" si="4"/>
        <v>DORTMUND</v>
      </c>
      <c r="F177" t="s">
        <v>2479</v>
      </c>
      <c r="G177">
        <v>42.98</v>
      </c>
      <c r="H177" t="s">
        <v>2486</v>
      </c>
      <c r="I177">
        <v>0</v>
      </c>
      <c r="J177">
        <v>120</v>
      </c>
      <c r="K177" s="9">
        <f t="shared" si="5"/>
        <v>45376</v>
      </c>
      <c r="L177" t="s">
        <v>2591</v>
      </c>
      <c r="M177" t="s">
        <v>2928</v>
      </c>
    </row>
    <row r="178" spans="1:13" hidden="1" x14ac:dyDescent="0.35">
      <c r="A178" t="s">
        <v>187</v>
      </c>
      <c r="B178" t="s">
        <v>2164</v>
      </c>
      <c r="C178" t="s">
        <v>2460</v>
      </c>
      <c r="D178" t="s">
        <v>2467</v>
      </c>
      <c r="E178" t="str">
        <f t="shared" si="4"/>
        <v>ASHFORD</v>
      </c>
      <c r="F178" t="s">
        <v>2485</v>
      </c>
      <c r="G178">
        <v>-14.05</v>
      </c>
      <c r="H178" t="s">
        <v>2490</v>
      </c>
      <c r="I178">
        <v>0</v>
      </c>
      <c r="J178">
        <v>100</v>
      </c>
      <c r="K178" s="9">
        <f t="shared" si="5"/>
        <v>45912</v>
      </c>
      <c r="L178" t="s">
        <v>2637</v>
      </c>
      <c r="M178" t="s">
        <v>2925</v>
      </c>
    </row>
    <row r="179" spans="1:13" hidden="1" x14ac:dyDescent="0.35">
      <c r="A179" t="s">
        <v>188</v>
      </c>
      <c r="B179" t="s">
        <v>2165</v>
      </c>
      <c r="C179" t="s">
        <v>2458</v>
      </c>
      <c r="D179" t="s">
        <v>2477</v>
      </c>
      <c r="E179" t="str">
        <f t="shared" si="4"/>
        <v>BUDAPEST</v>
      </c>
      <c r="F179" t="s">
        <v>2484</v>
      </c>
      <c r="G179">
        <v>6.69</v>
      </c>
      <c r="I179">
        <v>6</v>
      </c>
      <c r="J179">
        <v>7.5</v>
      </c>
      <c r="K179" s="9">
        <f t="shared" si="5"/>
        <v>45886</v>
      </c>
      <c r="L179" t="s">
        <v>2638</v>
      </c>
      <c r="M179" t="s">
        <v>2923</v>
      </c>
    </row>
    <row r="180" spans="1:13" hidden="1" x14ac:dyDescent="0.35">
      <c r="A180" t="s">
        <v>189</v>
      </c>
      <c r="B180" t="s">
        <v>2166</v>
      </c>
      <c r="C180" t="s">
        <v>2459</v>
      </c>
      <c r="D180" t="s">
        <v>2474</v>
      </c>
      <c r="E180" t="str">
        <f t="shared" si="4"/>
        <v>DORTMUND DE</v>
      </c>
      <c r="F180" t="s">
        <v>2483</v>
      </c>
      <c r="G180">
        <v>0.03</v>
      </c>
      <c r="H180" t="s">
        <v>2489</v>
      </c>
      <c r="I180">
        <v>0</v>
      </c>
      <c r="J180">
        <v>1</v>
      </c>
      <c r="K180" s="9">
        <f t="shared" si="5"/>
        <v>45970</v>
      </c>
      <c r="L180" t="s">
        <v>2639</v>
      </c>
      <c r="M180" t="s">
        <v>2925</v>
      </c>
    </row>
    <row r="181" spans="1:13" hidden="1" x14ac:dyDescent="0.35">
      <c r="A181" t="s">
        <v>190</v>
      </c>
      <c r="B181" t="s">
        <v>2167</v>
      </c>
      <c r="C181" t="s">
        <v>2460</v>
      </c>
      <c r="D181" t="s">
        <v>2472</v>
      </c>
      <c r="E181" t="str">
        <f t="shared" si="4"/>
        <v>VERNIER</v>
      </c>
      <c r="F181" t="s">
        <v>2481</v>
      </c>
      <c r="G181">
        <v>224.47</v>
      </c>
      <c r="H181" t="s">
        <v>2488</v>
      </c>
      <c r="I181">
        <v>150</v>
      </c>
      <c r="J181">
        <v>400</v>
      </c>
      <c r="K181" s="9">
        <f t="shared" si="5"/>
        <v>45528</v>
      </c>
      <c r="L181" t="s">
        <v>2640</v>
      </c>
      <c r="M181" t="s">
        <v>2930</v>
      </c>
    </row>
    <row r="182" spans="1:13" hidden="1" x14ac:dyDescent="0.35">
      <c r="A182" t="s">
        <v>191</v>
      </c>
      <c r="B182" t="s">
        <v>2168</v>
      </c>
      <c r="C182" t="s">
        <v>2459</v>
      </c>
      <c r="D182" t="s">
        <v>2471</v>
      </c>
      <c r="E182" t="str">
        <f t="shared" si="4"/>
        <v>BUDAPEST</v>
      </c>
      <c r="F182" t="s">
        <v>2479</v>
      </c>
      <c r="G182">
        <v>39.22</v>
      </c>
      <c r="H182" t="s">
        <v>2486</v>
      </c>
      <c r="I182">
        <v>0</v>
      </c>
      <c r="J182">
        <v>120</v>
      </c>
      <c r="K182" s="9">
        <f t="shared" si="5"/>
        <v>45558</v>
      </c>
      <c r="L182" t="s">
        <v>2641</v>
      </c>
      <c r="M182" t="s">
        <v>2929</v>
      </c>
    </row>
    <row r="183" spans="1:13" hidden="1" x14ac:dyDescent="0.35">
      <c r="A183" t="s">
        <v>192</v>
      </c>
      <c r="B183" t="s">
        <v>2169</v>
      </c>
      <c r="C183" t="s">
        <v>2458</v>
      </c>
      <c r="D183" t="s">
        <v>2465</v>
      </c>
      <c r="E183" t="str">
        <f t="shared" si="4"/>
        <v>VERNIER</v>
      </c>
      <c r="F183" t="s">
        <v>2482</v>
      </c>
      <c r="G183">
        <v>98.94</v>
      </c>
      <c r="H183" t="s">
        <v>2489</v>
      </c>
      <c r="I183">
        <v>97</v>
      </c>
      <c r="J183">
        <v>100</v>
      </c>
      <c r="K183" s="9">
        <f t="shared" si="5"/>
        <v>45571</v>
      </c>
      <c r="L183" t="s">
        <v>2642</v>
      </c>
      <c r="M183" t="s">
        <v>2928</v>
      </c>
    </row>
    <row r="184" spans="1:13" hidden="1" x14ac:dyDescent="0.35">
      <c r="A184" t="s">
        <v>193</v>
      </c>
      <c r="B184" t="s">
        <v>2170</v>
      </c>
      <c r="C184" t="s">
        <v>2459</v>
      </c>
      <c r="D184" t="s">
        <v>2478</v>
      </c>
      <c r="E184" t="str">
        <f t="shared" si="4"/>
        <v>BUD</v>
      </c>
      <c r="F184" t="s">
        <v>2480</v>
      </c>
      <c r="G184">
        <v>0.9</v>
      </c>
      <c r="H184" t="s">
        <v>2487</v>
      </c>
      <c r="I184">
        <v>0.88</v>
      </c>
      <c r="J184">
        <v>0.97</v>
      </c>
      <c r="K184" s="9">
        <f t="shared" si="5"/>
        <v>45737</v>
      </c>
      <c r="L184" t="s">
        <v>2643</v>
      </c>
      <c r="M184" t="s">
        <v>2929</v>
      </c>
    </row>
    <row r="185" spans="1:13" hidden="1" x14ac:dyDescent="0.35">
      <c r="A185" t="s">
        <v>194</v>
      </c>
      <c r="B185" t="s">
        <v>2171</v>
      </c>
      <c r="C185" t="s">
        <v>2459</v>
      </c>
      <c r="D185" t="s">
        <v>2462</v>
      </c>
      <c r="E185" t="str">
        <f t="shared" si="4"/>
        <v>ASHFORD UK</v>
      </c>
      <c r="F185" t="s">
        <v>2483</v>
      </c>
      <c r="G185">
        <v>0.22</v>
      </c>
      <c r="H185" t="s">
        <v>2489</v>
      </c>
      <c r="I185">
        <v>0</v>
      </c>
      <c r="J185">
        <v>1</v>
      </c>
      <c r="K185" s="9">
        <f t="shared" si="5"/>
        <v>45629</v>
      </c>
      <c r="L185" t="s">
        <v>2644</v>
      </c>
      <c r="M185" t="s">
        <v>2930</v>
      </c>
    </row>
    <row r="186" spans="1:13" hidden="1" x14ac:dyDescent="0.35">
      <c r="A186" t="s">
        <v>195</v>
      </c>
      <c r="B186" t="s">
        <v>2050</v>
      </c>
      <c r="C186" t="s">
        <v>2461</v>
      </c>
      <c r="D186" t="s">
        <v>2466</v>
      </c>
      <c r="E186" t="str">
        <f t="shared" si="4"/>
        <v>EAST HANOVER</v>
      </c>
      <c r="F186" t="s">
        <v>2481</v>
      </c>
      <c r="G186">
        <v>265.68</v>
      </c>
      <c r="H186" t="s">
        <v>2488</v>
      </c>
      <c r="I186">
        <v>150</v>
      </c>
      <c r="J186">
        <v>400</v>
      </c>
      <c r="K186" s="9">
        <f t="shared" si="5"/>
        <v>45398</v>
      </c>
      <c r="L186" t="s">
        <v>2529</v>
      </c>
      <c r="M186" t="s">
        <v>2925</v>
      </c>
    </row>
    <row r="187" spans="1:13" hidden="1" x14ac:dyDescent="0.35">
      <c r="A187" t="s">
        <v>196</v>
      </c>
      <c r="B187" t="s">
        <v>2172</v>
      </c>
      <c r="C187" t="s">
        <v>2459</v>
      </c>
      <c r="D187" t="s">
        <v>2474</v>
      </c>
      <c r="E187" t="str">
        <f t="shared" si="4"/>
        <v>DORTMUND DE</v>
      </c>
      <c r="F187" t="s">
        <v>2481</v>
      </c>
      <c r="G187">
        <v>298.23</v>
      </c>
      <c r="H187" t="s">
        <v>2488</v>
      </c>
      <c r="I187">
        <v>150</v>
      </c>
      <c r="J187">
        <v>400</v>
      </c>
      <c r="K187" s="9">
        <f t="shared" si="5"/>
        <v>45453</v>
      </c>
      <c r="L187" t="s">
        <v>2645</v>
      </c>
      <c r="M187" t="s">
        <v>2932</v>
      </c>
    </row>
    <row r="188" spans="1:13" hidden="1" x14ac:dyDescent="0.35">
      <c r="A188" t="s">
        <v>197</v>
      </c>
      <c r="B188" t="s">
        <v>2173</v>
      </c>
      <c r="C188" t="s">
        <v>2460</v>
      </c>
      <c r="D188" t="s">
        <v>2470</v>
      </c>
      <c r="E188" t="str">
        <f t="shared" si="4"/>
        <v>E. HANOVER</v>
      </c>
      <c r="F188" t="s">
        <v>2482</v>
      </c>
      <c r="G188">
        <v>99.24</v>
      </c>
      <c r="H188" t="s">
        <v>2489</v>
      </c>
      <c r="I188">
        <v>97</v>
      </c>
      <c r="J188">
        <v>100</v>
      </c>
      <c r="K188" s="9">
        <f t="shared" si="5"/>
        <v>45609</v>
      </c>
      <c r="L188" t="s">
        <v>2646</v>
      </c>
      <c r="M188" t="s">
        <v>2924</v>
      </c>
    </row>
    <row r="189" spans="1:13" hidden="1" x14ac:dyDescent="0.35">
      <c r="A189" t="s">
        <v>198</v>
      </c>
      <c r="B189" t="s">
        <v>2174</v>
      </c>
      <c r="C189" t="s">
        <v>2459</v>
      </c>
      <c r="D189" t="s">
        <v>2464</v>
      </c>
      <c r="E189" t="str">
        <f t="shared" si="4"/>
        <v>EAST HANOVER</v>
      </c>
      <c r="F189" t="s">
        <v>2482</v>
      </c>
      <c r="G189">
        <v>98.18</v>
      </c>
      <c r="H189" t="s">
        <v>2489</v>
      </c>
      <c r="I189">
        <v>97</v>
      </c>
      <c r="J189">
        <v>100</v>
      </c>
      <c r="K189" s="9">
        <f t="shared" si="5"/>
        <v>45634</v>
      </c>
      <c r="L189" t="s">
        <v>2594</v>
      </c>
      <c r="M189" t="s">
        <v>2926</v>
      </c>
    </row>
    <row r="190" spans="1:13" hidden="1" x14ac:dyDescent="0.35">
      <c r="A190" t="s">
        <v>199</v>
      </c>
      <c r="B190" t="s">
        <v>2159</v>
      </c>
      <c r="C190" t="s">
        <v>2457</v>
      </c>
      <c r="D190" t="s">
        <v>2465</v>
      </c>
      <c r="E190" t="str">
        <f t="shared" si="4"/>
        <v>VERNIER</v>
      </c>
      <c r="F190" t="s">
        <v>2481</v>
      </c>
      <c r="G190">
        <v>287.5</v>
      </c>
      <c r="H190" t="s">
        <v>2488</v>
      </c>
      <c r="I190">
        <v>150</v>
      </c>
      <c r="J190">
        <v>400</v>
      </c>
      <c r="K190" s="9">
        <f t="shared" si="5"/>
        <v>45511</v>
      </c>
      <c r="L190" t="s">
        <v>2633</v>
      </c>
      <c r="M190" t="s">
        <v>2926</v>
      </c>
    </row>
    <row r="191" spans="1:13" hidden="1" x14ac:dyDescent="0.35">
      <c r="A191" t="s">
        <v>200</v>
      </c>
      <c r="B191" t="s">
        <v>2048</v>
      </c>
      <c r="C191" t="s">
        <v>2458</v>
      </c>
      <c r="D191" t="s">
        <v>2473</v>
      </c>
      <c r="E191" t="str">
        <f t="shared" si="4"/>
        <v>DORTMUND</v>
      </c>
      <c r="F191" t="s">
        <v>2479</v>
      </c>
      <c r="G191">
        <v>23.76</v>
      </c>
      <c r="H191" t="s">
        <v>2486</v>
      </c>
      <c r="I191">
        <v>0</v>
      </c>
      <c r="J191">
        <v>120</v>
      </c>
      <c r="K191" s="9">
        <f t="shared" si="5"/>
        <v>45845</v>
      </c>
      <c r="L191" t="s">
        <v>2541</v>
      </c>
      <c r="M191" t="s">
        <v>2924</v>
      </c>
    </row>
    <row r="192" spans="1:13" hidden="1" x14ac:dyDescent="0.35">
      <c r="A192" t="s">
        <v>201</v>
      </c>
      <c r="B192" t="s">
        <v>2175</v>
      </c>
      <c r="C192" t="s">
        <v>2457</v>
      </c>
      <c r="D192" t="s">
        <v>2475</v>
      </c>
      <c r="E192" t="str">
        <f t="shared" si="4"/>
        <v>ASHFORD</v>
      </c>
      <c r="F192" t="s">
        <v>2479</v>
      </c>
      <c r="G192">
        <v>46.63</v>
      </c>
      <c r="H192" t="s">
        <v>2486</v>
      </c>
      <c r="I192">
        <v>0</v>
      </c>
      <c r="J192">
        <v>120</v>
      </c>
      <c r="K192" s="9">
        <f t="shared" si="5"/>
        <v>45921</v>
      </c>
      <c r="L192" t="s">
        <v>2647</v>
      </c>
      <c r="M192" t="s">
        <v>2926</v>
      </c>
    </row>
    <row r="193" spans="1:13" hidden="1" x14ac:dyDescent="0.35">
      <c r="A193" t="s">
        <v>202</v>
      </c>
      <c r="B193" t="s">
        <v>2176</v>
      </c>
      <c r="C193" t="s">
        <v>2461</v>
      </c>
      <c r="D193" t="s">
        <v>2474</v>
      </c>
      <c r="E193" t="str">
        <f t="shared" si="4"/>
        <v>DORTMUND DE</v>
      </c>
      <c r="F193" t="s">
        <v>2481</v>
      </c>
      <c r="G193">
        <v>211.86</v>
      </c>
      <c r="H193" t="s">
        <v>2488</v>
      </c>
      <c r="I193">
        <v>150</v>
      </c>
      <c r="J193">
        <v>400</v>
      </c>
      <c r="K193" s="9">
        <f t="shared" si="5"/>
        <v>45312</v>
      </c>
      <c r="L193" t="s">
        <v>2648</v>
      </c>
      <c r="M193" t="s">
        <v>2928</v>
      </c>
    </row>
    <row r="194" spans="1:13" hidden="1" x14ac:dyDescent="0.35">
      <c r="A194" t="s">
        <v>203</v>
      </c>
      <c r="B194" t="s">
        <v>2177</v>
      </c>
      <c r="C194" t="s">
        <v>2457</v>
      </c>
      <c r="D194" t="s">
        <v>2465</v>
      </c>
      <c r="E194" t="str">
        <f t="shared" si="4"/>
        <v>VERNIER</v>
      </c>
      <c r="F194" t="s">
        <v>2482</v>
      </c>
      <c r="G194">
        <v>98.8</v>
      </c>
      <c r="H194" t="s">
        <v>2489</v>
      </c>
      <c r="I194">
        <v>97</v>
      </c>
      <c r="J194">
        <v>100</v>
      </c>
      <c r="K194" s="9">
        <f t="shared" si="5"/>
        <v>45520</v>
      </c>
      <c r="L194" t="s">
        <v>2649</v>
      </c>
      <c r="M194" t="s">
        <v>2928</v>
      </c>
    </row>
    <row r="195" spans="1:13" hidden="1" x14ac:dyDescent="0.35">
      <c r="A195" t="s">
        <v>204</v>
      </c>
      <c r="B195" t="s">
        <v>2178</v>
      </c>
      <c r="C195" t="s">
        <v>2457</v>
      </c>
      <c r="D195" t="s">
        <v>2467</v>
      </c>
      <c r="E195" t="str">
        <f t="shared" ref="E195:E258" si="6">UPPER(D195)</f>
        <v>ASHFORD</v>
      </c>
      <c r="F195" t="s">
        <v>2482</v>
      </c>
      <c r="G195">
        <v>99.3</v>
      </c>
      <c r="H195" t="s">
        <v>2489</v>
      </c>
      <c r="I195">
        <v>97</v>
      </c>
      <c r="J195">
        <v>100</v>
      </c>
      <c r="K195" s="9">
        <f t="shared" ref="K195:K258" si="7">IF(L195="","",
IF(MID(L195,5,1)="-",
DATE(LEFT(L195,4),MID(L195,6,2),RIGHT(L195,2)),
DATE(RIGHT(L195,4),MID(L195,4,2),LEFT(L195,2))
))</f>
        <v>45816</v>
      </c>
      <c r="L195" t="s">
        <v>2650</v>
      </c>
      <c r="M195" t="s">
        <v>2926</v>
      </c>
    </row>
    <row r="196" spans="1:13" hidden="1" x14ac:dyDescent="0.35">
      <c r="A196" t="s">
        <v>205</v>
      </c>
      <c r="B196" t="s">
        <v>2179</v>
      </c>
      <c r="C196" t="s">
        <v>2460</v>
      </c>
      <c r="D196" t="s">
        <v>2474</v>
      </c>
      <c r="E196" t="str">
        <f t="shared" si="6"/>
        <v>DORTMUND DE</v>
      </c>
      <c r="F196" t="s">
        <v>2483</v>
      </c>
      <c r="G196">
        <v>0.46</v>
      </c>
      <c r="H196" t="s">
        <v>2489</v>
      </c>
      <c r="I196">
        <v>0</v>
      </c>
      <c r="J196">
        <v>1</v>
      </c>
      <c r="K196" s="9">
        <f t="shared" si="7"/>
        <v>45693</v>
      </c>
      <c r="L196" t="s">
        <v>2651</v>
      </c>
      <c r="M196" t="s">
        <v>2930</v>
      </c>
    </row>
    <row r="197" spans="1:13" hidden="1" x14ac:dyDescent="0.35">
      <c r="A197" t="s">
        <v>206</v>
      </c>
      <c r="B197" t="s">
        <v>2180</v>
      </c>
      <c r="C197" t="s">
        <v>2461</v>
      </c>
      <c r="D197" t="s">
        <v>2470</v>
      </c>
      <c r="E197" t="str">
        <f t="shared" si="6"/>
        <v>E. HANOVER</v>
      </c>
      <c r="F197" t="s">
        <v>2482</v>
      </c>
      <c r="G197">
        <v>99.25</v>
      </c>
      <c r="H197" t="s">
        <v>2489</v>
      </c>
      <c r="I197">
        <v>97</v>
      </c>
      <c r="J197">
        <v>100</v>
      </c>
      <c r="K197" s="9">
        <f t="shared" si="7"/>
        <v>45649</v>
      </c>
      <c r="L197" t="s">
        <v>2652</v>
      </c>
      <c r="M197" t="s">
        <v>2926</v>
      </c>
    </row>
    <row r="198" spans="1:13" hidden="1" x14ac:dyDescent="0.35">
      <c r="A198" t="s">
        <v>207</v>
      </c>
      <c r="B198" t="s">
        <v>2082</v>
      </c>
      <c r="C198" t="s">
        <v>2461</v>
      </c>
      <c r="D198" t="s">
        <v>2462</v>
      </c>
      <c r="E198" t="str">
        <f t="shared" si="6"/>
        <v>ASHFORD UK</v>
      </c>
      <c r="F198" t="s">
        <v>2484</v>
      </c>
      <c r="G198">
        <v>6.83</v>
      </c>
      <c r="I198">
        <v>6</v>
      </c>
      <c r="J198">
        <v>7.5</v>
      </c>
      <c r="K198" s="9">
        <f t="shared" si="7"/>
        <v>45392</v>
      </c>
      <c r="L198" t="s">
        <v>2561</v>
      </c>
      <c r="M198" t="s">
        <v>2923</v>
      </c>
    </row>
    <row r="199" spans="1:13" hidden="1" x14ac:dyDescent="0.35">
      <c r="A199" t="s">
        <v>208</v>
      </c>
      <c r="B199" t="s">
        <v>2055</v>
      </c>
      <c r="C199" t="s">
        <v>2461</v>
      </c>
      <c r="D199" t="s">
        <v>2476</v>
      </c>
      <c r="E199" t="str">
        <f t="shared" si="6"/>
        <v>BUDAPEST SITE</v>
      </c>
      <c r="F199" t="s">
        <v>2482</v>
      </c>
      <c r="G199">
        <v>98.7</v>
      </c>
      <c r="H199" t="s">
        <v>2489</v>
      </c>
      <c r="I199">
        <v>97</v>
      </c>
      <c r="J199">
        <v>100</v>
      </c>
      <c r="K199" s="9">
        <f t="shared" si="7"/>
        <v>46020</v>
      </c>
      <c r="L199" t="s">
        <v>2534</v>
      </c>
      <c r="M199" t="s">
        <v>2927</v>
      </c>
    </row>
    <row r="200" spans="1:13" hidden="1" x14ac:dyDescent="0.35">
      <c r="A200" t="s">
        <v>209</v>
      </c>
      <c r="B200" t="s">
        <v>2181</v>
      </c>
      <c r="C200" t="s">
        <v>2459</v>
      </c>
      <c r="D200" t="s">
        <v>2468</v>
      </c>
      <c r="E200" t="str">
        <f t="shared" si="6"/>
        <v>VERNIER CH</v>
      </c>
      <c r="F200" t="s">
        <v>2484</v>
      </c>
      <c r="G200">
        <v>7.25</v>
      </c>
      <c r="I200">
        <v>6</v>
      </c>
      <c r="J200">
        <v>7.5</v>
      </c>
      <c r="K200" s="9">
        <f t="shared" si="7"/>
        <v>45500</v>
      </c>
      <c r="L200" t="s">
        <v>2653</v>
      </c>
      <c r="M200" t="s">
        <v>2931</v>
      </c>
    </row>
    <row r="201" spans="1:13" hidden="1" x14ac:dyDescent="0.35">
      <c r="A201" t="s">
        <v>210</v>
      </c>
      <c r="B201" t="s">
        <v>2182</v>
      </c>
      <c r="C201" t="s">
        <v>2457</v>
      </c>
      <c r="D201" t="s">
        <v>2462</v>
      </c>
      <c r="E201" t="str">
        <f t="shared" si="6"/>
        <v>ASHFORD UK</v>
      </c>
      <c r="F201" t="s">
        <v>2483</v>
      </c>
      <c r="G201">
        <v>0.37</v>
      </c>
      <c r="H201" t="s">
        <v>2489</v>
      </c>
      <c r="I201">
        <v>0</v>
      </c>
      <c r="J201">
        <v>1</v>
      </c>
      <c r="K201" s="9">
        <f t="shared" si="7"/>
        <v>45681</v>
      </c>
      <c r="L201" t="s">
        <v>2654</v>
      </c>
      <c r="M201" t="s">
        <v>2926</v>
      </c>
    </row>
    <row r="202" spans="1:13" hidden="1" x14ac:dyDescent="0.35">
      <c r="A202" t="s">
        <v>211</v>
      </c>
      <c r="B202" t="s">
        <v>2183</v>
      </c>
      <c r="C202" t="s">
        <v>2457</v>
      </c>
      <c r="D202" t="s">
        <v>2466</v>
      </c>
      <c r="E202" t="str">
        <f t="shared" si="6"/>
        <v>EAST HANOVER</v>
      </c>
      <c r="F202" t="s">
        <v>2485</v>
      </c>
      <c r="G202">
        <v>15.37</v>
      </c>
      <c r="H202" t="s">
        <v>2490</v>
      </c>
      <c r="I202">
        <v>0</v>
      </c>
      <c r="J202">
        <v>100</v>
      </c>
      <c r="K202" s="9">
        <f t="shared" si="7"/>
        <v>45810</v>
      </c>
      <c r="L202" t="s">
        <v>2655</v>
      </c>
      <c r="M202" t="s">
        <v>2932</v>
      </c>
    </row>
    <row r="203" spans="1:13" hidden="1" x14ac:dyDescent="0.35">
      <c r="A203" t="s">
        <v>212</v>
      </c>
      <c r="B203" t="s">
        <v>2184</v>
      </c>
      <c r="C203" t="s">
        <v>2461</v>
      </c>
      <c r="D203" t="s">
        <v>2467</v>
      </c>
      <c r="E203" t="str">
        <f t="shared" si="6"/>
        <v>ASHFORD</v>
      </c>
      <c r="F203" t="s">
        <v>2481</v>
      </c>
      <c r="G203">
        <v>279.37</v>
      </c>
      <c r="H203" t="s">
        <v>2488</v>
      </c>
      <c r="I203">
        <v>150</v>
      </c>
      <c r="J203">
        <v>400</v>
      </c>
      <c r="K203" s="9">
        <f t="shared" si="7"/>
        <v>45662</v>
      </c>
      <c r="L203" t="s">
        <v>2656</v>
      </c>
      <c r="M203" t="s">
        <v>2927</v>
      </c>
    </row>
    <row r="204" spans="1:13" hidden="1" x14ac:dyDescent="0.35">
      <c r="A204" t="s">
        <v>213</v>
      </c>
      <c r="B204" t="s">
        <v>2185</v>
      </c>
      <c r="C204" t="s">
        <v>2461</v>
      </c>
      <c r="D204" t="s">
        <v>2470</v>
      </c>
      <c r="E204" t="str">
        <f t="shared" si="6"/>
        <v>E. HANOVER</v>
      </c>
      <c r="F204" t="s">
        <v>2479</v>
      </c>
      <c r="G204">
        <v>65.23</v>
      </c>
      <c r="H204" t="s">
        <v>2486</v>
      </c>
      <c r="I204">
        <v>0</v>
      </c>
      <c r="J204">
        <v>120</v>
      </c>
      <c r="K204" s="9">
        <f t="shared" si="7"/>
        <v>45830</v>
      </c>
      <c r="L204" t="s">
        <v>2657</v>
      </c>
      <c r="M204" t="s">
        <v>2930</v>
      </c>
    </row>
    <row r="205" spans="1:13" hidden="1" x14ac:dyDescent="0.35">
      <c r="A205" t="s">
        <v>214</v>
      </c>
      <c r="B205" t="s">
        <v>2186</v>
      </c>
      <c r="C205" t="s">
        <v>2457</v>
      </c>
      <c r="D205" t="s">
        <v>2478</v>
      </c>
      <c r="E205" t="str">
        <f t="shared" si="6"/>
        <v>BUD</v>
      </c>
      <c r="F205" t="s">
        <v>2484</v>
      </c>
      <c r="G205">
        <v>6.13</v>
      </c>
      <c r="I205">
        <v>6</v>
      </c>
      <c r="J205">
        <v>7.5</v>
      </c>
      <c r="K205" s="9">
        <f t="shared" si="7"/>
        <v>45579</v>
      </c>
      <c r="L205" t="s">
        <v>2658</v>
      </c>
      <c r="M205" t="s">
        <v>2925</v>
      </c>
    </row>
    <row r="206" spans="1:13" hidden="1" x14ac:dyDescent="0.35">
      <c r="A206" t="s">
        <v>215</v>
      </c>
      <c r="B206" t="s">
        <v>2187</v>
      </c>
      <c r="C206" t="s">
        <v>2457</v>
      </c>
      <c r="D206" t="s">
        <v>2462</v>
      </c>
      <c r="E206" t="str">
        <f t="shared" si="6"/>
        <v>ASHFORD UK</v>
      </c>
      <c r="F206" t="s">
        <v>2481</v>
      </c>
      <c r="G206">
        <v>236.98</v>
      </c>
      <c r="H206" t="s">
        <v>2488</v>
      </c>
      <c r="I206">
        <v>150</v>
      </c>
      <c r="J206">
        <v>400</v>
      </c>
      <c r="K206" s="9">
        <f t="shared" si="7"/>
        <v>46002</v>
      </c>
      <c r="L206" t="s">
        <v>2659</v>
      </c>
      <c r="M206" t="s">
        <v>2928</v>
      </c>
    </row>
    <row r="207" spans="1:13" hidden="1" x14ac:dyDescent="0.35">
      <c r="A207" t="s">
        <v>216</v>
      </c>
      <c r="B207" t="s">
        <v>2012</v>
      </c>
      <c r="C207" t="s">
        <v>2458</v>
      </c>
      <c r="D207" t="s">
        <v>2472</v>
      </c>
      <c r="E207" t="str">
        <f t="shared" si="6"/>
        <v>VERNIER</v>
      </c>
      <c r="F207" t="s">
        <v>2481</v>
      </c>
      <c r="G207">
        <v>250.46</v>
      </c>
      <c r="H207" t="s">
        <v>2488</v>
      </c>
      <c r="I207">
        <v>150</v>
      </c>
      <c r="J207">
        <v>400</v>
      </c>
      <c r="K207" s="9">
        <f t="shared" si="7"/>
        <v>45399</v>
      </c>
      <c r="L207" t="s">
        <v>2492</v>
      </c>
      <c r="M207" t="s">
        <v>2929</v>
      </c>
    </row>
    <row r="208" spans="1:13" hidden="1" x14ac:dyDescent="0.35">
      <c r="A208" t="s">
        <v>217</v>
      </c>
      <c r="B208" t="s">
        <v>2164</v>
      </c>
      <c r="C208" t="s">
        <v>2460</v>
      </c>
      <c r="D208" t="s">
        <v>2475</v>
      </c>
      <c r="E208" t="str">
        <f t="shared" si="6"/>
        <v>ASHFORD</v>
      </c>
      <c r="F208" t="s">
        <v>2483</v>
      </c>
      <c r="G208">
        <v>0.36</v>
      </c>
      <c r="H208" t="s">
        <v>2489</v>
      </c>
      <c r="I208">
        <v>0</v>
      </c>
      <c r="J208">
        <v>1</v>
      </c>
      <c r="K208" s="9">
        <f t="shared" si="7"/>
        <v>45912</v>
      </c>
      <c r="L208" t="s">
        <v>2637</v>
      </c>
      <c r="M208" t="s">
        <v>2927</v>
      </c>
    </row>
    <row r="209" spans="1:13" hidden="1" x14ac:dyDescent="0.35">
      <c r="A209" t="s">
        <v>218</v>
      </c>
      <c r="B209" t="s">
        <v>2188</v>
      </c>
      <c r="C209" t="s">
        <v>2457</v>
      </c>
      <c r="D209" t="s">
        <v>2462</v>
      </c>
      <c r="E209" t="str">
        <f t="shared" si="6"/>
        <v>ASHFORD UK</v>
      </c>
      <c r="F209" t="s">
        <v>2485</v>
      </c>
      <c r="G209">
        <v>5.08</v>
      </c>
      <c r="H209" t="s">
        <v>2490</v>
      </c>
      <c r="I209">
        <v>0</v>
      </c>
      <c r="J209">
        <v>100</v>
      </c>
      <c r="K209" s="9">
        <f t="shared" si="7"/>
        <v>45916</v>
      </c>
      <c r="L209" t="s">
        <v>2624</v>
      </c>
      <c r="M209" t="s">
        <v>2932</v>
      </c>
    </row>
    <row r="210" spans="1:13" hidden="1" x14ac:dyDescent="0.35">
      <c r="A210" t="s">
        <v>219</v>
      </c>
      <c r="B210" t="s">
        <v>2086</v>
      </c>
      <c r="C210" t="s">
        <v>2459</v>
      </c>
      <c r="D210" t="s">
        <v>2475</v>
      </c>
      <c r="E210" t="str">
        <f t="shared" si="6"/>
        <v>ASHFORD</v>
      </c>
      <c r="F210" t="s">
        <v>2483</v>
      </c>
      <c r="G210">
        <v>0.43</v>
      </c>
      <c r="H210" t="s">
        <v>2489</v>
      </c>
      <c r="I210">
        <v>0</v>
      </c>
      <c r="J210">
        <v>1</v>
      </c>
      <c r="K210" s="9">
        <f t="shared" si="7"/>
        <v>45668</v>
      </c>
      <c r="L210" t="s">
        <v>2564</v>
      </c>
      <c r="M210" t="s">
        <v>2924</v>
      </c>
    </row>
    <row r="211" spans="1:13" hidden="1" x14ac:dyDescent="0.35">
      <c r="A211" t="s">
        <v>220</v>
      </c>
      <c r="B211" t="s">
        <v>2189</v>
      </c>
      <c r="C211" t="s">
        <v>2461</v>
      </c>
      <c r="D211" t="s">
        <v>2477</v>
      </c>
      <c r="E211" t="str">
        <f t="shared" si="6"/>
        <v>BUDAPEST</v>
      </c>
      <c r="F211" t="s">
        <v>2484</v>
      </c>
      <c r="G211">
        <v>7.04</v>
      </c>
      <c r="I211">
        <v>6</v>
      </c>
      <c r="J211">
        <v>7.5</v>
      </c>
      <c r="K211" s="9">
        <f t="shared" si="7"/>
        <v>45691</v>
      </c>
      <c r="L211" t="s">
        <v>2660</v>
      </c>
      <c r="M211" t="s">
        <v>2925</v>
      </c>
    </row>
    <row r="212" spans="1:13" hidden="1" x14ac:dyDescent="0.35">
      <c r="A212" t="s">
        <v>221</v>
      </c>
      <c r="B212" t="s">
        <v>2161</v>
      </c>
      <c r="C212" t="s">
        <v>2459</v>
      </c>
      <c r="D212" t="s">
        <v>2474</v>
      </c>
      <c r="E212" t="str">
        <f t="shared" si="6"/>
        <v>DORTMUND DE</v>
      </c>
      <c r="F212" t="s">
        <v>2481</v>
      </c>
      <c r="G212">
        <v>306.43</v>
      </c>
      <c r="H212" t="s">
        <v>2488</v>
      </c>
      <c r="I212">
        <v>150</v>
      </c>
      <c r="J212">
        <v>400</v>
      </c>
      <c r="K212" s="9">
        <f t="shared" si="7"/>
        <v>45963</v>
      </c>
      <c r="L212" t="s">
        <v>2634</v>
      </c>
      <c r="M212" t="s">
        <v>2923</v>
      </c>
    </row>
    <row r="213" spans="1:13" hidden="1" x14ac:dyDescent="0.35">
      <c r="A213" t="s">
        <v>222</v>
      </c>
      <c r="B213" t="s">
        <v>2067</v>
      </c>
      <c r="C213" t="s">
        <v>2459</v>
      </c>
      <c r="D213" t="s">
        <v>2467</v>
      </c>
      <c r="E213" t="str">
        <f t="shared" si="6"/>
        <v>ASHFORD</v>
      </c>
      <c r="F213" t="s">
        <v>2480</v>
      </c>
      <c r="G213">
        <v>0.96</v>
      </c>
      <c r="H213" t="s">
        <v>2487</v>
      </c>
      <c r="I213">
        <v>0.88</v>
      </c>
      <c r="J213">
        <v>0.97</v>
      </c>
      <c r="K213" s="9">
        <f t="shared" si="7"/>
        <v>45844</v>
      </c>
      <c r="L213" t="s">
        <v>2546</v>
      </c>
      <c r="M213" t="s">
        <v>2926</v>
      </c>
    </row>
    <row r="214" spans="1:13" hidden="1" x14ac:dyDescent="0.35">
      <c r="A214" t="s">
        <v>223</v>
      </c>
      <c r="B214" t="s">
        <v>2128</v>
      </c>
      <c r="C214" t="s">
        <v>2458</v>
      </c>
      <c r="D214" t="s">
        <v>2476</v>
      </c>
      <c r="E214" t="str">
        <f t="shared" si="6"/>
        <v>BUDAPEST SITE</v>
      </c>
      <c r="F214" t="s">
        <v>2480</v>
      </c>
      <c r="G214">
        <v>0.93</v>
      </c>
      <c r="H214" t="s">
        <v>2487</v>
      </c>
      <c r="I214">
        <v>0.88</v>
      </c>
      <c r="J214">
        <v>0.97</v>
      </c>
      <c r="K214" s="9">
        <f t="shared" si="7"/>
        <v>45565</v>
      </c>
      <c r="L214" t="s">
        <v>2661</v>
      </c>
      <c r="M214" t="s">
        <v>2927</v>
      </c>
    </row>
    <row r="215" spans="1:13" hidden="1" x14ac:dyDescent="0.35">
      <c r="A215" t="s">
        <v>224</v>
      </c>
      <c r="B215" t="s">
        <v>2190</v>
      </c>
      <c r="C215" t="s">
        <v>2458</v>
      </c>
      <c r="D215" t="s">
        <v>2470</v>
      </c>
      <c r="E215" t="str">
        <f t="shared" si="6"/>
        <v>E. HANOVER</v>
      </c>
      <c r="F215" t="s">
        <v>2483</v>
      </c>
      <c r="G215">
        <v>0.44</v>
      </c>
      <c r="H215" t="s">
        <v>2489</v>
      </c>
      <c r="I215">
        <v>0</v>
      </c>
      <c r="J215">
        <v>1</v>
      </c>
      <c r="K215" s="9">
        <f t="shared" si="7"/>
        <v>45428</v>
      </c>
      <c r="L215" t="s">
        <v>2662</v>
      </c>
      <c r="M215" t="s">
        <v>2927</v>
      </c>
    </row>
    <row r="216" spans="1:13" hidden="1" x14ac:dyDescent="0.35">
      <c r="A216" t="s">
        <v>225</v>
      </c>
      <c r="B216" t="s">
        <v>2191</v>
      </c>
      <c r="C216" t="s">
        <v>2460</v>
      </c>
      <c r="D216" t="s">
        <v>2469</v>
      </c>
      <c r="E216" t="str">
        <f t="shared" si="6"/>
        <v>DORTMUND</v>
      </c>
      <c r="F216" t="s">
        <v>2484</v>
      </c>
      <c r="G216">
        <v>7.05</v>
      </c>
      <c r="I216">
        <v>6</v>
      </c>
      <c r="J216">
        <v>7.5</v>
      </c>
      <c r="K216" s="9">
        <f t="shared" si="7"/>
        <v>45483</v>
      </c>
      <c r="L216" t="s">
        <v>2663</v>
      </c>
      <c r="M216" t="s">
        <v>2932</v>
      </c>
    </row>
    <row r="217" spans="1:13" hidden="1" x14ac:dyDescent="0.35">
      <c r="A217" t="s">
        <v>226</v>
      </c>
      <c r="B217" t="s">
        <v>2146</v>
      </c>
      <c r="C217" t="s">
        <v>2459</v>
      </c>
      <c r="D217" t="s">
        <v>2471</v>
      </c>
      <c r="E217" t="str">
        <f t="shared" si="6"/>
        <v>BUDAPEST</v>
      </c>
      <c r="F217" t="s">
        <v>2479</v>
      </c>
      <c r="G217">
        <v>80.27</v>
      </c>
      <c r="H217" t="s">
        <v>2486</v>
      </c>
      <c r="I217">
        <v>0</v>
      </c>
      <c r="J217">
        <v>120</v>
      </c>
      <c r="K217" s="9">
        <f t="shared" si="7"/>
        <v>45476</v>
      </c>
      <c r="L217" t="s">
        <v>2621</v>
      </c>
      <c r="M217" t="s">
        <v>2928</v>
      </c>
    </row>
    <row r="218" spans="1:13" x14ac:dyDescent="0.35">
      <c r="A218" t="s">
        <v>227</v>
      </c>
      <c r="B218" t="s">
        <v>2080</v>
      </c>
      <c r="C218" t="s">
        <v>2457</v>
      </c>
      <c r="D218" t="s">
        <v>2478</v>
      </c>
      <c r="E218" t="str">
        <f t="shared" si="6"/>
        <v>BUD</v>
      </c>
      <c r="F218" t="s">
        <v>2479</v>
      </c>
      <c r="H218" t="s">
        <v>2486</v>
      </c>
      <c r="I218">
        <v>0</v>
      </c>
      <c r="J218">
        <v>120</v>
      </c>
      <c r="K218" s="9">
        <f t="shared" si="7"/>
        <v>45304</v>
      </c>
      <c r="L218" t="s">
        <v>2559</v>
      </c>
      <c r="M218" t="s">
        <v>2925</v>
      </c>
    </row>
    <row r="219" spans="1:13" hidden="1" x14ac:dyDescent="0.35">
      <c r="A219" t="s">
        <v>228</v>
      </c>
      <c r="B219" t="s">
        <v>2070</v>
      </c>
      <c r="C219" t="s">
        <v>2460</v>
      </c>
      <c r="D219" t="s">
        <v>2465</v>
      </c>
      <c r="E219" t="str">
        <f t="shared" si="6"/>
        <v>VERNIER</v>
      </c>
      <c r="F219" t="s">
        <v>2484</v>
      </c>
      <c r="G219">
        <v>6</v>
      </c>
      <c r="I219">
        <v>6</v>
      </c>
      <c r="J219">
        <v>7.5</v>
      </c>
      <c r="K219" s="9">
        <f t="shared" si="7"/>
        <v>45300</v>
      </c>
      <c r="L219" t="s">
        <v>2549</v>
      </c>
      <c r="M219" t="s">
        <v>2927</v>
      </c>
    </row>
    <row r="220" spans="1:13" hidden="1" x14ac:dyDescent="0.35">
      <c r="A220" t="s">
        <v>229</v>
      </c>
      <c r="B220" t="s">
        <v>2192</v>
      </c>
      <c r="C220" t="s">
        <v>2457</v>
      </c>
      <c r="D220" t="s">
        <v>2469</v>
      </c>
      <c r="E220" t="str">
        <f t="shared" si="6"/>
        <v>DORTMUND</v>
      </c>
      <c r="F220" t="s">
        <v>2484</v>
      </c>
      <c r="G220">
        <v>6.97</v>
      </c>
      <c r="I220">
        <v>6</v>
      </c>
      <c r="J220">
        <v>7.5</v>
      </c>
      <c r="K220" s="9">
        <f t="shared" si="7"/>
        <v>45661</v>
      </c>
      <c r="L220" t="s">
        <v>2612</v>
      </c>
      <c r="M220" t="s">
        <v>2928</v>
      </c>
    </row>
    <row r="221" spans="1:13" hidden="1" x14ac:dyDescent="0.35">
      <c r="A221" t="s">
        <v>230</v>
      </c>
      <c r="B221" t="s">
        <v>2193</v>
      </c>
      <c r="C221" t="s">
        <v>2460</v>
      </c>
      <c r="D221" t="s">
        <v>2467</v>
      </c>
      <c r="E221" t="str">
        <f t="shared" si="6"/>
        <v>ASHFORD</v>
      </c>
      <c r="F221" t="s">
        <v>2479</v>
      </c>
      <c r="G221">
        <v>54.84</v>
      </c>
      <c r="H221" t="s">
        <v>2486</v>
      </c>
      <c r="I221">
        <v>0</v>
      </c>
      <c r="J221">
        <v>120</v>
      </c>
      <c r="K221" s="9">
        <f t="shared" si="7"/>
        <v>45552</v>
      </c>
      <c r="L221" t="s">
        <v>2664</v>
      </c>
      <c r="M221" t="s">
        <v>2931</v>
      </c>
    </row>
    <row r="222" spans="1:13" hidden="1" x14ac:dyDescent="0.35">
      <c r="A222" t="s">
        <v>231</v>
      </c>
      <c r="B222" t="s">
        <v>2194</v>
      </c>
      <c r="C222" t="s">
        <v>2457</v>
      </c>
      <c r="D222" t="s">
        <v>2477</v>
      </c>
      <c r="E222" t="str">
        <f t="shared" si="6"/>
        <v>BUDAPEST</v>
      </c>
      <c r="F222" t="s">
        <v>2481</v>
      </c>
      <c r="G222">
        <v>200.64</v>
      </c>
      <c r="H222" t="s">
        <v>2488</v>
      </c>
      <c r="I222">
        <v>150</v>
      </c>
      <c r="J222">
        <v>400</v>
      </c>
      <c r="K222" s="9">
        <f t="shared" si="7"/>
        <v>45645</v>
      </c>
      <c r="L222" t="s">
        <v>2665</v>
      </c>
      <c r="M222" t="s">
        <v>2931</v>
      </c>
    </row>
    <row r="223" spans="1:13" hidden="1" x14ac:dyDescent="0.35">
      <c r="A223" t="s">
        <v>232</v>
      </c>
      <c r="B223" t="s">
        <v>2195</v>
      </c>
      <c r="C223" t="s">
        <v>2457</v>
      </c>
      <c r="D223" t="s">
        <v>2474</v>
      </c>
      <c r="E223" t="str">
        <f t="shared" si="6"/>
        <v>DORTMUND DE</v>
      </c>
      <c r="F223" t="s">
        <v>2485</v>
      </c>
      <c r="G223">
        <v>25.66</v>
      </c>
      <c r="H223" t="s">
        <v>2490</v>
      </c>
      <c r="I223">
        <v>0</v>
      </c>
      <c r="J223">
        <v>100</v>
      </c>
      <c r="K223" s="9">
        <f t="shared" si="7"/>
        <v>45588</v>
      </c>
      <c r="L223" t="s">
        <v>2666</v>
      </c>
      <c r="M223" t="s">
        <v>2930</v>
      </c>
    </row>
    <row r="224" spans="1:13" hidden="1" x14ac:dyDescent="0.35">
      <c r="A224" t="s">
        <v>233</v>
      </c>
      <c r="B224" t="s">
        <v>2117</v>
      </c>
      <c r="C224" t="s">
        <v>2457</v>
      </c>
      <c r="D224" t="s">
        <v>2467</v>
      </c>
      <c r="E224" t="str">
        <f t="shared" si="6"/>
        <v>ASHFORD</v>
      </c>
      <c r="F224" t="s">
        <v>2484</v>
      </c>
      <c r="G224">
        <v>7.14</v>
      </c>
      <c r="I224">
        <v>6</v>
      </c>
      <c r="J224">
        <v>7.5</v>
      </c>
      <c r="K224" s="9">
        <f t="shared" si="7"/>
        <v>45951</v>
      </c>
      <c r="L224" t="s">
        <v>2592</v>
      </c>
      <c r="M224" t="s">
        <v>2929</v>
      </c>
    </row>
    <row r="225" spans="1:13" hidden="1" x14ac:dyDescent="0.35">
      <c r="A225" t="s">
        <v>234</v>
      </c>
      <c r="B225" t="s">
        <v>2196</v>
      </c>
      <c r="C225" t="s">
        <v>2457</v>
      </c>
      <c r="D225" t="s">
        <v>2465</v>
      </c>
      <c r="E225" t="str">
        <f t="shared" si="6"/>
        <v>VERNIER</v>
      </c>
      <c r="F225" t="s">
        <v>2479</v>
      </c>
      <c r="G225">
        <v>80.89</v>
      </c>
      <c r="H225" t="s">
        <v>2486</v>
      </c>
      <c r="I225">
        <v>0</v>
      </c>
      <c r="J225">
        <v>120</v>
      </c>
      <c r="K225" s="9">
        <f t="shared" si="7"/>
        <v>45740</v>
      </c>
      <c r="L225" t="s">
        <v>2509</v>
      </c>
      <c r="M225" t="s">
        <v>2930</v>
      </c>
    </row>
    <row r="226" spans="1:13" hidden="1" x14ac:dyDescent="0.35">
      <c r="A226" t="s">
        <v>235</v>
      </c>
      <c r="B226" t="s">
        <v>2085</v>
      </c>
      <c r="C226" t="s">
        <v>2461</v>
      </c>
      <c r="D226" t="s">
        <v>2474</v>
      </c>
      <c r="E226" t="str">
        <f t="shared" si="6"/>
        <v>DORTMUND DE</v>
      </c>
      <c r="F226" t="s">
        <v>2484</v>
      </c>
      <c r="G226">
        <v>6.09</v>
      </c>
      <c r="I226">
        <v>6</v>
      </c>
      <c r="J226">
        <v>7.5</v>
      </c>
      <c r="K226" s="9">
        <f t="shared" si="7"/>
        <v>46008</v>
      </c>
      <c r="L226" t="s">
        <v>2497</v>
      </c>
      <c r="M226" t="s">
        <v>2928</v>
      </c>
    </row>
    <row r="227" spans="1:13" hidden="1" x14ac:dyDescent="0.35">
      <c r="A227" t="s">
        <v>236</v>
      </c>
      <c r="B227" t="s">
        <v>2197</v>
      </c>
      <c r="C227" t="s">
        <v>2459</v>
      </c>
      <c r="D227" t="s">
        <v>2464</v>
      </c>
      <c r="E227" t="str">
        <f t="shared" si="6"/>
        <v>EAST HANOVER</v>
      </c>
      <c r="F227" t="s">
        <v>2479</v>
      </c>
      <c r="G227">
        <v>1.84</v>
      </c>
      <c r="H227" t="s">
        <v>2486</v>
      </c>
      <c r="I227">
        <v>0</v>
      </c>
      <c r="J227">
        <v>120</v>
      </c>
      <c r="K227" s="9">
        <f t="shared" si="7"/>
        <v>45854</v>
      </c>
      <c r="L227" t="s">
        <v>2667</v>
      </c>
      <c r="M227" t="s">
        <v>2925</v>
      </c>
    </row>
    <row r="228" spans="1:13" hidden="1" x14ac:dyDescent="0.35">
      <c r="A228" t="s">
        <v>237</v>
      </c>
      <c r="B228" t="s">
        <v>2160</v>
      </c>
      <c r="C228" t="s">
        <v>2458</v>
      </c>
      <c r="D228" t="s">
        <v>2473</v>
      </c>
      <c r="E228" t="str">
        <f t="shared" si="6"/>
        <v>DORTMUND</v>
      </c>
      <c r="F228" t="s">
        <v>2482</v>
      </c>
      <c r="G228">
        <v>98.37</v>
      </c>
      <c r="H228" t="s">
        <v>2489</v>
      </c>
      <c r="I228">
        <v>97</v>
      </c>
      <c r="J228">
        <v>100</v>
      </c>
      <c r="K228" s="9">
        <f t="shared" si="7"/>
        <v>45476</v>
      </c>
      <c r="L228" t="s">
        <v>2621</v>
      </c>
      <c r="M228" t="s">
        <v>2932</v>
      </c>
    </row>
    <row r="229" spans="1:13" hidden="1" x14ac:dyDescent="0.35">
      <c r="A229" t="s">
        <v>238</v>
      </c>
      <c r="B229" t="s">
        <v>2149</v>
      </c>
      <c r="C229" t="s">
        <v>2458</v>
      </c>
      <c r="D229" t="s">
        <v>2465</v>
      </c>
      <c r="E229" t="str">
        <f t="shared" si="6"/>
        <v>VERNIER</v>
      </c>
      <c r="F229" t="s">
        <v>2483</v>
      </c>
      <c r="G229">
        <v>0.21</v>
      </c>
      <c r="H229" t="s">
        <v>2489</v>
      </c>
      <c r="I229">
        <v>0</v>
      </c>
      <c r="J229">
        <v>1</v>
      </c>
      <c r="K229" s="9">
        <f t="shared" si="7"/>
        <v>45916</v>
      </c>
      <c r="L229" t="s">
        <v>2624</v>
      </c>
      <c r="M229" t="s">
        <v>2925</v>
      </c>
    </row>
    <row r="230" spans="1:13" hidden="1" x14ac:dyDescent="0.35">
      <c r="A230" t="s">
        <v>239</v>
      </c>
      <c r="B230" t="s">
        <v>2070</v>
      </c>
      <c r="C230" t="s">
        <v>2460</v>
      </c>
      <c r="D230" t="s">
        <v>2472</v>
      </c>
      <c r="E230" t="str">
        <f t="shared" si="6"/>
        <v>VERNIER</v>
      </c>
      <c r="F230" t="s">
        <v>2485</v>
      </c>
      <c r="G230">
        <v>33.119999999999997</v>
      </c>
      <c r="H230" t="s">
        <v>2490</v>
      </c>
      <c r="I230">
        <v>0</v>
      </c>
      <c r="J230">
        <v>100</v>
      </c>
      <c r="K230" s="9">
        <f t="shared" si="7"/>
        <v>45300</v>
      </c>
      <c r="L230" t="s">
        <v>2668</v>
      </c>
      <c r="M230" t="s">
        <v>2932</v>
      </c>
    </row>
    <row r="231" spans="1:13" hidden="1" x14ac:dyDescent="0.35">
      <c r="A231" t="s">
        <v>240</v>
      </c>
      <c r="B231" t="s">
        <v>2123</v>
      </c>
      <c r="C231" t="s">
        <v>2457</v>
      </c>
      <c r="D231" t="s">
        <v>2473</v>
      </c>
      <c r="E231" t="str">
        <f t="shared" si="6"/>
        <v>DORTMUND</v>
      </c>
      <c r="F231" t="s">
        <v>2484</v>
      </c>
      <c r="G231">
        <v>6.71</v>
      </c>
      <c r="I231">
        <v>6</v>
      </c>
      <c r="J231">
        <v>7.5</v>
      </c>
      <c r="K231" s="9">
        <f t="shared" si="7"/>
        <v>45974</v>
      </c>
      <c r="L231" t="s">
        <v>2599</v>
      </c>
      <c r="M231" t="s">
        <v>2932</v>
      </c>
    </row>
    <row r="232" spans="1:13" hidden="1" x14ac:dyDescent="0.35">
      <c r="A232" t="s">
        <v>241</v>
      </c>
      <c r="B232" t="s">
        <v>2163</v>
      </c>
      <c r="C232" t="s">
        <v>2460</v>
      </c>
      <c r="D232" t="s">
        <v>2464</v>
      </c>
      <c r="E232" t="str">
        <f t="shared" si="6"/>
        <v>EAST HANOVER</v>
      </c>
      <c r="F232" t="s">
        <v>2480</v>
      </c>
      <c r="G232">
        <v>0.96</v>
      </c>
      <c r="H232" t="s">
        <v>2487</v>
      </c>
      <c r="I232">
        <v>0.88</v>
      </c>
      <c r="J232">
        <v>0.97</v>
      </c>
      <c r="K232" s="9">
        <f t="shared" si="7"/>
        <v>45698</v>
      </c>
      <c r="L232" t="s">
        <v>2636</v>
      </c>
      <c r="M232" t="s">
        <v>2925</v>
      </c>
    </row>
    <row r="233" spans="1:13" hidden="1" x14ac:dyDescent="0.35">
      <c r="A233" t="s">
        <v>242</v>
      </c>
      <c r="B233" t="s">
        <v>2198</v>
      </c>
      <c r="C233" t="s">
        <v>2459</v>
      </c>
      <c r="D233" t="s">
        <v>2464</v>
      </c>
      <c r="E233" t="str">
        <f t="shared" si="6"/>
        <v>EAST HANOVER</v>
      </c>
      <c r="F233" t="s">
        <v>2481</v>
      </c>
      <c r="G233">
        <v>196.59</v>
      </c>
      <c r="H233" t="s">
        <v>2488</v>
      </c>
      <c r="I233">
        <v>150</v>
      </c>
      <c r="J233">
        <v>400</v>
      </c>
      <c r="K233" s="9">
        <f t="shared" si="7"/>
        <v>45704</v>
      </c>
      <c r="L233" t="s">
        <v>2669</v>
      </c>
      <c r="M233" t="s">
        <v>2924</v>
      </c>
    </row>
    <row r="234" spans="1:13" hidden="1" x14ac:dyDescent="0.35">
      <c r="A234" t="s">
        <v>243</v>
      </c>
      <c r="B234" t="s">
        <v>2199</v>
      </c>
      <c r="C234" t="s">
        <v>2460</v>
      </c>
      <c r="D234" t="s">
        <v>2475</v>
      </c>
      <c r="E234" t="str">
        <f t="shared" si="6"/>
        <v>ASHFORD</v>
      </c>
      <c r="F234" t="s">
        <v>2480</v>
      </c>
      <c r="G234">
        <v>0.92</v>
      </c>
      <c r="H234" t="s">
        <v>2487</v>
      </c>
      <c r="I234">
        <v>0.88</v>
      </c>
      <c r="J234">
        <v>0.97</v>
      </c>
      <c r="K234" s="9">
        <f t="shared" si="7"/>
        <v>45413</v>
      </c>
      <c r="L234" t="s">
        <v>2578</v>
      </c>
      <c r="M234" t="s">
        <v>2925</v>
      </c>
    </row>
    <row r="235" spans="1:13" hidden="1" x14ac:dyDescent="0.35">
      <c r="A235" t="s">
        <v>244</v>
      </c>
      <c r="B235" t="s">
        <v>2197</v>
      </c>
      <c r="C235" t="s">
        <v>2459</v>
      </c>
      <c r="D235" t="s">
        <v>2464</v>
      </c>
      <c r="E235" t="str">
        <f t="shared" si="6"/>
        <v>EAST HANOVER</v>
      </c>
      <c r="F235" t="s">
        <v>2484</v>
      </c>
      <c r="G235">
        <v>6.95</v>
      </c>
      <c r="I235">
        <v>6</v>
      </c>
      <c r="J235">
        <v>7.5</v>
      </c>
      <c r="K235" s="9">
        <f t="shared" si="7"/>
        <v>45854</v>
      </c>
      <c r="L235" t="s">
        <v>2670</v>
      </c>
      <c r="M235" t="s">
        <v>2932</v>
      </c>
    </row>
    <row r="236" spans="1:13" hidden="1" x14ac:dyDescent="0.35">
      <c r="A236" t="s">
        <v>245</v>
      </c>
      <c r="B236" t="s">
        <v>2142</v>
      </c>
      <c r="C236" t="s">
        <v>2458</v>
      </c>
      <c r="D236" t="s">
        <v>2470</v>
      </c>
      <c r="E236" t="str">
        <f t="shared" si="6"/>
        <v>E. HANOVER</v>
      </c>
      <c r="F236" t="s">
        <v>2481</v>
      </c>
      <c r="G236">
        <v>224.25</v>
      </c>
      <c r="H236" t="s">
        <v>2488</v>
      </c>
      <c r="I236">
        <v>150</v>
      </c>
      <c r="J236">
        <v>400</v>
      </c>
      <c r="K236" s="9">
        <f t="shared" si="7"/>
        <v>45942</v>
      </c>
      <c r="L236" t="s">
        <v>2617</v>
      </c>
      <c r="M236" t="s">
        <v>2929</v>
      </c>
    </row>
    <row r="237" spans="1:13" hidden="1" x14ac:dyDescent="0.35">
      <c r="A237" t="s">
        <v>246</v>
      </c>
      <c r="B237" t="s">
        <v>2165</v>
      </c>
      <c r="C237" t="s">
        <v>2458</v>
      </c>
      <c r="D237" t="s">
        <v>2478</v>
      </c>
      <c r="E237" t="str">
        <f t="shared" si="6"/>
        <v>BUD</v>
      </c>
      <c r="F237" t="s">
        <v>2479</v>
      </c>
      <c r="G237">
        <v>33.9</v>
      </c>
      <c r="H237" t="s">
        <v>2486</v>
      </c>
      <c r="I237">
        <v>0</v>
      </c>
      <c r="J237">
        <v>120</v>
      </c>
      <c r="K237" s="9">
        <f t="shared" si="7"/>
        <v>45886</v>
      </c>
      <c r="L237" t="s">
        <v>2638</v>
      </c>
      <c r="M237" t="s">
        <v>2926</v>
      </c>
    </row>
    <row r="238" spans="1:13" hidden="1" x14ac:dyDescent="0.35">
      <c r="A238" t="s">
        <v>247</v>
      </c>
      <c r="B238" t="s">
        <v>2200</v>
      </c>
      <c r="C238" t="s">
        <v>2459</v>
      </c>
      <c r="D238" t="s">
        <v>2468</v>
      </c>
      <c r="E238" t="str">
        <f t="shared" si="6"/>
        <v>VERNIER CH</v>
      </c>
      <c r="F238" t="s">
        <v>2480</v>
      </c>
      <c r="G238">
        <v>0.9</v>
      </c>
      <c r="H238" t="s">
        <v>2487</v>
      </c>
      <c r="I238">
        <v>0.88</v>
      </c>
      <c r="J238">
        <v>0.97</v>
      </c>
      <c r="K238" s="9">
        <f t="shared" si="7"/>
        <v>45499</v>
      </c>
      <c r="L238" t="s">
        <v>2671</v>
      </c>
      <c r="M238" t="s">
        <v>2931</v>
      </c>
    </row>
    <row r="239" spans="1:13" hidden="1" x14ac:dyDescent="0.35">
      <c r="A239" t="s">
        <v>248</v>
      </c>
      <c r="B239" t="s">
        <v>2080</v>
      </c>
      <c r="C239" t="s">
        <v>2457</v>
      </c>
      <c r="D239" t="s">
        <v>2478</v>
      </c>
      <c r="E239" t="str">
        <f t="shared" si="6"/>
        <v>BUD</v>
      </c>
      <c r="F239" t="s">
        <v>2483</v>
      </c>
      <c r="G239">
        <v>0.44</v>
      </c>
      <c r="H239" t="s">
        <v>2489</v>
      </c>
      <c r="I239">
        <v>0</v>
      </c>
      <c r="J239">
        <v>1</v>
      </c>
      <c r="K239" s="9">
        <f t="shared" si="7"/>
        <v>45304</v>
      </c>
      <c r="L239" t="s">
        <v>2559</v>
      </c>
      <c r="M239" t="s">
        <v>2926</v>
      </c>
    </row>
    <row r="240" spans="1:13" hidden="1" x14ac:dyDescent="0.35">
      <c r="A240" t="s">
        <v>249</v>
      </c>
      <c r="B240" t="s">
        <v>2022</v>
      </c>
      <c r="C240" t="s">
        <v>2457</v>
      </c>
      <c r="D240" t="s">
        <v>2472</v>
      </c>
      <c r="E240" t="str">
        <f t="shared" si="6"/>
        <v>VERNIER</v>
      </c>
      <c r="F240" t="s">
        <v>2480</v>
      </c>
      <c r="G240">
        <v>0.92</v>
      </c>
      <c r="H240" t="s">
        <v>2487</v>
      </c>
      <c r="I240">
        <v>0.88</v>
      </c>
      <c r="J240">
        <v>0.97</v>
      </c>
      <c r="K240" s="9">
        <f t="shared" si="7"/>
        <v>45530</v>
      </c>
      <c r="L240" t="s">
        <v>2502</v>
      </c>
      <c r="M240" t="s">
        <v>2929</v>
      </c>
    </row>
    <row r="241" spans="1:13" hidden="1" x14ac:dyDescent="0.35">
      <c r="A241" t="s">
        <v>250</v>
      </c>
      <c r="B241" t="s">
        <v>2201</v>
      </c>
      <c r="C241" t="s">
        <v>2460</v>
      </c>
      <c r="D241" t="s">
        <v>2467</v>
      </c>
      <c r="E241" t="str">
        <f t="shared" si="6"/>
        <v>ASHFORD</v>
      </c>
      <c r="F241" t="s">
        <v>2479</v>
      </c>
      <c r="G241">
        <v>57.87</v>
      </c>
      <c r="H241" t="s">
        <v>2486</v>
      </c>
      <c r="I241">
        <v>0</v>
      </c>
      <c r="J241">
        <v>120</v>
      </c>
      <c r="K241" s="9">
        <f t="shared" si="7"/>
        <v>45947</v>
      </c>
      <c r="L241" t="s">
        <v>2672</v>
      </c>
      <c r="M241" t="s">
        <v>2926</v>
      </c>
    </row>
    <row r="242" spans="1:13" hidden="1" x14ac:dyDescent="0.35">
      <c r="A242" t="s">
        <v>251</v>
      </c>
      <c r="B242" t="s">
        <v>2189</v>
      </c>
      <c r="C242" t="s">
        <v>2461</v>
      </c>
      <c r="D242" t="s">
        <v>2476</v>
      </c>
      <c r="E242" t="str">
        <f t="shared" si="6"/>
        <v>BUDAPEST SITE</v>
      </c>
      <c r="F242" t="s">
        <v>2481</v>
      </c>
      <c r="G242">
        <v>231.86</v>
      </c>
      <c r="H242" t="s">
        <v>2488</v>
      </c>
      <c r="I242">
        <v>150</v>
      </c>
      <c r="J242">
        <v>400</v>
      </c>
      <c r="K242" s="9">
        <f t="shared" si="7"/>
        <v>45691</v>
      </c>
      <c r="L242" t="s">
        <v>2660</v>
      </c>
      <c r="M242" t="s">
        <v>2926</v>
      </c>
    </row>
    <row r="243" spans="1:13" hidden="1" x14ac:dyDescent="0.35">
      <c r="A243" t="s">
        <v>252</v>
      </c>
      <c r="B243" t="s">
        <v>2202</v>
      </c>
      <c r="C243" t="s">
        <v>2460</v>
      </c>
      <c r="D243" t="s">
        <v>2462</v>
      </c>
      <c r="E243" t="str">
        <f t="shared" si="6"/>
        <v>ASHFORD UK</v>
      </c>
      <c r="F243" t="s">
        <v>2485</v>
      </c>
      <c r="G243">
        <v>8.41</v>
      </c>
      <c r="H243" t="s">
        <v>2490</v>
      </c>
      <c r="I243">
        <v>0</v>
      </c>
      <c r="J243">
        <v>100</v>
      </c>
      <c r="K243" s="9">
        <f t="shared" si="7"/>
        <v>45393</v>
      </c>
      <c r="L243" t="s">
        <v>2632</v>
      </c>
      <c r="M243" t="s">
        <v>2926</v>
      </c>
    </row>
    <row r="244" spans="1:13" hidden="1" x14ac:dyDescent="0.35">
      <c r="A244" t="s">
        <v>253</v>
      </c>
      <c r="B244" t="s">
        <v>2203</v>
      </c>
      <c r="C244" t="s">
        <v>2458</v>
      </c>
      <c r="D244" t="s">
        <v>2469</v>
      </c>
      <c r="E244" t="str">
        <f t="shared" si="6"/>
        <v>DORTMUND</v>
      </c>
      <c r="F244" t="s">
        <v>2485</v>
      </c>
      <c r="G244">
        <v>-4.79</v>
      </c>
      <c r="H244" t="s">
        <v>2490</v>
      </c>
      <c r="I244">
        <v>0</v>
      </c>
      <c r="J244">
        <v>100</v>
      </c>
      <c r="K244" s="9">
        <f t="shared" si="7"/>
        <v>45911</v>
      </c>
      <c r="L244" t="s">
        <v>2673</v>
      </c>
      <c r="M244" t="s">
        <v>2925</v>
      </c>
    </row>
    <row r="245" spans="1:13" hidden="1" x14ac:dyDescent="0.35">
      <c r="A245" t="s">
        <v>254</v>
      </c>
      <c r="B245" t="s">
        <v>2204</v>
      </c>
      <c r="C245" t="s">
        <v>2460</v>
      </c>
      <c r="D245" t="s">
        <v>2465</v>
      </c>
      <c r="E245" t="str">
        <f t="shared" si="6"/>
        <v>VERNIER</v>
      </c>
      <c r="F245" t="s">
        <v>2485</v>
      </c>
      <c r="G245">
        <v>12.02</v>
      </c>
      <c r="H245" t="s">
        <v>2490</v>
      </c>
      <c r="I245">
        <v>0</v>
      </c>
      <c r="J245">
        <v>100</v>
      </c>
      <c r="K245" s="9">
        <f t="shared" si="7"/>
        <v>45445</v>
      </c>
      <c r="L245" t="s">
        <v>2628</v>
      </c>
      <c r="M245" t="s">
        <v>2929</v>
      </c>
    </row>
    <row r="246" spans="1:13" hidden="1" x14ac:dyDescent="0.35">
      <c r="A246" t="s">
        <v>255</v>
      </c>
      <c r="B246" t="s">
        <v>2205</v>
      </c>
      <c r="C246" t="s">
        <v>2457</v>
      </c>
      <c r="D246" t="s">
        <v>2468</v>
      </c>
      <c r="E246" t="str">
        <f t="shared" si="6"/>
        <v>VERNIER CH</v>
      </c>
      <c r="F246" t="s">
        <v>2480</v>
      </c>
      <c r="G246">
        <v>0.89</v>
      </c>
      <c r="H246" t="s">
        <v>2487</v>
      </c>
      <c r="I246">
        <v>0.88</v>
      </c>
      <c r="J246">
        <v>0.97</v>
      </c>
      <c r="K246" s="9">
        <f t="shared" si="7"/>
        <v>45661</v>
      </c>
      <c r="L246" t="s">
        <v>2612</v>
      </c>
      <c r="M246" t="s">
        <v>2932</v>
      </c>
    </row>
    <row r="247" spans="1:13" hidden="1" x14ac:dyDescent="0.35">
      <c r="A247" t="s">
        <v>256</v>
      </c>
      <c r="B247" t="s">
        <v>2206</v>
      </c>
      <c r="C247" t="s">
        <v>2458</v>
      </c>
      <c r="D247" t="s">
        <v>2474</v>
      </c>
      <c r="E247" t="str">
        <f t="shared" si="6"/>
        <v>DORTMUND DE</v>
      </c>
      <c r="F247" t="s">
        <v>2482</v>
      </c>
      <c r="G247">
        <v>98.81</v>
      </c>
      <c r="H247" t="s">
        <v>2489</v>
      </c>
      <c r="I247">
        <v>97</v>
      </c>
      <c r="J247">
        <v>100</v>
      </c>
      <c r="K247" s="9">
        <f t="shared" si="7"/>
        <v>45814</v>
      </c>
      <c r="L247" t="s">
        <v>2674</v>
      </c>
      <c r="M247" t="s">
        <v>2931</v>
      </c>
    </row>
    <row r="248" spans="1:13" hidden="1" x14ac:dyDescent="0.35">
      <c r="A248" t="s">
        <v>257</v>
      </c>
      <c r="B248" t="s">
        <v>2075</v>
      </c>
      <c r="C248" t="s">
        <v>2461</v>
      </c>
      <c r="D248" t="s">
        <v>2476</v>
      </c>
      <c r="E248" t="str">
        <f t="shared" si="6"/>
        <v>BUDAPEST SITE</v>
      </c>
      <c r="F248" t="s">
        <v>2481</v>
      </c>
      <c r="G248">
        <v>287.08</v>
      </c>
      <c r="H248" t="s">
        <v>2488</v>
      </c>
      <c r="I248">
        <v>150</v>
      </c>
      <c r="J248">
        <v>400</v>
      </c>
      <c r="K248" s="9">
        <f t="shared" si="7"/>
        <v>45686</v>
      </c>
      <c r="L248" t="s">
        <v>2554</v>
      </c>
      <c r="M248" t="s">
        <v>2927</v>
      </c>
    </row>
    <row r="249" spans="1:13" hidden="1" x14ac:dyDescent="0.35">
      <c r="A249" t="s">
        <v>258</v>
      </c>
      <c r="B249" t="s">
        <v>2207</v>
      </c>
      <c r="C249" t="s">
        <v>2460</v>
      </c>
      <c r="D249" t="s">
        <v>2478</v>
      </c>
      <c r="E249" t="str">
        <f t="shared" si="6"/>
        <v>BUD</v>
      </c>
      <c r="F249" t="s">
        <v>2479</v>
      </c>
      <c r="G249">
        <v>65.19</v>
      </c>
      <c r="H249" t="s">
        <v>2486</v>
      </c>
      <c r="I249">
        <v>0</v>
      </c>
      <c r="J249">
        <v>120</v>
      </c>
      <c r="K249" s="9">
        <f t="shared" si="7"/>
        <v>45736</v>
      </c>
      <c r="L249" t="s">
        <v>2675</v>
      </c>
      <c r="M249" t="s">
        <v>2929</v>
      </c>
    </row>
    <row r="250" spans="1:13" hidden="1" x14ac:dyDescent="0.35">
      <c r="A250" t="s">
        <v>259</v>
      </c>
      <c r="B250" t="s">
        <v>2016</v>
      </c>
      <c r="C250" t="s">
        <v>2458</v>
      </c>
      <c r="D250" t="s">
        <v>2462</v>
      </c>
      <c r="E250" t="str">
        <f t="shared" si="6"/>
        <v>ASHFORD UK</v>
      </c>
      <c r="F250" t="s">
        <v>2485</v>
      </c>
      <c r="G250">
        <v>57.12</v>
      </c>
      <c r="H250" t="s">
        <v>2490</v>
      </c>
      <c r="I250">
        <v>0</v>
      </c>
      <c r="J250">
        <v>100</v>
      </c>
      <c r="K250" s="9">
        <f t="shared" si="7"/>
        <v>45446</v>
      </c>
      <c r="L250" t="s">
        <v>2496</v>
      </c>
      <c r="M250" t="s">
        <v>2929</v>
      </c>
    </row>
    <row r="251" spans="1:13" hidden="1" x14ac:dyDescent="0.35">
      <c r="A251" t="s">
        <v>260</v>
      </c>
      <c r="B251" t="s">
        <v>2208</v>
      </c>
      <c r="C251" t="s">
        <v>2460</v>
      </c>
      <c r="D251" t="s">
        <v>2462</v>
      </c>
      <c r="E251" t="str">
        <f t="shared" si="6"/>
        <v>ASHFORD UK</v>
      </c>
      <c r="F251" t="s">
        <v>2484</v>
      </c>
      <c r="G251">
        <v>7.02</v>
      </c>
      <c r="I251">
        <v>6</v>
      </c>
      <c r="J251">
        <v>7.5</v>
      </c>
      <c r="K251" s="9">
        <f t="shared" si="7"/>
        <v>45505</v>
      </c>
      <c r="L251" t="s">
        <v>2676</v>
      </c>
      <c r="M251" t="s">
        <v>2927</v>
      </c>
    </row>
    <row r="252" spans="1:13" hidden="1" x14ac:dyDescent="0.35">
      <c r="A252" t="s">
        <v>261</v>
      </c>
      <c r="B252" t="s">
        <v>2209</v>
      </c>
      <c r="C252" t="s">
        <v>2458</v>
      </c>
      <c r="D252" t="s">
        <v>2462</v>
      </c>
      <c r="E252" t="str">
        <f t="shared" si="6"/>
        <v>ASHFORD UK</v>
      </c>
      <c r="F252" t="s">
        <v>2485</v>
      </c>
      <c r="G252">
        <v>-1.53</v>
      </c>
      <c r="H252" t="s">
        <v>2490</v>
      </c>
      <c r="I252">
        <v>0</v>
      </c>
      <c r="J252">
        <v>100</v>
      </c>
      <c r="K252" s="9">
        <f t="shared" si="7"/>
        <v>45673</v>
      </c>
      <c r="L252" t="s">
        <v>2677</v>
      </c>
      <c r="M252" t="s">
        <v>2932</v>
      </c>
    </row>
    <row r="253" spans="1:13" hidden="1" x14ac:dyDescent="0.35">
      <c r="A253" t="s">
        <v>262</v>
      </c>
      <c r="B253" t="s">
        <v>2210</v>
      </c>
      <c r="C253" t="s">
        <v>2457</v>
      </c>
      <c r="D253" t="s">
        <v>2478</v>
      </c>
      <c r="E253" t="str">
        <f t="shared" si="6"/>
        <v>BUD</v>
      </c>
      <c r="F253" t="s">
        <v>2480</v>
      </c>
      <c r="G253">
        <v>0.96</v>
      </c>
      <c r="H253" t="s">
        <v>2487</v>
      </c>
      <c r="I253">
        <v>0.88</v>
      </c>
      <c r="J253">
        <v>0.97</v>
      </c>
      <c r="K253" s="9">
        <f t="shared" si="7"/>
        <v>45960</v>
      </c>
      <c r="L253" t="s">
        <v>2678</v>
      </c>
      <c r="M253" t="s">
        <v>2930</v>
      </c>
    </row>
    <row r="254" spans="1:13" hidden="1" x14ac:dyDescent="0.35">
      <c r="A254" t="s">
        <v>263</v>
      </c>
      <c r="B254" t="s">
        <v>2211</v>
      </c>
      <c r="C254" t="s">
        <v>2457</v>
      </c>
      <c r="D254" t="s">
        <v>2476</v>
      </c>
      <c r="E254" t="str">
        <f t="shared" si="6"/>
        <v>BUDAPEST SITE</v>
      </c>
      <c r="F254" t="s">
        <v>2479</v>
      </c>
      <c r="G254">
        <v>66.290000000000006</v>
      </c>
      <c r="H254" t="s">
        <v>2486</v>
      </c>
      <c r="I254">
        <v>0</v>
      </c>
      <c r="J254">
        <v>120</v>
      </c>
      <c r="K254" s="9">
        <f t="shared" si="7"/>
        <v>45540</v>
      </c>
      <c r="L254" t="s">
        <v>2618</v>
      </c>
      <c r="M254" t="s">
        <v>2926</v>
      </c>
    </row>
    <row r="255" spans="1:13" hidden="1" x14ac:dyDescent="0.35">
      <c r="A255" t="s">
        <v>264</v>
      </c>
      <c r="B255" t="s">
        <v>2212</v>
      </c>
      <c r="C255" t="s">
        <v>2460</v>
      </c>
      <c r="D255" t="s">
        <v>2462</v>
      </c>
      <c r="E255" t="str">
        <f t="shared" si="6"/>
        <v>ASHFORD UK</v>
      </c>
      <c r="F255" t="s">
        <v>2480</v>
      </c>
      <c r="G255">
        <v>0.96</v>
      </c>
      <c r="H255" t="s">
        <v>2487</v>
      </c>
      <c r="I255">
        <v>0.88</v>
      </c>
      <c r="J255">
        <v>0.97</v>
      </c>
      <c r="K255" s="9">
        <f t="shared" si="7"/>
        <v>45449</v>
      </c>
      <c r="L255" t="s">
        <v>2679</v>
      </c>
      <c r="M255" t="s">
        <v>2932</v>
      </c>
    </row>
    <row r="256" spans="1:13" hidden="1" x14ac:dyDescent="0.35">
      <c r="A256" t="s">
        <v>265</v>
      </c>
      <c r="B256" t="s">
        <v>2213</v>
      </c>
      <c r="C256" t="s">
        <v>2457</v>
      </c>
      <c r="D256" t="s">
        <v>2462</v>
      </c>
      <c r="E256" t="str">
        <f t="shared" si="6"/>
        <v>ASHFORD UK</v>
      </c>
      <c r="F256" t="s">
        <v>2481</v>
      </c>
      <c r="G256">
        <v>279.74</v>
      </c>
      <c r="H256" t="s">
        <v>2488</v>
      </c>
      <c r="I256">
        <v>150</v>
      </c>
      <c r="J256">
        <v>400</v>
      </c>
      <c r="K256" s="9">
        <f t="shared" si="7"/>
        <v>45724</v>
      </c>
      <c r="L256" t="s">
        <v>2680</v>
      </c>
      <c r="M256" t="s">
        <v>2928</v>
      </c>
    </row>
    <row r="257" spans="1:13" hidden="1" x14ac:dyDescent="0.35">
      <c r="A257" t="s">
        <v>266</v>
      </c>
      <c r="B257" t="s">
        <v>2214</v>
      </c>
      <c r="C257" t="s">
        <v>2457</v>
      </c>
      <c r="D257" t="s">
        <v>2467</v>
      </c>
      <c r="E257" t="str">
        <f t="shared" si="6"/>
        <v>ASHFORD</v>
      </c>
      <c r="F257" t="s">
        <v>2480</v>
      </c>
      <c r="G257">
        <v>0.92</v>
      </c>
      <c r="H257" t="s">
        <v>2487</v>
      </c>
      <c r="I257">
        <v>0.88</v>
      </c>
      <c r="J257">
        <v>0.97</v>
      </c>
      <c r="K257" s="9">
        <f t="shared" si="7"/>
        <v>45791</v>
      </c>
      <c r="L257" t="s">
        <v>2681</v>
      </c>
      <c r="M257" t="s">
        <v>2928</v>
      </c>
    </row>
    <row r="258" spans="1:13" hidden="1" x14ac:dyDescent="0.35">
      <c r="A258" t="s">
        <v>267</v>
      </c>
      <c r="B258" t="s">
        <v>2215</v>
      </c>
      <c r="C258" t="s">
        <v>2459</v>
      </c>
      <c r="D258" t="s">
        <v>2470</v>
      </c>
      <c r="E258" t="str">
        <f t="shared" si="6"/>
        <v>E. HANOVER</v>
      </c>
      <c r="F258" t="s">
        <v>2479</v>
      </c>
      <c r="G258">
        <v>15.11</v>
      </c>
      <c r="H258" t="s">
        <v>2486</v>
      </c>
      <c r="I258">
        <v>0</v>
      </c>
      <c r="J258">
        <v>120</v>
      </c>
      <c r="K258" s="9">
        <f t="shared" si="7"/>
        <v>45945</v>
      </c>
      <c r="L258" t="s">
        <v>2682</v>
      </c>
      <c r="M258" t="s">
        <v>2928</v>
      </c>
    </row>
    <row r="259" spans="1:13" hidden="1" x14ac:dyDescent="0.35">
      <c r="A259" t="s">
        <v>268</v>
      </c>
      <c r="B259" t="s">
        <v>2053</v>
      </c>
      <c r="C259" t="s">
        <v>2460</v>
      </c>
      <c r="D259" t="s">
        <v>2470</v>
      </c>
      <c r="E259" t="str">
        <f t="shared" ref="E259:E322" si="8">UPPER(D259)</f>
        <v>E. HANOVER</v>
      </c>
      <c r="F259" t="s">
        <v>2481</v>
      </c>
      <c r="G259">
        <v>281.07</v>
      </c>
      <c r="H259" t="s">
        <v>2488</v>
      </c>
      <c r="I259">
        <v>150</v>
      </c>
      <c r="J259">
        <v>400</v>
      </c>
      <c r="K259" s="9">
        <f t="shared" ref="K259:K322" si="9">IF(L259="","",
IF(MID(L259,5,1)="-",
DATE(LEFT(L259,4),MID(L259,6,2),RIGHT(L259,2)),
DATE(RIGHT(L259,4),MID(L259,4,2),LEFT(L259,2))
))</f>
        <v>45703</v>
      </c>
      <c r="L259" t="s">
        <v>2532</v>
      </c>
      <c r="M259" t="s">
        <v>2928</v>
      </c>
    </row>
    <row r="260" spans="1:13" hidden="1" x14ac:dyDescent="0.35">
      <c r="A260" t="s">
        <v>269</v>
      </c>
      <c r="B260" t="s">
        <v>2216</v>
      </c>
      <c r="C260" t="s">
        <v>2458</v>
      </c>
      <c r="D260" t="s">
        <v>2469</v>
      </c>
      <c r="E260" t="str">
        <f t="shared" si="8"/>
        <v>DORTMUND</v>
      </c>
      <c r="F260" t="s">
        <v>2484</v>
      </c>
      <c r="G260">
        <v>7.02</v>
      </c>
      <c r="I260">
        <v>6</v>
      </c>
      <c r="J260">
        <v>7.5</v>
      </c>
      <c r="K260" s="9">
        <f t="shared" si="9"/>
        <v>45873</v>
      </c>
      <c r="L260" t="s">
        <v>2683</v>
      </c>
      <c r="M260" t="s">
        <v>2929</v>
      </c>
    </row>
    <row r="261" spans="1:13" hidden="1" x14ac:dyDescent="0.35">
      <c r="A261" t="s">
        <v>270</v>
      </c>
      <c r="B261" t="s">
        <v>2130</v>
      </c>
      <c r="C261" t="s">
        <v>2457</v>
      </c>
      <c r="D261" t="s">
        <v>2470</v>
      </c>
      <c r="E261" t="str">
        <f t="shared" si="8"/>
        <v>E. HANOVER</v>
      </c>
      <c r="F261" t="s">
        <v>2481</v>
      </c>
      <c r="G261">
        <v>233.74</v>
      </c>
      <c r="H261" t="s">
        <v>2488</v>
      </c>
      <c r="I261">
        <v>150</v>
      </c>
      <c r="J261">
        <v>400</v>
      </c>
      <c r="K261" s="9">
        <f t="shared" si="9"/>
        <v>45943</v>
      </c>
      <c r="L261" t="s">
        <v>2606</v>
      </c>
      <c r="M261" t="s">
        <v>2932</v>
      </c>
    </row>
    <row r="262" spans="1:13" hidden="1" x14ac:dyDescent="0.35">
      <c r="A262" t="s">
        <v>271</v>
      </c>
      <c r="B262" t="s">
        <v>2125</v>
      </c>
      <c r="C262" t="s">
        <v>2460</v>
      </c>
      <c r="D262" t="s">
        <v>2476</v>
      </c>
      <c r="E262" t="str">
        <f t="shared" si="8"/>
        <v>BUDAPEST SITE</v>
      </c>
      <c r="F262" t="s">
        <v>2481</v>
      </c>
      <c r="G262">
        <v>288.73</v>
      </c>
      <c r="H262" t="s">
        <v>2488</v>
      </c>
      <c r="I262">
        <v>150</v>
      </c>
      <c r="J262">
        <v>400</v>
      </c>
      <c r="K262" s="9">
        <f t="shared" si="9"/>
        <v>45544</v>
      </c>
      <c r="L262" t="s">
        <v>2551</v>
      </c>
      <c r="M262" t="s">
        <v>2932</v>
      </c>
    </row>
    <row r="263" spans="1:13" hidden="1" x14ac:dyDescent="0.35">
      <c r="A263" t="s">
        <v>272</v>
      </c>
      <c r="B263" t="s">
        <v>2217</v>
      </c>
      <c r="C263" t="s">
        <v>2458</v>
      </c>
      <c r="D263" t="s">
        <v>2471</v>
      </c>
      <c r="E263" t="str">
        <f t="shared" si="8"/>
        <v>BUDAPEST</v>
      </c>
      <c r="F263" t="s">
        <v>2482</v>
      </c>
      <c r="G263">
        <v>101.8</v>
      </c>
      <c r="H263" t="s">
        <v>2489</v>
      </c>
      <c r="I263">
        <v>97</v>
      </c>
      <c r="J263">
        <v>100</v>
      </c>
      <c r="K263" s="9">
        <f t="shared" si="9"/>
        <v>45368</v>
      </c>
      <c r="L263" t="s">
        <v>2684</v>
      </c>
      <c r="M263" t="s">
        <v>2931</v>
      </c>
    </row>
    <row r="264" spans="1:13" hidden="1" x14ac:dyDescent="0.35">
      <c r="A264" t="s">
        <v>273</v>
      </c>
      <c r="B264" t="s">
        <v>2098</v>
      </c>
      <c r="C264" t="s">
        <v>2460</v>
      </c>
      <c r="D264" t="s">
        <v>2464</v>
      </c>
      <c r="E264" t="str">
        <f t="shared" si="8"/>
        <v>EAST HANOVER</v>
      </c>
      <c r="F264" t="s">
        <v>2484</v>
      </c>
      <c r="G264">
        <v>7.17</v>
      </c>
      <c r="I264">
        <v>6</v>
      </c>
      <c r="J264">
        <v>7.5</v>
      </c>
      <c r="K264" s="9">
        <f t="shared" si="9"/>
        <v>45460</v>
      </c>
      <c r="L264" t="s">
        <v>2576</v>
      </c>
      <c r="M264" t="s">
        <v>2929</v>
      </c>
    </row>
    <row r="265" spans="1:13" hidden="1" x14ac:dyDescent="0.35">
      <c r="A265" t="s">
        <v>274</v>
      </c>
      <c r="B265" t="s">
        <v>2218</v>
      </c>
      <c r="C265" t="s">
        <v>2457</v>
      </c>
      <c r="D265" t="s">
        <v>2469</v>
      </c>
      <c r="E265" t="str">
        <f t="shared" si="8"/>
        <v>DORTMUND</v>
      </c>
      <c r="F265" t="s">
        <v>2482</v>
      </c>
      <c r="G265">
        <v>98.64</v>
      </c>
      <c r="H265" t="s">
        <v>2489</v>
      </c>
      <c r="I265">
        <v>97</v>
      </c>
      <c r="J265">
        <v>100</v>
      </c>
      <c r="K265" s="9">
        <f t="shared" si="9"/>
        <v>45621</v>
      </c>
      <c r="L265" t="s">
        <v>2685</v>
      </c>
      <c r="M265" t="s">
        <v>2930</v>
      </c>
    </row>
    <row r="266" spans="1:13" hidden="1" x14ac:dyDescent="0.35">
      <c r="A266" t="s">
        <v>275</v>
      </c>
      <c r="B266" t="s">
        <v>2219</v>
      </c>
      <c r="C266" t="s">
        <v>2460</v>
      </c>
      <c r="D266" t="s">
        <v>2470</v>
      </c>
      <c r="E266" t="str">
        <f t="shared" si="8"/>
        <v>E. HANOVER</v>
      </c>
      <c r="F266" t="s">
        <v>2485</v>
      </c>
      <c r="G266">
        <v>-27.79</v>
      </c>
      <c r="H266" t="s">
        <v>2490</v>
      </c>
      <c r="I266">
        <v>0</v>
      </c>
      <c r="J266">
        <v>100</v>
      </c>
      <c r="K266" s="9">
        <f t="shared" si="9"/>
        <v>45626</v>
      </c>
      <c r="L266" t="s">
        <v>2686</v>
      </c>
      <c r="M266" t="s">
        <v>2925</v>
      </c>
    </row>
    <row r="267" spans="1:13" hidden="1" x14ac:dyDescent="0.35">
      <c r="A267" t="s">
        <v>276</v>
      </c>
      <c r="B267" t="s">
        <v>2102</v>
      </c>
      <c r="C267" t="s">
        <v>2461</v>
      </c>
      <c r="D267" t="s">
        <v>2463</v>
      </c>
      <c r="E267" t="str">
        <f t="shared" si="8"/>
        <v>VERNIER</v>
      </c>
      <c r="F267" t="s">
        <v>2483</v>
      </c>
      <c r="G267">
        <v>0.36</v>
      </c>
      <c r="H267" t="s">
        <v>2489</v>
      </c>
      <c r="I267">
        <v>0</v>
      </c>
      <c r="J267">
        <v>1</v>
      </c>
      <c r="K267" s="9">
        <f t="shared" si="9"/>
        <v>45959</v>
      </c>
      <c r="L267" t="s">
        <v>2580</v>
      </c>
      <c r="M267" t="s">
        <v>2929</v>
      </c>
    </row>
    <row r="268" spans="1:13" hidden="1" x14ac:dyDescent="0.35">
      <c r="A268" t="s">
        <v>277</v>
      </c>
      <c r="B268" t="s">
        <v>2220</v>
      </c>
      <c r="C268" t="s">
        <v>2457</v>
      </c>
      <c r="D268" t="s">
        <v>2472</v>
      </c>
      <c r="E268" t="str">
        <f t="shared" si="8"/>
        <v>VERNIER</v>
      </c>
      <c r="F268" t="s">
        <v>2482</v>
      </c>
      <c r="G268">
        <v>98.05</v>
      </c>
      <c r="H268" t="s">
        <v>2489</v>
      </c>
      <c r="I268">
        <v>97</v>
      </c>
      <c r="J268">
        <v>100</v>
      </c>
      <c r="K268" s="9">
        <f t="shared" si="9"/>
        <v>45889</v>
      </c>
      <c r="L268" t="s">
        <v>2570</v>
      </c>
      <c r="M268" t="s">
        <v>2924</v>
      </c>
    </row>
    <row r="269" spans="1:13" hidden="1" x14ac:dyDescent="0.35">
      <c r="A269" t="s">
        <v>278</v>
      </c>
      <c r="B269" t="s">
        <v>2221</v>
      </c>
      <c r="C269" t="s">
        <v>2458</v>
      </c>
      <c r="D269" t="s">
        <v>2469</v>
      </c>
      <c r="E269" t="str">
        <f t="shared" si="8"/>
        <v>DORTMUND</v>
      </c>
      <c r="F269" t="s">
        <v>2482</v>
      </c>
      <c r="G269">
        <v>98.6</v>
      </c>
      <c r="H269" t="s">
        <v>2489</v>
      </c>
      <c r="I269">
        <v>97</v>
      </c>
      <c r="J269">
        <v>100</v>
      </c>
      <c r="K269" s="9">
        <f t="shared" si="9"/>
        <v>45520</v>
      </c>
      <c r="L269" t="s">
        <v>2649</v>
      </c>
      <c r="M269" t="s">
        <v>2924</v>
      </c>
    </row>
    <row r="270" spans="1:13" hidden="1" x14ac:dyDescent="0.35">
      <c r="A270" t="s">
        <v>279</v>
      </c>
      <c r="B270" t="s">
        <v>2222</v>
      </c>
      <c r="C270" t="s">
        <v>2459</v>
      </c>
      <c r="D270" t="s">
        <v>2462</v>
      </c>
      <c r="E270" t="str">
        <f t="shared" si="8"/>
        <v>ASHFORD UK</v>
      </c>
      <c r="F270" t="s">
        <v>2483</v>
      </c>
      <c r="G270">
        <v>0.22</v>
      </c>
      <c r="H270" t="s">
        <v>2489</v>
      </c>
      <c r="I270">
        <v>0</v>
      </c>
      <c r="J270">
        <v>1</v>
      </c>
      <c r="K270" s="9">
        <f t="shared" si="9"/>
        <v>45317</v>
      </c>
      <c r="L270" t="s">
        <v>2687</v>
      </c>
      <c r="M270" t="s">
        <v>2926</v>
      </c>
    </row>
    <row r="271" spans="1:13" hidden="1" x14ac:dyDescent="0.35">
      <c r="A271" t="s">
        <v>280</v>
      </c>
      <c r="B271" t="s">
        <v>2223</v>
      </c>
      <c r="C271" t="s">
        <v>2458</v>
      </c>
      <c r="D271" t="s">
        <v>2464</v>
      </c>
      <c r="E271" t="str">
        <f t="shared" si="8"/>
        <v>EAST HANOVER</v>
      </c>
      <c r="F271" t="s">
        <v>2480</v>
      </c>
      <c r="G271">
        <v>0.85</v>
      </c>
      <c r="H271" t="s">
        <v>2487</v>
      </c>
      <c r="I271">
        <v>0.88</v>
      </c>
      <c r="J271">
        <v>0.97</v>
      </c>
      <c r="K271" s="9">
        <f t="shared" si="9"/>
        <v>45496</v>
      </c>
      <c r="L271" t="s">
        <v>2688</v>
      </c>
      <c r="M271" t="s">
        <v>2927</v>
      </c>
    </row>
    <row r="272" spans="1:13" hidden="1" x14ac:dyDescent="0.35">
      <c r="A272" t="s">
        <v>281</v>
      </c>
      <c r="B272" t="s">
        <v>2136</v>
      </c>
      <c r="C272" t="s">
        <v>2458</v>
      </c>
      <c r="D272" t="s">
        <v>2474</v>
      </c>
      <c r="E272" t="str">
        <f t="shared" si="8"/>
        <v>DORTMUND DE</v>
      </c>
      <c r="F272" t="s">
        <v>2480</v>
      </c>
      <c r="G272">
        <v>0.94</v>
      </c>
      <c r="H272" t="s">
        <v>2487</v>
      </c>
      <c r="I272">
        <v>0.88</v>
      </c>
      <c r="J272">
        <v>0.97</v>
      </c>
      <c r="K272" s="9">
        <f t="shared" si="9"/>
        <v>45534</v>
      </c>
      <c r="L272" t="s">
        <v>2568</v>
      </c>
      <c r="M272" t="s">
        <v>2926</v>
      </c>
    </row>
    <row r="273" spans="1:13" hidden="1" x14ac:dyDescent="0.35">
      <c r="A273" t="s">
        <v>282</v>
      </c>
      <c r="B273" t="s">
        <v>2202</v>
      </c>
      <c r="C273" t="s">
        <v>2460</v>
      </c>
      <c r="D273" t="s">
        <v>2475</v>
      </c>
      <c r="E273" t="str">
        <f t="shared" si="8"/>
        <v>ASHFORD</v>
      </c>
      <c r="F273" t="s">
        <v>2481</v>
      </c>
      <c r="G273">
        <v>271.87</v>
      </c>
      <c r="H273" t="s">
        <v>2488</v>
      </c>
      <c r="I273">
        <v>150</v>
      </c>
      <c r="J273">
        <v>400</v>
      </c>
      <c r="K273" s="9">
        <f t="shared" si="9"/>
        <v>45393</v>
      </c>
      <c r="L273" t="s">
        <v>2632</v>
      </c>
      <c r="M273" t="s">
        <v>2925</v>
      </c>
    </row>
    <row r="274" spans="1:13" hidden="1" x14ac:dyDescent="0.35">
      <c r="A274" t="s">
        <v>283</v>
      </c>
      <c r="B274" t="s">
        <v>2224</v>
      </c>
      <c r="C274" t="s">
        <v>2460</v>
      </c>
      <c r="D274" t="s">
        <v>2470</v>
      </c>
      <c r="E274" t="str">
        <f t="shared" si="8"/>
        <v>E. HANOVER</v>
      </c>
      <c r="F274" t="s">
        <v>2482</v>
      </c>
      <c r="G274">
        <v>98.09</v>
      </c>
      <c r="H274" t="s">
        <v>2489</v>
      </c>
      <c r="I274">
        <v>97</v>
      </c>
      <c r="J274">
        <v>100</v>
      </c>
      <c r="K274" s="9">
        <f t="shared" si="9"/>
        <v>45831</v>
      </c>
      <c r="L274" t="s">
        <v>2540</v>
      </c>
      <c r="M274" t="s">
        <v>2927</v>
      </c>
    </row>
    <row r="275" spans="1:13" hidden="1" x14ac:dyDescent="0.35">
      <c r="A275" t="s">
        <v>284</v>
      </c>
      <c r="B275" t="s">
        <v>2031</v>
      </c>
      <c r="C275" t="s">
        <v>2459</v>
      </c>
      <c r="D275" t="s">
        <v>2473</v>
      </c>
      <c r="E275" t="str">
        <f t="shared" si="8"/>
        <v>DORTMUND</v>
      </c>
      <c r="F275" t="s">
        <v>2483</v>
      </c>
      <c r="G275">
        <v>0.11</v>
      </c>
      <c r="H275" t="s">
        <v>2489</v>
      </c>
      <c r="I275">
        <v>0</v>
      </c>
      <c r="J275">
        <v>1</v>
      </c>
      <c r="K275" s="9">
        <f t="shared" si="9"/>
        <v>45887</v>
      </c>
      <c r="L275" t="s">
        <v>2511</v>
      </c>
      <c r="M275" t="s">
        <v>2931</v>
      </c>
    </row>
    <row r="276" spans="1:13" hidden="1" x14ac:dyDescent="0.35">
      <c r="A276" t="s">
        <v>285</v>
      </c>
      <c r="B276" t="s">
        <v>2155</v>
      </c>
      <c r="C276" t="s">
        <v>2461</v>
      </c>
      <c r="D276" t="s">
        <v>2469</v>
      </c>
      <c r="E276" t="str">
        <f t="shared" si="8"/>
        <v>DORTMUND</v>
      </c>
      <c r="F276" t="s">
        <v>2484</v>
      </c>
      <c r="G276">
        <v>6.87</v>
      </c>
      <c r="I276">
        <v>6</v>
      </c>
      <c r="J276">
        <v>7.5</v>
      </c>
      <c r="K276" s="9">
        <f t="shared" si="9"/>
        <v>45358</v>
      </c>
      <c r="L276" t="s">
        <v>2582</v>
      </c>
      <c r="M276" t="s">
        <v>2923</v>
      </c>
    </row>
    <row r="277" spans="1:13" hidden="1" x14ac:dyDescent="0.35">
      <c r="A277" t="s">
        <v>286</v>
      </c>
      <c r="B277" t="s">
        <v>2225</v>
      </c>
      <c r="C277" t="s">
        <v>2458</v>
      </c>
      <c r="D277" t="s">
        <v>2465</v>
      </c>
      <c r="E277" t="str">
        <f t="shared" si="8"/>
        <v>VERNIER</v>
      </c>
      <c r="F277" t="s">
        <v>2481</v>
      </c>
      <c r="G277">
        <v>214.25</v>
      </c>
      <c r="H277" t="s">
        <v>2488</v>
      </c>
      <c r="I277">
        <v>150</v>
      </c>
      <c r="J277">
        <v>400</v>
      </c>
      <c r="K277" s="9">
        <f t="shared" si="9"/>
        <v>45516</v>
      </c>
      <c r="L277" t="s">
        <v>2689</v>
      </c>
      <c r="M277" t="s">
        <v>2924</v>
      </c>
    </row>
    <row r="278" spans="1:13" hidden="1" x14ac:dyDescent="0.35">
      <c r="A278" t="s">
        <v>287</v>
      </c>
      <c r="B278" t="s">
        <v>2226</v>
      </c>
      <c r="C278" t="s">
        <v>2457</v>
      </c>
      <c r="D278" t="s">
        <v>2478</v>
      </c>
      <c r="E278" t="str">
        <f t="shared" si="8"/>
        <v>BUD</v>
      </c>
      <c r="F278" t="s">
        <v>2480</v>
      </c>
      <c r="G278">
        <v>0.91</v>
      </c>
      <c r="H278" t="s">
        <v>2487</v>
      </c>
      <c r="I278">
        <v>0.88</v>
      </c>
      <c r="J278">
        <v>0.97</v>
      </c>
      <c r="K278" s="9">
        <f t="shared" si="9"/>
        <v>45595</v>
      </c>
      <c r="L278" t="s">
        <v>2631</v>
      </c>
      <c r="M278" t="s">
        <v>2929</v>
      </c>
    </row>
    <row r="279" spans="1:13" hidden="1" x14ac:dyDescent="0.35">
      <c r="A279" t="s">
        <v>288</v>
      </c>
      <c r="B279" t="s">
        <v>2206</v>
      </c>
      <c r="C279" t="s">
        <v>2458</v>
      </c>
      <c r="D279" t="s">
        <v>2469</v>
      </c>
      <c r="E279" t="str">
        <f t="shared" si="8"/>
        <v>DORTMUND</v>
      </c>
      <c r="F279" t="s">
        <v>2485</v>
      </c>
      <c r="G279">
        <v>28.63</v>
      </c>
      <c r="H279" t="s">
        <v>2490</v>
      </c>
      <c r="I279">
        <v>0</v>
      </c>
      <c r="J279">
        <v>100</v>
      </c>
      <c r="K279" s="9">
        <f t="shared" si="9"/>
        <v>45814</v>
      </c>
      <c r="L279" t="s">
        <v>2674</v>
      </c>
      <c r="M279" t="s">
        <v>2923</v>
      </c>
    </row>
    <row r="280" spans="1:13" hidden="1" x14ac:dyDescent="0.35">
      <c r="A280" t="s">
        <v>289</v>
      </c>
      <c r="B280" t="s">
        <v>2046</v>
      </c>
      <c r="C280" t="s">
        <v>2457</v>
      </c>
      <c r="D280" t="s">
        <v>2469</v>
      </c>
      <c r="E280" t="str">
        <f t="shared" si="8"/>
        <v>DORTMUND</v>
      </c>
      <c r="F280" t="s">
        <v>2483</v>
      </c>
      <c r="G280">
        <v>-0.45</v>
      </c>
      <c r="H280" t="s">
        <v>2489</v>
      </c>
      <c r="I280">
        <v>0</v>
      </c>
      <c r="J280">
        <v>1</v>
      </c>
      <c r="K280" s="9">
        <f t="shared" si="9"/>
        <v>45739</v>
      </c>
      <c r="L280" t="s">
        <v>2525</v>
      </c>
      <c r="M280" t="s">
        <v>2932</v>
      </c>
    </row>
    <row r="281" spans="1:13" hidden="1" x14ac:dyDescent="0.35">
      <c r="A281" t="s">
        <v>290</v>
      </c>
      <c r="B281" t="s">
        <v>2073</v>
      </c>
      <c r="C281" t="s">
        <v>2457</v>
      </c>
      <c r="D281" t="s">
        <v>2469</v>
      </c>
      <c r="E281" t="str">
        <f t="shared" si="8"/>
        <v>DORTMUND</v>
      </c>
      <c r="F281" t="s">
        <v>2485</v>
      </c>
      <c r="G281">
        <v>41.59</v>
      </c>
      <c r="H281" t="s">
        <v>2490</v>
      </c>
      <c r="I281">
        <v>0</v>
      </c>
      <c r="J281">
        <v>100</v>
      </c>
      <c r="K281" s="9">
        <f t="shared" si="9"/>
        <v>45638</v>
      </c>
      <c r="L281" t="s">
        <v>2552</v>
      </c>
      <c r="M281" t="s">
        <v>2923</v>
      </c>
    </row>
    <row r="282" spans="1:13" hidden="1" x14ac:dyDescent="0.35">
      <c r="A282" t="s">
        <v>291</v>
      </c>
      <c r="B282" t="s">
        <v>2194</v>
      </c>
      <c r="C282" t="s">
        <v>2457</v>
      </c>
      <c r="D282" t="s">
        <v>2477</v>
      </c>
      <c r="E282" t="str">
        <f t="shared" si="8"/>
        <v>BUDAPEST</v>
      </c>
      <c r="F282" t="s">
        <v>2479</v>
      </c>
      <c r="G282">
        <v>12.08</v>
      </c>
      <c r="H282" t="s">
        <v>2486</v>
      </c>
      <c r="I282">
        <v>0</v>
      </c>
      <c r="J282">
        <v>120</v>
      </c>
      <c r="K282" s="9">
        <f t="shared" si="9"/>
        <v>45645</v>
      </c>
      <c r="L282" t="s">
        <v>2665</v>
      </c>
      <c r="M282" t="s">
        <v>2928</v>
      </c>
    </row>
    <row r="283" spans="1:13" hidden="1" x14ac:dyDescent="0.35">
      <c r="A283" t="s">
        <v>292</v>
      </c>
      <c r="B283" t="s">
        <v>2227</v>
      </c>
      <c r="C283" t="s">
        <v>2457</v>
      </c>
      <c r="D283" t="s">
        <v>2469</v>
      </c>
      <c r="E283" t="str">
        <f t="shared" si="8"/>
        <v>DORTMUND</v>
      </c>
      <c r="F283" t="s">
        <v>2479</v>
      </c>
      <c r="G283">
        <v>23.45</v>
      </c>
      <c r="H283" t="s">
        <v>2486</v>
      </c>
      <c r="I283">
        <v>0</v>
      </c>
      <c r="J283">
        <v>120</v>
      </c>
      <c r="K283" s="9">
        <f t="shared" si="9"/>
        <v>45635</v>
      </c>
      <c r="L283" t="s">
        <v>2619</v>
      </c>
      <c r="M283" t="s">
        <v>2930</v>
      </c>
    </row>
    <row r="284" spans="1:13" hidden="1" x14ac:dyDescent="0.35">
      <c r="A284" t="s">
        <v>293</v>
      </c>
      <c r="B284" t="s">
        <v>2228</v>
      </c>
      <c r="C284" t="s">
        <v>2458</v>
      </c>
      <c r="D284" t="s">
        <v>2470</v>
      </c>
      <c r="E284" t="str">
        <f t="shared" si="8"/>
        <v>E. HANOVER</v>
      </c>
      <c r="F284" t="s">
        <v>2482</v>
      </c>
      <c r="G284">
        <v>98.71</v>
      </c>
      <c r="H284" t="s">
        <v>2489</v>
      </c>
      <c r="I284">
        <v>97</v>
      </c>
      <c r="J284">
        <v>100</v>
      </c>
      <c r="K284" s="9">
        <f t="shared" si="9"/>
        <v>45813</v>
      </c>
      <c r="L284" t="s">
        <v>2690</v>
      </c>
      <c r="M284" t="s">
        <v>2932</v>
      </c>
    </row>
    <row r="285" spans="1:13" hidden="1" x14ac:dyDescent="0.35">
      <c r="A285" t="s">
        <v>294</v>
      </c>
      <c r="B285" t="s">
        <v>2229</v>
      </c>
      <c r="C285" t="s">
        <v>2460</v>
      </c>
      <c r="D285" t="s">
        <v>2474</v>
      </c>
      <c r="E285" t="str">
        <f t="shared" si="8"/>
        <v>DORTMUND DE</v>
      </c>
      <c r="F285" t="s">
        <v>2480</v>
      </c>
      <c r="G285">
        <v>0.86</v>
      </c>
      <c r="H285" t="s">
        <v>2487</v>
      </c>
      <c r="I285">
        <v>0.88</v>
      </c>
      <c r="J285">
        <v>0.97</v>
      </c>
      <c r="K285" s="9">
        <f t="shared" si="9"/>
        <v>45990</v>
      </c>
      <c r="L285" t="s">
        <v>2691</v>
      </c>
      <c r="M285" t="s">
        <v>2931</v>
      </c>
    </row>
    <row r="286" spans="1:13" hidden="1" x14ac:dyDescent="0.35">
      <c r="A286" t="s">
        <v>295</v>
      </c>
      <c r="B286" t="s">
        <v>2230</v>
      </c>
      <c r="C286" t="s">
        <v>2457</v>
      </c>
      <c r="D286" t="s">
        <v>2469</v>
      </c>
      <c r="E286" t="str">
        <f t="shared" si="8"/>
        <v>DORTMUND</v>
      </c>
      <c r="F286" t="s">
        <v>2479</v>
      </c>
      <c r="G286">
        <v>42.04</v>
      </c>
      <c r="H286" t="s">
        <v>2486</v>
      </c>
      <c r="I286">
        <v>0</v>
      </c>
      <c r="J286">
        <v>120</v>
      </c>
      <c r="K286" s="9">
        <f t="shared" si="9"/>
        <v>45721</v>
      </c>
      <c r="L286" t="s">
        <v>2610</v>
      </c>
      <c r="M286" t="s">
        <v>2931</v>
      </c>
    </row>
    <row r="287" spans="1:13" hidden="1" x14ac:dyDescent="0.35">
      <c r="A287" t="s">
        <v>296</v>
      </c>
      <c r="B287" t="s">
        <v>2231</v>
      </c>
      <c r="C287" t="s">
        <v>2461</v>
      </c>
      <c r="D287" t="s">
        <v>2477</v>
      </c>
      <c r="E287" t="str">
        <f t="shared" si="8"/>
        <v>BUDAPEST</v>
      </c>
      <c r="F287" t="s">
        <v>2481</v>
      </c>
      <c r="G287">
        <v>275.25</v>
      </c>
      <c r="H287" t="s">
        <v>2488</v>
      </c>
      <c r="I287">
        <v>150</v>
      </c>
      <c r="J287">
        <v>400</v>
      </c>
      <c r="K287" s="9">
        <f t="shared" si="9"/>
        <v>45294</v>
      </c>
      <c r="L287" t="s">
        <v>2506</v>
      </c>
      <c r="M287" t="s">
        <v>2930</v>
      </c>
    </row>
    <row r="288" spans="1:13" hidden="1" x14ac:dyDescent="0.35">
      <c r="A288" t="s">
        <v>297</v>
      </c>
      <c r="B288" t="s">
        <v>2228</v>
      </c>
      <c r="C288" t="s">
        <v>2458</v>
      </c>
      <c r="D288" t="s">
        <v>2466</v>
      </c>
      <c r="E288" t="str">
        <f t="shared" si="8"/>
        <v>EAST HANOVER</v>
      </c>
      <c r="F288" t="s">
        <v>2481</v>
      </c>
      <c r="G288">
        <v>279.32</v>
      </c>
      <c r="H288" t="s">
        <v>2488</v>
      </c>
      <c r="I288">
        <v>150</v>
      </c>
      <c r="J288">
        <v>400</v>
      </c>
      <c r="K288" s="9">
        <f t="shared" si="9"/>
        <v>45813</v>
      </c>
      <c r="L288" t="s">
        <v>2690</v>
      </c>
      <c r="M288" t="s">
        <v>2926</v>
      </c>
    </row>
    <row r="289" spans="1:13" hidden="1" x14ac:dyDescent="0.35">
      <c r="A289" t="s">
        <v>298</v>
      </c>
      <c r="B289" t="s">
        <v>2013</v>
      </c>
      <c r="C289" t="s">
        <v>2457</v>
      </c>
      <c r="D289" t="s">
        <v>2464</v>
      </c>
      <c r="E289" t="str">
        <f t="shared" si="8"/>
        <v>EAST HANOVER</v>
      </c>
      <c r="F289" t="s">
        <v>2485</v>
      </c>
      <c r="G289">
        <v>27.89</v>
      </c>
      <c r="H289" t="s">
        <v>2490</v>
      </c>
      <c r="I289">
        <v>0</v>
      </c>
      <c r="J289">
        <v>100</v>
      </c>
      <c r="K289" s="9">
        <f t="shared" si="9"/>
        <v>45924</v>
      </c>
      <c r="L289" t="s">
        <v>2565</v>
      </c>
      <c r="M289" t="s">
        <v>2930</v>
      </c>
    </row>
    <row r="290" spans="1:13" hidden="1" x14ac:dyDescent="0.35">
      <c r="A290" t="s">
        <v>299</v>
      </c>
      <c r="B290" t="s">
        <v>2232</v>
      </c>
      <c r="C290" t="s">
        <v>2460</v>
      </c>
      <c r="D290" t="s">
        <v>2475</v>
      </c>
      <c r="E290" t="str">
        <f t="shared" si="8"/>
        <v>ASHFORD</v>
      </c>
      <c r="F290" t="s">
        <v>2484</v>
      </c>
      <c r="G290">
        <v>6.77</v>
      </c>
      <c r="I290">
        <v>6</v>
      </c>
      <c r="J290">
        <v>7.5</v>
      </c>
      <c r="K290" s="9">
        <f t="shared" si="9"/>
        <v>45553</v>
      </c>
      <c r="L290" t="s">
        <v>2692</v>
      </c>
      <c r="M290" t="s">
        <v>2932</v>
      </c>
    </row>
    <row r="291" spans="1:13" hidden="1" x14ac:dyDescent="0.35">
      <c r="A291" t="s">
        <v>300</v>
      </c>
      <c r="B291" t="s">
        <v>2233</v>
      </c>
      <c r="C291" t="s">
        <v>2459</v>
      </c>
      <c r="D291" t="s">
        <v>2477</v>
      </c>
      <c r="E291" t="str">
        <f t="shared" si="8"/>
        <v>BUDAPEST</v>
      </c>
      <c r="F291" t="s">
        <v>2483</v>
      </c>
      <c r="G291">
        <v>0.25</v>
      </c>
      <c r="H291" t="s">
        <v>2489</v>
      </c>
      <c r="I291">
        <v>0</v>
      </c>
      <c r="J291">
        <v>1</v>
      </c>
      <c r="K291" s="9">
        <f t="shared" si="9"/>
        <v>45854</v>
      </c>
      <c r="L291" t="s">
        <v>2667</v>
      </c>
      <c r="M291" t="s">
        <v>2932</v>
      </c>
    </row>
    <row r="292" spans="1:13" hidden="1" x14ac:dyDescent="0.35">
      <c r="A292" t="s">
        <v>301</v>
      </c>
      <c r="B292" t="s">
        <v>2113</v>
      </c>
      <c r="C292" t="s">
        <v>2458</v>
      </c>
      <c r="D292" t="s">
        <v>2464</v>
      </c>
      <c r="E292" t="str">
        <f t="shared" si="8"/>
        <v>EAST HANOVER</v>
      </c>
      <c r="F292" t="s">
        <v>2484</v>
      </c>
      <c r="G292">
        <v>6.76</v>
      </c>
      <c r="I292">
        <v>6</v>
      </c>
      <c r="J292">
        <v>7.5</v>
      </c>
      <c r="K292" s="9">
        <f t="shared" si="9"/>
        <v>45345</v>
      </c>
      <c r="L292" t="s">
        <v>2589</v>
      </c>
      <c r="M292" t="s">
        <v>2925</v>
      </c>
    </row>
    <row r="293" spans="1:13" hidden="1" x14ac:dyDescent="0.35">
      <c r="A293" t="s">
        <v>302</v>
      </c>
      <c r="B293" t="s">
        <v>2023</v>
      </c>
      <c r="C293" t="s">
        <v>2460</v>
      </c>
      <c r="D293" t="s">
        <v>2464</v>
      </c>
      <c r="E293" t="str">
        <f t="shared" si="8"/>
        <v>EAST HANOVER</v>
      </c>
      <c r="F293" t="s">
        <v>2484</v>
      </c>
      <c r="G293">
        <v>7.3</v>
      </c>
      <c r="I293">
        <v>6</v>
      </c>
      <c r="J293">
        <v>7.5</v>
      </c>
      <c r="K293" s="9">
        <f t="shared" si="9"/>
        <v>46016</v>
      </c>
      <c r="L293" t="s">
        <v>2503</v>
      </c>
      <c r="M293" t="s">
        <v>2932</v>
      </c>
    </row>
    <row r="294" spans="1:13" hidden="1" x14ac:dyDescent="0.35">
      <c r="A294" t="s">
        <v>303</v>
      </c>
      <c r="B294" t="s">
        <v>2234</v>
      </c>
      <c r="C294" t="s">
        <v>2457</v>
      </c>
      <c r="D294" t="s">
        <v>2477</v>
      </c>
      <c r="E294" t="str">
        <f t="shared" si="8"/>
        <v>BUDAPEST</v>
      </c>
      <c r="F294" t="s">
        <v>2481</v>
      </c>
      <c r="G294">
        <v>278.41000000000003</v>
      </c>
      <c r="H294" t="s">
        <v>2488</v>
      </c>
      <c r="I294">
        <v>150</v>
      </c>
      <c r="J294">
        <v>400</v>
      </c>
      <c r="K294" s="9">
        <f t="shared" si="9"/>
        <v>45774</v>
      </c>
      <c r="L294" t="s">
        <v>2522</v>
      </c>
      <c r="M294" t="s">
        <v>2925</v>
      </c>
    </row>
    <row r="295" spans="1:13" hidden="1" x14ac:dyDescent="0.35">
      <c r="A295" t="s">
        <v>304</v>
      </c>
      <c r="B295" t="s">
        <v>2235</v>
      </c>
      <c r="C295" t="s">
        <v>2459</v>
      </c>
      <c r="D295" t="s">
        <v>2473</v>
      </c>
      <c r="E295" t="str">
        <f t="shared" si="8"/>
        <v>DORTMUND</v>
      </c>
      <c r="F295" t="s">
        <v>2485</v>
      </c>
      <c r="G295">
        <v>6.25</v>
      </c>
      <c r="H295" t="s">
        <v>2490</v>
      </c>
      <c r="I295">
        <v>0</v>
      </c>
      <c r="J295">
        <v>100</v>
      </c>
      <c r="K295" s="9">
        <f t="shared" si="9"/>
        <v>45854</v>
      </c>
      <c r="L295" t="s">
        <v>2667</v>
      </c>
      <c r="M295" t="s">
        <v>2929</v>
      </c>
    </row>
    <row r="296" spans="1:13" hidden="1" x14ac:dyDescent="0.35">
      <c r="A296" t="s">
        <v>305</v>
      </c>
      <c r="B296" t="s">
        <v>2236</v>
      </c>
      <c r="C296" t="s">
        <v>2457</v>
      </c>
      <c r="D296" t="s">
        <v>2478</v>
      </c>
      <c r="E296" t="str">
        <f t="shared" si="8"/>
        <v>BUD</v>
      </c>
      <c r="F296" t="s">
        <v>2480</v>
      </c>
      <c r="G296">
        <v>0.94</v>
      </c>
      <c r="H296" t="s">
        <v>2487</v>
      </c>
      <c r="I296">
        <v>0.88</v>
      </c>
      <c r="J296">
        <v>0.97</v>
      </c>
      <c r="K296" s="9">
        <f t="shared" si="9"/>
        <v>45536</v>
      </c>
      <c r="L296" t="s">
        <v>2693</v>
      </c>
      <c r="M296" t="s">
        <v>2926</v>
      </c>
    </row>
    <row r="297" spans="1:13" hidden="1" x14ac:dyDescent="0.35">
      <c r="A297" t="s">
        <v>306</v>
      </c>
      <c r="B297" t="s">
        <v>2237</v>
      </c>
      <c r="C297" t="s">
        <v>2458</v>
      </c>
      <c r="D297" t="s">
        <v>2463</v>
      </c>
      <c r="E297" t="str">
        <f t="shared" si="8"/>
        <v>VERNIER</v>
      </c>
      <c r="F297" t="s">
        <v>2479</v>
      </c>
      <c r="G297">
        <v>36.03</v>
      </c>
      <c r="H297" t="s">
        <v>2486</v>
      </c>
      <c r="I297">
        <v>0</v>
      </c>
      <c r="J297">
        <v>120</v>
      </c>
      <c r="K297" s="9">
        <f t="shared" si="9"/>
        <v>45697</v>
      </c>
      <c r="L297" t="s">
        <v>2694</v>
      </c>
      <c r="M297" t="s">
        <v>2926</v>
      </c>
    </row>
    <row r="298" spans="1:13" hidden="1" x14ac:dyDescent="0.35">
      <c r="A298" t="s">
        <v>307</v>
      </c>
      <c r="B298" t="s">
        <v>2124</v>
      </c>
      <c r="C298" t="s">
        <v>2457</v>
      </c>
      <c r="D298" t="s">
        <v>2473</v>
      </c>
      <c r="E298" t="str">
        <f t="shared" si="8"/>
        <v>DORTMUND</v>
      </c>
      <c r="F298" t="s">
        <v>2482</v>
      </c>
      <c r="G298">
        <v>98.3</v>
      </c>
      <c r="H298" t="s">
        <v>2489</v>
      </c>
      <c r="I298">
        <v>97</v>
      </c>
      <c r="J298">
        <v>100</v>
      </c>
      <c r="K298" s="9">
        <f t="shared" si="9"/>
        <v>45733</v>
      </c>
      <c r="L298" t="s">
        <v>2601</v>
      </c>
      <c r="M298" t="s">
        <v>2932</v>
      </c>
    </row>
    <row r="299" spans="1:13" hidden="1" x14ac:dyDescent="0.35">
      <c r="A299" t="s">
        <v>308</v>
      </c>
      <c r="B299" t="s">
        <v>2113</v>
      </c>
      <c r="C299" t="s">
        <v>2458</v>
      </c>
      <c r="D299" t="s">
        <v>2464</v>
      </c>
      <c r="E299" t="str">
        <f t="shared" si="8"/>
        <v>EAST HANOVER</v>
      </c>
      <c r="F299" t="s">
        <v>2485</v>
      </c>
      <c r="G299">
        <v>-75</v>
      </c>
      <c r="H299" t="s">
        <v>2490</v>
      </c>
      <c r="I299">
        <v>0</v>
      </c>
      <c r="J299">
        <v>100</v>
      </c>
      <c r="K299" s="9">
        <f t="shared" si="9"/>
        <v>45345</v>
      </c>
      <c r="L299" t="s">
        <v>2589</v>
      </c>
      <c r="M299" t="s">
        <v>2925</v>
      </c>
    </row>
    <row r="300" spans="1:13" hidden="1" x14ac:dyDescent="0.35">
      <c r="A300" t="s">
        <v>309</v>
      </c>
      <c r="B300" t="s">
        <v>2238</v>
      </c>
      <c r="C300" t="s">
        <v>2460</v>
      </c>
      <c r="D300" t="s">
        <v>2476</v>
      </c>
      <c r="E300" t="str">
        <f t="shared" si="8"/>
        <v>BUDAPEST SITE</v>
      </c>
      <c r="F300" t="s">
        <v>2484</v>
      </c>
      <c r="G300">
        <v>6.43</v>
      </c>
      <c r="I300">
        <v>6</v>
      </c>
      <c r="J300">
        <v>7.5</v>
      </c>
      <c r="K300" s="9">
        <f t="shared" si="9"/>
        <v>45698</v>
      </c>
      <c r="L300" t="s">
        <v>2636</v>
      </c>
      <c r="M300" t="s">
        <v>2925</v>
      </c>
    </row>
    <row r="301" spans="1:13" hidden="1" x14ac:dyDescent="0.35">
      <c r="A301" t="s">
        <v>310</v>
      </c>
      <c r="B301" t="s">
        <v>2239</v>
      </c>
      <c r="C301" t="s">
        <v>2459</v>
      </c>
      <c r="D301" t="s">
        <v>2472</v>
      </c>
      <c r="E301" t="str">
        <f t="shared" si="8"/>
        <v>VERNIER</v>
      </c>
      <c r="F301" t="s">
        <v>2484</v>
      </c>
      <c r="G301">
        <v>6.4</v>
      </c>
      <c r="I301">
        <v>6</v>
      </c>
      <c r="J301">
        <v>7.5</v>
      </c>
      <c r="K301" s="9">
        <f t="shared" si="9"/>
        <v>45340</v>
      </c>
      <c r="L301" t="s">
        <v>2695</v>
      </c>
      <c r="M301" t="s">
        <v>2928</v>
      </c>
    </row>
    <row r="302" spans="1:13" hidden="1" x14ac:dyDescent="0.35">
      <c r="A302" t="s">
        <v>311</v>
      </c>
      <c r="B302" t="s">
        <v>2049</v>
      </c>
      <c r="C302" t="s">
        <v>2458</v>
      </c>
      <c r="D302" t="s">
        <v>2473</v>
      </c>
      <c r="E302" t="str">
        <f t="shared" si="8"/>
        <v>DORTMUND</v>
      </c>
      <c r="F302" t="s">
        <v>2484</v>
      </c>
      <c r="G302">
        <v>5.94</v>
      </c>
      <c r="I302">
        <v>6</v>
      </c>
      <c r="J302">
        <v>7.5</v>
      </c>
      <c r="K302" s="9">
        <f t="shared" si="9"/>
        <v>45452</v>
      </c>
      <c r="L302" t="s">
        <v>2528</v>
      </c>
      <c r="M302" t="s">
        <v>2931</v>
      </c>
    </row>
    <row r="303" spans="1:13" hidden="1" x14ac:dyDescent="0.35">
      <c r="A303" t="s">
        <v>312</v>
      </c>
      <c r="B303" t="s">
        <v>2240</v>
      </c>
      <c r="C303" t="s">
        <v>2457</v>
      </c>
      <c r="D303" t="s">
        <v>2476</v>
      </c>
      <c r="E303" t="str">
        <f t="shared" si="8"/>
        <v>BUDAPEST SITE</v>
      </c>
      <c r="F303" t="s">
        <v>2483</v>
      </c>
      <c r="G303">
        <v>0.3</v>
      </c>
      <c r="H303" t="s">
        <v>2489</v>
      </c>
      <c r="I303">
        <v>0</v>
      </c>
      <c r="J303">
        <v>1</v>
      </c>
      <c r="K303" s="9">
        <f t="shared" si="9"/>
        <v>45904</v>
      </c>
      <c r="L303" t="s">
        <v>2611</v>
      </c>
      <c r="M303" t="s">
        <v>2927</v>
      </c>
    </row>
    <row r="304" spans="1:13" hidden="1" x14ac:dyDescent="0.35">
      <c r="A304" t="s">
        <v>313</v>
      </c>
      <c r="B304" t="s">
        <v>2122</v>
      </c>
      <c r="C304" t="s">
        <v>2457</v>
      </c>
      <c r="D304" t="s">
        <v>2470</v>
      </c>
      <c r="E304" t="str">
        <f t="shared" si="8"/>
        <v>E. HANOVER</v>
      </c>
      <c r="F304" t="s">
        <v>2484</v>
      </c>
      <c r="G304">
        <v>7.04</v>
      </c>
      <c r="I304">
        <v>6</v>
      </c>
      <c r="J304">
        <v>7.5</v>
      </c>
      <c r="K304" s="9">
        <f t="shared" si="9"/>
        <v>45671</v>
      </c>
      <c r="L304" t="s">
        <v>2598</v>
      </c>
      <c r="M304" t="s">
        <v>2928</v>
      </c>
    </row>
    <row r="305" spans="1:13" hidden="1" x14ac:dyDescent="0.35">
      <c r="A305" t="s">
        <v>314</v>
      </c>
      <c r="B305" t="s">
        <v>2111</v>
      </c>
      <c r="C305" t="s">
        <v>2461</v>
      </c>
      <c r="D305" t="s">
        <v>2463</v>
      </c>
      <c r="E305" t="str">
        <f t="shared" si="8"/>
        <v>VERNIER</v>
      </c>
      <c r="F305" t="s">
        <v>2481</v>
      </c>
      <c r="G305">
        <v>328.77</v>
      </c>
      <c r="H305" t="s">
        <v>2488</v>
      </c>
      <c r="I305">
        <v>150</v>
      </c>
      <c r="J305">
        <v>400</v>
      </c>
      <c r="K305" s="9">
        <f t="shared" si="9"/>
        <v>45547</v>
      </c>
      <c r="L305" t="s">
        <v>2587</v>
      </c>
      <c r="M305" t="s">
        <v>2932</v>
      </c>
    </row>
    <row r="306" spans="1:13" hidden="1" x14ac:dyDescent="0.35">
      <c r="A306" t="s">
        <v>315</v>
      </c>
      <c r="B306" t="s">
        <v>2241</v>
      </c>
      <c r="C306" t="s">
        <v>2460</v>
      </c>
      <c r="D306" t="s">
        <v>2474</v>
      </c>
      <c r="E306" t="str">
        <f t="shared" si="8"/>
        <v>DORTMUND DE</v>
      </c>
      <c r="F306" t="s">
        <v>2480</v>
      </c>
      <c r="G306">
        <v>0.88</v>
      </c>
      <c r="H306" t="s">
        <v>2487</v>
      </c>
      <c r="I306">
        <v>0.88</v>
      </c>
      <c r="J306">
        <v>0.97</v>
      </c>
      <c r="K306" s="9">
        <f t="shared" si="9"/>
        <v>45781</v>
      </c>
      <c r="L306" t="s">
        <v>2696</v>
      </c>
      <c r="M306" t="s">
        <v>2925</v>
      </c>
    </row>
    <row r="307" spans="1:13" hidden="1" x14ac:dyDescent="0.35">
      <c r="A307" t="s">
        <v>316</v>
      </c>
      <c r="B307" t="s">
        <v>2242</v>
      </c>
      <c r="C307" t="s">
        <v>2460</v>
      </c>
      <c r="D307" t="s">
        <v>2477</v>
      </c>
      <c r="E307" t="str">
        <f t="shared" si="8"/>
        <v>BUDAPEST</v>
      </c>
      <c r="F307" t="s">
        <v>2484</v>
      </c>
      <c r="G307">
        <v>6.26</v>
      </c>
      <c r="I307">
        <v>6</v>
      </c>
      <c r="J307">
        <v>7.5</v>
      </c>
      <c r="K307" s="9">
        <f t="shared" si="9"/>
        <v>45704</v>
      </c>
      <c r="L307" t="s">
        <v>2669</v>
      </c>
      <c r="M307" t="s">
        <v>2930</v>
      </c>
    </row>
    <row r="308" spans="1:13" hidden="1" x14ac:dyDescent="0.35">
      <c r="A308" t="s">
        <v>317</v>
      </c>
      <c r="B308" t="s">
        <v>2243</v>
      </c>
      <c r="C308" t="s">
        <v>2461</v>
      </c>
      <c r="D308" t="s">
        <v>2469</v>
      </c>
      <c r="E308" t="str">
        <f t="shared" si="8"/>
        <v>DORTMUND</v>
      </c>
      <c r="F308" t="s">
        <v>2482</v>
      </c>
      <c r="G308">
        <v>98.14</v>
      </c>
      <c r="H308" t="s">
        <v>2489</v>
      </c>
      <c r="I308">
        <v>97</v>
      </c>
      <c r="J308">
        <v>100</v>
      </c>
      <c r="K308" s="9">
        <f t="shared" si="9"/>
        <v>45833</v>
      </c>
      <c r="L308" t="s">
        <v>2697</v>
      </c>
      <c r="M308" t="s">
        <v>2923</v>
      </c>
    </row>
    <row r="309" spans="1:13" hidden="1" x14ac:dyDescent="0.35">
      <c r="A309" t="s">
        <v>318</v>
      </c>
      <c r="B309" t="s">
        <v>2244</v>
      </c>
      <c r="C309" t="s">
        <v>2458</v>
      </c>
      <c r="D309" t="s">
        <v>2464</v>
      </c>
      <c r="E309" t="str">
        <f t="shared" si="8"/>
        <v>EAST HANOVER</v>
      </c>
      <c r="F309" t="s">
        <v>2485</v>
      </c>
      <c r="G309">
        <v>8.17</v>
      </c>
      <c r="H309" t="s">
        <v>2490</v>
      </c>
      <c r="I309">
        <v>0</v>
      </c>
      <c r="J309">
        <v>100</v>
      </c>
      <c r="K309" s="9">
        <f t="shared" si="9"/>
        <v>45821</v>
      </c>
      <c r="L309" t="s">
        <v>2698</v>
      </c>
      <c r="M309" t="s">
        <v>2927</v>
      </c>
    </row>
    <row r="310" spans="1:13" hidden="1" x14ac:dyDescent="0.35">
      <c r="A310" t="s">
        <v>319</v>
      </c>
      <c r="B310" t="s">
        <v>2245</v>
      </c>
      <c r="C310" t="s">
        <v>2457</v>
      </c>
      <c r="D310" t="s">
        <v>2471</v>
      </c>
      <c r="E310" t="str">
        <f t="shared" si="8"/>
        <v>BUDAPEST</v>
      </c>
      <c r="F310" t="s">
        <v>2482</v>
      </c>
      <c r="G310">
        <v>97.96</v>
      </c>
      <c r="H310" t="s">
        <v>2489</v>
      </c>
      <c r="I310">
        <v>97</v>
      </c>
      <c r="J310">
        <v>100</v>
      </c>
      <c r="K310" s="9">
        <f t="shared" si="9"/>
        <v>45441</v>
      </c>
      <c r="L310" t="s">
        <v>2699</v>
      </c>
      <c r="M310" t="s">
        <v>2923</v>
      </c>
    </row>
    <row r="311" spans="1:13" hidden="1" x14ac:dyDescent="0.35">
      <c r="A311" t="s">
        <v>320</v>
      </c>
      <c r="B311" t="s">
        <v>2246</v>
      </c>
      <c r="C311" t="s">
        <v>2460</v>
      </c>
      <c r="D311" t="s">
        <v>2468</v>
      </c>
      <c r="E311" t="str">
        <f t="shared" si="8"/>
        <v>VERNIER CH</v>
      </c>
      <c r="F311" t="s">
        <v>2485</v>
      </c>
      <c r="G311">
        <v>1.05</v>
      </c>
      <c r="H311" t="s">
        <v>2490</v>
      </c>
      <c r="I311">
        <v>0</v>
      </c>
      <c r="J311">
        <v>100</v>
      </c>
      <c r="K311" s="9">
        <f t="shared" si="9"/>
        <v>45884</v>
      </c>
      <c r="L311" t="s">
        <v>2542</v>
      </c>
      <c r="M311" t="s">
        <v>2928</v>
      </c>
    </row>
    <row r="312" spans="1:13" hidden="1" x14ac:dyDescent="0.35">
      <c r="A312" t="s">
        <v>321</v>
      </c>
      <c r="B312" t="s">
        <v>2247</v>
      </c>
      <c r="C312" t="s">
        <v>2461</v>
      </c>
      <c r="D312" t="s">
        <v>2462</v>
      </c>
      <c r="E312" t="str">
        <f t="shared" si="8"/>
        <v>ASHFORD UK</v>
      </c>
      <c r="F312" t="s">
        <v>2485</v>
      </c>
      <c r="G312">
        <v>-30.26</v>
      </c>
      <c r="H312" t="s">
        <v>2490</v>
      </c>
      <c r="I312">
        <v>0</v>
      </c>
      <c r="J312">
        <v>100</v>
      </c>
      <c r="K312" s="9">
        <f t="shared" si="9"/>
        <v>45307</v>
      </c>
      <c r="L312" t="s">
        <v>2700</v>
      </c>
      <c r="M312" t="s">
        <v>2926</v>
      </c>
    </row>
    <row r="313" spans="1:13" hidden="1" x14ac:dyDescent="0.35">
      <c r="A313" t="s">
        <v>322</v>
      </c>
      <c r="B313" t="s">
        <v>2120</v>
      </c>
      <c r="C313" t="s">
        <v>2459</v>
      </c>
      <c r="D313" t="s">
        <v>2472</v>
      </c>
      <c r="E313" t="str">
        <f t="shared" si="8"/>
        <v>VERNIER</v>
      </c>
      <c r="F313" t="s">
        <v>2479</v>
      </c>
      <c r="G313">
        <v>14.25</v>
      </c>
      <c r="H313" t="s">
        <v>2486</v>
      </c>
      <c r="I313">
        <v>0</v>
      </c>
      <c r="J313">
        <v>120</v>
      </c>
      <c r="K313" s="9">
        <f t="shared" si="9"/>
        <v>45393</v>
      </c>
      <c r="L313" t="s">
        <v>2596</v>
      </c>
      <c r="M313" t="s">
        <v>2925</v>
      </c>
    </row>
    <row r="314" spans="1:13" hidden="1" x14ac:dyDescent="0.35">
      <c r="A314" t="s">
        <v>323</v>
      </c>
      <c r="B314" t="s">
        <v>2248</v>
      </c>
      <c r="C314" t="s">
        <v>2460</v>
      </c>
      <c r="D314" t="s">
        <v>2473</v>
      </c>
      <c r="E314" t="str">
        <f t="shared" si="8"/>
        <v>DORTMUND</v>
      </c>
      <c r="F314" t="s">
        <v>2480</v>
      </c>
      <c r="G314">
        <v>0.92</v>
      </c>
      <c r="H314" t="s">
        <v>2487</v>
      </c>
      <c r="I314">
        <v>0.88</v>
      </c>
      <c r="J314">
        <v>0.97</v>
      </c>
      <c r="K314" s="9">
        <f t="shared" si="9"/>
        <v>45956</v>
      </c>
      <c r="L314" t="s">
        <v>2701</v>
      </c>
      <c r="M314" t="s">
        <v>2925</v>
      </c>
    </row>
    <row r="315" spans="1:13" hidden="1" x14ac:dyDescent="0.35">
      <c r="A315" t="s">
        <v>324</v>
      </c>
      <c r="B315" t="s">
        <v>2249</v>
      </c>
      <c r="C315" t="s">
        <v>2461</v>
      </c>
      <c r="D315" t="s">
        <v>2463</v>
      </c>
      <c r="E315" t="str">
        <f t="shared" si="8"/>
        <v>VERNIER</v>
      </c>
      <c r="F315" t="s">
        <v>2485</v>
      </c>
      <c r="G315">
        <v>-5.16</v>
      </c>
      <c r="H315" t="s">
        <v>2490</v>
      </c>
      <c r="I315">
        <v>0</v>
      </c>
      <c r="J315">
        <v>100</v>
      </c>
      <c r="K315" s="9">
        <f t="shared" si="9"/>
        <v>45987</v>
      </c>
      <c r="L315" t="s">
        <v>2702</v>
      </c>
      <c r="M315" t="s">
        <v>2930</v>
      </c>
    </row>
    <row r="316" spans="1:13" hidden="1" x14ac:dyDescent="0.35">
      <c r="A316" t="s">
        <v>325</v>
      </c>
      <c r="B316" t="s">
        <v>2250</v>
      </c>
      <c r="C316" t="s">
        <v>2460</v>
      </c>
      <c r="D316" t="s">
        <v>2478</v>
      </c>
      <c r="E316" t="str">
        <f t="shared" si="8"/>
        <v>BUD</v>
      </c>
      <c r="F316" t="s">
        <v>2482</v>
      </c>
      <c r="G316">
        <v>99.26</v>
      </c>
      <c r="H316" t="s">
        <v>2489</v>
      </c>
      <c r="I316">
        <v>97</v>
      </c>
      <c r="J316">
        <v>100</v>
      </c>
      <c r="K316" s="9">
        <f t="shared" si="9"/>
        <v>45670</v>
      </c>
      <c r="L316" t="s">
        <v>2703</v>
      </c>
      <c r="M316" t="s">
        <v>2929</v>
      </c>
    </row>
    <row r="317" spans="1:13" hidden="1" x14ac:dyDescent="0.35">
      <c r="A317" t="s">
        <v>326</v>
      </c>
      <c r="B317" t="s">
        <v>2052</v>
      </c>
      <c r="C317" t="s">
        <v>2460</v>
      </c>
      <c r="D317" t="s">
        <v>2466</v>
      </c>
      <c r="E317" t="str">
        <f t="shared" si="8"/>
        <v>EAST HANOVER</v>
      </c>
      <c r="F317" t="s">
        <v>2480</v>
      </c>
      <c r="G317">
        <v>1</v>
      </c>
      <c r="H317" t="s">
        <v>2487</v>
      </c>
      <c r="I317">
        <v>0.88</v>
      </c>
      <c r="J317">
        <v>0.97</v>
      </c>
      <c r="K317" s="9">
        <f t="shared" si="9"/>
        <v>45461</v>
      </c>
      <c r="L317" t="s">
        <v>2704</v>
      </c>
      <c r="M317" t="s">
        <v>2925</v>
      </c>
    </row>
    <row r="318" spans="1:13" hidden="1" x14ac:dyDescent="0.35">
      <c r="A318" t="s">
        <v>327</v>
      </c>
      <c r="B318" t="s">
        <v>2251</v>
      </c>
      <c r="C318" t="s">
        <v>2461</v>
      </c>
      <c r="D318" t="s">
        <v>2475</v>
      </c>
      <c r="E318" t="str">
        <f t="shared" si="8"/>
        <v>ASHFORD</v>
      </c>
      <c r="F318" t="s">
        <v>2483</v>
      </c>
      <c r="G318">
        <v>0.52</v>
      </c>
      <c r="H318" t="s">
        <v>2489</v>
      </c>
      <c r="I318">
        <v>0</v>
      </c>
      <c r="J318">
        <v>1</v>
      </c>
      <c r="K318" s="9">
        <f t="shared" si="9"/>
        <v>45441</v>
      </c>
      <c r="L318" t="s">
        <v>2699</v>
      </c>
      <c r="M318" t="s">
        <v>2928</v>
      </c>
    </row>
    <row r="319" spans="1:13" hidden="1" x14ac:dyDescent="0.35">
      <c r="A319" t="s">
        <v>328</v>
      </c>
      <c r="B319" t="s">
        <v>2207</v>
      </c>
      <c r="C319" t="s">
        <v>2460</v>
      </c>
      <c r="D319" t="s">
        <v>2478</v>
      </c>
      <c r="E319" t="str">
        <f t="shared" si="8"/>
        <v>BUD</v>
      </c>
      <c r="F319" t="s">
        <v>2485</v>
      </c>
      <c r="G319">
        <v>-18.16</v>
      </c>
      <c r="H319" t="s">
        <v>2490</v>
      </c>
      <c r="I319">
        <v>0</v>
      </c>
      <c r="J319">
        <v>100</v>
      </c>
      <c r="K319" s="9">
        <f t="shared" si="9"/>
        <v>45736</v>
      </c>
      <c r="L319" t="s">
        <v>2675</v>
      </c>
      <c r="M319" t="s">
        <v>2929</v>
      </c>
    </row>
    <row r="320" spans="1:13" hidden="1" x14ac:dyDescent="0.35">
      <c r="A320" t="s">
        <v>329</v>
      </c>
      <c r="B320" t="s">
        <v>2252</v>
      </c>
      <c r="C320" t="s">
        <v>2461</v>
      </c>
      <c r="D320" t="s">
        <v>2478</v>
      </c>
      <c r="E320" t="str">
        <f t="shared" si="8"/>
        <v>BUD</v>
      </c>
      <c r="F320" t="s">
        <v>2481</v>
      </c>
      <c r="G320">
        <v>248.77</v>
      </c>
      <c r="H320" t="s">
        <v>2488</v>
      </c>
      <c r="I320">
        <v>150</v>
      </c>
      <c r="J320">
        <v>400</v>
      </c>
      <c r="K320" s="9">
        <f t="shared" si="9"/>
        <v>45344</v>
      </c>
      <c r="L320" t="s">
        <v>2705</v>
      </c>
      <c r="M320" t="s">
        <v>2929</v>
      </c>
    </row>
    <row r="321" spans="1:13" hidden="1" x14ac:dyDescent="0.35">
      <c r="A321" t="s">
        <v>330</v>
      </c>
      <c r="B321" t="s">
        <v>2063</v>
      </c>
      <c r="C321" t="s">
        <v>2461</v>
      </c>
      <c r="D321" t="s">
        <v>2464</v>
      </c>
      <c r="E321" t="str">
        <f t="shared" si="8"/>
        <v>EAST HANOVER</v>
      </c>
      <c r="F321" t="s">
        <v>2479</v>
      </c>
      <c r="G321">
        <v>-1.89</v>
      </c>
      <c r="H321" t="s">
        <v>2486</v>
      </c>
      <c r="I321">
        <v>0</v>
      </c>
      <c r="J321">
        <v>120</v>
      </c>
      <c r="K321" s="9">
        <f t="shared" si="9"/>
        <v>45884</v>
      </c>
      <c r="L321" t="s">
        <v>2542</v>
      </c>
      <c r="M321" t="s">
        <v>2931</v>
      </c>
    </row>
    <row r="322" spans="1:13" hidden="1" x14ac:dyDescent="0.35">
      <c r="A322" t="s">
        <v>331</v>
      </c>
      <c r="B322" t="s">
        <v>2153</v>
      </c>
      <c r="C322" t="s">
        <v>2461</v>
      </c>
      <c r="D322" t="s">
        <v>2478</v>
      </c>
      <c r="E322" t="str">
        <f t="shared" si="8"/>
        <v>BUD</v>
      </c>
      <c r="F322" t="s">
        <v>2485</v>
      </c>
      <c r="G322">
        <v>-18.11</v>
      </c>
      <c r="H322" t="s">
        <v>2490</v>
      </c>
      <c r="I322">
        <v>0</v>
      </c>
      <c r="J322">
        <v>100</v>
      </c>
      <c r="K322" s="9">
        <f t="shared" si="9"/>
        <v>45445</v>
      </c>
      <c r="L322" t="s">
        <v>2628</v>
      </c>
      <c r="M322" t="s">
        <v>2932</v>
      </c>
    </row>
    <row r="323" spans="1:13" hidden="1" x14ac:dyDescent="0.35">
      <c r="A323" t="s">
        <v>332</v>
      </c>
      <c r="B323" t="s">
        <v>2253</v>
      </c>
      <c r="C323" t="s">
        <v>2461</v>
      </c>
      <c r="D323" t="s">
        <v>2474</v>
      </c>
      <c r="E323" t="str">
        <f t="shared" ref="E323:E386" si="10">UPPER(D323)</f>
        <v>DORTMUND DE</v>
      </c>
      <c r="F323" t="s">
        <v>2483</v>
      </c>
      <c r="G323">
        <v>-0.02</v>
      </c>
      <c r="H323" t="s">
        <v>2489</v>
      </c>
      <c r="I323">
        <v>0</v>
      </c>
      <c r="J323">
        <v>1</v>
      </c>
      <c r="K323" s="9">
        <f t="shared" ref="K323:K386" si="11">IF(L323="","",
IF(MID(L323,5,1)="-",
DATE(LEFT(L323,4),MID(L323,6,2),RIGHT(L323,2)),
DATE(RIGHT(L323,4),MID(L323,4,2),LEFT(L323,2))
))</f>
        <v>45388</v>
      </c>
      <c r="L323" t="s">
        <v>2583</v>
      </c>
      <c r="M323" t="s">
        <v>2931</v>
      </c>
    </row>
    <row r="324" spans="1:13" hidden="1" x14ac:dyDescent="0.35">
      <c r="A324" t="s">
        <v>333</v>
      </c>
      <c r="B324" t="s">
        <v>2254</v>
      </c>
      <c r="C324" t="s">
        <v>2457</v>
      </c>
      <c r="D324" t="s">
        <v>2471</v>
      </c>
      <c r="E324" t="str">
        <f t="shared" si="10"/>
        <v>BUDAPEST</v>
      </c>
      <c r="F324" t="s">
        <v>2482</v>
      </c>
      <c r="G324">
        <v>98.35</v>
      </c>
      <c r="H324" t="s">
        <v>2489</v>
      </c>
      <c r="I324">
        <v>97</v>
      </c>
      <c r="J324">
        <v>100</v>
      </c>
      <c r="K324" s="9">
        <f t="shared" si="11"/>
        <v>45774</v>
      </c>
      <c r="L324" t="s">
        <v>2522</v>
      </c>
      <c r="M324" t="s">
        <v>2932</v>
      </c>
    </row>
    <row r="325" spans="1:13" hidden="1" x14ac:dyDescent="0.35">
      <c r="A325" t="s">
        <v>334</v>
      </c>
      <c r="B325" t="s">
        <v>2255</v>
      </c>
      <c r="C325" t="s">
        <v>2457</v>
      </c>
      <c r="D325" t="s">
        <v>2462</v>
      </c>
      <c r="E325" t="str">
        <f t="shared" si="10"/>
        <v>ASHFORD UK</v>
      </c>
      <c r="F325" t="s">
        <v>2480</v>
      </c>
      <c r="G325">
        <v>0.92</v>
      </c>
      <c r="H325" t="s">
        <v>2487</v>
      </c>
      <c r="I325">
        <v>0.88</v>
      </c>
      <c r="J325">
        <v>0.97</v>
      </c>
      <c r="K325" s="9">
        <f t="shared" si="11"/>
        <v>45451</v>
      </c>
      <c r="L325" t="s">
        <v>2706</v>
      </c>
      <c r="M325" t="s">
        <v>2923</v>
      </c>
    </row>
    <row r="326" spans="1:13" hidden="1" x14ac:dyDescent="0.35">
      <c r="A326" t="s">
        <v>335</v>
      </c>
      <c r="B326" t="s">
        <v>2107</v>
      </c>
      <c r="C326" t="s">
        <v>2459</v>
      </c>
      <c r="D326" t="s">
        <v>2470</v>
      </c>
      <c r="E326" t="str">
        <f t="shared" si="10"/>
        <v>E. HANOVER</v>
      </c>
      <c r="F326" t="s">
        <v>2481</v>
      </c>
      <c r="G326">
        <v>281.61</v>
      </c>
      <c r="H326" t="s">
        <v>2488</v>
      </c>
      <c r="I326">
        <v>150</v>
      </c>
      <c r="J326">
        <v>400</v>
      </c>
      <c r="K326" s="9">
        <f t="shared" si="11"/>
        <v>45633</v>
      </c>
      <c r="L326" t="s">
        <v>2584</v>
      </c>
      <c r="M326" t="s">
        <v>2928</v>
      </c>
    </row>
    <row r="327" spans="1:13" hidden="1" x14ac:dyDescent="0.35">
      <c r="A327" t="s">
        <v>336</v>
      </c>
      <c r="B327" t="s">
        <v>2256</v>
      </c>
      <c r="C327" t="s">
        <v>2461</v>
      </c>
      <c r="D327" t="s">
        <v>2470</v>
      </c>
      <c r="E327" t="str">
        <f t="shared" si="10"/>
        <v>E. HANOVER</v>
      </c>
      <c r="F327" t="s">
        <v>2480</v>
      </c>
      <c r="G327">
        <v>0.99</v>
      </c>
      <c r="H327" t="s">
        <v>2487</v>
      </c>
      <c r="I327">
        <v>0.88</v>
      </c>
      <c r="J327">
        <v>0.97</v>
      </c>
      <c r="K327" s="9">
        <f t="shared" si="11"/>
        <v>45676</v>
      </c>
      <c r="L327" t="s">
        <v>2707</v>
      </c>
      <c r="M327" t="s">
        <v>2924</v>
      </c>
    </row>
    <row r="328" spans="1:13" hidden="1" x14ac:dyDescent="0.35">
      <c r="A328" t="s">
        <v>337</v>
      </c>
      <c r="B328" t="s">
        <v>2186</v>
      </c>
      <c r="C328" t="s">
        <v>2457</v>
      </c>
      <c r="D328" t="s">
        <v>2476</v>
      </c>
      <c r="E328" t="str">
        <f t="shared" si="10"/>
        <v>BUDAPEST SITE</v>
      </c>
      <c r="F328" t="s">
        <v>2479</v>
      </c>
      <c r="G328">
        <v>32.299999999999997</v>
      </c>
      <c r="H328" t="s">
        <v>2486</v>
      </c>
      <c r="I328">
        <v>0</v>
      </c>
      <c r="J328">
        <v>120</v>
      </c>
      <c r="K328" s="9">
        <f t="shared" si="11"/>
        <v>45579</v>
      </c>
      <c r="L328" t="s">
        <v>2708</v>
      </c>
      <c r="M328" t="s">
        <v>2924</v>
      </c>
    </row>
    <row r="329" spans="1:13" hidden="1" x14ac:dyDescent="0.35">
      <c r="A329" t="s">
        <v>338</v>
      </c>
      <c r="B329" t="s">
        <v>2244</v>
      </c>
      <c r="C329" t="s">
        <v>2458</v>
      </c>
      <c r="D329" t="s">
        <v>2464</v>
      </c>
      <c r="E329" t="str">
        <f t="shared" si="10"/>
        <v>EAST HANOVER</v>
      </c>
      <c r="F329" t="s">
        <v>2480</v>
      </c>
      <c r="G329">
        <v>0.9</v>
      </c>
      <c r="H329" t="s">
        <v>2487</v>
      </c>
      <c r="I329">
        <v>0.88</v>
      </c>
      <c r="J329">
        <v>0.97</v>
      </c>
      <c r="K329" s="9">
        <f t="shared" si="11"/>
        <v>45821</v>
      </c>
      <c r="L329" t="s">
        <v>2698</v>
      </c>
      <c r="M329" t="s">
        <v>2932</v>
      </c>
    </row>
    <row r="330" spans="1:13" hidden="1" x14ac:dyDescent="0.35">
      <c r="A330" t="s">
        <v>339</v>
      </c>
      <c r="B330" t="s">
        <v>2146</v>
      </c>
      <c r="C330" t="s">
        <v>2459</v>
      </c>
      <c r="D330" t="s">
        <v>2471</v>
      </c>
      <c r="E330" t="str">
        <f t="shared" si="10"/>
        <v>BUDAPEST</v>
      </c>
      <c r="F330" t="s">
        <v>2480</v>
      </c>
      <c r="G330">
        <v>0.9</v>
      </c>
      <c r="H330" t="s">
        <v>2487</v>
      </c>
      <c r="I330">
        <v>0.88</v>
      </c>
      <c r="J330">
        <v>0.97</v>
      </c>
      <c r="K330" s="9">
        <f t="shared" si="11"/>
        <v>45476</v>
      </c>
      <c r="L330" t="s">
        <v>2621</v>
      </c>
      <c r="M330" t="s">
        <v>2924</v>
      </c>
    </row>
    <row r="331" spans="1:13" hidden="1" x14ac:dyDescent="0.35">
      <c r="A331" t="s">
        <v>340</v>
      </c>
      <c r="B331" t="s">
        <v>2257</v>
      </c>
      <c r="C331" t="s">
        <v>2457</v>
      </c>
      <c r="D331" t="s">
        <v>2474</v>
      </c>
      <c r="E331" t="str">
        <f t="shared" si="10"/>
        <v>DORTMUND DE</v>
      </c>
      <c r="F331" t="s">
        <v>2481</v>
      </c>
      <c r="G331">
        <v>199.13</v>
      </c>
      <c r="H331" t="s">
        <v>2488</v>
      </c>
      <c r="I331">
        <v>150</v>
      </c>
      <c r="J331">
        <v>400</v>
      </c>
      <c r="K331" s="9">
        <f t="shared" si="11"/>
        <v>45635</v>
      </c>
      <c r="L331" t="s">
        <v>2619</v>
      </c>
      <c r="M331" t="s">
        <v>2930</v>
      </c>
    </row>
    <row r="332" spans="1:13" hidden="1" x14ac:dyDescent="0.35">
      <c r="A332" t="s">
        <v>341</v>
      </c>
      <c r="B332" t="s">
        <v>2019</v>
      </c>
      <c r="C332" t="s">
        <v>2461</v>
      </c>
      <c r="D332" t="s">
        <v>2466</v>
      </c>
      <c r="E332" t="str">
        <f t="shared" si="10"/>
        <v>EAST HANOVER</v>
      </c>
      <c r="F332" t="s">
        <v>2483</v>
      </c>
      <c r="G332">
        <v>0.53</v>
      </c>
      <c r="H332" t="s">
        <v>2489</v>
      </c>
      <c r="I332">
        <v>0</v>
      </c>
      <c r="J332">
        <v>1</v>
      </c>
      <c r="K332" s="9">
        <f t="shared" si="11"/>
        <v>45881</v>
      </c>
      <c r="L332" t="s">
        <v>2499</v>
      </c>
      <c r="M332" t="s">
        <v>2932</v>
      </c>
    </row>
    <row r="333" spans="1:13" hidden="1" x14ac:dyDescent="0.35">
      <c r="A333" t="s">
        <v>342</v>
      </c>
      <c r="B333" t="s">
        <v>2238</v>
      </c>
      <c r="C333" t="s">
        <v>2460</v>
      </c>
      <c r="D333" t="s">
        <v>2478</v>
      </c>
      <c r="E333" t="str">
        <f t="shared" si="10"/>
        <v>BUD</v>
      </c>
      <c r="F333" t="s">
        <v>2483</v>
      </c>
      <c r="G333">
        <v>0.15</v>
      </c>
      <c r="H333" t="s">
        <v>2489</v>
      </c>
      <c r="I333">
        <v>0</v>
      </c>
      <c r="J333">
        <v>1</v>
      </c>
      <c r="K333" s="9">
        <f t="shared" si="11"/>
        <v>45698</v>
      </c>
      <c r="L333" t="s">
        <v>2636</v>
      </c>
      <c r="M333" t="s">
        <v>2924</v>
      </c>
    </row>
    <row r="334" spans="1:13" hidden="1" x14ac:dyDescent="0.35">
      <c r="A334" t="s">
        <v>343</v>
      </c>
      <c r="B334" t="s">
        <v>2041</v>
      </c>
      <c r="C334" t="s">
        <v>2460</v>
      </c>
      <c r="D334" t="s">
        <v>2467</v>
      </c>
      <c r="E334" t="str">
        <f t="shared" si="10"/>
        <v>ASHFORD</v>
      </c>
      <c r="F334" t="s">
        <v>2480</v>
      </c>
      <c r="G334">
        <v>0.91</v>
      </c>
      <c r="H334" t="s">
        <v>2487</v>
      </c>
      <c r="I334">
        <v>0.88</v>
      </c>
      <c r="J334">
        <v>0.97</v>
      </c>
      <c r="K334" s="9">
        <f t="shared" si="11"/>
        <v>45824</v>
      </c>
      <c r="L334" t="s">
        <v>2521</v>
      </c>
      <c r="M334" t="s">
        <v>2932</v>
      </c>
    </row>
    <row r="335" spans="1:13" hidden="1" x14ac:dyDescent="0.35">
      <c r="A335" t="s">
        <v>344</v>
      </c>
      <c r="B335" t="s">
        <v>2057</v>
      </c>
      <c r="C335" t="s">
        <v>2461</v>
      </c>
      <c r="D335" t="s">
        <v>2462</v>
      </c>
      <c r="E335" t="str">
        <f t="shared" si="10"/>
        <v>ASHFORD UK</v>
      </c>
      <c r="F335" t="s">
        <v>2483</v>
      </c>
      <c r="G335">
        <v>0.36</v>
      </c>
      <c r="H335" t="s">
        <v>2489</v>
      </c>
      <c r="I335">
        <v>0</v>
      </c>
      <c r="J335">
        <v>1</v>
      </c>
      <c r="K335" s="9">
        <f t="shared" si="11"/>
        <v>45869</v>
      </c>
      <c r="L335" t="s">
        <v>2709</v>
      </c>
      <c r="M335" t="s">
        <v>2931</v>
      </c>
    </row>
    <row r="336" spans="1:13" hidden="1" x14ac:dyDescent="0.35">
      <c r="A336" t="s">
        <v>345</v>
      </c>
      <c r="B336" t="s">
        <v>2258</v>
      </c>
      <c r="C336" t="s">
        <v>2460</v>
      </c>
      <c r="D336" t="s">
        <v>2468</v>
      </c>
      <c r="E336" t="str">
        <f t="shared" si="10"/>
        <v>VERNIER CH</v>
      </c>
      <c r="F336" t="s">
        <v>2481</v>
      </c>
      <c r="G336">
        <v>253.45</v>
      </c>
      <c r="H336" t="s">
        <v>2488</v>
      </c>
      <c r="I336">
        <v>150</v>
      </c>
      <c r="J336">
        <v>400</v>
      </c>
      <c r="K336" s="9">
        <f t="shared" si="11"/>
        <v>45883</v>
      </c>
      <c r="L336" t="s">
        <v>2710</v>
      </c>
      <c r="M336" t="s">
        <v>2932</v>
      </c>
    </row>
    <row r="337" spans="1:13" hidden="1" x14ac:dyDescent="0.35">
      <c r="A337" t="s">
        <v>346</v>
      </c>
      <c r="B337" t="s">
        <v>2259</v>
      </c>
      <c r="C337" t="s">
        <v>2457</v>
      </c>
      <c r="D337" t="s">
        <v>2472</v>
      </c>
      <c r="E337" t="str">
        <f t="shared" si="10"/>
        <v>VERNIER</v>
      </c>
      <c r="F337" t="s">
        <v>2484</v>
      </c>
      <c r="G337">
        <v>7.08</v>
      </c>
      <c r="I337">
        <v>6</v>
      </c>
      <c r="J337">
        <v>7.5</v>
      </c>
      <c r="K337" s="9">
        <f t="shared" si="11"/>
        <v>45863</v>
      </c>
      <c r="L337" t="s">
        <v>2711</v>
      </c>
      <c r="M337" t="s">
        <v>2930</v>
      </c>
    </row>
    <row r="338" spans="1:13" hidden="1" x14ac:dyDescent="0.35">
      <c r="A338" t="s">
        <v>347</v>
      </c>
      <c r="B338" t="s">
        <v>2260</v>
      </c>
      <c r="C338" t="s">
        <v>2461</v>
      </c>
      <c r="D338" t="s">
        <v>2478</v>
      </c>
      <c r="E338" t="str">
        <f t="shared" si="10"/>
        <v>BUD</v>
      </c>
      <c r="F338" t="s">
        <v>2484</v>
      </c>
      <c r="G338">
        <v>7.07</v>
      </c>
      <c r="I338">
        <v>6</v>
      </c>
      <c r="J338">
        <v>7.5</v>
      </c>
      <c r="K338" s="9">
        <f t="shared" si="11"/>
        <v>45623</v>
      </c>
      <c r="L338" t="s">
        <v>2712</v>
      </c>
      <c r="M338" t="s">
        <v>2925</v>
      </c>
    </row>
    <row r="339" spans="1:13" hidden="1" x14ac:dyDescent="0.35">
      <c r="A339" t="s">
        <v>348</v>
      </c>
      <c r="B339" t="s">
        <v>2236</v>
      </c>
      <c r="C339" t="s">
        <v>2457</v>
      </c>
      <c r="D339" t="s">
        <v>2476</v>
      </c>
      <c r="E339" t="str">
        <f t="shared" si="10"/>
        <v>BUDAPEST SITE</v>
      </c>
      <c r="F339" t="s">
        <v>2483</v>
      </c>
      <c r="G339">
        <v>0.1</v>
      </c>
      <c r="H339" t="s">
        <v>2489</v>
      </c>
      <c r="I339">
        <v>0</v>
      </c>
      <c r="J339">
        <v>1</v>
      </c>
      <c r="K339" s="9">
        <f t="shared" si="11"/>
        <v>45536</v>
      </c>
      <c r="L339" t="s">
        <v>2693</v>
      </c>
      <c r="M339" t="s">
        <v>2930</v>
      </c>
    </row>
    <row r="340" spans="1:13" hidden="1" x14ac:dyDescent="0.35">
      <c r="A340" t="s">
        <v>349</v>
      </c>
      <c r="B340" t="s">
        <v>2261</v>
      </c>
      <c r="C340" t="s">
        <v>2457</v>
      </c>
      <c r="D340" t="s">
        <v>2462</v>
      </c>
      <c r="E340" t="str">
        <f t="shared" si="10"/>
        <v>ASHFORD UK</v>
      </c>
      <c r="F340" t="s">
        <v>2480</v>
      </c>
      <c r="G340">
        <v>0.92</v>
      </c>
      <c r="H340" t="s">
        <v>2487</v>
      </c>
      <c r="I340">
        <v>0.88</v>
      </c>
      <c r="J340">
        <v>0.97</v>
      </c>
      <c r="K340" s="9">
        <f t="shared" si="11"/>
        <v>45409</v>
      </c>
      <c r="L340" t="s">
        <v>2512</v>
      </c>
      <c r="M340" t="s">
        <v>2930</v>
      </c>
    </row>
    <row r="341" spans="1:13" hidden="1" x14ac:dyDescent="0.35">
      <c r="A341" t="s">
        <v>350</v>
      </c>
      <c r="B341" t="s">
        <v>2262</v>
      </c>
      <c r="C341" t="s">
        <v>2459</v>
      </c>
      <c r="D341" t="s">
        <v>2465</v>
      </c>
      <c r="E341" t="str">
        <f t="shared" si="10"/>
        <v>VERNIER</v>
      </c>
      <c r="F341" t="s">
        <v>2485</v>
      </c>
      <c r="G341">
        <v>175</v>
      </c>
      <c r="H341" t="s">
        <v>2490</v>
      </c>
      <c r="I341">
        <v>0</v>
      </c>
      <c r="J341">
        <v>100</v>
      </c>
      <c r="K341" s="9">
        <f t="shared" si="11"/>
        <v>45659</v>
      </c>
      <c r="L341" t="s">
        <v>2713</v>
      </c>
      <c r="M341" t="s">
        <v>2929</v>
      </c>
    </row>
    <row r="342" spans="1:13" hidden="1" x14ac:dyDescent="0.35">
      <c r="A342" t="s">
        <v>351</v>
      </c>
      <c r="B342" t="s">
        <v>2161</v>
      </c>
      <c r="C342" t="s">
        <v>2459</v>
      </c>
      <c r="D342" t="s">
        <v>2473</v>
      </c>
      <c r="E342" t="str">
        <f t="shared" si="10"/>
        <v>DORTMUND</v>
      </c>
      <c r="F342" t="s">
        <v>2480</v>
      </c>
      <c r="G342">
        <v>0.9</v>
      </c>
      <c r="H342" t="s">
        <v>2487</v>
      </c>
      <c r="I342">
        <v>0.88</v>
      </c>
      <c r="J342">
        <v>0.97</v>
      </c>
      <c r="K342" s="9">
        <f t="shared" si="11"/>
        <v>45963</v>
      </c>
      <c r="L342" t="s">
        <v>2634</v>
      </c>
      <c r="M342" t="s">
        <v>2924</v>
      </c>
    </row>
    <row r="343" spans="1:13" hidden="1" x14ac:dyDescent="0.35">
      <c r="A343" t="s">
        <v>352</v>
      </c>
      <c r="B343" t="s">
        <v>2263</v>
      </c>
      <c r="C343" t="s">
        <v>2459</v>
      </c>
      <c r="D343" t="s">
        <v>2469</v>
      </c>
      <c r="E343" t="str">
        <f t="shared" si="10"/>
        <v>DORTMUND</v>
      </c>
      <c r="F343" t="s">
        <v>2482</v>
      </c>
      <c r="G343">
        <v>99.28</v>
      </c>
      <c r="H343" t="s">
        <v>2489</v>
      </c>
      <c r="I343">
        <v>97</v>
      </c>
      <c r="J343">
        <v>100</v>
      </c>
      <c r="K343" s="9">
        <f t="shared" si="11"/>
        <v>45573</v>
      </c>
      <c r="L343" t="s">
        <v>2581</v>
      </c>
      <c r="M343" t="s">
        <v>2924</v>
      </c>
    </row>
    <row r="344" spans="1:13" hidden="1" x14ac:dyDescent="0.35">
      <c r="A344" t="s">
        <v>353</v>
      </c>
      <c r="B344" t="s">
        <v>2187</v>
      </c>
      <c r="C344" t="s">
        <v>2457</v>
      </c>
      <c r="D344" t="s">
        <v>2467</v>
      </c>
      <c r="E344" t="str">
        <f t="shared" si="10"/>
        <v>ASHFORD</v>
      </c>
      <c r="F344" t="s">
        <v>2479</v>
      </c>
      <c r="G344">
        <v>74.34</v>
      </c>
      <c r="H344" t="s">
        <v>2486</v>
      </c>
      <c r="I344">
        <v>0</v>
      </c>
      <c r="J344">
        <v>120</v>
      </c>
      <c r="K344" s="9">
        <f t="shared" si="11"/>
        <v>46002</v>
      </c>
      <c r="L344" t="s">
        <v>2659</v>
      </c>
      <c r="M344" t="s">
        <v>2923</v>
      </c>
    </row>
    <row r="345" spans="1:13" hidden="1" x14ac:dyDescent="0.35">
      <c r="A345" t="s">
        <v>354</v>
      </c>
      <c r="B345" t="s">
        <v>2264</v>
      </c>
      <c r="C345" t="s">
        <v>2459</v>
      </c>
      <c r="D345" t="s">
        <v>2474</v>
      </c>
      <c r="E345" t="str">
        <f t="shared" si="10"/>
        <v>DORTMUND DE</v>
      </c>
      <c r="F345" t="s">
        <v>2485</v>
      </c>
      <c r="G345">
        <v>-4.1399999999999997</v>
      </c>
      <c r="H345" t="s">
        <v>2490</v>
      </c>
      <c r="I345">
        <v>0</v>
      </c>
      <c r="J345">
        <v>100</v>
      </c>
      <c r="K345" s="9">
        <f t="shared" si="11"/>
        <v>45795</v>
      </c>
      <c r="L345" t="s">
        <v>2714</v>
      </c>
      <c r="M345" t="s">
        <v>2926</v>
      </c>
    </row>
    <row r="346" spans="1:13" hidden="1" x14ac:dyDescent="0.35">
      <c r="A346" t="s">
        <v>355</v>
      </c>
      <c r="B346" t="s">
        <v>2265</v>
      </c>
      <c r="C346" t="s">
        <v>2460</v>
      </c>
      <c r="D346" t="s">
        <v>2477</v>
      </c>
      <c r="E346" t="str">
        <f t="shared" si="10"/>
        <v>BUDAPEST</v>
      </c>
      <c r="F346" t="s">
        <v>2484</v>
      </c>
      <c r="G346">
        <v>6.71</v>
      </c>
      <c r="I346">
        <v>6</v>
      </c>
      <c r="J346">
        <v>7.5</v>
      </c>
      <c r="K346" s="9">
        <f t="shared" si="11"/>
        <v>45521</v>
      </c>
      <c r="L346" t="s">
        <v>2715</v>
      </c>
      <c r="M346" t="s">
        <v>2924</v>
      </c>
    </row>
    <row r="347" spans="1:13" hidden="1" x14ac:dyDescent="0.35">
      <c r="A347" t="s">
        <v>356</v>
      </c>
      <c r="B347" t="s">
        <v>2250</v>
      </c>
      <c r="C347" t="s">
        <v>2460</v>
      </c>
      <c r="D347" t="s">
        <v>2471</v>
      </c>
      <c r="E347" t="str">
        <f t="shared" si="10"/>
        <v>BUDAPEST</v>
      </c>
      <c r="F347" t="s">
        <v>2483</v>
      </c>
      <c r="G347">
        <v>0.36</v>
      </c>
      <c r="H347" t="s">
        <v>2489</v>
      </c>
      <c r="I347">
        <v>0</v>
      </c>
      <c r="J347">
        <v>1</v>
      </c>
      <c r="K347" s="9">
        <f t="shared" si="11"/>
        <v>45670</v>
      </c>
      <c r="L347" t="s">
        <v>2703</v>
      </c>
      <c r="M347" t="s">
        <v>2928</v>
      </c>
    </row>
    <row r="348" spans="1:13" hidden="1" x14ac:dyDescent="0.35">
      <c r="A348" t="s">
        <v>357</v>
      </c>
      <c r="B348" t="s">
        <v>2065</v>
      </c>
      <c r="C348" t="s">
        <v>2459</v>
      </c>
      <c r="D348" t="s">
        <v>2464</v>
      </c>
      <c r="E348" t="str">
        <f t="shared" si="10"/>
        <v>EAST HANOVER</v>
      </c>
      <c r="F348" t="s">
        <v>2481</v>
      </c>
      <c r="G348">
        <v>246.76</v>
      </c>
      <c r="H348" t="s">
        <v>2488</v>
      </c>
      <c r="I348">
        <v>150</v>
      </c>
      <c r="J348">
        <v>400</v>
      </c>
      <c r="K348" s="9">
        <f t="shared" si="11"/>
        <v>45950</v>
      </c>
      <c r="L348" t="s">
        <v>2544</v>
      </c>
      <c r="M348" t="s">
        <v>2926</v>
      </c>
    </row>
    <row r="349" spans="1:13" hidden="1" x14ac:dyDescent="0.35">
      <c r="A349" t="s">
        <v>358</v>
      </c>
      <c r="B349" t="s">
        <v>2266</v>
      </c>
      <c r="C349" t="s">
        <v>2460</v>
      </c>
      <c r="D349" t="s">
        <v>2467</v>
      </c>
      <c r="E349" t="str">
        <f t="shared" si="10"/>
        <v>ASHFORD</v>
      </c>
      <c r="F349" t="s">
        <v>2479</v>
      </c>
      <c r="G349">
        <v>52.29</v>
      </c>
      <c r="H349" t="s">
        <v>2486</v>
      </c>
      <c r="I349">
        <v>0</v>
      </c>
      <c r="J349">
        <v>120</v>
      </c>
      <c r="K349" s="9">
        <f t="shared" si="11"/>
        <v>45819</v>
      </c>
      <c r="L349" t="s">
        <v>2620</v>
      </c>
      <c r="M349" t="s">
        <v>2932</v>
      </c>
    </row>
    <row r="350" spans="1:13" hidden="1" x14ac:dyDescent="0.35">
      <c r="A350" t="s">
        <v>359</v>
      </c>
      <c r="B350" t="s">
        <v>2119</v>
      </c>
      <c r="C350" t="s">
        <v>2459</v>
      </c>
      <c r="D350" t="s">
        <v>2472</v>
      </c>
      <c r="E350" t="str">
        <f t="shared" si="10"/>
        <v>VERNIER</v>
      </c>
      <c r="F350" t="s">
        <v>2482</v>
      </c>
      <c r="G350">
        <v>99.27</v>
      </c>
      <c r="H350" t="s">
        <v>2489</v>
      </c>
      <c r="I350">
        <v>97</v>
      </c>
      <c r="J350">
        <v>100</v>
      </c>
      <c r="K350" s="9">
        <f t="shared" si="11"/>
        <v>45348</v>
      </c>
      <c r="L350" t="s">
        <v>2595</v>
      </c>
      <c r="M350" t="s">
        <v>2929</v>
      </c>
    </row>
    <row r="351" spans="1:13" hidden="1" x14ac:dyDescent="0.35">
      <c r="A351" t="s">
        <v>360</v>
      </c>
      <c r="B351" t="s">
        <v>2267</v>
      </c>
      <c r="C351" t="s">
        <v>2460</v>
      </c>
      <c r="D351" t="s">
        <v>2470</v>
      </c>
      <c r="E351" t="str">
        <f t="shared" si="10"/>
        <v>E. HANOVER</v>
      </c>
      <c r="F351" t="s">
        <v>2481</v>
      </c>
      <c r="G351">
        <v>198.92</v>
      </c>
      <c r="H351" t="s">
        <v>2488</v>
      </c>
      <c r="I351">
        <v>150</v>
      </c>
      <c r="J351">
        <v>400</v>
      </c>
      <c r="K351" s="9">
        <f t="shared" si="11"/>
        <v>45995</v>
      </c>
      <c r="L351" t="s">
        <v>2716</v>
      </c>
      <c r="M351" t="s">
        <v>2924</v>
      </c>
    </row>
    <row r="352" spans="1:13" hidden="1" x14ac:dyDescent="0.35">
      <c r="A352" t="s">
        <v>361</v>
      </c>
      <c r="B352" t="s">
        <v>2268</v>
      </c>
      <c r="C352" t="s">
        <v>2459</v>
      </c>
      <c r="D352" t="s">
        <v>2464</v>
      </c>
      <c r="E352" t="str">
        <f t="shared" si="10"/>
        <v>EAST HANOVER</v>
      </c>
      <c r="F352" t="s">
        <v>2483</v>
      </c>
      <c r="G352">
        <v>0.47</v>
      </c>
      <c r="H352" t="s">
        <v>2489</v>
      </c>
      <c r="I352">
        <v>0</v>
      </c>
      <c r="J352">
        <v>1</v>
      </c>
      <c r="K352" s="9">
        <f t="shared" si="11"/>
        <v>45367</v>
      </c>
      <c r="L352" t="s">
        <v>2717</v>
      </c>
      <c r="M352" t="s">
        <v>2925</v>
      </c>
    </row>
    <row r="353" spans="1:13" hidden="1" x14ac:dyDescent="0.35">
      <c r="A353" t="s">
        <v>362</v>
      </c>
      <c r="B353" t="s">
        <v>2269</v>
      </c>
      <c r="C353" t="s">
        <v>2458</v>
      </c>
      <c r="D353" t="s">
        <v>2466</v>
      </c>
      <c r="E353" t="str">
        <f t="shared" si="10"/>
        <v>EAST HANOVER</v>
      </c>
      <c r="F353" t="s">
        <v>2480</v>
      </c>
      <c r="G353">
        <v>0.93</v>
      </c>
      <c r="H353" t="s">
        <v>2487</v>
      </c>
      <c r="I353">
        <v>0.88</v>
      </c>
      <c r="J353">
        <v>0.97</v>
      </c>
      <c r="K353" s="9">
        <f t="shared" si="11"/>
        <v>45638</v>
      </c>
      <c r="L353" t="s">
        <v>2552</v>
      </c>
      <c r="M353" t="s">
        <v>2932</v>
      </c>
    </row>
    <row r="354" spans="1:13" x14ac:dyDescent="0.35">
      <c r="A354" t="s">
        <v>363</v>
      </c>
      <c r="B354" t="s">
        <v>2270</v>
      </c>
      <c r="C354" t="s">
        <v>2459</v>
      </c>
      <c r="D354" t="s">
        <v>2466</v>
      </c>
      <c r="E354" t="str">
        <f t="shared" si="10"/>
        <v>EAST HANOVER</v>
      </c>
      <c r="F354" t="s">
        <v>2485</v>
      </c>
      <c r="H354" t="s">
        <v>2490</v>
      </c>
      <c r="I354">
        <v>0</v>
      </c>
      <c r="J354">
        <v>100</v>
      </c>
      <c r="K354" s="9">
        <f>IF(L354="","",
IF(MID(L354,5,1)="-",
DATE(LEFT(L354,4),MID(L354,6,2),RIGHT(L354,2)),
DATE(RIGHT(L354,4),MID(L354,4,2),LEFT(L354,2))
))</f>
        <v>45799</v>
      </c>
      <c r="L354" t="s">
        <v>2718</v>
      </c>
      <c r="M354" t="s">
        <v>2929</v>
      </c>
    </row>
    <row r="355" spans="1:13" hidden="1" x14ac:dyDescent="0.35">
      <c r="A355" t="s">
        <v>364</v>
      </c>
      <c r="B355" t="s">
        <v>2271</v>
      </c>
      <c r="C355" t="s">
        <v>2459</v>
      </c>
      <c r="D355" t="s">
        <v>2478</v>
      </c>
      <c r="E355" t="str">
        <f t="shared" si="10"/>
        <v>BUD</v>
      </c>
      <c r="F355" t="s">
        <v>2482</v>
      </c>
      <c r="G355">
        <v>98.3</v>
      </c>
      <c r="H355" t="s">
        <v>2489</v>
      </c>
      <c r="I355">
        <v>97</v>
      </c>
      <c r="J355">
        <v>100</v>
      </c>
      <c r="K355" s="9">
        <f t="shared" si="11"/>
        <v>45583</v>
      </c>
      <c r="L355" t="s">
        <v>2719</v>
      </c>
      <c r="M355" t="s">
        <v>2930</v>
      </c>
    </row>
    <row r="356" spans="1:13" hidden="1" x14ac:dyDescent="0.35">
      <c r="A356" t="s">
        <v>365</v>
      </c>
      <c r="B356" t="s">
        <v>2272</v>
      </c>
      <c r="C356" t="s">
        <v>2459</v>
      </c>
      <c r="D356" t="s">
        <v>2475</v>
      </c>
      <c r="E356" t="str">
        <f t="shared" si="10"/>
        <v>ASHFORD</v>
      </c>
      <c r="F356" t="s">
        <v>2480</v>
      </c>
      <c r="G356">
        <v>0.92</v>
      </c>
      <c r="H356" t="s">
        <v>2487</v>
      </c>
      <c r="I356">
        <v>0.88</v>
      </c>
      <c r="J356">
        <v>0.97</v>
      </c>
      <c r="K356" s="9">
        <f t="shared" si="11"/>
        <v>45680</v>
      </c>
      <c r="L356" t="s">
        <v>2720</v>
      </c>
      <c r="M356" t="s">
        <v>2923</v>
      </c>
    </row>
    <row r="357" spans="1:13" hidden="1" x14ac:dyDescent="0.35">
      <c r="A357" t="s">
        <v>366</v>
      </c>
      <c r="B357" t="s">
        <v>2273</v>
      </c>
      <c r="C357" t="s">
        <v>2459</v>
      </c>
      <c r="D357" t="s">
        <v>2471</v>
      </c>
      <c r="E357" t="str">
        <f t="shared" si="10"/>
        <v>BUDAPEST</v>
      </c>
      <c r="F357" t="s">
        <v>2483</v>
      </c>
      <c r="G357">
        <v>0.35</v>
      </c>
      <c r="H357" t="s">
        <v>2489</v>
      </c>
      <c r="I357">
        <v>0</v>
      </c>
      <c r="J357">
        <v>1</v>
      </c>
      <c r="K357" s="9">
        <f t="shared" si="11"/>
        <v>45657</v>
      </c>
      <c r="L357" t="s">
        <v>2721</v>
      </c>
      <c r="M357" t="s">
        <v>2925</v>
      </c>
    </row>
    <row r="358" spans="1:13" hidden="1" x14ac:dyDescent="0.35">
      <c r="A358" t="s">
        <v>367</v>
      </c>
      <c r="B358" t="s">
        <v>2274</v>
      </c>
      <c r="C358" t="s">
        <v>2458</v>
      </c>
      <c r="D358" t="s">
        <v>2464</v>
      </c>
      <c r="E358" t="str">
        <f t="shared" si="10"/>
        <v>EAST HANOVER</v>
      </c>
      <c r="F358" t="s">
        <v>2481</v>
      </c>
      <c r="G358">
        <v>282.47000000000003</v>
      </c>
      <c r="H358" t="s">
        <v>2488</v>
      </c>
      <c r="I358">
        <v>150</v>
      </c>
      <c r="J358">
        <v>400</v>
      </c>
      <c r="K358" s="9">
        <f t="shared" si="11"/>
        <v>45910</v>
      </c>
      <c r="L358" t="s">
        <v>2722</v>
      </c>
      <c r="M358" t="s">
        <v>2924</v>
      </c>
    </row>
    <row r="359" spans="1:13" hidden="1" x14ac:dyDescent="0.35">
      <c r="A359" t="s">
        <v>368</v>
      </c>
      <c r="B359" t="s">
        <v>2112</v>
      </c>
      <c r="C359" t="s">
        <v>2457</v>
      </c>
      <c r="D359" t="s">
        <v>2473</v>
      </c>
      <c r="E359" t="str">
        <f t="shared" si="10"/>
        <v>DORTMUND</v>
      </c>
      <c r="F359" t="s">
        <v>2482</v>
      </c>
      <c r="G359">
        <v>99.19</v>
      </c>
      <c r="H359" t="s">
        <v>2489</v>
      </c>
      <c r="I359">
        <v>97</v>
      </c>
      <c r="J359">
        <v>100</v>
      </c>
      <c r="K359" s="9">
        <f t="shared" si="11"/>
        <v>45993</v>
      </c>
      <c r="L359" t="s">
        <v>2588</v>
      </c>
      <c r="M359" t="s">
        <v>2926</v>
      </c>
    </row>
    <row r="360" spans="1:13" hidden="1" x14ac:dyDescent="0.35">
      <c r="A360" t="s">
        <v>369</v>
      </c>
      <c r="B360" t="s">
        <v>2021</v>
      </c>
      <c r="C360" t="s">
        <v>2457</v>
      </c>
      <c r="D360" t="s">
        <v>2466</v>
      </c>
      <c r="E360" t="str">
        <f t="shared" si="10"/>
        <v>EAST HANOVER</v>
      </c>
      <c r="F360" t="s">
        <v>2485</v>
      </c>
      <c r="G360">
        <v>-21.65</v>
      </c>
      <c r="H360" t="s">
        <v>2490</v>
      </c>
      <c r="I360">
        <v>0</v>
      </c>
      <c r="J360">
        <v>100</v>
      </c>
      <c r="K360" s="9">
        <f t="shared" si="11"/>
        <v>45577</v>
      </c>
      <c r="L360" t="s">
        <v>2501</v>
      </c>
      <c r="M360" t="s">
        <v>2923</v>
      </c>
    </row>
    <row r="361" spans="1:13" hidden="1" x14ac:dyDescent="0.35">
      <c r="A361" t="s">
        <v>370</v>
      </c>
      <c r="B361" t="s">
        <v>2178</v>
      </c>
      <c r="C361" t="s">
        <v>2457</v>
      </c>
      <c r="D361" t="s">
        <v>2462</v>
      </c>
      <c r="E361" t="str">
        <f t="shared" si="10"/>
        <v>ASHFORD UK</v>
      </c>
      <c r="F361" t="s">
        <v>2480</v>
      </c>
      <c r="G361">
        <v>0.93</v>
      </c>
      <c r="H361" t="s">
        <v>2487</v>
      </c>
      <c r="I361">
        <v>0.88</v>
      </c>
      <c r="J361">
        <v>0.97</v>
      </c>
      <c r="K361" s="9">
        <f t="shared" si="11"/>
        <v>45816</v>
      </c>
      <c r="L361" t="s">
        <v>2650</v>
      </c>
      <c r="M361" t="s">
        <v>2928</v>
      </c>
    </row>
    <row r="362" spans="1:13" hidden="1" x14ac:dyDescent="0.35">
      <c r="A362" t="s">
        <v>371</v>
      </c>
      <c r="B362" t="s">
        <v>2275</v>
      </c>
      <c r="C362" t="s">
        <v>2458</v>
      </c>
      <c r="D362" t="s">
        <v>2463</v>
      </c>
      <c r="E362" t="str">
        <f t="shared" si="10"/>
        <v>VERNIER</v>
      </c>
      <c r="F362" t="s">
        <v>2484</v>
      </c>
      <c r="G362">
        <v>6.93</v>
      </c>
      <c r="I362">
        <v>6</v>
      </c>
      <c r="J362">
        <v>7.5</v>
      </c>
      <c r="K362" s="9">
        <f t="shared" si="11"/>
        <v>45513</v>
      </c>
      <c r="L362" t="s">
        <v>2723</v>
      </c>
      <c r="M362" t="s">
        <v>2926</v>
      </c>
    </row>
    <row r="363" spans="1:13" hidden="1" x14ac:dyDescent="0.35">
      <c r="A363" t="s">
        <v>372</v>
      </c>
      <c r="B363" t="s">
        <v>2276</v>
      </c>
      <c r="C363" t="s">
        <v>2457</v>
      </c>
      <c r="D363" t="s">
        <v>2477</v>
      </c>
      <c r="E363" t="str">
        <f t="shared" si="10"/>
        <v>BUDAPEST</v>
      </c>
      <c r="F363" t="s">
        <v>2479</v>
      </c>
      <c r="G363">
        <v>16.649999999999999</v>
      </c>
      <c r="H363" t="s">
        <v>2486</v>
      </c>
      <c r="I363">
        <v>0</v>
      </c>
      <c r="J363">
        <v>120</v>
      </c>
      <c r="K363" s="9">
        <f t="shared" si="11"/>
        <v>45685</v>
      </c>
      <c r="L363" t="s">
        <v>2724</v>
      </c>
      <c r="M363" t="s">
        <v>2927</v>
      </c>
    </row>
    <row r="364" spans="1:13" hidden="1" x14ac:dyDescent="0.35">
      <c r="A364" t="s">
        <v>373</v>
      </c>
      <c r="B364" t="s">
        <v>2218</v>
      </c>
      <c r="C364" t="s">
        <v>2457</v>
      </c>
      <c r="D364" t="s">
        <v>2473</v>
      </c>
      <c r="E364" t="str">
        <f t="shared" si="10"/>
        <v>DORTMUND</v>
      </c>
      <c r="F364" t="s">
        <v>2480</v>
      </c>
      <c r="G364">
        <v>0.88</v>
      </c>
      <c r="H364" t="s">
        <v>2487</v>
      </c>
      <c r="I364">
        <v>0.88</v>
      </c>
      <c r="J364">
        <v>0.97</v>
      </c>
      <c r="K364" s="9">
        <f t="shared" si="11"/>
        <v>45621</v>
      </c>
      <c r="L364" t="s">
        <v>2685</v>
      </c>
      <c r="M364" t="s">
        <v>2926</v>
      </c>
    </row>
    <row r="365" spans="1:13" hidden="1" x14ac:dyDescent="0.35">
      <c r="A365" t="s">
        <v>374</v>
      </c>
      <c r="B365" t="s">
        <v>2277</v>
      </c>
      <c r="C365" t="s">
        <v>2457</v>
      </c>
      <c r="D365" t="s">
        <v>2478</v>
      </c>
      <c r="E365" t="str">
        <f t="shared" si="10"/>
        <v>BUD</v>
      </c>
      <c r="F365" t="s">
        <v>2479</v>
      </c>
      <c r="G365">
        <v>62.27</v>
      </c>
      <c r="H365" t="s">
        <v>2486</v>
      </c>
      <c r="I365">
        <v>0</v>
      </c>
      <c r="J365">
        <v>120</v>
      </c>
      <c r="K365" s="9">
        <f t="shared" si="11"/>
        <v>45587</v>
      </c>
      <c r="L365" t="s">
        <v>2725</v>
      </c>
      <c r="M365" t="s">
        <v>2932</v>
      </c>
    </row>
    <row r="366" spans="1:13" hidden="1" x14ac:dyDescent="0.35">
      <c r="A366" t="s">
        <v>375</v>
      </c>
      <c r="B366" t="s">
        <v>2278</v>
      </c>
      <c r="C366" t="s">
        <v>2460</v>
      </c>
      <c r="D366" t="s">
        <v>2475</v>
      </c>
      <c r="E366" t="str">
        <f t="shared" si="10"/>
        <v>ASHFORD</v>
      </c>
      <c r="F366" t="s">
        <v>2480</v>
      </c>
      <c r="G366">
        <v>0.93</v>
      </c>
      <c r="H366" t="s">
        <v>2487</v>
      </c>
      <c r="I366">
        <v>0.88</v>
      </c>
      <c r="J366">
        <v>0.97</v>
      </c>
      <c r="K366" s="9">
        <f t="shared" si="11"/>
        <v>45658</v>
      </c>
      <c r="L366" t="s">
        <v>2726</v>
      </c>
      <c r="M366" t="s">
        <v>2928</v>
      </c>
    </row>
    <row r="367" spans="1:13" hidden="1" x14ac:dyDescent="0.35">
      <c r="A367" t="s">
        <v>376</v>
      </c>
      <c r="B367" t="s">
        <v>2207</v>
      </c>
      <c r="C367" t="s">
        <v>2460</v>
      </c>
      <c r="D367" t="s">
        <v>2478</v>
      </c>
      <c r="E367" t="str">
        <f t="shared" si="10"/>
        <v>BUD</v>
      </c>
      <c r="F367" t="s">
        <v>2480</v>
      </c>
      <c r="G367">
        <v>0.9</v>
      </c>
      <c r="H367" t="s">
        <v>2487</v>
      </c>
      <c r="I367">
        <v>0.88</v>
      </c>
      <c r="J367">
        <v>0.97</v>
      </c>
      <c r="K367" s="9">
        <f t="shared" si="11"/>
        <v>45736</v>
      </c>
      <c r="L367" t="s">
        <v>2675</v>
      </c>
      <c r="M367" t="s">
        <v>2925</v>
      </c>
    </row>
    <row r="368" spans="1:13" hidden="1" x14ac:dyDescent="0.35">
      <c r="A368" t="s">
        <v>377</v>
      </c>
      <c r="B368" t="s">
        <v>2138</v>
      </c>
      <c r="C368" t="s">
        <v>2457</v>
      </c>
      <c r="D368" t="s">
        <v>2474</v>
      </c>
      <c r="E368" t="str">
        <f t="shared" si="10"/>
        <v>DORTMUND DE</v>
      </c>
      <c r="F368" t="s">
        <v>2480</v>
      </c>
      <c r="G368">
        <v>0.86</v>
      </c>
      <c r="H368" t="s">
        <v>2487</v>
      </c>
      <c r="I368">
        <v>0.88</v>
      </c>
      <c r="J368">
        <v>0.97</v>
      </c>
      <c r="K368" s="9">
        <f t="shared" si="11"/>
        <v>45747</v>
      </c>
      <c r="L368" t="s">
        <v>2613</v>
      </c>
      <c r="M368" t="s">
        <v>2931</v>
      </c>
    </row>
    <row r="369" spans="1:13" hidden="1" x14ac:dyDescent="0.35">
      <c r="A369" t="s">
        <v>378</v>
      </c>
      <c r="B369" t="s">
        <v>2279</v>
      </c>
      <c r="C369" t="s">
        <v>2457</v>
      </c>
      <c r="D369" t="s">
        <v>2472</v>
      </c>
      <c r="E369" t="str">
        <f t="shared" si="10"/>
        <v>VERNIER</v>
      </c>
      <c r="F369" t="s">
        <v>2483</v>
      </c>
      <c r="G369">
        <v>0.33</v>
      </c>
      <c r="H369" t="s">
        <v>2489</v>
      </c>
      <c r="I369">
        <v>0</v>
      </c>
      <c r="J369">
        <v>1</v>
      </c>
      <c r="K369" s="9">
        <f t="shared" si="11"/>
        <v>45485</v>
      </c>
      <c r="L369" t="s">
        <v>2727</v>
      </c>
      <c r="M369" t="s">
        <v>2930</v>
      </c>
    </row>
    <row r="370" spans="1:13" hidden="1" x14ac:dyDescent="0.35">
      <c r="A370" t="s">
        <v>379</v>
      </c>
      <c r="B370" t="s">
        <v>2275</v>
      </c>
      <c r="C370" t="s">
        <v>2458</v>
      </c>
      <c r="D370" t="s">
        <v>2463</v>
      </c>
      <c r="E370" t="str">
        <f t="shared" si="10"/>
        <v>VERNIER</v>
      </c>
      <c r="F370" t="s">
        <v>2482</v>
      </c>
      <c r="G370">
        <v>97.94</v>
      </c>
      <c r="H370" t="s">
        <v>2489</v>
      </c>
      <c r="I370">
        <v>97</v>
      </c>
      <c r="J370">
        <v>100</v>
      </c>
      <c r="K370" s="9">
        <f t="shared" si="11"/>
        <v>45513</v>
      </c>
      <c r="L370" t="s">
        <v>2723</v>
      </c>
      <c r="M370" t="s">
        <v>2931</v>
      </c>
    </row>
    <row r="371" spans="1:13" hidden="1" x14ac:dyDescent="0.35">
      <c r="A371" t="s">
        <v>380</v>
      </c>
      <c r="B371" t="s">
        <v>2135</v>
      </c>
      <c r="C371" t="s">
        <v>2461</v>
      </c>
      <c r="D371" t="s">
        <v>2476</v>
      </c>
      <c r="E371" t="str">
        <f t="shared" si="10"/>
        <v>BUDAPEST SITE</v>
      </c>
      <c r="F371" t="s">
        <v>2479</v>
      </c>
      <c r="G371">
        <v>10.19</v>
      </c>
      <c r="H371" t="s">
        <v>2486</v>
      </c>
      <c r="I371">
        <v>0</v>
      </c>
      <c r="J371">
        <v>120</v>
      </c>
      <c r="K371" s="9">
        <f t="shared" si="11"/>
        <v>45904</v>
      </c>
      <c r="L371" t="s">
        <v>2611</v>
      </c>
      <c r="M371" t="s">
        <v>2928</v>
      </c>
    </row>
    <row r="372" spans="1:13" hidden="1" x14ac:dyDescent="0.35">
      <c r="A372" t="s">
        <v>381</v>
      </c>
      <c r="B372" t="s">
        <v>2280</v>
      </c>
      <c r="C372" t="s">
        <v>2460</v>
      </c>
      <c r="D372" t="s">
        <v>2464</v>
      </c>
      <c r="E372" t="str">
        <f t="shared" si="10"/>
        <v>EAST HANOVER</v>
      </c>
      <c r="F372" t="s">
        <v>2482</v>
      </c>
      <c r="G372">
        <v>97.22</v>
      </c>
      <c r="H372" t="s">
        <v>2489</v>
      </c>
      <c r="I372">
        <v>97</v>
      </c>
      <c r="J372">
        <v>100</v>
      </c>
      <c r="K372" s="9">
        <f t="shared" si="11"/>
        <v>45685</v>
      </c>
      <c r="L372" t="s">
        <v>2724</v>
      </c>
      <c r="M372" t="s">
        <v>2924</v>
      </c>
    </row>
    <row r="373" spans="1:13" hidden="1" x14ac:dyDescent="0.35">
      <c r="A373" t="s">
        <v>382</v>
      </c>
      <c r="B373" t="s">
        <v>2230</v>
      </c>
      <c r="C373" t="s">
        <v>2457</v>
      </c>
      <c r="D373" t="s">
        <v>2474</v>
      </c>
      <c r="E373" t="str">
        <f t="shared" si="10"/>
        <v>DORTMUND DE</v>
      </c>
      <c r="F373" t="s">
        <v>2485</v>
      </c>
      <c r="G373">
        <v>7.48</v>
      </c>
      <c r="H373" t="s">
        <v>2490</v>
      </c>
      <c r="I373">
        <v>0</v>
      </c>
      <c r="J373">
        <v>100</v>
      </c>
      <c r="K373" s="9">
        <f t="shared" si="11"/>
        <v>45721</v>
      </c>
      <c r="L373" t="s">
        <v>2610</v>
      </c>
      <c r="M373" t="s">
        <v>2929</v>
      </c>
    </row>
    <row r="374" spans="1:13" hidden="1" x14ac:dyDescent="0.35">
      <c r="A374" t="s">
        <v>383</v>
      </c>
      <c r="B374" t="s">
        <v>2281</v>
      </c>
      <c r="C374" t="s">
        <v>2458</v>
      </c>
      <c r="D374" t="s">
        <v>2464</v>
      </c>
      <c r="E374" t="str">
        <f t="shared" si="10"/>
        <v>EAST HANOVER</v>
      </c>
      <c r="F374" t="s">
        <v>2481</v>
      </c>
      <c r="G374">
        <v>237.02</v>
      </c>
      <c r="H374" t="s">
        <v>2488</v>
      </c>
      <c r="I374">
        <v>150</v>
      </c>
      <c r="J374">
        <v>400</v>
      </c>
      <c r="K374" s="9">
        <f t="shared" si="11"/>
        <v>45759</v>
      </c>
      <c r="L374" t="s">
        <v>2728</v>
      </c>
      <c r="M374" t="s">
        <v>2925</v>
      </c>
    </row>
    <row r="375" spans="1:13" hidden="1" x14ac:dyDescent="0.35">
      <c r="A375" t="s">
        <v>384</v>
      </c>
      <c r="B375" t="s">
        <v>2052</v>
      </c>
      <c r="C375" t="s">
        <v>2460</v>
      </c>
      <c r="D375" t="s">
        <v>2464</v>
      </c>
      <c r="E375" t="str">
        <f t="shared" si="10"/>
        <v>EAST HANOVER</v>
      </c>
      <c r="F375" t="s">
        <v>2482</v>
      </c>
      <c r="G375">
        <v>99.47</v>
      </c>
      <c r="H375" t="s">
        <v>2489</v>
      </c>
      <c r="I375">
        <v>97</v>
      </c>
      <c r="J375">
        <v>100</v>
      </c>
      <c r="K375" s="9">
        <f t="shared" si="11"/>
        <v>45461</v>
      </c>
      <c r="L375" t="s">
        <v>2531</v>
      </c>
      <c r="M375" t="s">
        <v>2931</v>
      </c>
    </row>
    <row r="376" spans="1:13" hidden="1" x14ac:dyDescent="0.35">
      <c r="A376" t="s">
        <v>385</v>
      </c>
      <c r="B376" t="s">
        <v>2282</v>
      </c>
      <c r="C376" t="s">
        <v>2459</v>
      </c>
      <c r="D376" t="s">
        <v>2469</v>
      </c>
      <c r="E376" t="str">
        <f t="shared" si="10"/>
        <v>DORTMUND</v>
      </c>
      <c r="F376" t="s">
        <v>2480</v>
      </c>
      <c r="G376">
        <v>0.92</v>
      </c>
      <c r="H376" t="s">
        <v>2487</v>
      </c>
      <c r="I376">
        <v>0.88</v>
      </c>
      <c r="J376">
        <v>0.97</v>
      </c>
      <c r="K376" s="9">
        <f t="shared" si="11"/>
        <v>45367</v>
      </c>
      <c r="L376" t="s">
        <v>2717</v>
      </c>
      <c r="M376" t="s">
        <v>2930</v>
      </c>
    </row>
    <row r="377" spans="1:13" hidden="1" x14ac:dyDescent="0.35">
      <c r="A377" t="s">
        <v>386</v>
      </c>
      <c r="B377" t="s">
        <v>2119</v>
      </c>
      <c r="C377" t="s">
        <v>2459</v>
      </c>
      <c r="D377" t="s">
        <v>2468</v>
      </c>
      <c r="E377" t="str">
        <f t="shared" si="10"/>
        <v>VERNIER CH</v>
      </c>
      <c r="F377" t="s">
        <v>2479</v>
      </c>
      <c r="G377">
        <v>60.22</v>
      </c>
      <c r="H377" t="s">
        <v>2486</v>
      </c>
      <c r="I377">
        <v>0</v>
      </c>
      <c r="J377">
        <v>120</v>
      </c>
      <c r="K377" s="9">
        <f t="shared" si="11"/>
        <v>45348</v>
      </c>
      <c r="L377" t="s">
        <v>2595</v>
      </c>
      <c r="M377" t="s">
        <v>2932</v>
      </c>
    </row>
    <row r="378" spans="1:13" hidden="1" x14ac:dyDescent="0.35">
      <c r="A378" t="s">
        <v>387</v>
      </c>
      <c r="B378" t="s">
        <v>2165</v>
      </c>
      <c r="C378" t="s">
        <v>2458</v>
      </c>
      <c r="D378" t="s">
        <v>2476</v>
      </c>
      <c r="E378" t="str">
        <f t="shared" si="10"/>
        <v>BUDAPEST SITE</v>
      </c>
      <c r="F378" t="s">
        <v>2481</v>
      </c>
      <c r="G378">
        <v>236.87</v>
      </c>
      <c r="H378" t="s">
        <v>2488</v>
      </c>
      <c r="I378">
        <v>150</v>
      </c>
      <c r="J378">
        <v>400</v>
      </c>
      <c r="K378" s="9">
        <f t="shared" si="11"/>
        <v>45886</v>
      </c>
      <c r="L378" t="s">
        <v>2638</v>
      </c>
      <c r="M378" t="s">
        <v>2927</v>
      </c>
    </row>
    <row r="379" spans="1:13" hidden="1" x14ac:dyDescent="0.35">
      <c r="A379" t="s">
        <v>388</v>
      </c>
      <c r="B379" t="s">
        <v>2158</v>
      </c>
      <c r="C379" t="s">
        <v>2459</v>
      </c>
      <c r="D379" t="s">
        <v>2464</v>
      </c>
      <c r="E379" t="str">
        <f t="shared" si="10"/>
        <v>EAST HANOVER</v>
      </c>
      <c r="F379" t="s">
        <v>2482</v>
      </c>
      <c r="G379">
        <v>98.79</v>
      </c>
      <c r="H379" t="s">
        <v>2489</v>
      </c>
      <c r="I379">
        <v>97</v>
      </c>
      <c r="J379">
        <v>100</v>
      </c>
      <c r="K379" s="9">
        <f t="shared" si="11"/>
        <v>45374</v>
      </c>
      <c r="L379" t="s">
        <v>2518</v>
      </c>
      <c r="M379" t="s">
        <v>2925</v>
      </c>
    </row>
    <row r="380" spans="1:13" hidden="1" x14ac:dyDescent="0.35">
      <c r="A380" t="s">
        <v>389</v>
      </c>
      <c r="B380" t="s">
        <v>2283</v>
      </c>
      <c r="C380" t="s">
        <v>2461</v>
      </c>
      <c r="D380" t="s">
        <v>2472</v>
      </c>
      <c r="E380" t="str">
        <f t="shared" si="10"/>
        <v>VERNIER</v>
      </c>
      <c r="F380" t="s">
        <v>2485</v>
      </c>
      <c r="G380">
        <v>19.16</v>
      </c>
      <c r="H380" t="s">
        <v>2490</v>
      </c>
      <c r="I380">
        <v>0</v>
      </c>
      <c r="J380">
        <v>100</v>
      </c>
      <c r="K380" s="9">
        <f t="shared" si="11"/>
        <v>45487</v>
      </c>
      <c r="L380" t="s">
        <v>2729</v>
      </c>
      <c r="M380" t="s">
        <v>2932</v>
      </c>
    </row>
    <row r="381" spans="1:13" hidden="1" x14ac:dyDescent="0.35">
      <c r="A381" t="s">
        <v>390</v>
      </c>
      <c r="B381" t="s">
        <v>2284</v>
      </c>
      <c r="C381" t="s">
        <v>2461</v>
      </c>
      <c r="D381" t="s">
        <v>2478</v>
      </c>
      <c r="E381" t="str">
        <f t="shared" si="10"/>
        <v>BUD</v>
      </c>
      <c r="F381" t="s">
        <v>2483</v>
      </c>
      <c r="G381">
        <v>0.64</v>
      </c>
      <c r="H381" t="s">
        <v>2489</v>
      </c>
      <c r="I381">
        <v>0</v>
      </c>
      <c r="J381">
        <v>1</v>
      </c>
      <c r="K381" s="9">
        <f t="shared" si="11"/>
        <v>45542</v>
      </c>
      <c r="L381" t="s">
        <v>2571</v>
      </c>
      <c r="M381" t="s">
        <v>2925</v>
      </c>
    </row>
    <row r="382" spans="1:13" hidden="1" x14ac:dyDescent="0.35">
      <c r="A382" t="s">
        <v>391</v>
      </c>
      <c r="B382" t="s">
        <v>2285</v>
      </c>
      <c r="C382" t="s">
        <v>2457</v>
      </c>
      <c r="D382" t="s">
        <v>2472</v>
      </c>
      <c r="E382" t="str">
        <f t="shared" si="10"/>
        <v>VERNIER</v>
      </c>
      <c r="F382" t="s">
        <v>2480</v>
      </c>
      <c r="G382">
        <v>0.97</v>
      </c>
      <c r="H382" t="s">
        <v>2487</v>
      </c>
      <c r="I382">
        <v>0.88</v>
      </c>
      <c r="J382">
        <v>0.97</v>
      </c>
      <c r="K382" s="9">
        <f t="shared" si="11"/>
        <v>45960</v>
      </c>
      <c r="L382" t="s">
        <v>2678</v>
      </c>
      <c r="M382" t="s">
        <v>2930</v>
      </c>
    </row>
    <row r="383" spans="1:13" hidden="1" x14ac:dyDescent="0.35">
      <c r="A383" t="s">
        <v>392</v>
      </c>
      <c r="B383" t="s">
        <v>2068</v>
      </c>
      <c r="C383" t="s">
        <v>2459</v>
      </c>
      <c r="D383" t="s">
        <v>2471</v>
      </c>
      <c r="E383" t="str">
        <f t="shared" si="10"/>
        <v>BUDAPEST</v>
      </c>
      <c r="F383" t="s">
        <v>2484</v>
      </c>
      <c r="G383">
        <v>6.32</v>
      </c>
      <c r="I383">
        <v>6</v>
      </c>
      <c r="J383">
        <v>7.5</v>
      </c>
      <c r="K383" s="9">
        <f t="shared" si="11"/>
        <v>45999</v>
      </c>
      <c r="L383" t="s">
        <v>2547</v>
      </c>
      <c r="M383" t="s">
        <v>2925</v>
      </c>
    </row>
    <row r="384" spans="1:13" hidden="1" x14ac:dyDescent="0.35">
      <c r="A384" t="s">
        <v>393</v>
      </c>
      <c r="B384" t="s">
        <v>2090</v>
      </c>
      <c r="C384" t="s">
        <v>2457</v>
      </c>
      <c r="D384" t="s">
        <v>2475</v>
      </c>
      <c r="E384" t="str">
        <f t="shared" si="10"/>
        <v>ASHFORD</v>
      </c>
      <c r="F384" t="s">
        <v>2479</v>
      </c>
      <c r="G384">
        <v>33.82</v>
      </c>
      <c r="H384" t="s">
        <v>2486</v>
      </c>
      <c r="I384">
        <v>0</v>
      </c>
      <c r="J384">
        <v>120</v>
      </c>
      <c r="K384" s="9">
        <f t="shared" si="11"/>
        <v>45534</v>
      </c>
      <c r="L384" t="s">
        <v>2568</v>
      </c>
      <c r="M384" t="s">
        <v>2931</v>
      </c>
    </row>
    <row r="385" spans="1:13" hidden="1" x14ac:dyDescent="0.35">
      <c r="A385" t="s">
        <v>394</v>
      </c>
      <c r="B385" t="s">
        <v>2286</v>
      </c>
      <c r="C385" t="s">
        <v>2458</v>
      </c>
      <c r="D385" t="s">
        <v>2473</v>
      </c>
      <c r="E385" t="str">
        <f t="shared" si="10"/>
        <v>DORTMUND</v>
      </c>
      <c r="F385" t="s">
        <v>2479</v>
      </c>
      <c r="G385">
        <v>180</v>
      </c>
      <c r="H385" t="s">
        <v>2486</v>
      </c>
      <c r="I385">
        <v>0</v>
      </c>
      <c r="J385">
        <v>120</v>
      </c>
      <c r="K385" s="9">
        <f t="shared" si="11"/>
        <v>45739</v>
      </c>
      <c r="L385" t="s">
        <v>2525</v>
      </c>
      <c r="M385" t="s">
        <v>2928</v>
      </c>
    </row>
    <row r="386" spans="1:13" hidden="1" x14ac:dyDescent="0.35">
      <c r="A386" t="s">
        <v>395</v>
      </c>
      <c r="B386" t="s">
        <v>2287</v>
      </c>
      <c r="C386" t="s">
        <v>2460</v>
      </c>
      <c r="D386" t="s">
        <v>2468</v>
      </c>
      <c r="E386" t="str">
        <f t="shared" si="10"/>
        <v>VERNIER CH</v>
      </c>
      <c r="F386" t="s">
        <v>2485</v>
      </c>
      <c r="G386">
        <v>-33.4</v>
      </c>
      <c r="H386" t="s">
        <v>2490</v>
      </c>
      <c r="I386">
        <v>0</v>
      </c>
      <c r="J386">
        <v>100</v>
      </c>
      <c r="K386" s="9">
        <f t="shared" si="11"/>
        <v>45448</v>
      </c>
      <c r="L386" t="s">
        <v>2730</v>
      </c>
      <c r="M386" t="s">
        <v>2928</v>
      </c>
    </row>
    <row r="387" spans="1:13" hidden="1" x14ac:dyDescent="0.35">
      <c r="A387" t="s">
        <v>396</v>
      </c>
      <c r="B387" t="s">
        <v>2288</v>
      </c>
      <c r="C387" t="s">
        <v>2457</v>
      </c>
      <c r="D387" t="s">
        <v>2474</v>
      </c>
      <c r="E387" t="str">
        <f t="shared" ref="E387:E450" si="12">UPPER(D387)</f>
        <v>DORTMUND DE</v>
      </c>
      <c r="F387" t="s">
        <v>2483</v>
      </c>
      <c r="G387">
        <v>0.22</v>
      </c>
      <c r="H387" t="s">
        <v>2489</v>
      </c>
      <c r="I387">
        <v>0</v>
      </c>
      <c r="J387">
        <v>1</v>
      </c>
      <c r="K387" s="9">
        <f t="shared" ref="K387:K450" si="13">IF(L387="","",
IF(MID(L387,5,1)="-",
DATE(LEFT(L387,4),MID(L387,6,2),RIGHT(L387,2)),
DATE(RIGHT(L387,4),MID(L387,4,2),LEFT(L387,2))
))</f>
        <v>45894</v>
      </c>
      <c r="L387" t="s">
        <v>2731</v>
      </c>
      <c r="M387" t="s">
        <v>2930</v>
      </c>
    </row>
    <row r="388" spans="1:13" hidden="1" x14ac:dyDescent="0.35">
      <c r="A388" t="s">
        <v>397</v>
      </c>
      <c r="B388" t="s">
        <v>2228</v>
      </c>
      <c r="C388" t="s">
        <v>2458</v>
      </c>
      <c r="D388" t="s">
        <v>2470</v>
      </c>
      <c r="E388" t="str">
        <f t="shared" si="12"/>
        <v>E. HANOVER</v>
      </c>
      <c r="F388" t="s">
        <v>2483</v>
      </c>
      <c r="G388">
        <v>0.65</v>
      </c>
      <c r="H388" t="s">
        <v>2489</v>
      </c>
      <c r="I388">
        <v>0</v>
      </c>
      <c r="J388">
        <v>1</v>
      </c>
      <c r="K388" s="9">
        <f t="shared" si="13"/>
        <v>45813</v>
      </c>
      <c r="L388" t="s">
        <v>2690</v>
      </c>
      <c r="M388" t="s">
        <v>2932</v>
      </c>
    </row>
    <row r="389" spans="1:13" hidden="1" x14ac:dyDescent="0.35">
      <c r="A389" t="s">
        <v>398</v>
      </c>
      <c r="B389" t="s">
        <v>2158</v>
      </c>
      <c r="C389" t="s">
        <v>2459</v>
      </c>
      <c r="D389" t="s">
        <v>2470</v>
      </c>
      <c r="E389" t="str">
        <f t="shared" si="12"/>
        <v>E. HANOVER</v>
      </c>
      <c r="F389" t="s">
        <v>2480</v>
      </c>
      <c r="G389">
        <v>0.89</v>
      </c>
      <c r="H389" t="s">
        <v>2487</v>
      </c>
      <c r="I389">
        <v>0.88</v>
      </c>
      <c r="J389">
        <v>0.97</v>
      </c>
      <c r="K389" s="9">
        <f t="shared" si="13"/>
        <v>45374</v>
      </c>
      <c r="L389" t="s">
        <v>2518</v>
      </c>
      <c r="M389" t="s">
        <v>2932</v>
      </c>
    </row>
    <row r="390" spans="1:13" hidden="1" x14ac:dyDescent="0.35">
      <c r="A390" t="s">
        <v>399</v>
      </c>
      <c r="B390" t="s">
        <v>2289</v>
      </c>
      <c r="C390" t="s">
        <v>2457</v>
      </c>
      <c r="D390" t="s">
        <v>2478</v>
      </c>
      <c r="E390" t="str">
        <f t="shared" si="12"/>
        <v>BUD</v>
      </c>
      <c r="F390" t="s">
        <v>2479</v>
      </c>
      <c r="G390">
        <v>86.04</v>
      </c>
      <c r="H390" t="s">
        <v>2486</v>
      </c>
      <c r="I390">
        <v>0</v>
      </c>
      <c r="J390">
        <v>120</v>
      </c>
      <c r="K390" s="9">
        <f t="shared" si="13"/>
        <v>45326</v>
      </c>
      <c r="L390" t="s">
        <v>2732</v>
      </c>
      <c r="M390" t="s">
        <v>2923</v>
      </c>
    </row>
    <row r="391" spans="1:13" hidden="1" x14ac:dyDescent="0.35">
      <c r="A391" t="s">
        <v>400</v>
      </c>
      <c r="B391" t="s">
        <v>2179</v>
      </c>
      <c r="C391" t="s">
        <v>2460</v>
      </c>
      <c r="D391" t="s">
        <v>2469</v>
      </c>
      <c r="E391" t="str">
        <f t="shared" si="12"/>
        <v>DORTMUND</v>
      </c>
      <c r="F391" t="s">
        <v>2484</v>
      </c>
      <c r="G391">
        <v>6.59</v>
      </c>
      <c r="I391">
        <v>6</v>
      </c>
      <c r="J391">
        <v>7.5</v>
      </c>
      <c r="K391" s="9">
        <f t="shared" si="13"/>
        <v>45693</v>
      </c>
      <c r="L391" t="s">
        <v>2651</v>
      </c>
      <c r="M391" t="s">
        <v>2925</v>
      </c>
    </row>
    <row r="392" spans="1:13" x14ac:dyDescent="0.35">
      <c r="A392" t="s">
        <v>401</v>
      </c>
      <c r="B392" t="s">
        <v>2211</v>
      </c>
      <c r="C392" t="s">
        <v>2457</v>
      </c>
      <c r="D392" t="s">
        <v>2477</v>
      </c>
      <c r="E392" t="str">
        <f t="shared" si="12"/>
        <v>BUDAPEST</v>
      </c>
      <c r="F392" t="s">
        <v>2484</v>
      </c>
      <c r="I392">
        <v>6</v>
      </c>
      <c r="J392">
        <v>7.5</v>
      </c>
      <c r="K392" s="9">
        <f t="shared" si="13"/>
        <v>45540</v>
      </c>
      <c r="L392" t="s">
        <v>2618</v>
      </c>
      <c r="M392" t="s">
        <v>2924</v>
      </c>
    </row>
    <row r="393" spans="1:13" hidden="1" x14ac:dyDescent="0.35">
      <c r="A393" t="s">
        <v>402</v>
      </c>
      <c r="B393" t="s">
        <v>2095</v>
      </c>
      <c r="C393" t="s">
        <v>2459</v>
      </c>
      <c r="D393" t="s">
        <v>2475</v>
      </c>
      <c r="E393" t="str">
        <f t="shared" si="12"/>
        <v>ASHFORD</v>
      </c>
      <c r="F393" t="s">
        <v>2482</v>
      </c>
      <c r="G393">
        <v>99.23</v>
      </c>
      <c r="H393" t="s">
        <v>2489</v>
      </c>
      <c r="I393">
        <v>97</v>
      </c>
      <c r="J393">
        <v>100</v>
      </c>
      <c r="K393" s="9">
        <f t="shared" si="13"/>
        <v>45825</v>
      </c>
      <c r="L393" t="s">
        <v>2573</v>
      </c>
      <c r="M393" t="s">
        <v>2929</v>
      </c>
    </row>
    <row r="394" spans="1:13" hidden="1" x14ac:dyDescent="0.35">
      <c r="A394" t="s">
        <v>403</v>
      </c>
      <c r="B394" t="s">
        <v>2290</v>
      </c>
      <c r="C394" t="s">
        <v>2461</v>
      </c>
      <c r="D394" t="s">
        <v>2473</v>
      </c>
      <c r="E394" t="str">
        <f t="shared" si="12"/>
        <v>DORTMUND</v>
      </c>
      <c r="F394" t="s">
        <v>2481</v>
      </c>
      <c r="G394">
        <v>271.75</v>
      </c>
      <c r="H394" t="s">
        <v>2488</v>
      </c>
      <c r="I394">
        <v>150</v>
      </c>
      <c r="J394">
        <v>400</v>
      </c>
      <c r="K394" s="9">
        <f t="shared" si="13"/>
        <v>45864</v>
      </c>
      <c r="L394" t="s">
        <v>2550</v>
      </c>
      <c r="M394" t="s">
        <v>2927</v>
      </c>
    </row>
    <row r="395" spans="1:13" hidden="1" x14ac:dyDescent="0.35">
      <c r="A395" t="s">
        <v>404</v>
      </c>
      <c r="B395" t="s">
        <v>2291</v>
      </c>
      <c r="C395" t="s">
        <v>2458</v>
      </c>
      <c r="D395" t="s">
        <v>2466</v>
      </c>
      <c r="E395" t="str">
        <f t="shared" si="12"/>
        <v>EAST HANOVER</v>
      </c>
      <c r="F395" t="s">
        <v>2480</v>
      </c>
      <c r="G395">
        <v>0.91</v>
      </c>
      <c r="H395" t="s">
        <v>2487</v>
      </c>
      <c r="I395">
        <v>0.88</v>
      </c>
      <c r="J395">
        <v>0.97</v>
      </c>
      <c r="K395" s="9">
        <f t="shared" si="13"/>
        <v>45763</v>
      </c>
      <c r="L395" t="s">
        <v>2733</v>
      </c>
      <c r="M395" t="s">
        <v>2926</v>
      </c>
    </row>
    <row r="396" spans="1:13" hidden="1" x14ac:dyDescent="0.35">
      <c r="A396" t="s">
        <v>405</v>
      </c>
      <c r="B396" t="s">
        <v>2292</v>
      </c>
      <c r="C396" t="s">
        <v>2461</v>
      </c>
      <c r="D396" t="s">
        <v>2465</v>
      </c>
      <c r="E396" t="str">
        <f t="shared" si="12"/>
        <v>VERNIER</v>
      </c>
      <c r="F396" t="s">
        <v>2485</v>
      </c>
      <c r="G396">
        <v>-19.41</v>
      </c>
      <c r="H396" t="s">
        <v>2490</v>
      </c>
      <c r="I396">
        <v>0</v>
      </c>
      <c r="J396">
        <v>100</v>
      </c>
      <c r="K396" s="9">
        <f t="shared" si="13"/>
        <v>45646</v>
      </c>
      <c r="L396" t="s">
        <v>2734</v>
      </c>
      <c r="M396" t="s">
        <v>2928</v>
      </c>
    </row>
    <row r="397" spans="1:13" hidden="1" x14ac:dyDescent="0.35">
      <c r="A397" t="s">
        <v>406</v>
      </c>
      <c r="B397" t="s">
        <v>2237</v>
      </c>
      <c r="C397" t="s">
        <v>2458</v>
      </c>
      <c r="D397" t="s">
        <v>2463</v>
      </c>
      <c r="E397" t="str">
        <f t="shared" si="12"/>
        <v>VERNIER</v>
      </c>
      <c r="F397" t="s">
        <v>2484</v>
      </c>
      <c r="G397">
        <v>6.7</v>
      </c>
      <c r="I397">
        <v>6</v>
      </c>
      <c r="J397">
        <v>7.5</v>
      </c>
      <c r="K397" s="9">
        <f t="shared" si="13"/>
        <v>45697</v>
      </c>
      <c r="L397" t="s">
        <v>2694</v>
      </c>
      <c r="M397" t="s">
        <v>2930</v>
      </c>
    </row>
    <row r="398" spans="1:13" hidden="1" x14ac:dyDescent="0.35">
      <c r="A398" t="s">
        <v>407</v>
      </c>
      <c r="B398" t="s">
        <v>2127</v>
      </c>
      <c r="C398" t="s">
        <v>2459</v>
      </c>
      <c r="D398" t="s">
        <v>2463</v>
      </c>
      <c r="E398" t="str">
        <f t="shared" si="12"/>
        <v>VERNIER</v>
      </c>
      <c r="F398" t="s">
        <v>2484</v>
      </c>
      <c r="G398">
        <v>6.42</v>
      </c>
      <c r="I398">
        <v>6</v>
      </c>
      <c r="J398">
        <v>7.5</v>
      </c>
      <c r="K398" s="9">
        <f t="shared" si="13"/>
        <v>45788</v>
      </c>
      <c r="L398" t="s">
        <v>2603</v>
      </c>
      <c r="M398" t="s">
        <v>2928</v>
      </c>
    </row>
    <row r="399" spans="1:13" hidden="1" x14ac:dyDescent="0.35">
      <c r="A399" t="s">
        <v>408</v>
      </c>
      <c r="B399" t="s">
        <v>2096</v>
      </c>
      <c r="C399" t="s">
        <v>2460</v>
      </c>
      <c r="D399" t="s">
        <v>2466</v>
      </c>
      <c r="E399" t="str">
        <f t="shared" si="12"/>
        <v>EAST HANOVER</v>
      </c>
      <c r="F399" t="s">
        <v>2479</v>
      </c>
      <c r="G399">
        <v>30.18</v>
      </c>
      <c r="H399" t="s">
        <v>2486</v>
      </c>
      <c r="I399">
        <v>0</v>
      </c>
      <c r="J399">
        <v>120</v>
      </c>
      <c r="K399" s="9">
        <f t="shared" si="13"/>
        <v>45385</v>
      </c>
      <c r="L399" t="s">
        <v>2574</v>
      </c>
      <c r="M399" t="s">
        <v>2923</v>
      </c>
    </row>
    <row r="400" spans="1:13" hidden="1" x14ac:dyDescent="0.35">
      <c r="A400" t="s">
        <v>409</v>
      </c>
      <c r="B400" t="s">
        <v>2293</v>
      </c>
      <c r="C400" t="s">
        <v>2459</v>
      </c>
      <c r="D400" t="s">
        <v>2466</v>
      </c>
      <c r="E400" t="str">
        <f t="shared" si="12"/>
        <v>EAST HANOVER</v>
      </c>
      <c r="F400" t="s">
        <v>2483</v>
      </c>
      <c r="G400">
        <v>0.61</v>
      </c>
      <c r="H400" t="s">
        <v>2489</v>
      </c>
      <c r="I400">
        <v>0</v>
      </c>
      <c r="J400">
        <v>1</v>
      </c>
      <c r="K400" s="9">
        <f t="shared" si="13"/>
        <v>45970</v>
      </c>
      <c r="L400" t="s">
        <v>2639</v>
      </c>
      <c r="M400" t="s">
        <v>2929</v>
      </c>
    </row>
    <row r="401" spans="1:13" hidden="1" x14ac:dyDescent="0.35">
      <c r="A401" t="s">
        <v>410</v>
      </c>
      <c r="B401" t="s">
        <v>2294</v>
      </c>
      <c r="C401" t="s">
        <v>2460</v>
      </c>
      <c r="D401" t="s">
        <v>2471</v>
      </c>
      <c r="E401" t="str">
        <f t="shared" si="12"/>
        <v>BUDAPEST</v>
      </c>
      <c r="F401" t="s">
        <v>2482</v>
      </c>
      <c r="G401">
        <v>98.82</v>
      </c>
      <c r="H401" t="s">
        <v>2489</v>
      </c>
      <c r="I401">
        <v>97</v>
      </c>
      <c r="J401">
        <v>100</v>
      </c>
      <c r="K401" s="9">
        <f t="shared" si="13"/>
        <v>45560</v>
      </c>
      <c r="L401" t="s">
        <v>2735</v>
      </c>
      <c r="M401" t="s">
        <v>2926</v>
      </c>
    </row>
    <row r="402" spans="1:13" hidden="1" x14ac:dyDescent="0.35">
      <c r="A402" t="s">
        <v>411</v>
      </c>
      <c r="B402" t="s">
        <v>2295</v>
      </c>
      <c r="C402" t="s">
        <v>2459</v>
      </c>
      <c r="D402" t="s">
        <v>2465</v>
      </c>
      <c r="E402" t="str">
        <f t="shared" si="12"/>
        <v>VERNIER</v>
      </c>
      <c r="F402" t="s">
        <v>2479</v>
      </c>
      <c r="G402">
        <v>41.46</v>
      </c>
      <c r="H402" t="s">
        <v>2486</v>
      </c>
      <c r="I402">
        <v>0</v>
      </c>
      <c r="J402">
        <v>120</v>
      </c>
      <c r="K402" s="9">
        <f t="shared" si="13"/>
        <v>45977</v>
      </c>
      <c r="L402" t="s">
        <v>2736</v>
      </c>
      <c r="M402" t="s">
        <v>2928</v>
      </c>
    </row>
    <row r="403" spans="1:13" hidden="1" x14ac:dyDescent="0.35">
      <c r="A403" t="s">
        <v>412</v>
      </c>
      <c r="B403" t="s">
        <v>2296</v>
      </c>
      <c r="C403" t="s">
        <v>2459</v>
      </c>
      <c r="D403" t="s">
        <v>2478</v>
      </c>
      <c r="E403" t="str">
        <f t="shared" si="12"/>
        <v>BUD</v>
      </c>
      <c r="F403" t="s">
        <v>2483</v>
      </c>
      <c r="G403">
        <v>0.48</v>
      </c>
      <c r="H403" t="s">
        <v>2489</v>
      </c>
      <c r="I403">
        <v>0</v>
      </c>
      <c r="J403">
        <v>1</v>
      </c>
      <c r="K403" s="9">
        <f t="shared" si="13"/>
        <v>45697</v>
      </c>
      <c r="L403" t="s">
        <v>2694</v>
      </c>
      <c r="M403" t="s">
        <v>2925</v>
      </c>
    </row>
    <row r="404" spans="1:13" hidden="1" x14ac:dyDescent="0.35">
      <c r="A404" t="s">
        <v>413</v>
      </c>
      <c r="B404" t="s">
        <v>2297</v>
      </c>
      <c r="C404" t="s">
        <v>2458</v>
      </c>
      <c r="D404" t="s">
        <v>2470</v>
      </c>
      <c r="E404" t="str">
        <f t="shared" si="12"/>
        <v>E. HANOVER</v>
      </c>
      <c r="F404" t="s">
        <v>2482</v>
      </c>
      <c r="G404">
        <v>98.19</v>
      </c>
      <c r="H404" t="s">
        <v>2489</v>
      </c>
      <c r="I404">
        <v>97</v>
      </c>
      <c r="J404">
        <v>100</v>
      </c>
      <c r="K404" s="9">
        <f t="shared" si="13"/>
        <v>45800</v>
      </c>
      <c r="L404" t="s">
        <v>2737</v>
      </c>
      <c r="M404" t="s">
        <v>2924</v>
      </c>
    </row>
    <row r="405" spans="1:13" hidden="1" x14ac:dyDescent="0.35">
      <c r="A405" t="s">
        <v>414</v>
      </c>
      <c r="B405" t="s">
        <v>2298</v>
      </c>
      <c r="C405" t="s">
        <v>2458</v>
      </c>
      <c r="D405" t="s">
        <v>2473</v>
      </c>
      <c r="E405" t="str">
        <f t="shared" si="12"/>
        <v>DORTMUND</v>
      </c>
      <c r="F405" t="s">
        <v>2479</v>
      </c>
      <c r="G405">
        <v>68.59</v>
      </c>
      <c r="H405" t="s">
        <v>2486</v>
      </c>
      <c r="I405">
        <v>0</v>
      </c>
      <c r="J405">
        <v>120</v>
      </c>
      <c r="K405" s="9">
        <f t="shared" si="13"/>
        <v>45323</v>
      </c>
      <c r="L405" t="s">
        <v>2738</v>
      </c>
      <c r="M405" t="s">
        <v>2930</v>
      </c>
    </row>
    <row r="406" spans="1:13" hidden="1" x14ac:dyDescent="0.35">
      <c r="A406" t="s">
        <v>415</v>
      </c>
      <c r="B406" t="s">
        <v>2299</v>
      </c>
      <c r="C406" t="s">
        <v>2459</v>
      </c>
      <c r="D406" t="s">
        <v>2475</v>
      </c>
      <c r="E406" t="str">
        <f t="shared" si="12"/>
        <v>ASHFORD</v>
      </c>
      <c r="F406" t="s">
        <v>2485</v>
      </c>
      <c r="G406">
        <v>-6.68</v>
      </c>
      <c r="H406" t="s">
        <v>2490</v>
      </c>
      <c r="I406">
        <v>0</v>
      </c>
      <c r="J406">
        <v>100</v>
      </c>
      <c r="K406" s="9">
        <f t="shared" si="13"/>
        <v>45508</v>
      </c>
      <c r="L406" t="s">
        <v>2739</v>
      </c>
      <c r="M406" t="s">
        <v>2928</v>
      </c>
    </row>
    <row r="407" spans="1:13" hidden="1" x14ac:dyDescent="0.35">
      <c r="A407" t="s">
        <v>416</v>
      </c>
      <c r="B407" t="s">
        <v>2300</v>
      </c>
      <c r="C407" t="s">
        <v>2459</v>
      </c>
      <c r="D407" t="s">
        <v>2465</v>
      </c>
      <c r="E407" t="str">
        <f t="shared" si="12"/>
        <v>VERNIER</v>
      </c>
      <c r="F407" t="s">
        <v>2485</v>
      </c>
      <c r="G407">
        <v>8.68</v>
      </c>
      <c r="H407" t="s">
        <v>2490</v>
      </c>
      <c r="I407">
        <v>0</v>
      </c>
      <c r="J407">
        <v>100</v>
      </c>
      <c r="K407" s="9">
        <f t="shared" si="13"/>
        <v>45595</v>
      </c>
      <c r="L407" t="s">
        <v>2631</v>
      </c>
      <c r="M407" t="s">
        <v>2925</v>
      </c>
    </row>
    <row r="408" spans="1:13" hidden="1" x14ac:dyDescent="0.35">
      <c r="A408" t="s">
        <v>417</v>
      </c>
      <c r="B408" t="s">
        <v>2301</v>
      </c>
      <c r="C408" t="s">
        <v>2460</v>
      </c>
      <c r="D408" t="s">
        <v>2472</v>
      </c>
      <c r="E408" t="str">
        <f t="shared" si="12"/>
        <v>VERNIER</v>
      </c>
      <c r="F408" t="s">
        <v>2481</v>
      </c>
      <c r="G408">
        <v>240.64</v>
      </c>
      <c r="H408" t="s">
        <v>2488</v>
      </c>
      <c r="I408">
        <v>150</v>
      </c>
      <c r="J408">
        <v>400</v>
      </c>
      <c r="K408" s="9">
        <f t="shared" si="13"/>
        <v>45595</v>
      </c>
      <c r="L408" t="s">
        <v>2631</v>
      </c>
      <c r="M408" t="s">
        <v>2925</v>
      </c>
    </row>
    <row r="409" spans="1:13" hidden="1" x14ac:dyDescent="0.35">
      <c r="A409" t="s">
        <v>418</v>
      </c>
      <c r="B409" t="s">
        <v>2110</v>
      </c>
      <c r="C409" t="s">
        <v>2460</v>
      </c>
      <c r="D409" t="s">
        <v>2468</v>
      </c>
      <c r="E409" t="str">
        <f t="shared" si="12"/>
        <v>VERNIER CH</v>
      </c>
      <c r="F409" t="s">
        <v>2485</v>
      </c>
      <c r="G409">
        <v>39.65</v>
      </c>
      <c r="H409" t="s">
        <v>2490</v>
      </c>
      <c r="I409">
        <v>0</v>
      </c>
      <c r="J409">
        <v>100</v>
      </c>
      <c r="K409" s="9">
        <f t="shared" si="13"/>
        <v>45860</v>
      </c>
      <c r="L409" t="s">
        <v>2558</v>
      </c>
      <c r="M409" t="s">
        <v>2923</v>
      </c>
    </row>
    <row r="410" spans="1:13" hidden="1" x14ac:dyDescent="0.35">
      <c r="A410" t="s">
        <v>419</v>
      </c>
      <c r="B410" t="s">
        <v>2253</v>
      </c>
      <c r="C410" t="s">
        <v>2461</v>
      </c>
      <c r="D410" t="s">
        <v>2473</v>
      </c>
      <c r="E410" t="str">
        <f t="shared" si="12"/>
        <v>DORTMUND</v>
      </c>
      <c r="F410" t="s">
        <v>2482</v>
      </c>
      <c r="G410">
        <v>98.64</v>
      </c>
      <c r="H410" t="s">
        <v>2489</v>
      </c>
      <c r="I410">
        <v>97</v>
      </c>
      <c r="J410">
        <v>100</v>
      </c>
      <c r="K410" s="9">
        <f t="shared" si="13"/>
        <v>45388</v>
      </c>
      <c r="L410" t="s">
        <v>2583</v>
      </c>
      <c r="M410" t="s">
        <v>2932</v>
      </c>
    </row>
    <row r="411" spans="1:13" hidden="1" x14ac:dyDescent="0.35">
      <c r="A411" t="s">
        <v>420</v>
      </c>
      <c r="B411" t="s">
        <v>2302</v>
      </c>
      <c r="C411" t="s">
        <v>2460</v>
      </c>
      <c r="D411" t="s">
        <v>2467</v>
      </c>
      <c r="E411" t="str">
        <f t="shared" si="12"/>
        <v>ASHFORD</v>
      </c>
      <c r="F411" t="s">
        <v>2480</v>
      </c>
      <c r="G411">
        <v>0.89</v>
      </c>
      <c r="H411" t="s">
        <v>2487</v>
      </c>
      <c r="I411">
        <v>0.88</v>
      </c>
      <c r="J411">
        <v>0.97</v>
      </c>
      <c r="K411" s="9">
        <f t="shared" si="13"/>
        <v>45776</v>
      </c>
      <c r="L411" t="s">
        <v>2740</v>
      </c>
      <c r="M411" t="s">
        <v>2931</v>
      </c>
    </row>
    <row r="412" spans="1:13" hidden="1" x14ac:dyDescent="0.35">
      <c r="A412" t="s">
        <v>421</v>
      </c>
      <c r="B412" t="s">
        <v>2303</v>
      </c>
      <c r="C412" t="s">
        <v>2460</v>
      </c>
      <c r="D412" t="s">
        <v>2466</v>
      </c>
      <c r="E412" t="str">
        <f t="shared" si="12"/>
        <v>EAST HANOVER</v>
      </c>
      <c r="F412" t="s">
        <v>2480</v>
      </c>
      <c r="G412">
        <v>1.06</v>
      </c>
      <c r="H412" t="s">
        <v>2487</v>
      </c>
      <c r="I412">
        <v>0.88</v>
      </c>
      <c r="J412">
        <v>0.97</v>
      </c>
      <c r="K412" s="9">
        <f t="shared" si="13"/>
        <v>45870</v>
      </c>
      <c r="L412" t="s">
        <v>2741</v>
      </c>
      <c r="M412" t="s">
        <v>2929</v>
      </c>
    </row>
    <row r="413" spans="1:13" hidden="1" x14ac:dyDescent="0.35">
      <c r="A413" t="s">
        <v>422</v>
      </c>
      <c r="B413" t="s">
        <v>2130</v>
      </c>
      <c r="C413" t="s">
        <v>2457</v>
      </c>
      <c r="D413" t="s">
        <v>2466</v>
      </c>
      <c r="E413" t="str">
        <f t="shared" si="12"/>
        <v>EAST HANOVER</v>
      </c>
      <c r="F413" t="s">
        <v>2482</v>
      </c>
      <c r="G413">
        <v>98.54</v>
      </c>
      <c r="H413" t="s">
        <v>2489</v>
      </c>
      <c r="I413">
        <v>97</v>
      </c>
      <c r="J413">
        <v>100</v>
      </c>
      <c r="K413" s="9">
        <f t="shared" si="13"/>
        <v>45943</v>
      </c>
      <c r="L413" t="s">
        <v>2606</v>
      </c>
      <c r="M413" t="s">
        <v>2930</v>
      </c>
    </row>
    <row r="414" spans="1:13" hidden="1" x14ac:dyDescent="0.35">
      <c r="A414" t="s">
        <v>423</v>
      </c>
      <c r="B414" t="s">
        <v>2304</v>
      </c>
      <c r="C414" t="s">
        <v>2460</v>
      </c>
      <c r="D414" t="s">
        <v>2466</v>
      </c>
      <c r="E414" t="str">
        <f t="shared" si="12"/>
        <v>EAST HANOVER</v>
      </c>
      <c r="F414" t="s">
        <v>2481</v>
      </c>
      <c r="G414">
        <v>199.45</v>
      </c>
      <c r="H414" t="s">
        <v>2488</v>
      </c>
      <c r="I414">
        <v>150</v>
      </c>
      <c r="J414">
        <v>400</v>
      </c>
      <c r="K414" s="9">
        <f t="shared" si="13"/>
        <v>45398</v>
      </c>
      <c r="L414" t="s">
        <v>2529</v>
      </c>
      <c r="M414" t="s">
        <v>2930</v>
      </c>
    </row>
    <row r="415" spans="1:13" hidden="1" x14ac:dyDescent="0.35">
      <c r="A415" t="s">
        <v>424</v>
      </c>
      <c r="B415" t="s">
        <v>2170</v>
      </c>
      <c r="C415" t="s">
        <v>2459</v>
      </c>
      <c r="D415" t="s">
        <v>2476</v>
      </c>
      <c r="E415" t="str">
        <f t="shared" si="12"/>
        <v>BUDAPEST SITE</v>
      </c>
      <c r="F415" t="s">
        <v>2483</v>
      </c>
      <c r="G415">
        <v>0.4</v>
      </c>
      <c r="H415" t="s">
        <v>2489</v>
      </c>
      <c r="I415">
        <v>0</v>
      </c>
      <c r="J415">
        <v>1</v>
      </c>
      <c r="K415" s="9">
        <f t="shared" si="13"/>
        <v>45737</v>
      </c>
      <c r="L415" t="s">
        <v>2643</v>
      </c>
      <c r="M415" t="s">
        <v>2932</v>
      </c>
    </row>
    <row r="416" spans="1:13" hidden="1" x14ac:dyDescent="0.35">
      <c r="A416" t="s">
        <v>425</v>
      </c>
      <c r="B416" t="s">
        <v>2305</v>
      </c>
      <c r="C416" t="s">
        <v>2458</v>
      </c>
      <c r="D416" t="s">
        <v>2472</v>
      </c>
      <c r="E416" t="str">
        <f t="shared" si="12"/>
        <v>VERNIER</v>
      </c>
      <c r="F416" t="s">
        <v>2484</v>
      </c>
      <c r="G416">
        <v>6.87</v>
      </c>
      <c r="I416">
        <v>6</v>
      </c>
      <c r="J416">
        <v>7.5</v>
      </c>
      <c r="K416" s="9">
        <f t="shared" si="13"/>
        <v>45959</v>
      </c>
      <c r="L416" t="s">
        <v>2580</v>
      </c>
      <c r="M416" t="s">
        <v>2930</v>
      </c>
    </row>
    <row r="417" spans="1:13" hidden="1" x14ac:dyDescent="0.35">
      <c r="A417" t="s">
        <v>426</v>
      </c>
      <c r="B417" t="s">
        <v>2296</v>
      </c>
      <c r="C417" t="s">
        <v>2459</v>
      </c>
      <c r="D417" t="s">
        <v>2478</v>
      </c>
      <c r="E417" t="str">
        <f t="shared" si="12"/>
        <v>BUD</v>
      </c>
      <c r="F417" t="s">
        <v>2485</v>
      </c>
      <c r="G417">
        <v>-7.99</v>
      </c>
      <c r="H417" t="s">
        <v>2490</v>
      </c>
      <c r="I417">
        <v>0</v>
      </c>
      <c r="J417">
        <v>100</v>
      </c>
      <c r="K417" s="9">
        <f t="shared" si="13"/>
        <v>45697</v>
      </c>
      <c r="L417" t="s">
        <v>2694</v>
      </c>
      <c r="M417" t="s">
        <v>2928</v>
      </c>
    </row>
    <row r="418" spans="1:13" hidden="1" x14ac:dyDescent="0.35">
      <c r="A418" t="s">
        <v>427</v>
      </c>
      <c r="B418" t="s">
        <v>2074</v>
      </c>
      <c r="C418" t="s">
        <v>2457</v>
      </c>
      <c r="D418" t="s">
        <v>2475</v>
      </c>
      <c r="E418" t="str">
        <f t="shared" si="12"/>
        <v>ASHFORD</v>
      </c>
      <c r="F418" t="s">
        <v>2481</v>
      </c>
      <c r="G418">
        <v>274.04000000000002</v>
      </c>
      <c r="H418" t="s">
        <v>2488</v>
      </c>
      <c r="I418">
        <v>150</v>
      </c>
      <c r="J418">
        <v>400</v>
      </c>
      <c r="K418" s="9">
        <f t="shared" si="13"/>
        <v>45416</v>
      </c>
      <c r="L418" t="s">
        <v>2553</v>
      </c>
      <c r="M418" t="s">
        <v>2932</v>
      </c>
    </row>
    <row r="419" spans="1:13" hidden="1" x14ac:dyDescent="0.35">
      <c r="A419" t="s">
        <v>428</v>
      </c>
      <c r="B419" t="s">
        <v>2306</v>
      </c>
      <c r="C419" t="s">
        <v>2461</v>
      </c>
      <c r="D419" t="s">
        <v>2478</v>
      </c>
      <c r="E419" t="str">
        <f t="shared" si="12"/>
        <v>BUD</v>
      </c>
      <c r="F419" t="s">
        <v>2485</v>
      </c>
      <c r="G419">
        <v>44.53</v>
      </c>
      <c r="H419" t="s">
        <v>2490</v>
      </c>
      <c r="I419">
        <v>0</v>
      </c>
      <c r="J419">
        <v>100</v>
      </c>
      <c r="K419" s="9">
        <f t="shared" si="13"/>
        <v>45909</v>
      </c>
      <c r="L419" t="s">
        <v>2742</v>
      </c>
      <c r="M419" t="s">
        <v>2927</v>
      </c>
    </row>
    <row r="420" spans="1:13" hidden="1" x14ac:dyDescent="0.35">
      <c r="A420" t="s">
        <v>429</v>
      </c>
      <c r="B420" t="s">
        <v>2053</v>
      </c>
      <c r="C420" t="s">
        <v>2460</v>
      </c>
      <c r="D420" t="s">
        <v>2470</v>
      </c>
      <c r="E420" t="str">
        <f t="shared" si="12"/>
        <v>E. HANOVER</v>
      </c>
      <c r="F420" t="s">
        <v>2484</v>
      </c>
      <c r="G420">
        <v>6.87</v>
      </c>
      <c r="I420">
        <v>6</v>
      </c>
      <c r="J420">
        <v>7.5</v>
      </c>
      <c r="K420" s="9">
        <f t="shared" si="13"/>
        <v>45703</v>
      </c>
      <c r="L420" t="s">
        <v>2532</v>
      </c>
      <c r="M420" t="s">
        <v>2925</v>
      </c>
    </row>
    <row r="421" spans="1:13" hidden="1" x14ac:dyDescent="0.35">
      <c r="A421" t="s">
        <v>430</v>
      </c>
      <c r="B421" t="s">
        <v>2307</v>
      </c>
      <c r="C421" t="s">
        <v>2460</v>
      </c>
      <c r="D421" t="s">
        <v>2465</v>
      </c>
      <c r="E421" t="str">
        <f t="shared" si="12"/>
        <v>VERNIER</v>
      </c>
      <c r="F421" t="s">
        <v>2481</v>
      </c>
      <c r="G421">
        <v>259.14</v>
      </c>
      <c r="H421" t="s">
        <v>2488</v>
      </c>
      <c r="I421">
        <v>150</v>
      </c>
      <c r="J421">
        <v>400</v>
      </c>
      <c r="K421" s="9">
        <f t="shared" si="13"/>
        <v>45622</v>
      </c>
      <c r="L421" t="s">
        <v>2743</v>
      </c>
      <c r="M421" t="s">
        <v>2930</v>
      </c>
    </row>
    <row r="422" spans="1:13" hidden="1" x14ac:dyDescent="0.35">
      <c r="A422" t="s">
        <v>431</v>
      </c>
      <c r="B422" t="s">
        <v>2085</v>
      </c>
      <c r="C422" t="s">
        <v>2461</v>
      </c>
      <c r="D422" t="s">
        <v>2474</v>
      </c>
      <c r="E422" t="str">
        <f t="shared" si="12"/>
        <v>DORTMUND DE</v>
      </c>
      <c r="F422" t="s">
        <v>2479</v>
      </c>
      <c r="G422">
        <v>18.53</v>
      </c>
      <c r="H422" t="s">
        <v>2486</v>
      </c>
      <c r="I422">
        <v>0</v>
      </c>
      <c r="J422">
        <v>120</v>
      </c>
      <c r="K422" s="9">
        <f t="shared" si="13"/>
        <v>46008</v>
      </c>
      <c r="L422" t="s">
        <v>2497</v>
      </c>
      <c r="M422" t="s">
        <v>2930</v>
      </c>
    </row>
    <row r="423" spans="1:13" hidden="1" x14ac:dyDescent="0.35">
      <c r="A423" t="s">
        <v>432</v>
      </c>
      <c r="B423" t="s">
        <v>2247</v>
      </c>
      <c r="C423" t="s">
        <v>2461</v>
      </c>
      <c r="D423" t="s">
        <v>2475</v>
      </c>
      <c r="E423" t="str">
        <f t="shared" si="12"/>
        <v>ASHFORD</v>
      </c>
      <c r="F423" t="s">
        <v>2482</v>
      </c>
      <c r="G423">
        <v>97.87</v>
      </c>
      <c r="H423" t="s">
        <v>2489</v>
      </c>
      <c r="I423">
        <v>97</v>
      </c>
      <c r="J423">
        <v>100</v>
      </c>
      <c r="K423" s="9">
        <f t="shared" si="13"/>
        <v>45307</v>
      </c>
      <c r="L423" t="s">
        <v>2700</v>
      </c>
      <c r="M423" t="s">
        <v>2931</v>
      </c>
    </row>
    <row r="424" spans="1:13" hidden="1" x14ac:dyDescent="0.35">
      <c r="A424" t="s">
        <v>433</v>
      </c>
      <c r="B424" t="s">
        <v>2226</v>
      </c>
      <c r="C424" t="s">
        <v>2457</v>
      </c>
      <c r="D424" t="s">
        <v>2476</v>
      </c>
      <c r="E424" t="str">
        <f t="shared" si="12"/>
        <v>BUDAPEST SITE</v>
      </c>
      <c r="F424" t="s">
        <v>2484</v>
      </c>
      <c r="G424">
        <v>7.38</v>
      </c>
      <c r="I424">
        <v>6</v>
      </c>
      <c r="J424">
        <v>7.5</v>
      </c>
      <c r="K424" s="9">
        <f t="shared" si="13"/>
        <v>45595</v>
      </c>
      <c r="L424" t="s">
        <v>2631</v>
      </c>
      <c r="M424" t="s">
        <v>2923</v>
      </c>
    </row>
    <row r="425" spans="1:13" hidden="1" x14ac:dyDescent="0.35">
      <c r="A425" t="s">
        <v>434</v>
      </c>
      <c r="B425" t="s">
        <v>2085</v>
      </c>
      <c r="C425" t="s">
        <v>2461</v>
      </c>
      <c r="D425" t="s">
        <v>2474</v>
      </c>
      <c r="E425" t="str">
        <f t="shared" si="12"/>
        <v>DORTMUND DE</v>
      </c>
      <c r="F425" t="s">
        <v>2485</v>
      </c>
      <c r="G425">
        <v>-25.47</v>
      </c>
      <c r="H425" t="s">
        <v>2490</v>
      </c>
      <c r="I425">
        <v>0</v>
      </c>
      <c r="J425">
        <v>100</v>
      </c>
      <c r="K425" s="9">
        <f t="shared" si="13"/>
        <v>46008</v>
      </c>
      <c r="L425" t="s">
        <v>2497</v>
      </c>
      <c r="M425" t="s">
        <v>2927</v>
      </c>
    </row>
    <row r="426" spans="1:13" hidden="1" x14ac:dyDescent="0.35">
      <c r="A426" t="s">
        <v>435</v>
      </c>
      <c r="B426" t="s">
        <v>2111</v>
      </c>
      <c r="C426" t="s">
        <v>2461</v>
      </c>
      <c r="D426" t="s">
        <v>2463</v>
      </c>
      <c r="E426" t="str">
        <f t="shared" si="12"/>
        <v>VERNIER</v>
      </c>
      <c r="F426" t="s">
        <v>2484</v>
      </c>
      <c r="G426">
        <v>6.59</v>
      </c>
      <c r="I426">
        <v>6</v>
      </c>
      <c r="J426">
        <v>7.5</v>
      </c>
      <c r="K426" s="9">
        <f t="shared" si="13"/>
        <v>45547</v>
      </c>
      <c r="L426" t="s">
        <v>2587</v>
      </c>
      <c r="M426" t="s">
        <v>2923</v>
      </c>
    </row>
    <row r="427" spans="1:13" hidden="1" x14ac:dyDescent="0.35">
      <c r="A427" t="s">
        <v>436</v>
      </c>
      <c r="B427" t="s">
        <v>2124</v>
      </c>
      <c r="C427" t="s">
        <v>2457</v>
      </c>
      <c r="D427" t="s">
        <v>2473</v>
      </c>
      <c r="E427" t="str">
        <f t="shared" si="12"/>
        <v>DORTMUND</v>
      </c>
      <c r="F427" t="s">
        <v>2484</v>
      </c>
      <c r="G427">
        <v>6.35</v>
      </c>
      <c r="I427">
        <v>6</v>
      </c>
      <c r="J427">
        <v>7.5</v>
      </c>
      <c r="K427" s="9">
        <f t="shared" si="13"/>
        <v>45733</v>
      </c>
      <c r="L427" t="s">
        <v>2601</v>
      </c>
      <c r="M427" t="s">
        <v>2932</v>
      </c>
    </row>
    <row r="428" spans="1:13" hidden="1" x14ac:dyDescent="0.35">
      <c r="A428" t="s">
        <v>437</v>
      </c>
      <c r="B428" t="s">
        <v>2097</v>
      </c>
      <c r="C428" t="s">
        <v>2457</v>
      </c>
      <c r="D428" t="s">
        <v>2464</v>
      </c>
      <c r="E428" t="str">
        <f t="shared" si="12"/>
        <v>EAST HANOVER</v>
      </c>
      <c r="F428" t="s">
        <v>2481</v>
      </c>
      <c r="G428">
        <v>276.92</v>
      </c>
      <c r="H428" t="s">
        <v>2488</v>
      </c>
      <c r="I428">
        <v>150</v>
      </c>
      <c r="J428">
        <v>400</v>
      </c>
      <c r="K428" s="9">
        <f t="shared" si="13"/>
        <v>45826</v>
      </c>
      <c r="L428" t="s">
        <v>2575</v>
      </c>
      <c r="M428" t="s">
        <v>2926</v>
      </c>
    </row>
    <row r="429" spans="1:13" hidden="1" x14ac:dyDescent="0.35">
      <c r="A429" t="s">
        <v>438</v>
      </c>
      <c r="B429" t="s">
        <v>2140</v>
      </c>
      <c r="C429" t="s">
        <v>2460</v>
      </c>
      <c r="D429" t="s">
        <v>2471</v>
      </c>
      <c r="E429" t="str">
        <f t="shared" si="12"/>
        <v>BUDAPEST</v>
      </c>
      <c r="F429" t="s">
        <v>2484</v>
      </c>
      <c r="G429">
        <v>6.5</v>
      </c>
      <c r="I429">
        <v>6</v>
      </c>
      <c r="J429">
        <v>7.5</v>
      </c>
      <c r="K429" s="9">
        <f t="shared" si="13"/>
        <v>45891</v>
      </c>
      <c r="L429" t="s">
        <v>2615</v>
      </c>
      <c r="M429" t="s">
        <v>2927</v>
      </c>
    </row>
    <row r="430" spans="1:13" hidden="1" x14ac:dyDescent="0.35">
      <c r="A430" t="s">
        <v>439</v>
      </c>
      <c r="B430" t="s">
        <v>2019</v>
      </c>
      <c r="C430" t="s">
        <v>2461</v>
      </c>
      <c r="D430" t="s">
        <v>2470</v>
      </c>
      <c r="E430" t="str">
        <f t="shared" si="12"/>
        <v>E. HANOVER</v>
      </c>
      <c r="F430" t="s">
        <v>2481</v>
      </c>
      <c r="G430">
        <v>174.65</v>
      </c>
      <c r="H430" t="s">
        <v>2488</v>
      </c>
      <c r="I430">
        <v>150</v>
      </c>
      <c r="J430">
        <v>400</v>
      </c>
      <c r="K430" s="9">
        <f t="shared" si="13"/>
        <v>45881</v>
      </c>
      <c r="L430" t="s">
        <v>2499</v>
      </c>
      <c r="M430" t="s">
        <v>2932</v>
      </c>
    </row>
    <row r="431" spans="1:13" hidden="1" x14ac:dyDescent="0.35">
      <c r="A431" t="s">
        <v>440</v>
      </c>
      <c r="B431" t="s">
        <v>2308</v>
      </c>
      <c r="C431" t="s">
        <v>2457</v>
      </c>
      <c r="D431" t="s">
        <v>2477</v>
      </c>
      <c r="E431" t="str">
        <f t="shared" si="12"/>
        <v>BUDAPEST</v>
      </c>
      <c r="F431" t="s">
        <v>2483</v>
      </c>
      <c r="G431">
        <v>0.31</v>
      </c>
      <c r="H431" t="s">
        <v>2489</v>
      </c>
      <c r="I431">
        <v>0</v>
      </c>
      <c r="J431">
        <v>1</v>
      </c>
      <c r="K431" s="9">
        <f t="shared" si="13"/>
        <v>45797</v>
      </c>
      <c r="L431" t="s">
        <v>2744</v>
      </c>
      <c r="M431" t="s">
        <v>2931</v>
      </c>
    </row>
    <row r="432" spans="1:13" x14ac:dyDescent="0.35">
      <c r="A432" t="s">
        <v>441</v>
      </c>
      <c r="B432" t="s">
        <v>2309</v>
      </c>
      <c r="C432" t="s">
        <v>2457</v>
      </c>
      <c r="D432" t="s">
        <v>2471</v>
      </c>
      <c r="E432" t="str">
        <f t="shared" si="12"/>
        <v>BUDAPEST</v>
      </c>
      <c r="F432" t="s">
        <v>2479</v>
      </c>
      <c r="H432" t="s">
        <v>2486</v>
      </c>
      <c r="I432">
        <v>0</v>
      </c>
      <c r="J432">
        <v>120</v>
      </c>
      <c r="K432" s="9">
        <f t="shared" si="13"/>
        <v>45826</v>
      </c>
      <c r="L432" t="s">
        <v>2575</v>
      </c>
      <c r="M432" t="s">
        <v>2923</v>
      </c>
    </row>
    <row r="433" spans="1:13" hidden="1" x14ac:dyDescent="0.35">
      <c r="A433" t="s">
        <v>442</v>
      </c>
      <c r="B433" t="s">
        <v>2011</v>
      </c>
      <c r="C433" t="s">
        <v>2457</v>
      </c>
      <c r="D433" t="s">
        <v>2462</v>
      </c>
      <c r="E433" t="str">
        <f t="shared" si="12"/>
        <v>ASHFORD UK</v>
      </c>
      <c r="F433" t="s">
        <v>2485</v>
      </c>
      <c r="G433">
        <v>24.68</v>
      </c>
      <c r="H433" t="s">
        <v>2490</v>
      </c>
      <c r="I433">
        <v>0</v>
      </c>
      <c r="J433">
        <v>100</v>
      </c>
      <c r="K433" s="9">
        <f t="shared" si="13"/>
        <v>45350</v>
      </c>
      <c r="L433" t="s">
        <v>2524</v>
      </c>
      <c r="M433" t="s">
        <v>2926</v>
      </c>
    </row>
    <row r="434" spans="1:13" x14ac:dyDescent="0.35">
      <c r="A434" t="s">
        <v>443</v>
      </c>
      <c r="B434" t="s">
        <v>2310</v>
      </c>
      <c r="C434" t="s">
        <v>2461</v>
      </c>
      <c r="D434" t="s">
        <v>2464</v>
      </c>
      <c r="E434" t="str">
        <f t="shared" si="12"/>
        <v>EAST HANOVER</v>
      </c>
      <c r="F434" t="s">
        <v>2479</v>
      </c>
      <c r="H434" t="s">
        <v>2486</v>
      </c>
      <c r="I434">
        <v>0</v>
      </c>
      <c r="J434">
        <v>120</v>
      </c>
      <c r="K434" s="9">
        <f t="shared" si="13"/>
        <v>45390</v>
      </c>
      <c r="L434" t="s">
        <v>2745</v>
      </c>
      <c r="M434" t="s">
        <v>2924</v>
      </c>
    </row>
    <row r="435" spans="1:13" hidden="1" x14ac:dyDescent="0.35">
      <c r="A435" t="s">
        <v>444</v>
      </c>
      <c r="B435" t="s">
        <v>2311</v>
      </c>
      <c r="C435" t="s">
        <v>2459</v>
      </c>
      <c r="D435" t="s">
        <v>2464</v>
      </c>
      <c r="E435" t="str">
        <f t="shared" si="12"/>
        <v>EAST HANOVER</v>
      </c>
      <c r="F435" t="s">
        <v>2480</v>
      </c>
      <c r="G435">
        <v>0.93</v>
      </c>
      <c r="H435" t="s">
        <v>2487</v>
      </c>
      <c r="I435">
        <v>0.88</v>
      </c>
      <c r="J435">
        <v>0.97</v>
      </c>
      <c r="K435" s="9">
        <f t="shared" si="13"/>
        <v>45958</v>
      </c>
      <c r="L435" t="s">
        <v>2627</v>
      </c>
      <c r="M435" t="s">
        <v>2925</v>
      </c>
    </row>
    <row r="436" spans="1:13" hidden="1" x14ac:dyDescent="0.35">
      <c r="A436" t="s">
        <v>445</v>
      </c>
      <c r="B436" t="s">
        <v>2039</v>
      </c>
      <c r="C436" t="s">
        <v>2458</v>
      </c>
      <c r="D436" t="s">
        <v>2471</v>
      </c>
      <c r="E436" t="str">
        <f t="shared" si="12"/>
        <v>BUDAPEST</v>
      </c>
      <c r="F436" t="s">
        <v>2481</v>
      </c>
      <c r="G436">
        <v>252.9</v>
      </c>
      <c r="H436" t="s">
        <v>2488</v>
      </c>
      <c r="I436">
        <v>150</v>
      </c>
      <c r="J436">
        <v>400</v>
      </c>
      <c r="K436" s="9">
        <f t="shared" si="13"/>
        <v>45969</v>
      </c>
      <c r="L436" t="s">
        <v>2519</v>
      </c>
      <c r="M436" t="s">
        <v>2929</v>
      </c>
    </row>
    <row r="437" spans="1:13" hidden="1" x14ac:dyDescent="0.35">
      <c r="A437" t="s">
        <v>446</v>
      </c>
      <c r="B437" t="s">
        <v>2312</v>
      </c>
      <c r="C437" t="s">
        <v>2461</v>
      </c>
      <c r="D437" t="s">
        <v>2467</v>
      </c>
      <c r="E437" t="str">
        <f t="shared" si="12"/>
        <v>ASHFORD</v>
      </c>
      <c r="F437" t="s">
        <v>2479</v>
      </c>
      <c r="G437">
        <v>29.03</v>
      </c>
      <c r="H437" t="s">
        <v>2486</v>
      </c>
      <c r="I437">
        <v>0</v>
      </c>
      <c r="J437">
        <v>120</v>
      </c>
      <c r="K437" s="9">
        <f t="shared" si="13"/>
        <v>45344</v>
      </c>
      <c r="L437" t="s">
        <v>2705</v>
      </c>
      <c r="M437" t="s">
        <v>2925</v>
      </c>
    </row>
    <row r="438" spans="1:13" hidden="1" x14ac:dyDescent="0.35">
      <c r="A438" t="s">
        <v>447</v>
      </c>
      <c r="B438" t="s">
        <v>2313</v>
      </c>
      <c r="C438" t="s">
        <v>2459</v>
      </c>
      <c r="D438" t="s">
        <v>2471</v>
      </c>
      <c r="E438" t="str">
        <f t="shared" si="12"/>
        <v>BUDAPEST</v>
      </c>
      <c r="F438" t="s">
        <v>2481</v>
      </c>
      <c r="G438">
        <v>520</v>
      </c>
      <c r="H438" t="s">
        <v>2488</v>
      </c>
      <c r="I438">
        <v>150</v>
      </c>
      <c r="J438">
        <v>400</v>
      </c>
      <c r="K438" s="9">
        <f t="shared" si="13"/>
        <v>45742</v>
      </c>
      <c r="L438" t="s">
        <v>2746</v>
      </c>
      <c r="M438" t="s">
        <v>2928</v>
      </c>
    </row>
    <row r="439" spans="1:13" hidden="1" x14ac:dyDescent="0.35">
      <c r="A439" t="s">
        <v>448</v>
      </c>
      <c r="B439" t="s">
        <v>2282</v>
      </c>
      <c r="C439" t="s">
        <v>2459</v>
      </c>
      <c r="D439" t="s">
        <v>2469</v>
      </c>
      <c r="E439" t="str">
        <f t="shared" si="12"/>
        <v>DORTMUND</v>
      </c>
      <c r="F439" t="s">
        <v>2482</v>
      </c>
      <c r="G439">
        <v>97.22</v>
      </c>
      <c r="H439" t="s">
        <v>2489</v>
      </c>
      <c r="I439">
        <v>97</v>
      </c>
      <c r="J439">
        <v>100</v>
      </c>
      <c r="K439" s="9">
        <f t="shared" si="13"/>
        <v>45367</v>
      </c>
      <c r="L439" t="s">
        <v>2717</v>
      </c>
      <c r="M439" t="s">
        <v>2925</v>
      </c>
    </row>
    <row r="440" spans="1:13" hidden="1" x14ac:dyDescent="0.35">
      <c r="A440" t="s">
        <v>449</v>
      </c>
      <c r="B440" t="s">
        <v>2314</v>
      </c>
      <c r="C440" t="s">
        <v>2460</v>
      </c>
      <c r="D440" t="s">
        <v>2467</v>
      </c>
      <c r="E440" t="str">
        <f t="shared" si="12"/>
        <v>ASHFORD</v>
      </c>
      <c r="F440" t="s">
        <v>2481</v>
      </c>
      <c r="G440">
        <v>230.04</v>
      </c>
      <c r="H440" t="s">
        <v>2488</v>
      </c>
      <c r="I440">
        <v>150</v>
      </c>
      <c r="J440">
        <v>400</v>
      </c>
      <c r="K440" s="9">
        <f t="shared" si="13"/>
        <v>45671</v>
      </c>
      <c r="L440" t="s">
        <v>2598</v>
      </c>
      <c r="M440" t="s">
        <v>2931</v>
      </c>
    </row>
    <row r="441" spans="1:13" hidden="1" x14ac:dyDescent="0.35">
      <c r="A441" t="s">
        <v>450</v>
      </c>
      <c r="B441" t="s">
        <v>2315</v>
      </c>
      <c r="C441" t="s">
        <v>2460</v>
      </c>
      <c r="D441" t="s">
        <v>2472</v>
      </c>
      <c r="E441" t="str">
        <f t="shared" si="12"/>
        <v>VERNIER</v>
      </c>
      <c r="F441" t="s">
        <v>2479</v>
      </c>
      <c r="G441">
        <v>70.540000000000006</v>
      </c>
      <c r="H441" t="s">
        <v>2486</v>
      </c>
      <c r="I441">
        <v>0</v>
      </c>
      <c r="J441">
        <v>120</v>
      </c>
      <c r="K441" s="9">
        <f t="shared" si="13"/>
        <v>46011</v>
      </c>
      <c r="L441" t="s">
        <v>2747</v>
      </c>
      <c r="M441" t="s">
        <v>2926</v>
      </c>
    </row>
    <row r="442" spans="1:13" hidden="1" x14ac:dyDescent="0.35">
      <c r="A442" t="s">
        <v>451</v>
      </c>
      <c r="B442" t="s">
        <v>2304</v>
      </c>
      <c r="C442" t="s">
        <v>2460</v>
      </c>
      <c r="D442" t="s">
        <v>2470</v>
      </c>
      <c r="E442" t="str">
        <f t="shared" si="12"/>
        <v>E. HANOVER</v>
      </c>
      <c r="F442" t="s">
        <v>2480</v>
      </c>
      <c r="G442">
        <v>0.89</v>
      </c>
      <c r="H442" t="s">
        <v>2487</v>
      </c>
      <c r="I442">
        <v>0.88</v>
      </c>
      <c r="J442">
        <v>0.97</v>
      </c>
      <c r="K442" s="9">
        <f t="shared" si="13"/>
        <v>45398</v>
      </c>
      <c r="L442" t="s">
        <v>2529</v>
      </c>
      <c r="M442" t="s">
        <v>2923</v>
      </c>
    </row>
    <row r="443" spans="1:13" hidden="1" x14ac:dyDescent="0.35">
      <c r="A443" t="s">
        <v>452</v>
      </c>
      <c r="B443" t="s">
        <v>2316</v>
      </c>
      <c r="C443" t="s">
        <v>2460</v>
      </c>
      <c r="D443" t="s">
        <v>2469</v>
      </c>
      <c r="E443" t="str">
        <f t="shared" si="12"/>
        <v>DORTMUND</v>
      </c>
      <c r="F443" t="s">
        <v>2480</v>
      </c>
      <c r="G443">
        <v>0.93</v>
      </c>
      <c r="H443" t="s">
        <v>2487</v>
      </c>
      <c r="I443">
        <v>0.88</v>
      </c>
      <c r="J443">
        <v>0.97</v>
      </c>
      <c r="K443" s="9">
        <f t="shared" si="13"/>
        <v>45524</v>
      </c>
      <c r="L443" t="s">
        <v>2748</v>
      </c>
      <c r="M443" t="s">
        <v>2924</v>
      </c>
    </row>
    <row r="444" spans="1:13" hidden="1" x14ac:dyDescent="0.35">
      <c r="A444" t="s">
        <v>453</v>
      </c>
      <c r="B444" t="s">
        <v>2215</v>
      </c>
      <c r="C444" t="s">
        <v>2459</v>
      </c>
      <c r="D444" t="s">
        <v>2466</v>
      </c>
      <c r="E444" t="str">
        <f t="shared" si="12"/>
        <v>EAST HANOVER</v>
      </c>
      <c r="F444" t="s">
        <v>2480</v>
      </c>
      <c r="G444">
        <v>0.91</v>
      </c>
      <c r="H444" t="s">
        <v>2487</v>
      </c>
      <c r="I444">
        <v>0.88</v>
      </c>
      <c r="J444">
        <v>0.97</v>
      </c>
      <c r="K444" s="9">
        <f t="shared" si="13"/>
        <v>45945</v>
      </c>
      <c r="L444" t="s">
        <v>2682</v>
      </c>
      <c r="M444" t="s">
        <v>2931</v>
      </c>
    </row>
    <row r="445" spans="1:13" hidden="1" x14ac:dyDescent="0.35">
      <c r="A445" t="s">
        <v>454</v>
      </c>
      <c r="B445" t="s">
        <v>2282</v>
      </c>
      <c r="C445" t="s">
        <v>2459</v>
      </c>
      <c r="D445" t="s">
        <v>2469</v>
      </c>
      <c r="E445" t="str">
        <f t="shared" si="12"/>
        <v>DORTMUND</v>
      </c>
      <c r="F445" t="s">
        <v>2479</v>
      </c>
      <c r="G445">
        <v>84.93</v>
      </c>
      <c r="H445" t="s">
        <v>2486</v>
      </c>
      <c r="I445">
        <v>0</v>
      </c>
      <c r="J445">
        <v>120</v>
      </c>
      <c r="K445" s="9">
        <f t="shared" si="13"/>
        <v>45367</v>
      </c>
      <c r="L445" t="s">
        <v>2717</v>
      </c>
      <c r="M445" t="s">
        <v>2923</v>
      </c>
    </row>
    <row r="446" spans="1:13" hidden="1" x14ac:dyDescent="0.35">
      <c r="A446" t="s">
        <v>455</v>
      </c>
      <c r="B446" t="s">
        <v>2188</v>
      </c>
      <c r="C446" t="s">
        <v>2457</v>
      </c>
      <c r="D446" t="s">
        <v>2475</v>
      </c>
      <c r="E446" t="str">
        <f t="shared" si="12"/>
        <v>ASHFORD</v>
      </c>
      <c r="F446" t="s">
        <v>2484</v>
      </c>
      <c r="G446">
        <v>6.4</v>
      </c>
      <c r="I446">
        <v>6</v>
      </c>
      <c r="J446">
        <v>7.5</v>
      </c>
      <c r="K446" s="9">
        <f t="shared" si="13"/>
        <v>45916</v>
      </c>
      <c r="L446" t="s">
        <v>2624</v>
      </c>
      <c r="M446" t="s">
        <v>2929</v>
      </c>
    </row>
    <row r="447" spans="1:13" hidden="1" x14ac:dyDescent="0.35">
      <c r="A447" t="s">
        <v>456</v>
      </c>
      <c r="B447" t="s">
        <v>2129</v>
      </c>
      <c r="C447" t="s">
        <v>2461</v>
      </c>
      <c r="D447" t="s">
        <v>2473</v>
      </c>
      <c r="E447" t="str">
        <f t="shared" si="12"/>
        <v>DORTMUND</v>
      </c>
      <c r="F447" t="s">
        <v>2484</v>
      </c>
      <c r="G447">
        <v>7.02</v>
      </c>
      <c r="I447">
        <v>6</v>
      </c>
      <c r="J447">
        <v>7.5</v>
      </c>
      <c r="K447" s="9">
        <f t="shared" si="13"/>
        <v>45617</v>
      </c>
      <c r="L447" t="s">
        <v>2605</v>
      </c>
      <c r="M447" t="s">
        <v>2930</v>
      </c>
    </row>
    <row r="448" spans="1:13" hidden="1" x14ac:dyDescent="0.35">
      <c r="A448" t="s">
        <v>457</v>
      </c>
      <c r="B448" t="s">
        <v>2237</v>
      </c>
      <c r="C448" t="s">
        <v>2458</v>
      </c>
      <c r="D448" t="s">
        <v>2463</v>
      </c>
      <c r="E448" t="str">
        <f t="shared" si="12"/>
        <v>VERNIER</v>
      </c>
      <c r="F448" t="s">
        <v>2481</v>
      </c>
      <c r="G448">
        <v>228.45</v>
      </c>
      <c r="H448" t="s">
        <v>2488</v>
      </c>
      <c r="I448">
        <v>150</v>
      </c>
      <c r="J448">
        <v>400</v>
      </c>
      <c r="K448" s="9">
        <f t="shared" si="13"/>
        <v>45697</v>
      </c>
      <c r="L448" t="s">
        <v>2694</v>
      </c>
      <c r="M448" t="s">
        <v>2929</v>
      </c>
    </row>
    <row r="449" spans="1:13" hidden="1" x14ac:dyDescent="0.35">
      <c r="A449" t="s">
        <v>458</v>
      </c>
      <c r="B449" t="s">
        <v>2317</v>
      </c>
      <c r="C449" t="s">
        <v>2457</v>
      </c>
      <c r="D449" t="s">
        <v>2464</v>
      </c>
      <c r="E449" t="str">
        <f t="shared" si="12"/>
        <v>EAST HANOVER</v>
      </c>
      <c r="F449" t="s">
        <v>2484</v>
      </c>
      <c r="G449">
        <v>8.6999999999999993</v>
      </c>
      <c r="I449">
        <v>6</v>
      </c>
      <c r="J449">
        <v>7.5</v>
      </c>
      <c r="K449" s="9">
        <f t="shared" si="13"/>
        <v>45786</v>
      </c>
      <c r="L449" t="s">
        <v>2749</v>
      </c>
      <c r="M449" t="s">
        <v>2929</v>
      </c>
    </row>
    <row r="450" spans="1:13" hidden="1" x14ac:dyDescent="0.35">
      <c r="A450" t="s">
        <v>459</v>
      </c>
      <c r="B450" t="s">
        <v>2318</v>
      </c>
      <c r="C450" t="s">
        <v>2461</v>
      </c>
      <c r="D450" t="s">
        <v>2471</v>
      </c>
      <c r="E450" t="str">
        <f t="shared" si="12"/>
        <v>BUDAPEST</v>
      </c>
      <c r="F450" t="s">
        <v>2485</v>
      </c>
      <c r="G450">
        <v>14.67</v>
      </c>
      <c r="H450" t="s">
        <v>2490</v>
      </c>
      <c r="I450">
        <v>0</v>
      </c>
      <c r="J450">
        <v>100</v>
      </c>
      <c r="K450" s="9">
        <f t="shared" si="13"/>
        <v>45458</v>
      </c>
      <c r="L450" t="s">
        <v>2750</v>
      </c>
      <c r="M450" t="s">
        <v>2932</v>
      </c>
    </row>
    <row r="451" spans="1:13" hidden="1" x14ac:dyDescent="0.35">
      <c r="A451" t="s">
        <v>460</v>
      </c>
      <c r="B451" t="s">
        <v>2319</v>
      </c>
      <c r="C451" t="s">
        <v>2458</v>
      </c>
      <c r="D451" t="s">
        <v>2469</v>
      </c>
      <c r="E451" t="str">
        <f t="shared" ref="E451:E514" si="14">UPPER(D451)</f>
        <v>DORTMUND</v>
      </c>
      <c r="F451" t="s">
        <v>2482</v>
      </c>
      <c r="G451">
        <v>97.38</v>
      </c>
      <c r="H451" t="s">
        <v>2489</v>
      </c>
      <c r="I451">
        <v>97</v>
      </c>
      <c r="J451">
        <v>100</v>
      </c>
      <c r="K451" s="9">
        <f t="shared" ref="K451:K514" si="15">IF(L451="","",
IF(MID(L451,5,1)="-",
DATE(LEFT(L451,4),MID(L451,6,2),RIGHT(L451,2)),
DATE(RIGHT(L451,4),MID(L451,4,2),LEFT(L451,2))
))</f>
        <v>45477</v>
      </c>
      <c r="L451" t="s">
        <v>2751</v>
      </c>
      <c r="M451" t="s">
        <v>2925</v>
      </c>
    </row>
    <row r="452" spans="1:13" hidden="1" x14ac:dyDescent="0.35">
      <c r="A452" t="s">
        <v>461</v>
      </c>
      <c r="B452" t="s">
        <v>2237</v>
      </c>
      <c r="C452" t="s">
        <v>2458</v>
      </c>
      <c r="D452" t="s">
        <v>2463</v>
      </c>
      <c r="E452" t="str">
        <f t="shared" si="14"/>
        <v>VERNIER</v>
      </c>
      <c r="F452" t="s">
        <v>2482</v>
      </c>
      <c r="G452">
        <v>98.92</v>
      </c>
      <c r="H452" t="s">
        <v>2489</v>
      </c>
      <c r="I452">
        <v>97</v>
      </c>
      <c r="J452">
        <v>100</v>
      </c>
      <c r="K452" s="9">
        <f t="shared" si="15"/>
        <v>45697</v>
      </c>
      <c r="L452" t="s">
        <v>2694</v>
      </c>
      <c r="M452" t="s">
        <v>2932</v>
      </c>
    </row>
    <row r="453" spans="1:13" hidden="1" x14ac:dyDescent="0.35">
      <c r="A453" t="s">
        <v>462</v>
      </c>
      <c r="B453" t="s">
        <v>2320</v>
      </c>
      <c r="C453" t="s">
        <v>2457</v>
      </c>
      <c r="D453" t="s">
        <v>2466</v>
      </c>
      <c r="E453" t="str">
        <f t="shared" si="14"/>
        <v>EAST HANOVER</v>
      </c>
      <c r="F453" t="s">
        <v>2485</v>
      </c>
      <c r="G453">
        <v>55.82</v>
      </c>
      <c r="H453" t="s">
        <v>2490</v>
      </c>
      <c r="I453">
        <v>0</v>
      </c>
      <c r="J453">
        <v>100</v>
      </c>
      <c r="K453" s="9">
        <f t="shared" si="15"/>
        <v>45595</v>
      </c>
      <c r="L453" t="s">
        <v>2631</v>
      </c>
      <c r="M453" t="s">
        <v>2931</v>
      </c>
    </row>
    <row r="454" spans="1:13" hidden="1" x14ac:dyDescent="0.35">
      <c r="A454" t="s">
        <v>463</v>
      </c>
      <c r="B454" t="s">
        <v>2096</v>
      </c>
      <c r="C454" t="s">
        <v>2460</v>
      </c>
      <c r="D454" t="s">
        <v>2470</v>
      </c>
      <c r="E454" t="str">
        <f t="shared" si="14"/>
        <v>E. HANOVER</v>
      </c>
      <c r="F454" t="s">
        <v>2481</v>
      </c>
      <c r="G454">
        <v>260.11</v>
      </c>
      <c r="H454" t="s">
        <v>2488</v>
      </c>
      <c r="I454">
        <v>150</v>
      </c>
      <c r="J454">
        <v>400</v>
      </c>
      <c r="K454" s="9">
        <f t="shared" si="15"/>
        <v>45385</v>
      </c>
      <c r="L454" t="s">
        <v>2574</v>
      </c>
      <c r="M454" t="s">
        <v>2929</v>
      </c>
    </row>
    <row r="455" spans="1:13" hidden="1" x14ac:dyDescent="0.35">
      <c r="A455" t="s">
        <v>464</v>
      </c>
      <c r="B455" t="s">
        <v>2025</v>
      </c>
      <c r="C455" t="s">
        <v>2458</v>
      </c>
      <c r="D455" t="s">
        <v>2466</v>
      </c>
      <c r="E455" t="str">
        <f t="shared" si="14"/>
        <v>EAST HANOVER</v>
      </c>
      <c r="F455" t="s">
        <v>2485</v>
      </c>
      <c r="G455">
        <v>63.2</v>
      </c>
      <c r="H455" t="s">
        <v>2490</v>
      </c>
      <c r="I455">
        <v>0</v>
      </c>
      <c r="J455">
        <v>100</v>
      </c>
      <c r="K455" s="9">
        <f t="shared" si="15"/>
        <v>45351</v>
      </c>
      <c r="L455" t="s">
        <v>2505</v>
      </c>
      <c r="M455" t="s">
        <v>2932</v>
      </c>
    </row>
    <row r="456" spans="1:13" hidden="1" x14ac:dyDescent="0.35">
      <c r="A456" t="s">
        <v>465</v>
      </c>
      <c r="B456" t="s">
        <v>2029</v>
      </c>
      <c r="C456" t="s">
        <v>2459</v>
      </c>
      <c r="D456" t="s">
        <v>2473</v>
      </c>
      <c r="E456" t="str">
        <f t="shared" si="14"/>
        <v>DORTMUND</v>
      </c>
      <c r="F456" t="s">
        <v>2482</v>
      </c>
      <c r="G456">
        <v>98.79</v>
      </c>
      <c r="H456" t="s">
        <v>2489</v>
      </c>
      <c r="I456">
        <v>97</v>
      </c>
      <c r="J456">
        <v>100</v>
      </c>
      <c r="K456" s="9">
        <f t="shared" si="15"/>
        <v>45740</v>
      </c>
      <c r="L456" t="s">
        <v>2509</v>
      </c>
      <c r="M456" t="s">
        <v>2932</v>
      </c>
    </row>
    <row r="457" spans="1:13" hidden="1" x14ac:dyDescent="0.35">
      <c r="A457" t="s">
        <v>466</v>
      </c>
      <c r="B457" t="s">
        <v>2132</v>
      </c>
      <c r="C457" t="s">
        <v>2457</v>
      </c>
      <c r="D457" t="s">
        <v>2476</v>
      </c>
      <c r="E457" t="str">
        <f t="shared" si="14"/>
        <v>BUDAPEST SITE</v>
      </c>
      <c r="F457" t="s">
        <v>2485</v>
      </c>
      <c r="G457">
        <v>-3.63</v>
      </c>
      <c r="H457" t="s">
        <v>2490</v>
      </c>
      <c r="I457">
        <v>0</v>
      </c>
      <c r="J457">
        <v>100</v>
      </c>
      <c r="K457" s="9">
        <f t="shared" si="15"/>
        <v>45493</v>
      </c>
      <c r="L457" t="s">
        <v>2752</v>
      </c>
      <c r="M457" t="s">
        <v>2932</v>
      </c>
    </row>
    <row r="458" spans="1:13" hidden="1" x14ac:dyDescent="0.35">
      <c r="A458" t="s">
        <v>467</v>
      </c>
      <c r="B458" t="s">
        <v>2168</v>
      </c>
      <c r="C458" t="s">
        <v>2459</v>
      </c>
      <c r="D458" t="s">
        <v>2477</v>
      </c>
      <c r="E458" t="str">
        <f t="shared" si="14"/>
        <v>BUDAPEST</v>
      </c>
      <c r="F458" t="s">
        <v>2480</v>
      </c>
      <c r="G458">
        <v>0.94</v>
      </c>
      <c r="H458" t="s">
        <v>2487</v>
      </c>
      <c r="I458">
        <v>0.88</v>
      </c>
      <c r="J458">
        <v>0.97</v>
      </c>
      <c r="K458" s="9">
        <f t="shared" si="15"/>
        <v>45558</v>
      </c>
      <c r="L458" t="s">
        <v>2641</v>
      </c>
      <c r="M458" t="s">
        <v>2926</v>
      </c>
    </row>
    <row r="459" spans="1:13" hidden="1" x14ac:dyDescent="0.35">
      <c r="A459" t="s">
        <v>468</v>
      </c>
      <c r="B459" t="s">
        <v>2138</v>
      </c>
      <c r="C459" t="s">
        <v>2457</v>
      </c>
      <c r="D459" t="s">
        <v>2469</v>
      </c>
      <c r="E459" t="str">
        <f t="shared" si="14"/>
        <v>DORTMUND</v>
      </c>
      <c r="F459" t="s">
        <v>2479</v>
      </c>
      <c r="G459">
        <v>22.64</v>
      </c>
      <c r="H459" t="s">
        <v>2486</v>
      </c>
      <c r="I459">
        <v>0</v>
      </c>
      <c r="J459">
        <v>120</v>
      </c>
      <c r="K459" s="9">
        <f t="shared" si="15"/>
        <v>45747</v>
      </c>
      <c r="L459" t="s">
        <v>2613</v>
      </c>
      <c r="M459" t="s">
        <v>2930</v>
      </c>
    </row>
    <row r="460" spans="1:13" hidden="1" x14ac:dyDescent="0.35">
      <c r="A460" t="s">
        <v>469</v>
      </c>
      <c r="B460" t="s">
        <v>2321</v>
      </c>
      <c r="C460" t="s">
        <v>2457</v>
      </c>
      <c r="D460" t="s">
        <v>2476</v>
      </c>
      <c r="E460" t="str">
        <f t="shared" si="14"/>
        <v>BUDAPEST SITE</v>
      </c>
      <c r="F460" t="s">
        <v>2480</v>
      </c>
      <c r="G460">
        <v>0.94</v>
      </c>
      <c r="H460" t="s">
        <v>2487</v>
      </c>
      <c r="I460">
        <v>0.88</v>
      </c>
      <c r="J460">
        <v>0.97</v>
      </c>
      <c r="K460" s="9">
        <f t="shared" si="15"/>
        <v>45491</v>
      </c>
      <c r="L460" t="s">
        <v>2753</v>
      </c>
      <c r="M460" t="s">
        <v>2931</v>
      </c>
    </row>
    <row r="461" spans="1:13" hidden="1" x14ac:dyDescent="0.35">
      <c r="A461" t="s">
        <v>470</v>
      </c>
      <c r="B461" t="s">
        <v>2322</v>
      </c>
      <c r="C461" t="s">
        <v>2461</v>
      </c>
      <c r="D461" t="s">
        <v>2471</v>
      </c>
      <c r="E461" t="str">
        <f t="shared" si="14"/>
        <v>BUDAPEST</v>
      </c>
      <c r="F461" t="s">
        <v>2481</v>
      </c>
      <c r="G461">
        <v>231.43</v>
      </c>
      <c r="H461" t="s">
        <v>2488</v>
      </c>
      <c r="I461">
        <v>150</v>
      </c>
      <c r="J461">
        <v>400</v>
      </c>
      <c r="K461" s="9">
        <f t="shared" si="15"/>
        <v>45813</v>
      </c>
      <c r="L461" t="s">
        <v>2690</v>
      </c>
      <c r="M461" t="s">
        <v>2930</v>
      </c>
    </row>
    <row r="462" spans="1:13" hidden="1" x14ac:dyDescent="0.35">
      <c r="A462" t="s">
        <v>471</v>
      </c>
      <c r="B462" t="s">
        <v>2268</v>
      </c>
      <c r="C462" t="s">
        <v>2459</v>
      </c>
      <c r="D462" t="s">
        <v>2466</v>
      </c>
      <c r="E462" t="str">
        <f t="shared" si="14"/>
        <v>EAST HANOVER</v>
      </c>
      <c r="F462" t="s">
        <v>2479</v>
      </c>
      <c r="G462">
        <v>53.5</v>
      </c>
      <c r="H462" t="s">
        <v>2486</v>
      </c>
      <c r="I462">
        <v>0</v>
      </c>
      <c r="J462">
        <v>120</v>
      </c>
      <c r="K462" s="9">
        <f t="shared" si="15"/>
        <v>45367</v>
      </c>
      <c r="L462" t="s">
        <v>2717</v>
      </c>
      <c r="M462" t="s">
        <v>2923</v>
      </c>
    </row>
    <row r="463" spans="1:13" hidden="1" x14ac:dyDescent="0.35">
      <c r="A463" t="s">
        <v>472</v>
      </c>
      <c r="B463" t="s">
        <v>2233</v>
      </c>
      <c r="C463" t="s">
        <v>2459</v>
      </c>
      <c r="D463" t="s">
        <v>2471</v>
      </c>
      <c r="E463" t="str">
        <f t="shared" si="14"/>
        <v>BUDAPEST</v>
      </c>
      <c r="F463" t="s">
        <v>2485</v>
      </c>
      <c r="G463">
        <v>-75</v>
      </c>
      <c r="H463" t="s">
        <v>2490</v>
      </c>
      <c r="I463">
        <v>0</v>
      </c>
      <c r="J463">
        <v>100</v>
      </c>
      <c r="K463" s="9">
        <f t="shared" si="15"/>
        <v>45854</v>
      </c>
      <c r="L463" t="s">
        <v>2667</v>
      </c>
      <c r="M463" t="s">
        <v>2931</v>
      </c>
    </row>
    <row r="464" spans="1:13" hidden="1" x14ac:dyDescent="0.35">
      <c r="A464" t="s">
        <v>473</v>
      </c>
      <c r="B464" t="s">
        <v>2150</v>
      </c>
      <c r="C464" t="s">
        <v>2459</v>
      </c>
      <c r="D464" t="s">
        <v>2469</v>
      </c>
      <c r="E464" t="str">
        <f t="shared" si="14"/>
        <v>DORTMUND</v>
      </c>
      <c r="F464" t="s">
        <v>2485</v>
      </c>
      <c r="G464">
        <v>8.7799999999999994</v>
      </c>
      <c r="H464" t="s">
        <v>2490</v>
      </c>
      <c r="I464">
        <v>0</v>
      </c>
      <c r="J464">
        <v>100</v>
      </c>
      <c r="K464" s="9">
        <f t="shared" si="15"/>
        <v>45787</v>
      </c>
      <c r="L464" t="s">
        <v>2625</v>
      </c>
      <c r="M464" t="s">
        <v>2926</v>
      </c>
    </row>
    <row r="465" spans="1:13" hidden="1" x14ac:dyDescent="0.35">
      <c r="A465" t="s">
        <v>474</v>
      </c>
      <c r="B465" t="s">
        <v>2312</v>
      </c>
      <c r="C465" t="s">
        <v>2461</v>
      </c>
      <c r="D465" t="s">
        <v>2462</v>
      </c>
      <c r="E465" t="str">
        <f t="shared" si="14"/>
        <v>ASHFORD UK</v>
      </c>
      <c r="F465" t="s">
        <v>2485</v>
      </c>
      <c r="G465">
        <v>14.61</v>
      </c>
      <c r="H465" t="s">
        <v>2490</v>
      </c>
      <c r="I465">
        <v>0</v>
      </c>
      <c r="J465">
        <v>100</v>
      </c>
      <c r="K465" s="9">
        <f t="shared" si="15"/>
        <v>45344</v>
      </c>
      <c r="L465" t="s">
        <v>2705</v>
      </c>
      <c r="M465" t="s">
        <v>2931</v>
      </c>
    </row>
    <row r="466" spans="1:13" hidden="1" x14ac:dyDescent="0.35">
      <c r="A466" t="s">
        <v>475</v>
      </c>
      <c r="B466" t="s">
        <v>2323</v>
      </c>
      <c r="C466" t="s">
        <v>2461</v>
      </c>
      <c r="D466" t="s">
        <v>2478</v>
      </c>
      <c r="E466" t="str">
        <f t="shared" si="14"/>
        <v>BUD</v>
      </c>
      <c r="F466" t="s">
        <v>2479</v>
      </c>
      <c r="G466">
        <v>51.46</v>
      </c>
      <c r="H466" t="s">
        <v>2486</v>
      </c>
      <c r="I466">
        <v>0</v>
      </c>
      <c r="J466">
        <v>120</v>
      </c>
      <c r="K466" s="9">
        <f t="shared" si="15"/>
        <v>45571</v>
      </c>
      <c r="L466" t="s">
        <v>2754</v>
      </c>
      <c r="M466" t="s">
        <v>2929</v>
      </c>
    </row>
    <row r="467" spans="1:13" hidden="1" x14ac:dyDescent="0.35">
      <c r="A467" t="s">
        <v>476</v>
      </c>
      <c r="B467" t="s">
        <v>2324</v>
      </c>
      <c r="C467" t="s">
        <v>2459</v>
      </c>
      <c r="D467" t="s">
        <v>2475</v>
      </c>
      <c r="E467" t="str">
        <f t="shared" si="14"/>
        <v>ASHFORD</v>
      </c>
      <c r="F467" t="s">
        <v>2485</v>
      </c>
      <c r="G467">
        <v>29.68</v>
      </c>
      <c r="H467" t="s">
        <v>2490</v>
      </c>
      <c r="I467">
        <v>0</v>
      </c>
      <c r="J467">
        <v>100</v>
      </c>
      <c r="K467" s="9">
        <f t="shared" si="15"/>
        <v>45828</v>
      </c>
      <c r="L467" t="s">
        <v>2755</v>
      </c>
      <c r="M467" t="s">
        <v>2929</v>
      </c>
    </row>
    <row r="468" spans="1:13" hidden="1" x14ac:dyDescent="0.35">
      <c r="A468" t="s">
        <v>477</v>
      </c>
      <c r="B468" t="s">
        <v>2215</v>
      </c>
      <c r="C468" t="s">
        <v>2459</v>
      </c>
      <c r="D468" t="s">
        <v>2470</v>
      </c>
      <c r="E468" t="str">
        <f t="shared" si="14"/>
        <v>E. HANOVER</v>
      </c>
      <c r="F468" t="s">
        <v>2484</v>
      </c>
      <c r="G468">
        <v>6.67</v>
      </c>
      <c r="I468">
        <v>6</v>
      </c>
      <c r="J468">
        <v>7.5</v>
      </c>
      <c r="K468" s="9">
        <f t="shared" si="15"/>
        <v>45945</v>
      </c>
      <c r="L468" t="s">
        <v>2682</v>
      </c>
      <c r="M468" t="s">
        <v>2931</v>
      </c>
    </row>
    <row r="469" spans="1:13" hidden="1" x14ac:dyDescent="0.35">
      <c r="A469" t="s">
        <v>478</v>
      </c>
      <c r="B469" t="s">
        <v>2043</v>
      </c>
      <c r="C469" t="s">
        <v>2461</v>
      </c>
      <c r="D469" t="s">
        <v>2465</v>
      </c>
      <c r="E469" t="str">
        <f t="shared" si="14"/>
        <v>VERNIER</v>
      </c>
      <c r="F469" t="s">
        <v>2480</v>
      </c>
      <c r="G469">
        <v>0.96</v>
      </c>
      <c r="H469" t="s">
        <v>2487</v>
      </c>
      <c r="I469">
        <v>0.88</v>
      </c>
      <c r="J469">
        <v>0.97</v>
      </c>
      <c r="K469" s="9">
        <f t="shared" si="15"/>
        <v>45431</v>
      </c>
      <c r="L469" t="s">
        <v>2523</v>
      </c>
      <c r="M469" t="s">
        <v>2927</v>
      </c>
    </row>
    <row r="470" spans="1:13" hidden="1" x14ac:dyDescent="0.35">
      <c r="A470" t="s">
        <v>479</v>
      </c>
      <c r="B470" t="s">
        <v>2325</v>
      </c>
      <c r="C470" t="s">
        <v>2458</v>
      </c>
      <c r="D470" t="s">
        <v>2472</v>
      </c>
      <c r="E470" t="str">
        <f t="shared" si="14"/>
        <v>VERNIER</v>
      </c>
      <c r="F470" t="s">
        <v>2482</v>
      </c>
      <c r="G470">
        <v>98.5</v>
      </c>
      <c r="H470" t="s">
        <v>2489</v>
      </c>
      <c r="I470">
        <v>97</v>
      </c>
      <c r="J470">
        <v>100</v>
      </c>
      <c r="K470" s="9">
        <f t="shared" si="15"/>
        <v>45491</v>
      </c>
      <c r="L470" t="s">
        <v>2753</v>
      </c>
      <c r="M470" t="s">
        <v>2932</v>
      </c>
    </row>
    <row r="471" spans="1:13" hidden="1" x14ac:dyDescent="0.35">
      <c r="A471" t="s">
        <v>480</v>
      </c>
      <c r="B471" t="s">
        <v>2192</v>
      </c>
      <c r="C471" t="s">
        <v>2457</v>
      </c>
      <c r="D471" t="s">
        <v>2469</v>
      </c>
      <c r="E471" t="str">
        <f t="shared" si="14"/>
        <v>DORTMUND</v>
      </c>
      <c r="F471" t="s">
        <v>2480</v>
      </c>
      <c r="G471">
        <v>0.89</v>
      </c>
      <c r="H471" t="s">
        <v>2487</v>
      </c>
      <c r="I471">
        <v>0.88</v>
      </c>
      <c r="J471">
        <v>0.97</v>
      </c>
      <c r="K471" s="9">
        <f t="shared" si="15"/>
        <v>45661</v>
      </c>
      <c r="L471" t="s">
        <v>2612</v>
      </c>
      <c r="M471" t="s">
        <v>2925</v>
      </c>
    </row>
    <row r="472" spans="1:13" hidden="1" x14ac:dyDescent="0.35">
      <c r="A472" t="s">
        <v>481</v>
      </c>
      <c r="B472" t="s">
        <v>2326</v>
      </c>
      <c r="C472" t="s">
        <v>2459</v>
      </c>
      <c r="D472" t="s">
        <v>2467</v>
      </c>
      <c r="E472" t="str">
        <f t="shared" si="14"/>
        <v>ASHFORD</v>
      </c>
      <c r="F472" t="s">
        <v>2480</v>
      </c>
      <c r="G472">
        <v>0.93</v>
      </c>
      <c r="H472" t="s">
        <v>2487</v>
      </c>
      <c r="I472">
        <v>0.88</v>
      </c>
      <c r="J472">
        <v>0.97</v>
      </c>
      <c r="K472" s="9">
        <f t="shared" si="15"/>
        <v>45676</v>
      </c>
      <c r="L472" t="s">
        <v>2707</v>
      </c>
      <c r="M472" t="s">
        <v>2925</v>
      </c>
    </row>
    <row r="473" spans="1:13" hidden="1" x14ac:dyDescent="0.35">
      <c r="A473" t="s">
        <v>482</v>
      </c>
      <c r="B473" t="s">
        <v>2209</v>
      </c>
      <c r="C473" t="s">
        <v>2458</v>
      </c>
      <c r="D473" t="s">
        <v>2462</v>
      </c>
      <c r="E473" t="str">
        <f t="shared" si="14"/>
        <v>ASHFORD UK</v>
      </c>
      <c r="F473" t="s">
        <v>2481</v>
      </c>
      <c r="G473">
        <v>232.02</v>
      </c>
      <c r="H473" t="s">
        <v>2488</v>
      </c>
      <c r="I473">
        <v>150</v>
      </c>
      <c r="J473">
        <v>400</v>
      </c>
      <c r="K473" s="9">
        <f t="shared" si="15"/>
        <v>45673</v>
      </c>
      <c r="L473" t="s">
        <v>2677</v>
      </c>
      <c r="M473" t="s">
        <v>2923</v>
      </c>
    </row>
    <row r="474" spans="1:13" hidden="1" x14ac:dyDescent="0.35">
      <c r="A474" t="s">
        <v>483</v>
      </c>
      <c r="B474" t="s">
        <v>2234</v>
      </c>
      <c r="C474" t="s">
        <v>2457</v>
      </c>
      <c r="D474" t="s">
        <v>2477</v>
      </c>
      <c r="E474" t="str">
        <f t="shared" si="14"/>
        <v>BUDAPEST</v>
      </c>
      <c r="F474" t="s">
        <v>2485</v>
      </c>
      <c r="G474">
        <v>9.33</v>
      </c>
      <c r="H474" t="s">
        <v>2490</v>
      </c>
      <c r="I474">
        <v>0</v>
      </c>
      <c r="J474">
        <v>100</v>
      </c>
      <c r="K474" s="9">
        <f t="shared" si="15"/>
        <v>45774</v>
      </c>
      <c r="L474" t="s">
        <v>2522</v>
      </c>
      <c r="M474" t="s">
        <v>2931</v>
      </c>
    </row>
    <row r="475" spans="1:13" hidden="1" x14ac:dyDescent="0.35">
      <c r="A475" t="s">
        <v>484</v>
      </c>
      <c r="B475" t="s">
        <v>2299</v>
      </c>
      <c r="C475" t="s">
        <v>2459</v>
      </c>
      <c r="D475" t="s">
        <v>2462</v>
      </c>
      <c r="E475" t="str">
        <f t="shared" si="14"/>
        <v>ASHFORD UK</v>
      </c>
      <c r="F475" t="s">
        <v>2482</v>
      </c>
      <c r="G475">
        <v>98.05</v>
      </c>
      <c r="H475" t="s">
        <v>2489</v>
      </c>
      <c r="I475">
        <v>97</v>
      </c>
      <c r="J475">
        <v>100</v>
      </c>
      <c r="K475" s="9">
        <f t="shared" si="15"/>
        <v>45508</v>
      </c>
      <c r="L475" t="s">
        <v>2739</v>
      </c>
      <c r="M475" t="s">
        <v>2923</v>
      </c>
    </row>
    <row r="476" spans="1:13" hidden="1" x14ac:dyDescent="0.35">
      <c r="A476" t="s">
        <v>485</v>
      </c>
      <c r="B476" t="s">
        <v>2256</v>
      </c>
      <c r="C476" t="s">
        <v>2461</v>
      </c>
      <c r="D476" t="s">
        <v>2470</v>
      </c>
      <c r="E476" t="str">
        <f t="shared" si="14"/>
        <v>E. HANOVER</v>
      </c>
      <c r="F476" t="s">
        <v>2485</v>
      </c>
      <c r="G476">
        <v>16.95</v>
      </c>
      <c r="H476" t="s">
        <v>2490</v>
      </c>
      <c r="I476">
        <v>0</v>
      </c>
      <c r="J476">
        <v>100</v>
      </c>
      <c r="K476" s="9">
        <f t="shared" si="15"/>
        <v>45676</v>
      </c>
      <c r="L476" t="s">
        <v>2707</v>
      </c>
      <c r="M476" t="s">
        <v>2927</v>
      </c>
    </row>
    <row r="477" spans="1:13" hidden="1" x14ac:dyDescent="0.35">
      <c r="A477" t="s">
        <v>486</v>
      </c>
      <c r="B477" t="s">
        <v>2056</v>
      </c>
      <c r="C477" t="s">
        <v>2459</v>
      </c>
      <c r="D477" t="s">
        <v>2471</v>
      </c>
      <c r="E477" t="str">
        <f t="shared" si="14"/>
        <v>BUDAPEST</v>
      </c>
      <c r="F477" t="s">
        <v>2480</v>
      </c>
      <c r="G477">
        <v>0.9</v>
      </c>
      <c r="H477" t="s">
        <v>2487</v>
      </c>
      <c r="I477">
        <v>0.88</v>
      </c>
      <c r="J477">
        <v>0.97</v>
      </c>
      <c r="K477" s="9">
        <f t="shared" si="15"/>
        <v>45997</v>
      </c>
      <c r="L477" t="s">
        <v>2535</v>
      </c>
      <c r="M477" t="s">
        <v>2926</v>
      </c>
    </row>
    <row r="478" spans="1:13" hidden="1" x14ac:dyDescent="0.35">
      <c r="A478" t="s">
        <v>487</v>
      </c>
      <c r="B478" t="s">
        <v>2309</v>
      </c>
      <c r="C478" t="s">
        <v>2457</v>
      </c>
      <c r="D478" t="s">
        <v>2477</v>
      </c>
      <c r="E478" t="str">
        <f t="shared" si="14"/>
        <v>BUDAPEST</v>
      </c>
      <c r="F478" t="s">
        <v>2481</v>
      </c>
      <c r="G478">
        <v>270.91000000000003</v>
      </c>
      <c r="H478" t="s">
        <v>2488</v>
      </c>
      <c r="I478">
        <v>150</v>
      </c>
      <c r="J478">
        <v>400</v>
      </c>
      <c r="K478" s="9">
        <f t="shared" si="15"/>
        <v>45826</v>
      </c>
      <c r="L478" t="s">
        <v>2575</v>
      </c>
      <c r="M478" t="s">
        <v>2930</v>
      </c>
    </row>
    <row r="479" spans="1:13" hidden="1" x14ac:dyDescent="0.35">
      <c r="A479" t="s">
        <v>488</v>
      </c>
      <c r="B479" t="s">
        <v>2327</v>
      </c>
      <c r="C479" t="s">
        <v>2458</v>
      </c>
      <c r="D479" t="s">
        <v>2478</v>
      </c>
      <c r="E479" t="str">
        <f t="shared" si="14"/>
        <v>BUD</v>
      </c>
      <c r="F479" t="s">
        <v>2482</v>
      </c>
      <c r="G479">
        <v>98.88</v>
      </c>
      <c r="H479" t="s">
        <v>2489</v>
      </c>
      <c r="I479">
        <v>97</v>
      </c>
      <c r="J479">
        <v>100</v>
      </c>
      <c r="K479" s="9">
        <f t="shared" si="15"/>
        <v>45699</v>
      </c>
      <c r="L479" t="s">
        <v>2756</v>
      </c>
      <c r="M479" t="s">
        <v>2929</v>
      </c>
    </row>
    <row r="480" spans="1:13" hidden="1" x14ac:dyDescent="0.35">
      <c r="A480" t="s">
        <v>489</v>
      </c>
      <c r="B480" t="s">
        <v>2134</v>
      </c>
      <c r="C480" t="s">
        <v>2459</v>
      </c>
      <c r="D480" t="s">
        <v>2463</v>
      </c>
      <c r="E480" t="str">
        <f t="shared" si="14"/>
        <v>VERNIER</v>
      </c>
      <c r="F480" t="s">
        <v>2482</v>
      </c>
      <c r="G480">
        <v>97.9</v>
      </c>
      <c r="H480" t="s">
        <v>2489</v>
      </c>
      <c r="I480">
        <v>97</v>
      </c>
      <c r="J480">
        <v>100</v>
      </c>
      <c r="K480" s="9">
        <f t="shared" si="15"/>
        <v>45721</v>
      </c>
      <c r="L480" t="s">
        <v>2610</v>
      </c>
      <c r="M480" t="s">
        <v>2926</v>
      </c>
    </row>
    <row r="481" spans="1:13" hidden="1" x14ac:dyDescent="0.35">
      <c r="A481" t="s">
        <v>490</v>
      </c>
      <c r="B481" t="s">
        <v>2279</v>
      </c>
      <c r="C481" t="s">
        <v>2457</v>
      </c>
      <c r="D481" t="s">
        <v>2472</v>
      </c>
      <c r="E481" t="str">
        <f t="shared" si="14"/>
        <v>VERNIER</v>
      </c>
      <c r="F481" t="s">
        <v>2479</v>
      </c>
      <c r="G481">
        <v>59.89</v>
      </c>
      <c r="H481" t="s">
        <v>2486</v>
      </c>
      <c r="I481">
        <v>0</v>
      </c>
      <c r="J481">
        <v>120</v>
      </c>
      <c r="K481" s="9">
        <f t="shared" si="15"/>
        <v>45485</v>
      </c>
      <c r="L481" t="s">
        <v>2727</v>
      </c>
      <c r="M481" t="s">
        <v>2923</v>
      </c>
    </row>
    <row r="482" spans="1:13" hidden="1" x14ac:dyDescent="0.35">
      <c r="A482" t="s">
        <v>491</v>
      </c>
      <c r="B482" t="s">
        <v>2012</v>
      </c>
      <c r="C482" t="s">
        <v>2458</v>
      </c>
      <c r="D482" t="s">
        <v>2463</v>
      </c>
      <c r="E482" t="str">
        <f t="shared" si="14"/>
        <v>VERNIER</v>
      </c>
      <c r="F482" t="s">
        <v>2482</v>
      </c>
      <c r="G482">
        <v>97.85</v>
      </c>
      <c r="H482" t="s">
        <v>2489</v>
      </c>
      <c r="I482">
        <v>97</v>
      </c>
      <c r="J482">
        <v>100</v>
      </c>
      <c r="K482" s="9">
        <f t="shared" si="15"/>
        <v>45399</v>
      </c>
      <c r="L482" t="s">
        <v>2492</v>
      </c>
      <c r="M482" t="s">
        <v>2931</v>
      </c>
    </row>
    <row r="483" spans="1:13" hidden="1" x14ac:dyDescent="0.35">
      <c r="A483" t="s">
        <v>492</v>
      </c>
      <c r="B483" t="s">
        <v>2249</v>
      </c>
      <c r="C483" t="s">
        <v>2461</v>
      </c>
      <c r="D483" t="s">
        <v>2465</v>
      </c>
      <c r="E483" t="str">
        <f t="shared" si="14"/>
        <v>VERNIER</v>
      </c>
      <c r="F483" t="s">
        <v>2481</v>
      </c>
      <c r="G483">
        <v>260.76</v>
      </c>
      <c r="H483" t="s">
        <v>2488</v>
      </c>
      <c r="I483">
        <v>150</v>
      </c>
      <c r="J483">
        <v>400</v>
      </c>
      <c r="K483" s="9">
        <f t="shared" si="15"/>
        <v>45987</v>
      </c>
      <c r="L483" t="s">
        <v>2757</v>
      </c>
      <c r="M483" t="s">
        <v>2925</v>
      </c>
    </row>
    <row r="484" spans="1:13" hidden="1" x14ac:dyDescent="0.35">
      <c r="A484" t="s">
        <v>493</v>
      </c>
      <c r="B484" t="s">
        <v>2328</v>
      </c>
      <c r="C484" t="s">
        <v>2461</v>
      </c>
      <c r="D484" t="s">
        <v>2475</v>
      </c>
      <c r="E484" t="str">
        <f t="shared" si="14"/>
        <v>ASHFORD</v>
      </c>
      <c r="F484" t="s">
        <v>2484</v>
      </c>
      <c r="G484">
        <v>6.74</v>
      </c>
      <c r="I484">
        <v>6</v>
      </c>
      <c r="J484">
        <v>7.5</v>
      </c>
      <c r="K484" s="9">
        <f t="shared" si="15"/>
        <v>45710</v>
      </c>
      <c r="L484" t="s">
        <v>2758</v>
      </c>
      <c r="M484" t="s">
        <v>2927</v>
      </c>
    </row>
    <row r="485" spans="1:13" hidden="1" x14ac:dyDescent="0.35">
      <c r="A485" t="s">
        <v>494</v>
      </c>
      <c r="B485" t="s">
        <v>2308</v>
      </c>
      <c r="C485" t="s">
        <v>2457</v>
      </c>
      <c r="D485" t="s">
        <v>2476</v>
      </c>
      <c r="E485" t="str">
        <f t="shared" si="14"/>
        <v>BUDAPEST SITE</v>
      </c>
      <c r="F485" t="s">
        <v>2485</v>
      </c>
      <c r="G485">
        <v>35.799999999999997</v>
      </c>
      <c r="H485" t="s">
        <v>2490</v>
      </c>
      <c r="I485">
        <v>0</v>
      </c>
      <c r="J485">
        <v>100</v>
      </c>
      <c r="K485" s="9">
        <f t="shared" si="15"/>
        <v>45797</v>
      </c>
      <c r="L485" t="s">
        <v>2744</v>
      </c>
      <c r="M485" t="s">
        <v>2930</v>
      </c>
    </row>
    <row r="486" spans="1:13" hidden="1" x14ac:dyDescent="0.35">
      <c r="A486" t="s">
        <v>495</v>
      </c>
      <c r="B486" t="s">
        <v>2272</v>
      </c>
      <c r="C486" t="s">
        <v>2459</v>
      </c>
      <c r="D486" t="s">
        <v>2475</v>
      </c>
      <c r="E486" t="str">
        <f t="shared" si="14"/>
        <v>ASHFORD</v>
      </c>
      <c r="F486" t="s">
        <v>2482</v>
      </c>
      <c r="G486">
        <v>99.02</v>
      </c>
      <c r="H486" t="s">
        <v>2489</v>
      </c>
      <c r="I486">
        <v>97</v>
      </c>
      <c r="J486">
        <v>100</v>
      </c>
      <c r="K486" s="9">
        <f t="shared" si="15"/>
        <v>45680</v>
      </c>
      <c r="L486" t="s">
        <v>2720</v>
      </c>
      <c r="M486" t="s">
        <v>2924</v>
      </c>
    </row>
    <row r="487" spans="1:13" hidden="1" x14ac:dyDescent="0.35">
      <c r="A487" t="s">
        <v>496</v>
      </c>
      <c r="B487" t="s">
        <v>2329</v>
      </c>
      <c r="C487" t="s">
        <v>2459</v>
      </c>
      <c r="D487" t="s">
        <v>2469</v>
      </c>
      <c r="E487" t="str">
        <f t="shared" si="14"/>
        <v>DORTMUND</v>
      </c>
      <c r="F487" t="s">
        <v>2484</v>
      </c>
      <c r="G487">
        <v>6.91</v>
      </c>
      <c r="I487">
        <v>6</v>
      </c>
      <c r="J487">
        <v>7.5</v>
      </c>
      <c r="K487" s="9">
        <f t="shared" si="15"/>
        <v>45849</v>
      </c>
      <c r="L487" t="s">
        <v>2759</v>
      </c>
      <c r="M487" t="s">
        <v>2932</v>
      </c>
    </row>
    <row r="488" spans="1:13" hidden="1" x14ac:dyDescent="0.35">
      <c r="A488" t="s">
        <v>497</v>
      </c>
      <c r="B488" t="s">
        <v>2259</v>
      </c>
      <c r="C488" t="s">
        <v>2457</v>
      </c>
      <c r="D488" t="s">
        <v>2465</v>
      </c>
      <c r="E488" t="str">
        <f t="shared" si="14"/>
        <v>VERNIER</v>
      </c>
      <c r="F488" t="s">
        <v>2485</v>
      </c>
      <c r="G488">
        <v>38.86</v>
      </c>
      <c r="H488" t="s">
        <v>2490</v>
      </c>
      <c r="I488">
        <v>0</v>
      </c>
      <c r="J488">
        <v>100</v>
      </c>
      <c r="K488" s="9">
        <f t="shared" si="15"/>
        <v>45863</v>
      </c>
      <c r="L488" t="s">
        <v>2711</v>
      </c>
      <c r="M488" t="s">
        <v>2927</v>
      </c>
    </row>
    <row r="489" spans="1:13" hidden="1" x14ac:dyDescent="0.35">
      <c r="A489" t="s">
        <v>498</v>
      </c>
      <c r="B489" t="s">
        <v>2079</v>
      </c>
      <c r="C489" t="s">
        <v>2459</v>
      </c>
      <c r="D489" t="s">
        <v>2467</v>
      </c>
      <c r="E489" t="str">
        <f t="shared" si="14"/>
        <v>ASHFORD</v>
      </c>
      <c r="F489" t="s">
        <v>2482</v>
      </c>
      <c r="G489">
        <v>98.51</v>
      </c>
      <c r="H489" t="s">
        <v>2489</v>
      </c>
      <c r="I489">
        <v>97</v>
      </c>
      <c r="J489">
        <v>100</v>
      </c>
      <c r="K489" s="9">
        <f t="shared" si="15"/>
        <v>45860</v>
      </c>
      <c r="L489" t="s">
        <v>2760</v>
      </c>
      <c r="M489" t="s">
        <v>2925</v>
      </c>
    </row>
    <row r="490" spans="1:13" hidden="1" x14ac:dyDescent="0.35">
      <c r="A490" t="s">
        <v>499</v>
      </c>
      <c r="B490" t="s">
        <v>2110</v>
      </c>
      <c r="C490" t="s">
        <v>2460</v>
      </c>
      <c r="D490" t="s">
        <v>2472</v>
      </c>
      <c r="E490" t="str">
        <f t="shared" si="14"/>
        <v>VERNIER</v>
      </c>
      <c r="F490" t="s">
        <v>2479</v>
      </c>
      <c r="G490">
        <v>44.91</v>
      </c>
      <c r="H490" t="s">
        <v>2486</v>
      </c>
      <c r="I490">
        <v>0</v>
      </c>
      <c r="J490">
        <v>120</v>
      </c>
      <c r="K490" s="9">
        <f t="shared" si="15"/>
        <v>45860</v>
      </c>
      <c r="L490" t="s">
        <v>2558</v>
      </c>
      <c r="M490" t="s">
        <v>2932</v>
      </c>
    </row>
    <row r="491" spans="1:13" hidden="1" x14ac:dyDescent="0.35">
      <c r="A491" t="s">
        <v>500</v>
      </c>
      <c r="B491" t="s">
        <v>2304</v>
      </c>
      <c r="C491" t="s">
        <v>2460</v>
      </c>
      <c r="D491" t="s">
        <v>2464</v>
      </c>
      <c r="E491" t="str">
        <f t="shared" si="14"/>
        <v>EAST HANOVER</v>
      </c>
      <c r="F491" t="s">
        <v>2483</v>
      </c>
      <c r="G491">
        <v>0.26</v>
      </c>
      <c r="H491" t="s">
        <v>2489</v>
      </c>
      <c r="I491">
        <v>0</v>
      </c>
      <c r="J491">
        <v>1</v>
      </c>
      <c r="K491" s="9">
        <f t="shared" si="15"/>
        <v>45398</v>
      </c>
      <c r="L491" t="s">
        <v>2529</v>
      </c>
      <c r="M491" t="s">
        <v>2927</v>
      </c>
    </row>
    <row r="492" spans="1:13" hidden="1" x14ac:dyDescent="0.35">
      <c r="A492" t="s">
        <v>501</v>
      </c>
      <c r="B492" t="s">
        <v>2024</v>
      </c>
      <c r="C492" t="s">
        <v>2457</v>
      </c>
      <c r="D492" t="s">
        <v>2472</v>
      </c>
      <c r="E492" t="str">
        <f t="shared" si="14"/>
        <v>VERNIER</v>
      </c>
      <c r="F492" t="s">
        <v>2483</v>
      </c>
      <c r="G492">
        <v>0.26</v>
      </c>
      <c r="H492" t="s">
        <v>2489</v>
      </c>
      <c r="I492">
        <v>0</v>
      </c>
      <c r="J492">
        <v>1</v>
      </c>
      <c r="K492" s="9">
        <f t="shared" si="15"/>
        <v>45529</v>
      </c>
      <c r="L492" t="s">
        <v>2761</v>
      </c>
      <c r="M492" t="s">
        <v>2932</v>
      </c>
    </row>
    <row r="493" spans="1:13" hidden="1" x14ac:dyDescent="0.35">
      <c r="A493" t="s">
        <v>502</v>
      </c>
      <c r="B493" t="s">
        <v>2079</v>
      </c>
      <c r="C493" t="s">
        <v>2459</v>
      </c>
      <c r="D493" t="s">
        <v>2462</v>
      </c>
      <c r="E493" t="str">
        <f t="shared" si="14"/>
        <v>ASHFORD UK</v>
      </c>
      <c r="F493" t="s">
        <v>2483</v>
      </c>
      <c r="G493">
        <v>0.26</v>
      </c>
      <c r="H493" t="s">
        <v>2489</v>
      </c>
      <c r="I493">
        <v>0</v>
      </c>
      <c r="J493">
        <v>1</v>
      </c>
      <c r="K493" s="9">
        <f t="shared" si="15"/>
        <v>45860</v>
      </c>
      <c r="L493" t="s">
        <v>2558</v>
      </c>
      <c r="M493" t="s">
        <v>2924</v>
      </c>
    </row>
    <row r="494" spans="1:13" hidden="1" x14ac:dyDescent="0.35">
      <c r="A494" t="s">
        <v>503</v>
      </c>
      <c r="B494" t="s">
        <v>2204</v>
      </c>
      <c r="C494" t="s">
        <v>2460</v>
      </c>
      <c r="D494" t="s">
        <v>2472</v>
      </c>
      <c r="E494" t="str">
        <f t="shared" si="14"/>
        <v>VERNIER</v>
      </c>
      <c r="F494" t="s">
        <v>2479</v>
      </c>
      <c r="G494">
        <v>20.6</v>
      </c>
      <c r="H494" t="s">
        <v>2486</v>
      </c>
      <c r="I494">
        <v>0</v>
      </c>
      <c r="J494">
        <v>120</v>
      </c>
      <c r="K494" s="9">
        <f t="shared" si="15"/>
        <v>45445</v>
      </c>
      <c r="L494" t="s">
        <v>2628</v>
      </c>
      <c r="M494" t="s">
        <v>2927</v>
      </c>
    </row>
    <row r="495" spans="1:13" hidden="1" x14ac:dyDescent="0.35">
      <c r="A495" t="s">
        <v>504</v>
      </c>
      <c r="B495" t="s">
        <v>2060</v>
      </c>
      <c r="C495" t="s">
        <v>2458</v>
      </c>
      <c r="D495" t="s">
        <v>2464</v>
      </c>
      <c r="E495" t="str">
        <f t="shared" si="14"/>
        <v>EAST HANOVER</v>
      </c>
      <c r="F495" t="s">
        <v>2480</v>
      </c>
      <c r="G495">
        <v>0.94</v>
      </c>
      <c r="H495" t="s">
        <v>2487</v>
      </c>
      <c r="I495">
        <v>0.88</v>
      </c>
      <c r="J495">
        <v>0.97</v>
      </c>
      <c r="K495" s="9">
        <f t="shared" si="15"/>
        <v>45751</v>
      </c>
      <c r="L495" t="s">
        <v>2539</v>
      </c>
      <c r="M495" t="s">
        <v>2929</v>
      </c>
    </row>
    <row r="496" spans="1:13" hidden="1" x14ac:dyDescent="0.35">
      <c r="A496" t="s">
        <v>505</v>
      </c>
      <c r="B496" t="s">
        <v>2128</v>
      </c>
      <c r="C496" t="s">
        <v>2458</v>
      </c>
      <c r="D496" t="s">
        <v>2477</v>
      </c>
      <c r="E496" t="str">
        <f t="shared" si="14"/>
        <v>BUDAPEST</v>
      </c>
      <c r="F496" t="s">
        <v>2481</v>
      </c>
      <c r="G496">
        <v>269.38</v>
      </c>
      <c r="H496" t="s">
        <v>2488</v>
      </c>
      <c r="I496">
        <v>150</v>
      </c>
      <c r="J496">
        <v>400</v>
      </c>
      <c r="K496" s="9">
        <f t="shared" si="15"/>
        <v>45565</v>
      </c>
      <c r="L496" t="s">
        <v>2604</v>
      </c>
      <c r="M496" t="s">
        <v>2927</v>
      </c>
    </row>
    <row r="497" spans="1:13" hidden="1" x14ac:dyDescent="0.35">
      <c r="A497" t="s">
        <v>506</v>
      </c>
      <c r="B497" t="s">
        <v>2063</v>
      </c>
      <c r="C497" t="s">
        <v>2461</v>
      </c>
      <c r="D497" t="s">
        <v>2466</v>
      </c>
      <c r="E497" t="str">
        <f t="shared" si="14"/>
        <v>EAST HANOVER</v>
      </c>
      <c r="F497" t="s">
        <v>2482</v>
      </c>
      <c r="G497">
        <v>98.83</v>
      </c>
      <c r="H497" t="s">
        <v>2489</v>
      </c>
      <c r="I497">
        <v>97</v>
      </c>
      <c r="J497">
        <v>100</v>
      </c>
      <c r="K497" s="9">
        <f t="shared" si="15"/>
        <v>45884</v>
      </c>
      <c r="L497" t="s">
        <v>2542</v>
      </c>
      <c r="M497" t="s">
        <v>2926</v>
      </c>
    </row>
    <row r="498" spans="1:13" hidden="1" x14ac:dyDescent="0.35">
      <c r="A498" t="s">
        <v>507</v>
      </c>
      <c r="B498" t="s">
        <v>2174</v>
      </c>
      <c r="C498" t="s">
        <v>2459</v>
      </c>
      <c r="D498" t="s">
        <v>2464</v>
      </c>
      <c r="E498" t="str">
        <f t="shared" si="14"/>
        <v>EAST HANOVER</v>
      </c>
      <c r="F498" t="s">
        <v>2481</v>
      </c>
      <c r="G498">
        <v>246.33</v>
      </c>
      <c r="H498" t="s">
        <v>2488</v>
      </c>
      <c r="I498">
        <v>150</v>
      </c>
      <c r="J498">
        <v>400</v>
      </c>
      <c r="K498" s="9">
        <f t="shared" si="15"/>
        <v>45634</v>
      </c>
      <c r="L498" t="s">
        <v>2594</v>
      </c>
      <c r="M498" t="s">
        <v>2928</v>
      </c>
    </row>
    <row r="499" spans="1:13" hidden="1" x14ac:dyDescent="0.35">
      <c r="A499" t="s">
        <v>508</v>
      </c>
      <c r="B499" t="s">
        <v>2179</v>
      </c>
      <c r="C499" t="s">
        <v>2460</v>
      </c>
      <c r="D499" t="s">
        <v>2474</v>
      </c>
      <c r="E499" t="str">
        <f t="shared" si="14"/>
        <v>DORTMUND DE</v>
      </c>
      <c r="F499" t="s">
        <v>2481</v>
      </c>
      <c r="G499">
        <v>175.71</v>
      </c>
      <c r="H499" t="s">
        <v>2488</v>
      </c>
      <c r="I499">
        <v>150</v>
      </c>
      <c r="J499">
        <v>400</v>
      </c>
      <c r="K499" s="9">
        <f t="shared" si="15"/>
        <v>45693</v>
      </c>
      <c r="L499" t="s">
        <v>2651</v>
      </c>
      <c r="M499" t="s">
        <v>2930</v>
      </c>
    </row>
    <row r="500" spans="1:13" hidden="1" x14ac:dyDescent="0.35">
      <c r="A500" t="s">
        <v>509</v>
      </c>
      <c r="B500" t="s">
        <v>2084</v>
      </c>
      <c r="C500" t="s">
        <v>2458</v>
      </c>
      <c r="D500" t="s">
        <v>2467</v>
      </c>
      <c r="E500" t="str">
        <f t="shared" si="14"/>
        <v>ASHFORD</v>
      </c>
      <c r="F500" t="s">
        <v>2481</v>
      </c>
      <c r="G500">
        <v>345.48</v>
      </c>
      <c r="H500" t="s">
        <v>2488</v>
      </c>
      <c r="I500">
        <v>150</v>
      </c>
      <c r="J500">
        <v>400</v>
      </c>
      <c r="K500" s="9">
        <f t="shared" si="15"/>
        <v>45874</v>
      </c>
      <c r="L500" t="s">
        <v>2563</v>
      </c>
      <c r="M500" t="s">
        <v>2932</v>
      </c>
    </row>
    <row r="501" spans="1:13" hidden="1" x14ac:dyDescent="0.35">
      <c r="A501" t="s">
        <v>510</v>
      </c>
      <c r="B501" t="s">
        <v>2286</v>
      </c>
      <c r="C501" t="s">
        <v>2458</v>
      </c>
      <c r="D501" t="s">
        <v>2469</v>
      </c>
      <c r="E501" t="str">
        <f t="shared" si="14"/>
        <v>DORTMUND</v>
      </c>
      <c r="F501" t="s">
        <v>2484</v>
      </c>
      <c r="G501">
        <v>4.8</v>
      </c>
      <c r="I501">
        <v>6</v>
      </c>
      <c r="J501">
        <v>7.5</v>
      </c>
      <c r="K501" s="9">
        <f t="shared" si="15"/>
        <v>45739</v>
      </c>
      <c r="L501" t="s">
        <v>2525</v>
      </c>
      <c r="M501" t="s">
        <v>2931</v>
      </c>
    </row>
    <row r="502" spans="1:13" hidden="1" x14ac:dyDescent="0.35">
      <c r="A502" t="s">
        <v>511</v>
      </c>
      <c r="B502" t="s">
        <v>2330</v>
      </c>
      <c r="C502" t="s">
        <v>2461</v>
      </c>
      <c r="D502" t="s">
        <v>2466</v>
      </c>
      <c r="E502" t="str">
        <f t="shared" si="14"/>
        <v>EAST HANOVER</v>
      </c>
      <c r="F502" t="s">
        <v>2485</v>
      </c>
      <c r="G502">
        <v>-4.37</v>
      </c>
      <c r="H502" t="s">
        <v>2490</v>
      </c>
      <c r="I502">
        <v>0</v>
      </c>
      <c r="J502">
        <v>100</v>
      </c>
      <c r="K502" s="9">
        <f t="shared" si="15"/>
        <v>45600</v>
      </c>
      <c r="L502" t="s">
        <v>2762</v>
      </c>
      <c r="M502" t="s">
        <v>2928</v>
      </c>
    </row>
    <row r="503" spans="1:13" hidden="1" x14ac:dyDescent="0.35">
      <c r="A503" t="s">
        <v>512</v>
      </c>
      <c r="B503" t="s">
        <v>2280</v>
      </c>
      <c r="C503" t="s">
        <v>2460</v>
      </c>
      <c r="D503" t="s">
        <v>2464</v>
      </c>
      <c r="E503" t="str">
        <f t="shared" si="14"/>
        <v>EAST HANOVER</v>
      </c>
      <c r="F503" t="s">
        <v>2481</v>
      </c>
      <c r="G503">
        <v>229.14</v>
      </c>
      <c r="H503" t="s">
        <v>2488</v>
      </c>
      <c r="I503">
        <v>150</v>
      </c>
      <c r="J503">
        <v>400</v>
      </c>
      <c r="K503" s="9">
        <f t="shared" si="15"/>
        <v>45685</v>
      </c>
      <c r="L503" t="s">
        <v>2724</v>
      </c>
      <c r="M503" t="s">
        <v>2923</v>
      </c>
    </row>
    <row r="504" spans="1:13" hidden="1" x14ac:dyDescent="0.35">
      <c r="A504" t="s">
        <v>513</v>
      </c>
      <c r="B504" t="s">
        <v>2331</v>
      </c>
      <c r="C504" t="s">
        <v>2457</v>
      </c>
      <c r="D504" t="s">
        <v>2477</v>
      </c>
      <c r="E504" t="str">
        <f t="shared" si="14"/>
        <v>BUDAPEST</v>
      </c>
      <c r="F504" t="s">
        <v>2484</v>
      </c>
      <c r="G504">
        <v>6.15</v>
      </c>
      <c r="I504">
        <v>6</v>
      </c>
      <c r="J504">
        <v>7.5</v>
      </c>
      <c r="K504" s="9">
        <f t="shared" si="15"/>
        <v>46019</v>
      </c>
      <c r="L504" t="s">
        <v>2763</v>
      </c>
      <c r="M504" t="s">
        <v>2923</v>
      </c>
    </row>
    <row r="505" spans="1:13" hidden="1" x14ac:dyDescent="0.35">
      <c r="A505" t="s">
        <v>514</v>
      </c>
      <c r="B505" t="s">
        <v>2029</v>
      </c>
      <c r="C505" t="s">
        <v>2459</v>
      </c>
      <c r="D505" t="s">
        <v>2469</v>
      </c>
      <c r="E505" t="str">
        <f t="shared" si="14"/>
        <v>DORTMUND</v>
      </c>
      <c r="F505" t="s">
        <v>2480</v>
      </c>
      <c r="G505">
        <v>0.9</v>
      </c>
      <c r="H505" t="s">
        <v>2487</v>
      </c>
      <c r="I505">
        <v>0.88</v>
      </c>
      <c r="J505">
        <v>0.97</v>
      </c>
      <c r="K505" s="9">
        <f t="shared" si="15"/>
        <v>45740</v>
      </c>
      <c r="L505" t="s">
        <v>2509</v>
      </c>
      <c r="M505" t="s">
        <v>2923</v>
      </c>
    </row>
    <row r="506" spans="1:13" hidden="1" x14ac:dyDescent="0.35">
      <c r="A506" t="s">
        <v>515</v>
      </c>
      <c r="B506" t="s">
        <v>2332</v>
      </c>
      <c r="C506" t="s">
        <v>2461</v>
      </c>
      <c r="D506" t="s">
        <v>2462</v>
      </c>
      <c r="E506" t="str">
        <f t="shared" si="14"/>
        <v>ASHFORD UK</v>
      </c>
      <c r="F506" t="s">
        <v>2485</v>
      </c>
      <c r="G506">
        <v>43.2</v>
      </c>
      <c r="H506" t="s">
        <v>2490</v>
      </c>
      <c r="I506">
        <v>0</v>
      </c>
      <c r="J506">
        <v>100</v>
      </c>
      <c r="K506" s="9">
        <f t="shared" si="15"/>
        <v>45649</v>
      </c>
      <c r="L506" t="s">
        <v>2652</v>
      </c>
      <c r="M506" t="s">
        <v>2925</v>
      </c>
    </row>
    <row r="507" spans="1:13" hidden="1" x14ac:dyDescent="0.35">
      <c r="A507" t="s">
        <v>516</v>
      </c>
      <c r="B507" t="s">
        <v>2163</v>
      </c>
      <c r="C507" t="s">
        <v>2460</v>
      </c>
      <c r="D507" t="s">
        <v>2470</v>
      </c>
      <c r="E507" t="str">
        <f t="shared" si="14"/>
        <v>E. HANOVER</v>
      </c>
      <c r="F507" t="s">
        <v>2482</v>
      </c>
      <c r="G507">
        <v>98.79</v>
      </c>
      <c r="H507" t="s">
        <v>2489</v>
      </c>
      <c r="I507">
        <v>97</v>
      </c>
      <c r="J507">
        <v>100</v>
      </c>
      <c r="K507" s="9">
        <f t="shared" si="15"/>
        <v>45698</v>
      </c>
      <c r="L507" t="s">
        <v>2764</v>
      </c>
      <c r="M507" t="s">
        <v>2930</v>
      </c>
    </row>
    <row r="508" spans="1:13" hidden="1" x14ac:dyDescent="0.35">
      <c r="A508" t="s">
        <v>517</v>
      </c>
      <c r="B508" t="s">
        <v>2333</v>
      </c>
      <c r="C508" t="s">
        <v>2460</v>
      </c>
      <c r="D508" t="s">
        <v>2470</v>
      </c>
      <c r="E508" t="str">
        <f t="shared" si="14"/>
        <v>E. HANOVER</v>
      </c>
      <c r="F508" t="s">
        <v>2482</v>
      </c>
      <c r="G508">
        <v>99.53</v>
      </c>
      <c r="H508" t="s">
        <v>2489</v>
      </c>
      <c r="I508">
        <v>97</v>
      </c>
      <c r="J508">
        <v>100</v>
      </c>
      <c r="K508" s="9">
        <f t="shared" si="15"/>
        <v>45452</v>
      </c>
      <c r="L508" t="s">
        <v>2528</v>
      </c>
      <c r="M508" t="s">
        <v>2924</v>
      </c>
    </row>
    <row r="509" spans="1:13" hidden="1" x14ac:dyDescent="0.35">
      <c r="A509" t="s">
        <v>518</v>
      </c>
      <c r="B509" t="s">
        <v>2110</v>
      </c>
      <c r="C509" t="s">
        <v>2460</v>
      </c>
      <c r="D509" t="s">
        <v>2463</v>
      </c>
      <c r="E509" t="str">
        <f t="shared" si="14"/>
        <v>VERNIER</v>
      </c>
      <c r="F509" t="s">
        <v>2484</v>
      </c>
      <c r="G509">
        <v>6.42</v>
      </c>
      <c r="I509">
        <v>6</v>
      </c>
      <c r="J509">
        <v>7.5</v>
      </c>
      <c r="K509" s="9">
        <f t="shared" si="15"/>
        <v>45860</v>
      </c>
      <c r="L509" t="s">
        <v>2558</v>
      </c>
      <c r="M509" t="s">
        <v>2929</v>
      </c>
    </row>
    <row r="510" spans="1:13" hidden="1" x14ac:dyDescent="0.35">
      <c r="A510" t="s">
        <v>519</v>
      </c>
      <c r="B510" t="s">
        <v>2282</v>
      </c>
      <c r="C510" t="s">
        <v>2459</v>
      </c>
      <c r="D510" t="s">
        <v>2473</v>
      </c>
      <c r="E510" t="str">
        <f t="shared" si="14"/>
        <v>DORTMUND</v>
      </c>
      <c r="F510" t="s">
        <v>2485</v>
      </c>
      <c r="G510">
        <v>11.03</v>
      </c>
      <c r="H510" t="s">
        <v>2490</v>
      </c>
      <c r="I510">
        <v>0</v>
      </c>
      <c r="J510">
        <v>100</v>
      </c>
      <c r="K510" s="9">
        <f t="shared" si="15"/>
        <v>45367</v>
      </c>
      <c r="L510" t="s">
        <v>2717</v>
      </c>
      <c r="M510" t="s">
        <v>2929</v>
      </c>
    </row>
    <row r="511" spans="1:13" hidden="1" x14ac:dyDescent="0.35">
      <c r="A511" t="s">
        <v>520</v>
      </c>
      <c r="B511" t="s">
        <v>2334</v>
      </c>
      <c r="C511" t="s">
        <v>2461</v>
      </c>
      <c r="D511" t="s">
        <v>2464</v>
      </c>
      <c r="E511" t="str">
        <f t="shared" si="14"/>
        <v>EAST HANOVER</v>
      </c>
      <c r="F511" t="s">
        <v>2480</v>
      </c>
      <c r="G511">
        <v>0.92</v>
      </c>
      <c r="H511" t="s">
        <v>2487</v>
      </c>
      <c r="I511">
        <v>0.88</v>
      </c>
      <c r="J511">
        <v>0.97</v>
      </c>
      <c r="K511" s="9">
        <f t="shared" si="15"/>
        <v>45399</v>
      </c>
      <c r="L511" t="s">
        <v>2492</v>
      </c>
      <c r="M511" t="s">
        <v>2924</v>
      </c>
    </row>
    <row r="512" spans="1:13" hidden="1" x14ac:dyDescent="0.35">
      <c r="A512" t="s">
        <v>521</v>
      </c>
      <c r="B512" t="s">
        <v>2021</v>
      </c>
      <c r="C512" t="s">
        <v>2457</v>
      </c>
      <c r="D512" t="s">
        <v>2466</v>
      </c>
      <c r="E512" t="str">
        <f t="shared" si="14"/>
        <v>EAST HANOVER</v>
      </c>
      <c r="F512" t="s">
        <v>2484</v>
      </c>
      <c r="G512">
        <v>6.81</v>
      </c>
      <c r="I512">
        <v>6</v>
      </c>
      <c r="J512">
        <v>7.5</v>
      </c>
      <c r="K512" s="9">
        <f t="shared" si="15"/>
        <v>45577</v>
      </c>
      <c r="L512" t="s">
        <v>2501</v>
      </c>
      <c r="M512" t="s">
        <v>2926</v>
      </c>
    </row>
    <row r="513" spans="1:13" hidden="1" x14ac:dyDescent="0.35">
      <c r="A513" t="s">
        <v>522</v>
      </c>
      <c r="B513" t="s">
        <v>2335</v>
      </c>
      <c r="C513" t="s">
        <v>2459</v>
      </c>
      <c r="D513" t="s">
        <v>2464</v>
      </c>
      <c r="E513" t="str">
        <f t="shared" si="14"/>
        <v>EAST HANOVER</v>
      </c>
      <c r="F513" t="s">
        <v>2482</v>
      </c>
      <c r="G513">
        <v>97.23</v>
      </c>
      <c r="H513" t="s">
        <v>2489</v>
      </c>
      <c r="I513">
        <v>97</v>
      </c>
      <c r="J513">
        <v>100</v>
      </c>
      <c r="K513" s="9">
        <f t="shared" si="15"/>
        <v>45419</v>
      </c>
      <c r="L513" t="s">
        <v>2765</v>
      </c>
      <c r="M513" t="s">
        <v>2927</v>
      </c>
    </row>
    <row r="514" spans="1:13" hidden="1" x14ac:dyDescent="0.35">
      <c r="A514" t="s">
        <v>523</v>
      </c>
      <c r="B514" t="s">
        <v>2223</v>
      </c>
      <c r="C514" t="s">
        <v>2458</v>
      </c>
      <c r="D514" t="s">
        <v>2464</v>
      </c>
      <c r="E514" t="str">
        <f t="shared" si="14"/>
        <v>EAST HANOVER</v>
      </c>
      <c r="F514" t="s">
        <v>2483</v>
      </c>
      <c r="G514">
        <v>0.23</v>
      </c>
      <c r="H514" t="s">
        <v>2489</v>
      </c>
      <c r="I514">
        <v>0</v>
      </c>
      <c r="J514">
        <v>1</v>
      </c>
      <c r="K514" s="9">
        <f t="shared" si="15"/>
        <v>45496</v>
      </c>
      <c r="L514" t="s">
        <v>2688</v>
      </c>
      <c r="M514" t="s">
        <v>2932</v>
      </c>
    </row>
    <row r="515" spans="1:13" hidden="1" x14ac:dyDescent="0.35">
      <c r="A515" t="s">
        <v>524</v>
      </c>
      <c r="B515" t="s">
        <v>2091</v>
      </c>
      <c r="C515" t="s">
        <v>2460</v>
      </c>
      <c r="D515" t="s">
        <v>2472</v>
      </c>
      <c r="E515" t="str">
        <f t="shared" ref="E515:E578" si="16">UPPER(D515)</f>
        <v>VERNIER</v>
      </c>
      <c r="F515" t="s">
        <v>2482</v>
      </c>
      <c r="G515">
        <v>99.33</v>
      </c>
      <c r="H515" t="s">
        <v>2489</v>
      </c>
      <c r="I515">
        <v>97</v>
      </c>
      <c r="J515">
        <v>100</v>
      </c>
      <c r="K515" s="9">
        <f t="shared" ref="K515:K578" si="17">IF(L515="","",
IF(MID(L515,5,1)="-",
DATE(LEFT(L515,4),MID(L515,6,2),RIGHT(L515,2)),
DATE(RIGHT(L515,4),MID(L515,4,2),LEFT(L515,2))
))</f>
        <v>45517</v>
      </c>
      <c r="L515" t="s">
        <v>2569</v>
      </c>
      <c r="M515" t="s">
        <v>2924</v>
      </c>
    </row>
    <row r="516" spans="1:13" hidden="1" x14ac:dyDescent="0.35">
      <c r="A516" t="s">
        <v>525</v>
      </c>
      <c r="B516" t="s">
        <v>2050</v>
      </c>
      <c r="C516" t="s">
        <v>2461</v>
      </c>
      <c r="D516" t="s">
        <v>2470</v>
      </c>
      <c r="E516" t="str">
        <f t="shared" si="16"/>
        <v>E. HANOVER</v>
      </c>
      <c r="F516" t="s">
        <v>2480</v>
      </c>
      <c r="G516">
        <v>0.91</v>
      </c>
      <c r="H516" t="s">
        <v>2487</v>
      </c>
      <c r="I516">
        <v>0.88</v>
      </c>
      <c r="J516">
        <v>0.97</v>
      </c>
      <c r="K516" s="9">
        <f t="shared" si="17"/>
        <v>45398</v>
      </c>
      <c r="L516" t="s">
        <v>2529</v>
      </c>
      <c r="M516" t="s">
        <v>2927</v>
      </c>
    </row>
    <row r="517" spans="1:13" hidden="1" x14ac:dyDescent="0.35">
      <c r="A517" t="s">
        <v>526</v>
      </c>
      <c r="B517" t="s">
        <v>2045</v>
      </c>
      <c r="C517" t="s">
        <v>2457</v>
      </c>
      <c r="D517" t="s">
        <v>2471</v>
      </c>
      <c r="E517" t="str">
        <f t="shared" si="16"/>
        <v>BUDAPEST</v>
      </c>
      <c r="F517" t="s">
        <v>2484</v>
      </c>
      <c r="G517">
        <v>6.96</v>
      </c>
      <c r="I517">
        <v>6</v>
      </c>
      <c r="J517">
        <v>7.5</v>
      </c>
      <c r="K517" s="9">
        <f t="shared" si="17"/>
        <v>45655</v>
      </c>
      <c r="L517" t="s">
        <v>2500</v>
      </c>
      <c r="M517" t="s">
        <v>2929</v>
      </c>
    </row>
    <row r="518" spans="1:13" hidden="1" x14ac:dyDescent="0.35">
      <c r="A518" t="s">
        <v>527</v>
      </c>
      <c r="B518" t="s">
        <v>2256</v>
      </c>
      <c r="C518" t="s">
        <v>2461</v>
      </c>
      <c r="D518" t="s">
        <v>2470</v>
      </c>
      <c r="E518" t="str">
        <f t="shared" si="16"/>
        <v>E. HANOVER</v>
      </c>
      <c r="F518" t="s">
        <v>2482</v>
      </c>
      <c r="G518">
        <v>97.77</v>
      </c>
      <c r="H518" t="s">
        <v>2489</v>
      </c>
      <c r="I518">
        <v>97</v>
      </c>
      <c r="J518">
        <v>100</v>
      </c>
      <c r="K518" s="9">
        <f t="shared" si="17"/>
        <v>45676</v>
      </c>
      <c r="L518" t="s">
        <v>2707</v>
      </c>
      <c r="M518" t="s">
        <v>2925</v>
      </c>
    </row>
    <row r="519" spans="1:13" hidden="1" x14ac:dyDescent="0.35">
      <c r="A519" t="s">
        <v>528</v>
      </c>
      <c r="B519" t="s">
        <v>2336</v>
      </c>
      <c r="C519" t="s">
        <v>2460</v>
      </c>
      <c r="D519" t="s">
        <v>2465</v>
      </c>
      <c r="E519" t="str">
        <f t="shared" si="16"/>
        <v>VERNIER</v>
      </c>
      <c r="F519" t="s">
        <v>2481</v>
      </c>
      <c r="G519">
        <v>310.32</v>
      </c>
      <c r="H519" t="s">
        <v>2488</v>
      </c>
      <c r="I519">
        <v>150</v>
      </c>
      <c r="J519">
        <v>400</v>
      </c>
      <c r="K519" s="9">
        <f t="shared" si="17"/>
        <v>45661</v>
      </c>
      <c r="L519" t="s">
        <v>2766</v>
      </c>
      <c r="M519" t="s">
        <v>2925</v>
      </c>
    </row>
    <row r="520" spans="1:13" hidden="1" x14ac:dyDescent="0.35">
      <c r="A520" t="s">
        <v>529</v>
      </c>
      <c r="B520" t="s">
        <v>2080</v>
      </c>
      <c r="C520" t="s">
        <v>2457</v>
      </c>
      <c r="D520" t="s">
        <v>2471</v>
      </c>
      <c r="E520" t="str">
        <f t="shared" si="16"/>
        <v>BUDAPEST</v>
      </c>
      <c r="F520" t="s">
        <v>2481</v>
      </c>
      <c r="G520">
        <v>231.86</v>
      </c>
      <c r="H520" t="s">
        <v>2488</v>
      </c>
      <c r="I520">
        <v>150</v>
      </c>
      <c r="J520">
        <v>400</v>
      </c>
      <c r="K520" s="9">
        <f t="shared" si="17"/>
        <v>45304</v>
      </c>
      <c r="L520" t="s">
        <v>2559</v>
      </c>
      <c r="M520" t="s">
        <v>2928</v>
      </c>
    </row>
    <row r="521" spans="1:13" hidden="1" x14ac:dyDescent="0.35">
      <c r="A521" t="s">
        <v>530</v>
      </c>
      <c r="B521" t="s">
        <v>2337</v>
      </c>
      <c r="C521" t="s">
        <v>2461</v>
      </c>
      <c r="D521" t="s">
        <v>2466</v>
      </c>
      <c r="E521" t="str">
        <f t="shared" si="16"/>
        <v>EAST HANOVER</v>
      </c>
      <c r="F521" t="s">
        <v>2484</v>
      </c>
      <c r="G521">
        <v>6.72</v>
      </c>
      <c r="I521">
        <v>6</v>
      </c>
      <c r="J521">
        <v>7.5</v>
      </c>
      <c r="K521" s="9">
        <f t="shared" si="17"/>
        <v>45545</v>
      </c>
      <c r="L521" t="s">
        <v>2767</v>
      </c>
      <c r="M521" t="s">
        <v>2925</v>
      </c>
    </row>
    <row r="522" spans="1:13" hidden="1" x14ac:dyDescent="0.35">
      <c r="A522" t="s">
        <v>531</v>
      </c>
      <c r="B522" t="s">
        <v>2338</v>
      </c>
      <c r="C522" t="s">
        <v>2458</v>
      </c>
      <c r="D522" t="s">
        <v>2478</v>
      </c>
      <c r="E522" t="str">
        <f t="shared" si="16"/>
        <v>BUD</v>
      </c>
      <c r="F522" t="s">
        <v>2481</v>
      </c>
      <c r="G522">
        <v>180.92</v>
      </c>
      <c r="H522" t="s">
        <v>2488</v>
      </c>
      <c r="I522">
        <v>150</v>
      </c>
      <c r="J522">
        <v>400</v>
      </c>
      <c r="K522" s="9">
        <f t="shared" si="17"/>
        <v>45311</v>
      </c>
      <c r="L522" t="s">
        <v>2768</v>
      </c>
      <c r="M522" t="s">
        <v>2932</v>
      </c>
    </row>
    <row r="523" spans="1:13" hidden="1" x14ac:dyDescent="0.35">
      <c r="A523" t="s">
        <v>532</v>
      </c>
      <c r="B523" t="s">
        <v>2339</v>
      </c>
      <c r="C523" t="s">
        <v>2459</v>
      </c>
      <c r="D523" t="s">
        <v>2469</v>
      </c>
      <c r="E523" t="str">
        <f t="shared" si="16"/>
        <v>DORTMUND</v>
      </c>
      <c r="F523" t="s">
        <v>2485</v>
      </c>
      <c r="G523">
        <v>10.5</v>
      </c>
      <c r="H523" t="s">
        <v>2490</v>
      </c>
      <c r="I523">
        <v>0</v>
      </c>
      <c r="J523">
        <v>100</v>
      </c>
      <c r="K523" s="9">
        <f t="shared" si="17"/>
        <v>45673</v>
      </c>
      <c r="L523" t="s">
        <v>2677</v>
      </c>
      <c r="M523" t="s">
        <v>2926</v>
      </c>
    </row>
    <row r="524" spans="1:13" hidden="1" x14ac:dyDescent="0.35">
      <c r="A524" t="s">
        <v>533</v>
      </c>
      <c r="B524" t="s">
        <v>2340</v>
      </c>
      <c r="C524" t="s">
        <v>2460</v>
      </c>
      <c r="D524" t="s">
        <v>2472</v>
      </c>
      <c r="E524" t="str">
        <f t="shared" si="16"/>
        <v>VERNIER</v>
      </c>
      <c r="F524" t="s">
        <v>2479</v>
      </c>
      <c r="G524">
        <v>46.84</v>
      </c>
      <c r="H524" t="s">
        <v>2486</v>
      </c>
      <c r="I524">
        <v>0</v>
      </c>
      <c r="J524">
        <v>120</v>
      </c>
      <c r="K524" s="9">
        <f t="shared" si="17"/>
        <v>45890</v>
      </c>
      <c r="L524" t="s">
        <v>2769</v>
      </c>
      <c r="M524" t="s">
        <v>2926</v>
      </c>
    </row>
    <row r="525" spans="1:13" hidden="1" x14ac:dyDescent="0.35">
      <c r="A525" t="s">
        <v>534</v>
      </c>
      <c r="B525" t="s">
        <v>2069</v>
      </c>
      <c r="C525" t="s">
        <v>2458</v>
      </c>
      <c r="D525" t="s">
        <v>2466</v>
      </c>
      <c r="E525" t="str">
        <f t="shared" si="16"/>
        <v>EAST HANOVER</v>
      </c>
      <c r="F525" t="s">
        <v>2479</v>
      </c>
      <c r="G525">
        <v>70.56</v>
      </c>
      <c r="H525" t="s">
        <v>2486</v>
      </c>
      <c r="I525">
        <v>0</v>
      </c>
      <c r="J525">
        <v>120</v>
      </c>
      <c r="K525" s="9">
        <f t="shared" si="17"/>
        <v>45766</v>
      </c>
      <c r="L525" t="s">
        <v>2548</v>
      </c>
      <c r="M525" t="s">
        <v>2927</v>
      </c>
    </row>
    <row r="526" spans="1:13" hidden="1" x14ac:dyDescent="0.35">
      <c r="A526" t="s">
        <v>535</v>
      </c>
      <c r="B526" t="s">
        <v>2341</v>
      </c>
      <c r="C526" t="s">
        <v>2459</v>
      </c>
      <c r="D526" t="s">
        <v>2470</v>
      </c>
      <c r="E526" t="str">
        <f t="shared" si="16"/>
        <v>E. HANOVER</v>
      </c>
      <c r="F526" t="s">
        <v>2484</v>
      </c>
      <c r="G526">
        <v>6.59</v>
      </c>
      <c r="I526">
        <v>6</v>
      </c>
      <c r="J526">
        <v>7.5</v>
      </c>
      <c r="K526" s="9">
        <f t="shared" si="17"/>
        <v>45812</v>
      </c>
      <c r="L526" t="s">
        <v>2770</v>
      </c>
      <c r="M526" t="s">
        <v>2925</v>
      </c>
    </row>
    <row r="527" spans="1:13" hidden="1" x14ac:dyDescent="0.35">
      <c r="A527" t="s">
        <v>536</v>
      </c>
      <c r="B527" t="s">
        <v>2342</v>
      </c>
      <c r="C527" t="s">
        <v>2458</v>
      </c>
      <c r="D527" t="s">
        <v>2466</v>
      </c>
      <c r="E527" t="str">
        <f t="shared" si="16"/>
        <v>EAST HANOVER</v>
      </c>
      <c r="F527" t="s">
        <v>2481</v>
      </c>
      <c r="G527">
        <v>215.54</v>
      </c>
      <c r="H527" t="s">
        <v>2488</v>
      </c>
      <c r="I527">
        <v>150</v>
      </c>
      <c r="J527">
        <v>400</v>
      </c>
      <c r="K527" s="9">
        <f t="shared" si="17"/>
        <v>45686</v>
      </c>
      <c r="L527" t="s">
        <v>2554</v>
      </c>
      <c r="M527" t="s">
        <v>2929</v>
      </c>
    </row>
    <row r="528" spans="1:13" hidden="1" x14ac:dyDescent="0.35">
      <c r="A528" t="s">
        <v>537</v>
      </c>
      <c r="B528" t="s">
        <v>2343</v>
      </c>
      <c r="C528" t="s">
        <v>2457</v>
      </c>
      <c r="D528" t="s">
        <v>2464</v>
      </c>
      <c r="E528" t="str">
        <f t="shared" si="16"/>
        <v>EAST HANOVER</v>
      </c>
      <c r="F528" t="s">
        <v>2484</v>
      </c>
      <c r="G528">
        <v>6.51</v>
      </c>
      <c r="I528">
        <v>6</v>
      </c>
      <c r="J528">
        <v>7.5</v>
      </c>
      <c r="K528" s="9">
        <f t="shared" si="17"/>
        <v>45531</v>
      </c>
      <c r="L528" t="s">
        <v>2771</v>
      </c>
      <c r="M528" t="s">
        <v>2923</v>
      </c>
    </row>
    <row r="529" spans="1:13" hidden="1" x14ac:dyDescent="0.35">
      <c r="A529" t="s">
        <v>538</v>
      </c>
      <c r="B529" t="s">
        <v>2255</v>
      </c>
      <c r="C529" t="s">
        <v>2457</v>
      </c>
      <c r="D529" t="s">
        <v>2475</v>
      </c>
      <c r="E529" t="str">
        <f t="shared" si="16"/>
        <v>ASHFORD</v>
      </c>
      <c r="F529" t="s">
        <v>2483</v>
      </c>
      <c r="G529">
        <v>0.11</v>
      </c>
      <c r="H529" t="s">
        <v>2489</v>
      </c>
      <c r="I529">
        <v>0</v>
      </c>
      <c r="J529">
        <v>1</v>
      </c>
      <c r="K529" s="9">
        <f t="shared" si="17"/>
        <v>45451</v>
      </c>
      <c r="L529" t="s">
        <v>2706</v>
      </c>
      <c r="M529" t="s">
        <v>2926</v>
      </c>
    </row>
    <row r="530" spans="1:13" hidden="1" x14ac:dyDescent="0.35">
      <c r="A530" t="s">
        <v>539</v>
      </c>
      <c r="B530" t="s">
        <v>2024</v>
      </c>
      <c r="C530" t="s">
        <v>2457</v>
      </c>
      <c r="D530" t="s">
        <v>2463</v>
      </c>
      <c r="E530" t="str">
        <f t="shared" si="16"/>
        <v>VERNIER</v>
      </c>
      <c r="F530" t="s">
        <v>2482</v>
      </c>
      <c r="G530">
        <v>98.8</v>
      </c>
      <c r="H530" t="s">
        <v>2489</v>
      </c>
      <c r="I530">
        <v>97</v>
      </c>
      <c r="J530">
        <v>100</v>
      </c>
      <c r="K530" s="9">
        <f t="shared" si="17"/>
        <v>45529</v>
      </c>
      <c r="L530" t="s">
        <v>2504</v>
      </c>
      <c r="M530" t="s">
        <v>2931</v>
      </c>
    </row>
    <row r="531" spans="1:13" hidden="1" x14ac:dyDescent="0.35">
      <c r="A531" t="s">
        <v>540</v>
      </c>
      <c r="B531" t="s">
        <v>2116</v>
      </c>
      <c r="C531" t="s">
        <v>2461</v>
      </c>
      <c r="D531" t="s">
        <v>2469</v>
      </c>
      <c r="E531" t="str">
        <f t="shared" si="16"/>
        <v>DORTMUND</v>
      </c>
      <c r="F531" t="s">
        <v>2483</v>
      </c>
      <c r="G531">
        <v>0.27</v>
      </c>
      <c r="H531" t="s">
        <v>2489</v>
      </c>
      <c r="I531">
        <v>0</v>
      </c>
      <c r="J531">
        <v>1</v>
      </c>
      <c r="K531" s="9">
        <f t="shared" si="17"/>
        <v>45376</v>
      </c>
      <c r="L531" t="s">
        <v>2591</v>
      </c>
      <c r="M531" t="s">
        <v>2924</v>
      </c>
    </row>
    <row r="532" spans="1:13" hidden="1" x14ac:dyDescent="0.35">
      <c r="A532" t="s">
        <v>541</v>
      </c>
      <c r="B532" t="s">
        <v>2097</v>
      </c>
      <c r="C532" t="s">
        <v>2457</v>
      </c>
      <c r="D532" t="s">
        <v>2466</v>
      </c>
      <c r="E532" t="str">
        <f t="shared" si="16"/>
        <v>EAST HANOVER</v>
      </c>
      <c r="F532" t="s">
        <v>2480</v>
      </c>
      <c r="G532">
        <v>0.92</v>
      </c>
      <c r="H532" t="s">
        <v>2487</v>
      </c>
      <c r="I532">
        <v>0.88</v>
      </c>
      <c r="J532">
        <v>0.97</v>
      </c>
      <c r="K532" s="9">
        <f t="shared" si="17"/>
        <v>45826</v>
      </c>
      <c r="L532" t="s">
        <v>2575</v>
      </c>
      <c r="M532" t="s">
        <v>2926</v>
      </c>
    </row>
    <row r="533" spans="1:13" hidden="1" x14ac:dyDescent="0.35">
      <c r="A533" t="s">
        <v>542</v>
      </c>
      <c r="B533" t="s">
        <v>2344</v>
      </c>
      <c r="C533" t="s">
        <v>2461</v>
      </c>
      <c r="D533" t="s">
        <v>2465</v>
      </c>
      <c r="E533" t="str">
        <f t="shared" si="16"/>
        <v>VERNIER</v>
      </c>
      <c r="F533" t="s">
        <v>2479</v>
      </c>
      <c r="G533">
        <v>38.78</v>
      </c>
      <c r="H533" t="s">
        <v>2486</v>
      </c>
      <c r="I533">
        <v>0</v>
      </c>
      <c r="J533">
        <v>120</v>
      </c>
      <c r="K533" s="9">
        <f t="shared" si="17"/>
        <v>45458</v>
      </c>
      <c r="L533" t="s">
        <v>2750</v>
      </c>
      <c r="M533" t="s">
        <v>2932</v>
      </c>
    </row>
    <row r="534" spans="1:13" hidden="1" x14ac:dyDescent="0.35">
      <c r="A534" t="s">
        <v>543</v>
      </c>
      <c r="B534" t="s">
        <v>2196</v>
      </c>
      <c r="C534" t="s">
        <v>2457</v>
      </c>
      <c r="D534" t="s">
        <v>2465</v>
      </c>
      <c r="E534" t="str">
        <f t="shared" si="16"/>
        <v>VERNIER</v>
      </c>
      <c r="F534" t="s">
        <v>2482</v>
      </c>
      <c r="G534">
        <v>98.96</v>
      </c>
      <c r="H534" t="s">
        <v>2489</v>
      </c>
      <c r="I534">
        <v>97</v>
      </c>
      <c r="J534">
        <v>100</v>
      </c>
      <c r="K534" s="9">
        <f t="shared" si="17"/>
        <v>45740</v>
      </c>
      <c r="L534" t="s">
        <v>2509</v>
      </c>
      <c r="M534" t="s">
        <v>2929</v>
      </c>
    </row>
    <row r="535" spans="1:13" hidden="1" x14ac:dyDescent="0.35">
      <c r="A535" t="s">
        <v>544</v>
      </c>
      <c r="B535" t="s">
        <v>2045</v>
      </c>
      <c r="C535" t="s">
        <v>2457</v>
      </c>
      <c r="D535" t="s">
        <v>2478</v>
      </c>
      <c r="E535" t="str">
        <f t="shared" si="16"/>
        <v>BUD</v>
      </c>
      <c r="F535" t="s">
        <v>2481</v>
      </c>
      <c r="G535">
        <v>298.18</v>
      </c>
      <c r="H535" t="s">
        <v>2488</v>
      </c>
      <c r="I535">
        <v>150</v>
      </c>
      <c r="J535">
        <v>400</v>
      </c>
      <c r="K535" s="9">
        <f t="shared" si="17"/>
        <v>45655</v>
      </c>
      <c r="L535" t="s">
        <v>2500</v>
      </c>
      <c r="M535" t="s">
        <v>2924</v>
      </c>
    </row>
    <row r="536" spans="1:13" hidden="1" x14ac:dyDescent="0.35">
      <c r="A536" t="s">
        <v>545</v>
      </c>
      <c r="B536" t="s">
        <v>2042</v>
      </c>
      <c r="C536" t="s">
        <v>2460</v>
      </c>
      <c r="D536" t="s">
        <v>2463</v>
      </c>
      <c r="E536" t="str">
        <f t="shared" si="16"/>
        <v>VERNIER</v>
      </c>
      <c r="F536" t="s">
        <v>2480</v>
      </c>
      <c r="G536">
        <v>0.94</v>
      </c>
      <c r="H536" t="s">
        <v>2487</v>
      </c>
      <c r="I536">
        <v>0.88</v>
      </c>
      <c r="J536">
        <v>0.97</v>
      </c>
      <c r="K536" s="9">
        <f t="shared" si="17"/>
        <v>45774</v>
      </c>
      <c r="L536" t="s">
        <v>2522</v>
      </c>
      <c r="M536" t="s">
        <v>2923</v>
      </c>
    </row>
    <row r="537" spans="1:13" hidden="1" x14ac:dyDescent="0.35">
      <c r="A537" t="s">
        <v>546</v>
      </c>
      <c r="B537" t="s">
        <v>2022</v>
      </c>
      <c r="C537" t="s">
        <v>2457</v>
      </c>
      <c r="D537" t="s">
        <v>2468</v>
      </c>
      <c r="E537" t="str">
        <f t="shared" si="16"/>
        <v>VERNIER CH</v>
      </c>
      <c r="F537" t="s">
        <v>2481</v>
      </c>
      <c r="G537">
        <v>232.28</v>
      </c>
      <c r="H537" t="s">
        <v>2488</v>
      </c>
      <c r="I537">
        <v>150</v>
      </c>
      <c r="J537">
        <v>400</v>
      </c>
      <c r="K537" s="9">
        <f t="shared" si="17"/>
        <v>45530</v>
      </c>
      <c r="L537" t="s">
        <v>2502</v>
      </c>
      <c r="M537" t="s">
        <v>2930</v>
      </c>
    </row>
    <row r="538" spans="1:13" hidden="1" x14ac:dyDescent="0.35">
      <c r="A538" t="s">
        <v>547</v>
      </c>
      <c r="B538" t="s">
        <v>2046</v>
      </c>
      <c r="C538" t="s">
        <v>2457</v>
      </c>
      <c r="D538" t="s">
        <v>2469</v>
      </c>
      <c r="E538" t="str">
        <f t="shared" si="16"/>
        <v>DORTMUND</v>
      </c>
      <c r="F538" t="s">
        <v>2485</v>
      </c>
      <c r="G538">
        <v>-75</v>
      </c>
      <c r="H538" t="s">
        <v>2490</v>
      </c>
      <c r="I538">
        <v>0</v>
      </c>
      <c r="J538">
        <v>100</v>
      </c>
      <c r="K538" s="9">
        <f t="shared" si="17"/>
        <v>45739</v>
      </c>
      <c r="L538" t="s">
        <v>2525</v>
      </c>
      <c r="M538" t="s">
        <v>2929</v>
      </c>
    </row>
    <row r="539" spans="1:13" hidden="1" x14ac:dyDescent="0.35">
      <c r="A539" t="s">
        <v>548</v>
      </c>
      <c r="B539" t="s">
        <v>2166</v>
      </c>
      <c r="C539" t="s">
        <v>2459</v>
      </c>
      <c r="D539" t="s">
        <v>2474</v>
      </c>
      <c r="E539" t="str">
        <f t="shared" si="16"/>
        <v>DORTMUND DE</v>
      </c>
      <c r="F539" t="s">
        <v>2485</v>
      </c>
      <c r="G539">
        <v>22.45</v>
      </c>
      <c r="H539" t="s">
        <v>2490</v>
      </c>
      <c r="I539">
        <v>0</v>
      </c>
      <c r="J539">
        <v>100</v>
      </c>
      <c r="K539" s="9">
        <f t="shared" si="17"/>
        <v>45970</v>
      </c>
      <c r="L539" t="s">
        <v>2639</v>
      </c>
      <c r="M539" t="s">
        <v>2925</v>
      </c>
    </row>
    <row r="540" spans="1:13" hidden="1" x14ac:dyDescent="0.35">
      <c r="A540" t="s">
        <v>549</v>
      </c>
      <c r="B540" t="s">
        <v>2282</v>
      </c>
      <c r="C540" t="s">
        <v>2459</v>
      </c>
      <c r="D540" t="s">
        <v>2474</v>
      </c>
      <c r="E540" t="str">
        <f t="shared" si="16"/>
        <v>DORTMUND DE</v>
      </c>
      <c r="F540" t="s">
        <v>2484</v>
      </c>
      <c r="G540">
        <v>6.21</v>
      </c>
      <c r="I540">
        <v>6</v>
      </c>
      <c r="J540">
        <v>7.5</v>
      </c>
      <c r="K540" s="9">
        <f t="shared" si="17"/>
        <v>45367</v>
      </c>
      <c r="L540" t="s">
        <v>2717</v>
      </c>
      <c r="M540" t="s">
        <v>2923</v>
      </c>
    </row>
    <row r="541" spans="1:13" hidden="1" x14ac:dyDescent="0.35">
      <c r="A541" t="s">
        <v>550</v>
      </c>
      <c r="B541" t="s">
        <v>2164</v>
      </c>
      <c r="C541" t="s">
        <v>2460</v>
      </c>
      <c r="D541" t="s">
        <v>2475</v>
      </c>
      <c r="E541" t="str">
        <f t="shared" si="16"/>
        <v>ASHFORD</v>
      </c>
      <c r="F541" t="s">
        <v>2484</v>
      </c>
      <c r="G541">
        <v>7.21</v>
      </c>
      <c r="I541">
        <v>6</v>
      </c>
      <c r="J541">
        <v>7.5</v>
      </c>
      <c r="K541" s="9">
        <f t="shared" si="17"/>
        <v>45912</v>
      </c>
      <c r="L541" t="s">
        <v>2637</v>
      </c>
      <c r="M541" t="s">
        <v>2928</v>
      </c>
    </row>
    <row r="542" spans="1:13" hidden="1" x14ac:dyDescent="0.35">
      <c r="A542" t="s">
        <v>551</v>
      </c>
      <c r="B542" t="s">
        <v>2121</v>
      </c>
      <c r="C542" t="s">
        <v>2457</v>
      </c>
      <c r="D542" t="s">
        <v>2470</v>
      </c>
      <c r="E542" t="str">
        <f t="shared" si="16"/>
        <v>E. HANOVER</v>
      </c>
      <c r="F542" t="s">
        <v>2481</v>
      </c>
      <c r="G542">
        <v>268.32</v>
      </c>
      <c r="H542" t="s">
        <v>2488</v>
      </c>
      <c r="I542">
        <v>150</v>
      </c>
      <c r="J542">
        <v>400</v>
      </c>
      <c r="K542" s="9">
        <f t="shared" si="17"/>
        <v>45690</v>
      </c>
      <c r="L542" t="s">
        <v>2597</v>
      </c>
      <c r="M542" t="s">
        <v>2925</v>
      </c>
    </row>
    <row r="543" spans="1:13" hidden="1" x14ac:dyDescent="0.35">
      <c r="A543" t="s">
        <v>552</v>
      </c>
      <c r="B543" t="s">
        <v>2086</v>
      </c>
      <c r="C543" t="s">
        <v>2459</v>
      </c>
      <c r="D543" t="s">
        <v>2467</v>
      </c>
      <c r="E543" t="str">
        <f t="shared" si="16"/>
        <v>ASHFORD</v>
      </c>
      <c r="F543" t="s">
        <v>2481</v>
      </c>
      <c r="G543">
        <v>238.78</v>
      </c>
      <c r="H543" t="s">
        <v>2488</v>
      </c>
      <c r="I543">
        <v>150</v>
      </c>
      <c r="J543">
        <v>400</v>
      </c>
      <c r="K543" s="9">
        <f t="shared" si="17"/>
        <v>45668</v>
      </c>
      <c r="L543" t="s">
        <v>2564</v>
      </c>
      <c r="M543" t="s">
        <v>2925</v>
      </c>
    </row>
    <row r="544" spans="1:13" hidden="1" x14ac:dyDescent="0.35">
      <c r="A544" t="s">
        <v>553</v>
      </c>
      <c r="B544" t="s">
        <v>2201</v>
      </c>
      <c r="C544" t="s">
        <v>2460</v>
      </c>
      <c r="D544" t="s">
        <v>2467</v>
      </c>
      <c r="E544" t="str">
        <f t="shared" si="16"/>
        <v>ASHFORD</v>
      </c>
      <c r="F544" t="s">
        <v>2480</v>
      </c>
      <c r="G544">
        <v>0.9</v>
      </c>
      <c r="H544" t="s">
        <v>2487</v>
      </c>
      <c r="I544">
        <v>0.88</v>
      </c>
      <c r="J544">
        <v>0.97</v>
      </c>
      <c r="K544" s="9">
        <f t="shared" si="17"/>
        <v>45947</v>
      </c>
      <c r="L544" t="s">
        <v>2672</v>
      </c>
      <c r="M544" t="s">
        <v>2924</v>
      </c>
    </row>
    <row r="545" spans="1:13" hidden="1" x14ac:dyDescent="0.35">
      <c r="A545" t="s">
        <v>554</v>
      </c>
      <c r="B545" t="s">
        <v>2130</v>
      </c>
      <c r="C545" t="s">
        <v>2457</v>
      </c>
      <c r="D545" t="s">
        <v>2464</v>
      </c>
      <c r="E545" t="str">
        <f t="shared" si="16"/>
        <v>EAST HANOVER</v>
      </c>
      <c r="F545" t="s">
        <v>2484</v>
      </c>
      <c r="G545">
        <v>6.89</v>
      </c>
      <c r="I545">
        <v>6</v>
      </c>
      <c r="J545">
        <v>7.5</v>
      </c>
      <c r="K545" s="9">
        <f t="shared" si="17"/>
        <v>45943</v>
      </c>
      <c r="L545" t="s">
        <v>2606</v>
      </c>
      <c r="M545" t="s">
        <v>2927</v>
      </c>
    </row>
    <row r="546" spans="1:13" hidden="1" x14ac:dyDescent="0.35">
      <c r="A546" t="s">
        <v>555</v>
      </c>
      <c r="B546" t="s">
        <v>2285</v>
      </c>
      <c r="C546" t="s">
        <v>2457</v>
      </c>
      <c r="D546" t="s">
        <v>2468</v>
      </c>
      <c r="E546" t="str">
        <f t="shared" si="16"/>
        <v>VERNIER CH</v>
      </c>
      <c r="F546" t="s">
        <v>2484</v>
      </c>
      <c r="G546">
        <v>6.55</v>
      </c>
      <c r="I546">
        <v>6</v>
      </c>
      <c r="J546">
        <v>7.5</v>
      </c>
      <c r="K546" s="9">
        <f t="shared" si="17"/>
        <v>45960</v>
      </c>
      <c r="L546" t="s">
        <v>2678</v>
      </c>
      <c r="M546" t="s">
        <v>2924</v>
      </c>
    </row>
    <row r="547" spans="1:13" hidden="1" x14ac:dyDescent="0.35">
      <c r="A547" t="s">
        <v>556</v>
      </c>
      <c r="B547" t="s">
        <v>2259</v>
      </c>
      <c r="C547" t="s">
        <v>2457</v>
      </c>
      <c r="D547" t="s">
        <v>2465</v>
      </c>
      <c r="E547" t="str">
        <f t="shared" si="16"/>
        <v>VERNIER</v>
      </c>
      <c r="F547" t="s">
        <v>2481</v>
      </c>
      <c r="G547">
        <v>215.52</v>
      </c>
      <c r="H547" t="s">
        <v>2488</v>
      </c>
      <c r="I547">
        <v>150</v>
      </c>
      <c r="J547">
        <v>400</v>
      </c>
      <c r="K547" s="9">
        <f t="shared" si="17"/>
        <v>45863</v>
      </c>
      <c r="L547" t="s">
        <v>2711</v>
      </c>
      <c r="M547" t="s">
        <v>2931</v>
      </c>
    </row>
    <row r="548" spans="1:13" hidden="1" x14ac:dyDescent="0.35">
      <c r="A548" t="s">
        <v>557</v>
      </c>
      <c r="B548" t="s">
        <v>2292</v>
      </c>
      <c r="C548" t="s">
        <v>2461</v>
      </c>
      <c r="D548" t="s">
        <v>2463</v>
      </c>
      <c r="E548" t="str">
        <f t="shared" si="16"/>
        <v>VERNIER</v>
      </c>
      <c r="F548" t="s">
        <v>2483</v>
      </c>
      <c r="G548">
        <v>0.37</v>
      </c>
      <c r="H548" t="s">
        <v>2489</v>
      </c>
      <c r="I548">
        <v>0</v>
      </c>
      <c r="J548">
        <v>1</v>
      </c>
      <c r="K548" s="9">
        <f t="shared" si="17"/>
        <v>45646</v>
      </c>
      <c r="L548" t="s">
        <v>2734</v>
      </c>
      <c r="M548" t="s">
        <v>2925</v>
      </c>
    </row>
    <row r="549" spans="1:13" hidden="1" x14ac:dyDescent="0.35">
      <c r="A549" t="s">
        <v>558</v>
      </c>
      <c r="B549" t="s">
        <v>2077</v>
      </c>
      <c r="C549" t="s">
        <v>2461</v>
      </c>
      <c r="D549" t="s">
        <v>2467</v>
      </c>
      <c r="E549" t="str">
        <f t="shared" si="16"/>
        <v>ASHFORD</v>
      </c>
      <c r="F549" t="s">
        <v>2482</v>
      </c>
      <c r="G549">
        <v>98.95</v>
      </c>
      <c r="H549" t="s">
        <v>2489</v>
      </c>
      <c r="I549">
        <v>97</v>
      </c>
      <c r="J549">
        <v>100</v>
      </c>
      <c r="K549" s="9">
        <f t="shared" si="17"/>
        <v>45885</v>
      </c>
      <c r="L549" t="s">
        <v>2556</v>
      </c>
      <c r="M549" t="s">
        <v>2925</v>
      </c>
    </row>
    <row r="550" spans="1:13" hidden="1" x14ac:dyDescent="0.35">
      <c r="A550" t="s">
        <v>559</v>
      </c>
      <c r="B550" t="s">
        <v>2345</v>
      </c>
      <c r="C550" t="s">
        <v>2458</v>
      </c>
      <c r="D550" t="s">
        <v>2476</v>
      </c>
      <c r="E550" t="str">
        <f t="shared" si="16"/>
        <v>BUDAPEST SITE</v>
      </c>
      <c r="F550" t="s">
        <v>2485</v>
      </c>
      <c r="G550">
        <v>13.75</v>
      </c>
      <c r="H550" t="s">
        <v>2490</v>
      </c>
      <c r="I550">
        <v>0</v>
      </c>
      <c r="J550">
        <v>100</v>
      </c>
      <c r="K550" s="9">
        <f t="shared" si="17"/>
        <v>45379</v>
      </c>
      <c r="L550" t="s">
        <v>2772</v>
      </c>
      <c r="M550" t="s">
        <v>2931</v>
      </c>
    </row>
    <row r="551" spans="1:13" hidden="1" x14ac:dyDescent="0.35">
      <c r="A551" t="s">
        <v>560</v>
      </c>
      <c r="B551" t="s">
        <v>2102</v>
      </c>
      <c r="C551" t="s">
        <v>2461</v>
      </c>
      <c r="D551" t="s">
        <v>2463</v>
      </c>
      <c r="E551" t="str">
        <f t="shared" si="16"/>
        <v>VERNIER</v>
      </c>
      <c r="F551" t="s">
        <v>2480</v>
      </c>
      <c r="G551">
        <v>0.92</v>
      </c>
      <c r="H551" t="s">
        <v>2487</v>
      </c>
      <c r="I551">
        <v>0.88</v>
      </c>
      <c r="J551">
        <v>0.97</v>
      </c>
      <c r="K551" s="9">
        <f t="shared" si="17"/>
        <v>45959</v>
      </c>
      <c r="L551" t="s">
        <v>2580</v>
      </c>
      <c r="M551" t="s">
        <v>2932</v>
      </c>
    </row>
    <row r="552" spans="1:13" hidden="1" x14ac:dyDescent="0.35">
      <c r="A552" t="s">
        <v>561</v>
      </c>
      <c r="B552" t="s">
        <v>2066</v>
      </c>
      <c r="C552" t="s">
        <v>2459</v>
      </c>
      <c r="D552" t="s">
        <v>2467</v>
      </c>
      <c r="E552" t="str">
        <f t="shared" si="16"/>
        <v>ASHFORD</v>
      </c>
      <c r="F552" t="s">
        <v>2483</v>
      </c>
      <c r="G552">
        <v>0.34</v>
      </c>
      <c r="H552" t="s">
        <v>2489</v>
      </c>
      <c r="I552">
        <v>0</v>
      </c>
      <c r="J552">
        <v>1</v>
      </c>
      <c r="K552" s="9">
        <f t="shared" si="17"/>
        <v>45566</v>
      </c>
      <c r="L552" t="s">
        <v>2545</v>
      </c>
      <c r="M552" t="s">
        <v>2925</v>
      </c>
    </row>
    <row r="553" spans="1:13" hidden="1" x14ac:dyDescent="0.35">
      <c r="A553" t="s">
        <v>562</v>
      </c>
      <c r="B553" t="s">
        <v>2238</v>
      </c>
      <c r="C553" t="s">
        <v>2460</v>
      </c>
      <c r="D553" t="s">
        <v>2478</v>
      </c>
      <c r="E553" t="str">
        <f t="shared" si="16"/>
        <v>BUD</v>
      </c>
      <c r="F553" t="s">
        <v>2480</v>
      </c>
      <c r="G553">
        <v>0.93</v>
      </c>
      <c r="H553" t="s">
        <v>2487</v>
      </c>
      <c r="I553">
        <v>0.88</v>
      </c>
      <c r="J553">
        <v>0.97</v>
      </c>
      <c r="K553" s="9">
        <f t="shared" si="17"/>
        <v>45698</v>
      </c>
      <c r="L553" t="s">
        <v>2636</v>
      </c>
      <c r="M553" t="s">
        <v>2927</v>
      </c>
    </row>
    <row r="554" spans="1:13" hidden="1" x14ac:dyDescent="0.35">
      <c r="A554" t="s">
        <v>563</v>
      </c>
      <c r="B554" t="s">
        <v>2346</v>
      </c>
      <c r="C554" t="s">
        <v>2457</v>
      </c>
      <c r="D554" t="s">
        <v>2465</v>
      </c>
      <c r="E554" t="str">
        <f t="shared" si="16"/>
        <v>VERNIER</v>
      </c>
      <c r="F554" t="s">
        <v>2485</v>
      </c>
      <c r="G554">
        <v>20.81</v>
      </c>
      <c r="H554" t="s">
        <v>2490</v>
      </c>
      <c r="I554">
        <v>0</v>
      </c>
      <c r="J554">
        <v>100</v>
      </c>
      <c r="K554" s="9">
        <f t="shared" si="17"/>
        <v>45318</v>
      </c>
      <c r="L554" t="s">
        <v>2773</v>
      </c>
      <c r="M554" t="s">
        <v>2931</v>
      </c>
    </row>
    <row r="555" spans="1:13" hidden="1" x14ac:dyDescent="0.35">
      <c r="A555" t="s">
        <v>564</v>
      </c>
      <c r="B555" t="s">
        <v>2347</v>
      </c>
      <c r="C555" t="s">
        <v>2460</v>
      </c>
      <c r="D555" t="s">
        <v>2469</v>
      </c>
      <c r="E555" t="str">
        <f t="shared" si="16"/>
        <v>DORTMUND</v>
      </c>
      <c r="F555" t="s">
        <v>2483</v>
      </c>
      <c r="G555">
        <v>0.45</v>
      </c>
      <c r="H555" t="s">
        <v>2489</v>
      </c>
      <c r="I555">
        <v>0</v>
      </c>
      <c r="J555">
        <v>1</v>
      </c>
      <c r="K555" s="9">
        <f t="shared" si="17"/>
        <v>45401</v>
      </c>
      <c r="L555" t="s">
        <v>2774</v>
      </c>
      <c r="M555" t="s">
        <v>2931</v>
      </c>
    </row>
    <row r="556" spans="1:13" hidden="1" x14ac:dyDescent="0.35">
      <c r="A556" t="s">
        <v>565</v>
      </c>
      <c r="B556" t="s">
        <v>2216</v>
      </c>
      <c r="C556" t="s">
        <v>2458</v>
      </c>
      <c r="D556" t="s">
        <v>2469</v>
      </c>
      <c r="E556" t="str">
        <f t="shared" si="16"/>
        <v>DORTMUND</v>
      </c>
      <c r="F556" t="s">
        <v>2482</v>
      </c>
      <c r="G556">
        <v>98.29</v>
      </c>
      <c r="H556" t="s">
        <v>2489</v>
      </c>
      <c r="I556">
        <v>97</v>
      </c>
      <c r="J556">
        <v>100</v>
      </c>
      <c r="K556" s="9">
        <f t="shared" si="17"/>
        <v>45873</v>
      </c>
      <c r="L556" t="s">
        <v>2683</v>
      </c>
      <c r="M556" t="s">
        <v>2931</v>
      </c>
    </row>
    <row r="557" spans="1:13" hidden="1" x14ac:dyDescent="0.35">
      <c r="A557" t="s">
        <v>566</v>
      </c>
      <c r="B557" t="s">
        <v>2348</v>
      </c>
      <c r="C557" t="s">
        <v>2459</v>
      </c>
      <c r="D557" t="s">
        <v>2467</v>
      </c>
      <c r="E557" t="str">
        <f t="shared" si="16"/>
        <v>ASHFORD</v>
      </c>
      <c r="F557" t="s">
        <v>2480</v>
      </c>
      <c r="G557">
        <v>1.06</v>
      </c>
      <c r="H557" t="s">
        <v>2487</v>
      </c>
      <c r="I557">
        <v>0.88</v>
      </c>
      <c r="J557">
        <v>0.97</v>
      </c>
      <c r="K557" s="9">
        <f t="shared" si="17"/>
        <v>45461</v>
      </c>
      <c r="L557" t="s">
        <v>2531</v>
      </c>
      <c r="M557" t="s">
        <v>2931</v>
      </c>
    </row>
    <row r="558" spans="1:13" hidden="1" x14ac:dyDescent="0.35">
      <c r="A558" t="s">
        <v>567</v>
      </c>
      <c r="B558" t="s">
        <v>2349</v>
      </c>
      <c r="C558" t="s">
        <v>2461</v>
      </c>
      <c r="D558" t="s">
        <v>2470</v>
      </c>
      <c r="E558" t="str">
        <f t="shared" si="16"/>
        <v>E. HANOVER</v>
      </c>
      <c r="F558" t="s">
        <v>2479</v>
      </c>
      <c r="G558">
        <v>25.1</v>
      </c>
      <c r="H558" t="s">
        <v>2486</v>
      </c>
      <c r="I558">
        <v>0</v>
      </c>
      <c r="J558">
        <v>120</v>
      </c>
      <c r="K558" s="9">
        <f t="shared" si="17"/>
        <v>45451</v>
      </c>
      <c r="L558" t="s">
        <v>2706</v>
      </c>
      <c r="M558" t="s">
        <v>2928</v>
      </c>
    </row>
    <row r="559" spans="1:13" hidden="1" x14ac:dyDescent="0.35">
      <c r="A559" t="s">
        <v>568</v>
      </c>
      <c r="B559" t="s">
        <v>2051</v>
      </c>
      <c r="C559" t="s">
        <v>2461</v>
      </c>
      <c r="D559" t="s">
        <v>2474</v>
      </c>
      <c r="E559" t="str">
        <f t="shared" si="16"/>
        <v>DORTMUND DE</v>
      </c>
      <c r="F559" t="s">
        <v>2482</v>
      </c>
      <c r="G559">
        <v>98.57</v>
      </c>
      <c r="H559" t="s">
        <v>2489</v>
      </c>
      <c r="I559">
        <v>97</v>
      </c>
      <c r="J559">
        <v>100</v>
      </c>
      <c r="K559" s="9">
        <f t="shared" si="17"/>
        <v>45564</v>
      </c>
      <c r="L559" t="s">
        <v>2530</v>
      </c>
      <c r="M559" t="s">
        <v>2932</v>
      </c>
    </row>
    <row r="560" spans="1:13" hidden="1" x14ac:dyDescent="0.35">
      <c r="A560" t="s">
        <v>569</v>
      </c>
      <c r="B560" t="s">
        <v>2115</v>
      </c>
      <c r="C560" t="s">
        <v>2457</v>
      </c>
      <c r="D560" t="s">
        <v>2476</v>
      </c>
      <c r="E560" t="str">
        <f t="shared" si="16"/>
        <v>BUDAPEST SITE</v>
      </c>
      <c r="F560" t="s">
        <v>2479</v>
      </c>
      <c r="G560">
        <v>24.44</v>
      </c>
      <c r="H560" t="s">
        <v>2486</v>
      </c>
      <c r="I560">
        <v>0</v>
      </c>
      <c r="J560">
        <v>120</v>
      </c>
      <c r="K560" s="9">
        <f t="shared" si="17"/>
        <v>45931</v>
      </c>
      <c r="L560" t="s">
        <v>2590</v>
      </c>
      <c r="M560" t="s">
        <v>2923</v>
      </c>
    </row>
    <row r="561" spans="1:13" hidden="1" x14ac:dyDescent="0.35">
      <c r="A561" t="s">
        <v>570</v>
      </c>
      <c r="B561" t="s">
        <v>2183</v>
      </c>
      <c r="C561" t="s">
        <v>2457</v>
      </c>
      <c r="D561" t="s">
        <v>2464</v>
      </c>
      <c r="E561" t="str">
        <f t="shared" si="16"/>
        <v>EAST HANOVER</v>
      </c>
      <c r="F561" t="s">
        <v>2482</v>
      </c>
      <c r="G561">
        <v>99.32</v>
      </c>
      <c r="H561" t="s">
        <v>2489</v>
      </c>
      <c r="I561">
        <v>97</v>
      </c>
      <c r="J561">
        <v>100</v>
      </c>
      <c r="K561" s="9">
        <f t="shared" si="17"/>
        <v>45810</v>
      </c>
      <c r="L561" t="s">
        <v>2655</v>
      </c>
      <c r="M561" t="s">
        <v>2925</v>
      </c>
    </row>
    <row r="562" spans="1:13" hidden="1" x14ac:dyDescent="0.35">
      <c r="A562" t="s">
        <v>571</v>
      </c>
      <c r="B562" t="s">
        <v>2241</v>
      </c>
      <c r="C562" t="s">
        <v>2460</v>
      </c>
      <c r="D562" t="s">
        <v>2474</v>
      </c>
      <c r="E562" t="str">
        <f t="shared" si="16"/>
        <v>DORTMUND DE</v>
      </c>
      <c r="F562" t="s">
        <v>2481</v>
      </c>
      <c r="G562">
        <v>224.38</v>
      </c>
      <c r="H562" t="s">
        <v>2488</v>
      </c>
      <c r="I562">
        <v>150</v>
      </c>
      <c r="J562">
        <v>400</v>
      </c>
      <c r="K562" s="9">
        <f t="shared" si="17"/>
        <v>45781</v>
      </c>
      <c r="L562" t="s">
        <v>2696</v>
      </c>
      <c r="M562" t="s">
        <v>2925</v>
      </c>
    </row>
    <row r="563" spans="1:13" hidden="1" x14ac:dyDescent="0.35">
      <c r="A563" t="s">
        <v>572</v>
      </c>
      <c r="B563" t="s">
        <v>2223</v>
      </c>
      <c r="C563" t="s">
        <v>2458</v>
      </c>
      <c r="D563" t="s">
        <v>2464</v>
      </c>
      <c r="E563" t="str">
        <f t="shared" si="16"/>
        <v>EAST HANOVER</v>
      </c>
      <c r="F563" t="s">
        <v>2485</v>
      </c>
      <c r="G563">
        <v>-10</v>
      </c>
      <c r="H563" t="s">
        <v>2490</v>
      </c>
      <c r="I563">
        <v>0</v>
      </c>
      <c r="J563">
        <v>100</v>
      </c>
      <c r="K563" s="9">
        <f t="shared" si="17"/>
        <v>45496</v>
      </c>
      <c r="L563" t="s">
        <v>2775</v>
      </c>
      <c r="M563" t="s">
        <v>2927</v>
      </c>
    </row>
    <row r="564" spans="1:13" hidden="1" x14ac:dyDescent="0.35">
      <c r="A564" t="s">
        <v>573</v>
      </c>
      <c r="B564" t="s">
        <v>2276</v>
      </c>
      <c r="C564" t="s">
        <v>2457</v>
      </c>
      <c r="D564" t="s">
        <v>2471</v>
      </c>
      <c r="E564" t="str">
        <f t="shared" si="16"/>
        <v>BUDAPEST</v>
      </c>
      <c r="F564" t="s">
        <v>2480</v>
      </c>
      <c r="G564">
        <v>0.91</v>
      </c>
      <c r="H564" t="s">
        <v>2487</v>
      </c>
      <c r="I564">
        <v>0.88</v>
      </c>
      <c r="J564">
        <v>0.97</v>
      </c>
      <c r="K564" s="9">
        <f t="shared" si="17"/>
        <v>45685</v>
      </c>
      <c r="L564" t="s">
        <v>2724</v>
      </c>
      <c r="M564" t="s">
        <v>2931</v>
      </c>
    </row>
    <row r="565" spans="1:13" hidden="1" x14ac:dyDescent="0.35">
      <c r="A565" t="s">
        <v>574</v>
      </c>
      <c r="B565" t="s">
        <v>2134</v>
      </c>
      <c r="C565" t="s">
        <v>2459</v>
      </c>
      <c r="D565" t="s">
        <v>2472</v>
      </c>
      <c r="E565" t="str">
        <f t="shared" si="16"/>
        <v>VERNIER</v>
      </c>
      <c r="F565" t="s">
        <v>2483</v>
      </c>
      <c r="G565">
        <v>0.36</v>
      </c>
      <c r="H565" t="s">
        <v>2489</v>
      </c>
      <c r="I565">
        <v>0</v>
      </c>
      <c r="J565">
        <v>1</v>
      </c>
      <c r="K565" s="9">
        <f t="shared" si="17"/>
        <v>45721</v>
      </c>
      <c r="L565" t="s">
        <v>2610</v>
      </c>
      <c r="M565" t="s">
        <v>2926</v>
      </c>
    </row>
    <row r="566" spans="1:13" hidden="1" x14ac:dyDescent="0.35">
      <c r="A566" t="s">
        <v>575</v>
      </c>
      <c r="B566" t="s">
        <v>2256</v>
      </c>
      <c r="C566" t="s">
        <v>2461</v>
      </c>
      <c r="D566" t="s">
        <v>2466</v>
      </c>
      <c r="E566" t="str">
        <f t="shared" si="16"/>
        <v>EAST HANOVER</v>
      </c>
      <c r="F566" t="s">
        <v>2479</v>
      </c>
      <c r="G566">
        <v>37.090000000000003</v>
      </c>
      <c r="H566" t="s">
        <v>2486</v>
      </c>
      <c r="I566">
        <v>0</v>
      </c>
      <c r="J566">
        <v>120</v>
      </c>
      <c r="K566" s="9">
        <f t="shared" si="17"/>
        <v>45676</v>
      </c>
      <c r="L566" t="s">
        <v>2707</v>
      </c>
      <c r="M566" t="s">
        <v>2931</v>
      </c>
    </row>
    <row r="567" spans="1:13" x14ac:dyDescent="0.35">
      <c r="A567" t="s">
        <v>576</v>
      </c>
      <c r="B567" t="s">
        <v>2350</v>
      </c>
      <c r="C567" t="s">
        <v>2459</v>
      </c>
      <c r="D567" t="s">
        <v>2465</v>
      </c>
      <c r="E567" t="str">
        <f t="shared" si="16"/>
        <v>VERNIER</v>
      </c>
      <c r="F567" t="s">
        <v>2485</v>
      </c>
      <c r="H567" t="s">
        <v>2490</v>
      </c>
      <c r="I567">
        <v>0</v>
      </c>
      <c r="J567">
        <v>100</v>
      </c>
      <c r="K567" s="9">
        <f t="shared" si="17"/>
        <v>45605</v>
      </c>
      <c r="L567" t="s">
        <v>2776</v>
      </c>
      <c r="M567" t="s">
        <v>2928</v>
      </c>
    </row>
    <row r="568" spans="1:13" hidden="1" x14ac:dyDescent="0.35">
      <c r="A568" t="s">
        <v>577</v>
      </c>
      <c r="B568" t="s">
        <v>2144</v>
      </c>
      <c r="C568" t="s">
        <v>2461</v>
      </c>
      <c r="D568" t="s">
        <v>2464</v>
      </c>
      <c r="E568" t="str">
        <f t="shared" si="16"/>
        <v>EAST HANOVER</v>
      </c>
      <c r="F568" t="s">
        <v>2480</v>
      </c>
      <c r="G568">
        <v>0.94</v>
      </c>
      <c r="H568" t="s">
        <v>2487</v>
      </c>
      <c r="I568">
        <v>0.88</v>
      </c>
      <c r="J568">
        <v>0.97</v>
      </c>
      <c r="K568" s="9">
        <f t="shared" si="17"/>
        <v>45635</v>
      </c>
      <c r="L568" t="s">
        <v>2619</v>
      </c>
      <c r="M568" t="s">
        <v>2924</v>
      </c>
    </row>
    <row r="569" spans="1:13" hidden="1" x14ac:dyDescent="0.35">
      <c r="A569" t="s">
        <v>578</v>
      </c>
      <c r="B569" t="s">
        <v>2099</v>
      </c>
      <c r="C569" t="s">
        <v>2457</v>
      </c>
      <c r="D569" t="s">
        <v>2469</v>
      </c>
      <c r="E569" t="str">
        <f t="shared" si="16"/>
        <v>DORTMUND</v>
      </c>
      <c r="F569" t="s">
        <v>2484</v>
      </c>
      <c r="G569">
        <v>6.25</v>
      </c>
      <c r="I569">
        <v>6</v>
      </c>
      <c r="J569">
        <v>7.5</v>
      </c>
      <c r="K569" s="9">
        <f t="shared" si="17"/>
        <v>45915</v>
      </c>
      <c r="L569" t="s">
        <v>2577</v>
      </c>
      <c r="M569" t="s">
        <v>2932</v>
      </c>
    </row>
    <row r="570" spans="1:13" hidden="1" x14ac:dyDescent="0.35">
      <c r="A570" t="s">
        <v>579</v>
      </c>
      <c r="B570" t="s">
        <v>2351</v>
      </c>
      <c r="C570" t="s">
        <v>2459</v>
      </c>
      <c r="D570" t="s">
        <v>2472</v>
      </c>
      <c r="E570" t="str">
        <f t="shared" si="16"/>
        <v>VERNIER</v>
      </c>
      <c r="F570" t="s">
        <v>2480</v>
      </c>
      <c r="G570">
        <v>0.94</v>
      </c>
      <c r="H570" t="s">
        <v>2487</v>
      </c>
      <c r="I570">
        <v>0.88</v>
      </c>
      <c r="J570">
        <v>0.97</v>
      </c>
      <c r="K570" s="9">
        <f t="shared" si="17"/>
        <v>45984</v>
      </c>
      <c r="L570" t="s">
        <v>2777</v>
      </c>
      <c r="M570" t="s">
        <v>2923</v>
      </c>
    </row>
    <row r="571" spans="1:13" hidden="1" x14ac:dyDescent="0.35">
      <c r="A571" t="s">
        <v>580</v>
      </c>
      <c r="B571" t="s">
        <v>2212</v>
      </c>
      <c r="C571" t="s">
        <v>2460</v>
      </c>
      <c r="D571" t="s">
        <v>2475</v>
      </c>
      <c r="E571" t="str">
        <f t="shared" si="16"/>
        <v>ASHFORD</v>
      </c>
      <c r="F571" t="s">
        <v>2479</v>
      </c>
      <c r="G571">
        <v>47.67</v>
      </c>
      <c r="H571" t="s">
        <v>2486</v>
      </c>
      <c r="I571">
        <v>0</v>
      </c>
      <c r="J571">
        <v>120</v>
      </c>
      <c r="K571" s="9">
        <f t="shared" si="17"/>
        <v>45449</v>
      </c>
      <c r="L571" t="s">
        <v>2679</v>
      </c>
      <c r="M571" t="s">
        <v>2926</v>
      </c>
    </row>
    <row r="572" spans="1:13" hidden="1" x14ac:dyDescent="0.35">
      <c r="A572" t="s">
        <v>581</v>
      </c>
      <c r="B572" t="s">
        <v>2248</v>
      </c>
      <c r="C572" t="s">
        <v>2460</v>
      </c>
      <c r="D572" t="s">
        <v>2469</v>
      </c>
      <c r="E572" t="str">
        <f t="shared" si="16"/>
        <v>DORTMUND</v>
      </c>
      <c r="F572" t="s">
        <v>2484</v>
      </c>
      <c r="G572">
        <v>6.97</v>
      </c>
      <c r="I572">
        <v>6</v>
      </c>
      <c r="J572">
        <v>7.5</v>
      </c>
      <c r="K572" s="9">
        <f t="shared" si="17"/>
        <v>45956</v>
      </c>
      <c r="L572" t="s">
        <v>2701</v>
      </c>
      <c r="M572" t="s">
        <v>2931</v>
      </c>
    </row>
    <row r="573" spans="1:13" hidden="1" x14ac:dyDescent="0.35">
      <c r="A573" t="s">
        <v>582</v>
      </c>
      <c r="B573" t="s">
        <v>2169</v>
      </c>
      <c r="C573" t="s">
        <v>2458</v>
      </c>
      <c r="D573" t="s">
        <v>2463</v>
      </c>
      <c r="E573" t="str">
        <f t="shared" si="16"/>
        <v>VERNIER</v>
      </c>
      <c r="F573" t="s">
        <v>2480</v>
      </c>
      <c r="G573">
        <v>0.91</v>
      </c>
      <c r="H573" t="s">
        <v>2487</v>
      </c>
      <c r="I573">
        <v>0.88</v>
      </c>
      <c r="J573">
        <v>0.97</v>
      </c>
      <c r="K573" s="9">
        <f t="shared" si="17"/>
        <v>45571</v>
      </c>
      <c r="L573" t="s">
        <v>2754</v>
      </c>
      <c r="M573" t="s">
        <v>2924</v>
      </c>
    </row>
    <row r="574" spans="1:13" hidden="1" x14ac:dyDescent="0.35">
      <c r="A574" t="s">
        <v>583</v>
      </c>
      <c r="B574" t="s">
        <v>2352</v>
      </c>
      <c r="C574" t="s">
        <v>2457</v>
      </c>
      <c r="D574" t="s">
        <v>2469</v>
      </c>
      <c r="E574" t="str">
        <f t="shared" si="16"/>
        <v>DORTMUND</v>
      </c>
      <c r="F574" t="s">
        <v>2480</v>
      </c>
      <c r="G574">
        <v>0.92</v>
      </c>
      <c r="H574" t="s">
        <v>2487</v>
      </c>
      <c r="I574">
        <v>0.88</v>
      </c>
      <c r="J574">
        <v>0.97</v>
      </c>
      <c r="K574" s="9">
        <f t="shared" si="17"/>
        <v>45416</v>
      </c>
      <c r="L574" t="s">
        <v>2553</v>
      </c>
      <c r="M574" t="s">
        <v>2924</v>
      </c>
    </row>
    <row r="575" spans="1:13" hidden="1" x14ac:dyDescent="0.35">
      <c r="A575" t="s">
        <v>584</v>
      </c>
      <c r="B575" t="s">
        <v>2082</v>
      </c>
      <c r="C575" t="s">
        <v>2461</v>
      </c>
      <c r="D575" t="s">
        <v>2462</v>
      </c>
      <c r="E575" t="str">
        <f t="shared" si="16"/>
        <v>ASHFORD UK</v>
      </c>
      <c r="F575" t="s">
        <v>2485</v>
      </c>
      <c r="G575">
        <v>15.18</v>
      </c>
      <c r="H575" t="s">
        <v>2490</v>
      </c>
      <c r="I575">
        <v>0</v>
      </c>
      <c r="J575">
        <v>100</v>
      </c>
      <c r="K575" s="9">
        <f t="shared" si="17"/>
        <v>45392</v>
      </c>
      <c r="L575" t="s">
        <v>2561</v>
      </c>
      <c r="M575" t="s">
        <v>2925</v>
      </c>
    </row>
    <row r="576" spans="1:13" hidden="1" x14ac:dyDescent="0.35">
      <c r="A576" t="s">
        <v>585</v>
      </c>
      <c r="B576" t="s">
        <v>2353</v>
      </c>
      <c r="C576" t="s">
        <v>2461</v>
      </c>
      <c r="D576" t="s">
        <v>2474</v>
      </c>
      <c r="E576" t="str">
        <f t="shared" si="16"/>
        <v>DORTMUND DE</v>
      </c>
      <c r="F576" t="s">
        <v>2481</v>
      </c>
      <c r="G576">
        <v>271.25</v>
      </c>
      <c r="H576" t="s">
        <v>2488</v>
      </c>
      <c r="I576">
        <v>150</v>
      </c>
      <c r="J576">
        <v>400</v>
      </c>
      <c r="K576" s="9">
        <f t="shared" si="17"/>
        <v>45610</v>
      </c>
      <c r="L576" t="s">
        <v>2560</v>
      </c>
      <c r="M576" t="s">
        <v>2923</v>
      </c>
    </row>
    <row r="577" spans="1:13" hidden="1" x14ac:dyDescent="0.35">
      <c r="A577" t="s">
        <v>586</v>
      </c>
      <c r="B577" t="s">
        <v>2164</v>
      </c>
      <c r="C577" t="s">
        <v>2460</v>
      </c>
      <c r="D577" t="s">
        <v>2462</v>
      </c>
      <c r="E577" t="str">
        <f t="shared" si="16"/>
        <v>ASHFORD UK</v>
      </c>
      <c r="F577" t="s">
        <v>2479</v>
      </c>
      <c r="G577">
        <v>59.65</v>
      </c>
      <c r="H577" t="s">
        <v>2486</v>
      </c>
      <c r="I577">
        <v>0</v>
      </c>
      <c r="J577">
        <v>120</v>
      </c>
      <c r="K577" s="9">
        <f t="shared" si="17"/>
        <v>45912</v>
      </c>
      <c r="L577" t="s">
        <v>2637</v>
      </c>
      <c r="M577" t="s">
        <v>2925</v>
      </c>
    </row>
    <row r="578" spans="1:13" hidden="1" x14ac:dyDescent="0.35">
      <c r="A578" t="s">
        <v>587</v>
      </c>
      <c r="B578" t="s">
        <v>2354</v>
      </c>
      <c r="C578" t="s">
        <v>2458</v>
      </c>
      <c r="D578" t="s">
        <v>2476</v>
      </c>
      <c r="E578" t="str">
        <f t="shared" si="16"/>
        <v>BUDAPEST SITE</v>
      </c>
      <c r="F578" t="s">
        <v>2479</v>
      </c>
      <c r="G578">
        <v>58.46</v>
      </c>
      <c r="H578" t="s">
        <v>2486</v>
      </c>
      <c r="I578">
        <v>0</v>
      </c>
      <c r="J578">
        <v>120</v>
      </c>
      <c r="K578" s="9">
        <f t="shared" si="17"/>
        <v>45587</v>
      </c>
      <c r="L578" t="s">
        <v>2725</v>
      </c>
      <c r="M578" t="s">
        <v>2929</v>
      </c>
    </row>
    <row r="579" spans="1:13" hidden="1" x14ac:dyDescent="0.35">
      <c r="A579" t="s">
        <v>588</v>
      </c>
      <c r="B579" t="s">
        <v>2355</v>
      </c>
      <c r="C579" t="s">
        <v>2457</v>
      </c>
      <c r="D579" t="s">
        <v>2478</v>
      </c>
      <c r="E579" t="str">
        <f t="shared" ref="E579:E642" si="18">UPPER(D579)</f>
        <v>BUD</v>
      </c>
      <c r="F579" t="s">
        <v>2485</v>
      </c>
      <c r="G579">
        <v>-7.56</v>
      </c>
      <c r="H579" t="s">
        <v>2490</v>
      </c>
      <c r="I579">
        <v>0</v>
      </c>
      <c r="J579">
        <v>100</v>
      </c>
      <c r="K579" s="9">
        <f t="shared" ref="K579:K642" si="19">IF(L579="","",
IF(MID(L579,5,1)="-",
DATE(LEFT(L579,4),MID(L579,6,2),RIGHT(L579,2)),
DATE(RIGHT(L579,4),MID(L579,4,2),LEFT(L579,2))
))</f>
        <v>45598</v>
      </c>
      <c r="L579" t="s">
        <v>2778</v>
      </c>
      <c r="M579" t="s">
        <v>2925</v>
      </c>
    </row>
    <row r="580" spans="1:13" hidden="1" x14ac:dyDescent="0.35">
      <c r="A580" t="s">
        <v>589</v>
      </c>
      <c r="B580" t="s">
        <v>2035</v>
      </c>
      <c r="C580" t="s">
        <v>2461</v>
      </c>
      <c r="D580" t="s">
        <v>2467</v>
      </c>
      <c r="E580" t="str">
        <f t="shared" si="18"/>
        <v>ASHFORD</v>
      </c>
      <c r="F580" t="s">
        <v>2479</v>
      </c>
      <c r="G580">
        <v>68.78</v>
      </c>
      <c r="H580" t="s">
        <v>2486</v>
      </c>
      <c r="I580">
        <v>0</v>
      </c>
      <c r="J580">
        <v>120</v>
      </c>
      <c r="K580" s="9">
        <f t="shared" si="19"/>
        <v>45853</v>
      </c>
      <c r="L580" t="s">
        <v>2515</v>
      </c>
      <c r="M580" t="s">
        <v>2929</v>
      </c>
    </row>
    <row r="581" spans="1:13" hidden="1" x14ac:dyDescent="0.35">
      <c r="A581" t="s">
        <v>590</v>
      </c>
      <c r="B581" t="s">
        <v>2282</v>
      </c>
      <c r="C581" t="s">
        <v>2459</v>
      </c>
      <c r="D581" t="s">
        <v>2473</v>
      </c>
      <c r="E581" t="str">
        <f t="shared" si="18"/>
        <v>DORTMUND</v>
      </c>
      <c r="F581" t="s">
        <v>2481</v>
      </c>
      <c r="G581">
        <v>225.52</v>
      </c>
      <c r="H581" t="s">
        <v>2488</v>
      </c>
      <c r="I581">
        <v>150</v>
      </c>
      <c r="J581">
        <v>400</v>
      </c>
      <c r="K581" s="9">
        <f t="shared" si="19"/>
        <v>45367</v>
      </c>
      <c r="L581" t="s">
        <v>2717</v>
      </c>
      <c r="M581" t="s">
        <v>2926</v>
      </c>
    </row>
    <row r="582" spans="1:13" hidden="1" x14ac:dyDescent="0.35">
      <c r="A582" t="s">
        <v>591</v>
      </c>
      <c r="B582" t="s">
        <v>2039</v>
      </c>
      <c r="C582" t="s">
        <v>2458</v>
      </c>
      <c r="D582" t="s">
        <v>2471</v>
      </c>
      <c r="E582" t="str">
        <f t="shared" si="18"/>
        <v>BUDAPEST</v>
      </c>
      <c r="F582" t="s">
        <v>2485</v>
      </c>
      <c r="G582">
        <v>59.09</v>
      </c>
      <c r="H582" t="s">
        <v>2490</v>
      </c>
      <c r="I582">
        <v>0</v>
      </c>
      <c r="J582">
        <v>100</v>
      </c>
      <c r="K582" s="9">
        <f t="shared" si="19"/>
        <v>45969</v>
      </c>
      <c r="L582" t="s">
        <v>2519</v>
      </c>
      <c r="M582" t="s">
        <v>2932</v>
      </c>
    </row>
    <row r="583" spans="1:13" hidden="1" x14ac:dyDescent="0.35">
      <c r="A583" t="s">
        <v>592</v>
      </c>
      <c r="B583" t="s">
        <v>2356</v>
      </c>
      <c r="C583" t="s">
        <v>2458</v>
      </c>
      <c r="D583" t="s">
        <v>2464</v>
      </c>
      <c r="E583" t="str">
        <f t="shared" si="18"/>
        <v>EAST HANOVER</v>
      </c>
      <c r="F583" t="s">
        <v>2484</v>
      </c>
      <c r="G583">
        <v>6.71</v>
      </c>
      <c r="I583">
        <v>6</v>
      </c>
      <c r="J583">
        <v>7.5</v>
      </c>
      <c r="K583" s="9">
        <f t="shared" si="19"/>
        <v>45765</v>
      </c>
      <c r="L583" t="s">
        <v>2779</v>
      </c>
      <c r="M583" t="s">
        <v>2931</v>
      </c>
    </row>
    <row r="584" spans="1:13" hidden="1" x14ac:dyDescent="0.35">
      <c r="A584" t="s">
        <v>593</v>
      </c>
      <c r="B584" t="s">
        <v>2101</v>
      </c>
      <c r="C584" t="s">
        <v>2458</v>
      </c>
      <c r="D584" t="s">
        <v>2469</v>
      </c>
      <c r="E584" t="str">
        <f t="shared" si="18"/>
        <v>DORTMUND</v>
      </c>
      <c r="F584" t="s">
        <v>2479</v>
      </c>
      <c r="G584">
        <v>24.17</v>
      </c>
      <c r="H584" t="s">
        <v>2486</v>
      </c>
      <c r="I584">
        <v>0</v>
      </c>
      <c r="J584">
        <v>120</v>
      </c>
      <c r="K584" s="9">
        <f t="shared" si="19"/>
        <v>46013</v>
      </c>
      <c r="L584" t="s">
        <v>2579</v>
      </c>
      <c r="M584" t="s">
        <v>2923</v>
      </c>
    </row>
    <row r="585" spans="1:13" hidden="1" x14ac:dyDescent="0.35">
      <c r="A585" t="s">
        <v>594</v>
      </c>
      <c r="B585" t="s">
        <v>2357</v>
      </c>
      <c r="C585" t="s">
        <v>2459</v>
      </c>
      <c r="D585" t="s">
        <v>2467</v>
      </c>
      <c r="E585" t="str">
        <f t="shared" si="18"/>
        <v>ASHFORD</v>
      </c>
      <c r="F585" t="s">
        <v>2479</v>
      </c>
      <c r="G585">
        <v>55.49</v>
      </c>
      <c r="H585" t="s">
        <v>2486</v>
      </c>
      <c r="I585">
        <v>0</v>
      </c>
      <c r="J585">
        <v>120</v>
      </c>
      <c r="K585" s="9">
        <f t="shared" si="19"/>
        <v>45388</v>
      </c>
      <c r="L585" t="s">
        <v>2583</v>
      </c>
      <c r="M585" t="s">
        <v>2923</v>
      </c>
    </row>
    <row r="586" spans="1:13" hidden="1" x14ac:dyDescent="0.35">
      <c r="A586" t="s">
        <v>595</v>
      </c>
      <c r="B586" t="s">
        <v>2358</v>
      </c>
      <c r="C586" t="s">
        <v>2458</v>
      </c>
      <c r="D586" t="s">
        <v>2475</v>
      </c>
      <c r="E586" t="str">
        <f t="shared" si="18"/>
        <v>ASHFORD</v>
      </c>
      <c r="F586" t="s">
        <v>2484</v>
      </c>
      <c r="G586">
        <v>7.16</v>
      </c>
      <c r="I586">
        <v>6</v>
      </c>
      <c r="J586">
        <v>7.5</v>
      </c>
      <c r="K586" s="9">
        <f t="shared" si="19"/>
        <v>45749</v>
      </c>
      <c r="L586" t="s">
        <v>2780</v>
      </c>
      <c r="M586" t="s">
        <v>2929</v>
      </c>
    </row>
    <row r="587" spans="1:13" hidden="1" x14ac:dyDescent="0.35">
      <c r="A587" t="s">
        <v>596</v>
      </c>
      <c r="B587" t="s">
        <v>2166</v>
      </c>
      <c r="C587" t="s">
        <v>2459</v>
      </c>
      <c r="D587" t="s">
        <v>2473</v>
      </c>
      <c r="E587" t="str">
        <f t="shared" si="18"/>
        <v>DORTMUND</v>
      </c>
      <c r="F587" t="s">
        <v>2480</v>
      </c>
      <c r="G587">
        <v>0.96</v>
      </c>
      <c r="H587" t="s">
        <v>2487</v>
      </c>
      <c r="I587">
        <v>0.88</v>
      </c>
      <c r="J587">
        <v>0.97</v>
      </c>
      <c r="K587" s="9">
        <f t="shared" si="19"/>
        <v>45970</v>
      </c>
      <c r="L587" t="s">
        <v>2639</v>
      </c>
      <c r="M587" t="s">
        <v>2926</v>
      </c>
    </row>
    <row r="588" spans="1:13" hidden="1" x14ac:dyDescent="0.35">
      <c r="A588" t="s">
        <v>597</v>
      </c>
      <c r="B588" t="s">
        <v>2178</v>
      </c>
      <c r="C588" t="s">
        <v>2457</v>
      </c>
      <c r="D588" t="s">
        <v>2467</v>
      </c>
      <c r="E588" t="str">
        <f t="shared" si="18"/>
        <v>ASHFORD</v>
      </c>
      <c r="F588" t="s">
        <v>2483</v>
      </c>
      <c r="G588">
        <v>0.15</v>
      </c>
      <c r="H588" t="s">
        <v>2489</v>
      </c>
      <c r="I588">
        <v>0</v>
      </c>
      <c r="J588">
        <v>1</v>
      </c>
      <c r="K588" s="9">
        <f t="shared" si="19"/>
        <v>45816</v>
      </c>
      <c r="L588" t="s">
        <v>2650</v>
      </c>
      <c r="M588" t="s">
        <v>2925</v>
      </c>
    </row>
    <row r="589" spans="1:13" hidden="1" x14ac:dyDescent="0.35">
      <c r="A589" t="s">
        <v>598</v>
      </c>
      <c r="B589" t="s">
        <v>2359</v>
      </c>
      <c r="C589" t="s">
        <v>2458</v>
      </c>
      <c r="D589" t="s">
        <v>2464</v>
      </c>
      <c r="E589" t="str">
        <f t="shared" si="18"/>
        <v>EAST HANOVER</v>
      </c>
      <c r="F589" t="s">
        <v>2483</v>
      </c>
      <c r="G589">
        <v>0.27</v>
      </c>
      <c r="H589" t="s">
        <v>2489</v>
      </c>
      <c r="I589">
        <v>0</v>
      </c>
      <c r="J589">
        <v>1</v>
      </c>
      <c r="K589" s="9">
        <f t="shared" si="19"/>
        <v>45574</v>
      </c>
      <c r="L589" t="s">
        <v>2781</v>
      </c>
      <c r="M589" t="s">
        <v>2931</v>
      </c>
    </row>
    <row r="590" spans="1:13" hidden="1" x14ac:dyDescent="0.35">
      <c r="A590" t="s">
        <v>599</v>
      </c>
      <c r="B590" t="s">
        <v>2064</v>
      </c>
      <c r="C590" t="s">
        <v>2458</v>
      </c>
      <c r="D590" t="s">
        <v>2472</v>
      </c>
      <c r="E590" t="str">
        <f t="shared" si="18"/>
        <v>VERNIER</v>
      </c>
      <c r="F590" t="s">
        <v>2480</v>
      </c>
      <c r="G590">
        <v>0.95</v>
      </c>
      <c r="H590" t="s">
        <v>2487</v>
      </c>
      <c r="I590">
        <v>0.88</v>
      </c>
      <c r="J590">
        <v>0.97</v>
      </c>
      <c r="K590" s="9">
        <f t="shared" si="19"/>
        <v>45715</v>
      </c>
      <c r="L590" t="s">
        <v>2543</v>
      </c>
      <c r="M590" t="s">
        <v>2926</v>
      </c>
    </row>
    <row r="591" spans="1:13" hidden="1" x14ac:dyDescent="0.35">
      <c r="A591" t="s">
        <v>600</v>
      </c>
      <c r="B591" t="s">
        <v>2325</v>
      </c>
      <c r="C591" t="s">
        <v>2458</v>
      </c>
      <c r="D591" t="s">
        <v>2472</v>
      </c>
      <c r="E591" t="str">
        <f t="shared" si="18"/>
        <v>VERNIER</v>
      </c>
      <c r="F591" t="s">
        <v>2484</v>
      </c>
      <c r="G591">
        <v>7.11</v>
      </c>
      <c r="I591">
        <v>6</v>
      </c>
      <c r="J591">
        <v>7.5</v>
      </c>
      <c r="K591" s="9">
        <f t="shared" si="19"/>
        <v>45491</v>
      </c>
      <c r="L591" t="s">
        <v>2782</v>
      </c>
      <c r="M591" t="s">
        <v>2928</v>
      </c>
    </row>
    <row r="592" spans="1:13" hidden="1" x14ac:dyDescent="0.35">
      <c r="A592" t="s">
        <v>601</v>
      </c>
      <c r="B592" t="s">
        <v>2325</v>
      </c>
      <c r="C592" t="s">
        <v>2458</v>
      </c>
      <c r="D592" t="s">
        <v>2465</v>
      </c>
      <c r="E592" t="str">
        <f t="shared" si="18"/>
        <v>VERNIER</v>
      </c>
      <c r="F592" t="s">
        <v>2483</v>
      </c>
      <c r="G592">
        <v>0.34</v>
      </c>
      <c r="H592" t="s">
        <v>2489</v>
      </c>
      <c r="I592">
        <v>0</v>
      </c>
      <c r="J592">
        <v>1</v>
      </c>
      <c r="K592" s="9">
        <f t="shared" si="19"/>
        <v>45491</v>
      </c>
      <c r="L592" t="s">
        <v>2753</v>
      </c>
      <c r="M592" t="s">
        <v>2927</v>
      </c>
    </row>
    <row r="593" spans="1:13" hidden="1" x14ac:dyDescent="0.35">
      <c r="A593" t="s">
        <v>602</v>
      </c>
      <c r="B593" t="s">
        <v>2031</v>
      </c>
      <c r="C593" t="s">
        <v>2459</v>
      </c>
      <c r="D593" t="s">
        <v>2469</v>
      </c>
      <c r="E593" t="str">
        <f t="shared" si="18"/>
        <v>DORTMUND</v>
      </c>
      <c r="F593" t="s">
        <v>2484</v>
      </c>
      <c r="G593">
        <v>6.77</v>
      </c>
      <c r="I593">
        <v>6</v>
      </c>
      <c r="J593">
        <v>7.5</v>
      </c>
      <c r="K593" s="9">
        <f t="shared" si="19"/>
        <v>45887</v>
      </c>
      <c r="L593" t="s">
        <v>2511</v>
      </c>
      <c r="M593" t="s">
        <v>2930</v>
      </c>
    </row>
    <row r="594" spans="1:13" x14ac:dyDescent="0.35">
      <c r="A594" t="s">
        <v>603</v>
      </c>
      <c r="B594" t="s">
        <v>2339</v>
      </c>
      <c r="C594" t="s">
        <v>2459</v>
      </c>
      <c r="D594" t="s">
        <v>2469</v>
      </c>
      <c r="E594" t="str">
        <f t="shared" si="18"/>
        <v>DORTMUND</v>
      </c>
      <c r="F594" t="s">
        <v>2483</v>
      </c>
      <c r="H594" t="s">
        <v>2489</v>
      </c>
      <c r="I594">
        <v>0</v>
      </c>
      <c r="J594">
        <v>1</v>
      </c>
      <c r="K594" s="9">
        <f t="shared" si="19"/>
        <v>45673</v>
      </c>
      <c r="L594" t="s">
        <v>2677</v>
      </c>
      <c r="M594" t="s">
        <v>2928</v>
      </c>
    </row>
    <row r="595" spans="1:13" hidden="1" x14ac:dyDescent="0.35">
      <c r="A595" t="s">
        <v>604</v>
      </c>
      <c r="B595" t="s">
        <v>2040</v>
      </c>
      <c r="C595" t="s">
        <v>2460</v>
      </c>
      <c r="D595" t="s">
        <v>2473</v>
      </c>
      <c r="E595" t="str">
        <f t="shared" si="18"/>
        <v>DORTMUND</v>
      </c>
      <c r="F595" t="s">
        <v>2484</v>
      </c>
      <c r="G595">
        <v>6.82</v>
      </c>
      <c r="I595">
        <v>6</v>
      </c>
      <c r="J595">
        <v>7.5</v>
      </c>
      <c r="K595" s="9">
        <f t="shared" si="19"/>
        <v>45386</v>
      </c>
      <c r="L595" t="s">
        <v>2520</v>
      </c>
      <c r="M595" t="s">
        <v>2927</v>
      </c>
    </row>
    <row r="596" spans="1:13" hidden="1" x14ac:dyDescent="0.35">
      <c r="A596" t="s">
        <v>605</v>
      </c>
      <c r="B596" t="s">
        <v>2360</v>
      </c>
      <c r="C596" t="s">
        <v>2458</v>
      </c>
      <c r="D596" t="s">
        <v>2462</v>
      </c>
      <c r="E596" t="str">
        <f t="shared" si="18"/>
        <v>ASHFORD UK</v>
      </c>
      <c r="F596" t="s">
        <v>2479</v>
      </c>
      <c r="G596">
        <v>19.22</v>
      </c>
      <c r="H596" t="s">
        <v>2486</v>
      </c>
      <c r="I596">
        <v>0</v>
      </c>
      <c r="J596">
        <v>120</v>
      </c>
      <c r="K596" s="9">
        <f t="shared" si="19"/>
        <v>45509</v>
      </c>
      <c r="L596" t="s">
        <v>2783</v>
      </c>
      <c r="M596" t="s">
        <v>2927</v>
      </c>
    </row>
    <row r="597" spans="1:13" hidden="1" x14ac:dyDescent="0.35">
      <c r="A597" t="s">
        <v>606</v>
      </c>
      <c r="B597" t="s">
        <v>2169</v>
      </c>
      <c r="C597" t="s">
        <v>2458</v>
      </c>
      <c r="D597" t="s">
        <v>2465</v>
      </c>
      <c r="E597" t="str">
        <f t="shared" si="18"/>
        <v>VERNIER</v>
      </c>
      <c r="F597" t="s">
        <v>2481</v>
      </c>
      <c r="G597">
        <v>173.34</v>
      </c>
      <c r="H597" t="s">
        <v>2488</v>
      </c>
      <c r="I597">
        <v>150</v>
      </c>
      <c r="J597">
        <v>400</v>
      </c>
      <c r="K597" s="9">
        <f t="shared" si="19"/>
        <v>45571</v>
      </c>
      <c r="L597" t="s">
        <v>2754</v>
      </c>
      <c r="M597" t="s">
        <v>2925</v>
      </c>
    </row>
    <row r="598" spans="1:13" hidden="1" x14ac:dyDescent="0.35">
      <c r="A598" t="s">
        <v>607</v>
      </c>
      <c r="B598" t="s">
        <v>2225</v>
      </c>
      <c r="C598" t="s">
        <v>2458</v>
      </c>
      <c r="D598" t="s">
        <v>2468</v>
      </c>
      <c r="E598" t="str">
        <f t="shared" si="18"/>
        <v>VERNIER CH</v>
      </c>
      <c r="F598" t="s">
        <v>2482</v>
      </c>
      <c r="G598">
        <v>98.45</v>
      </c>
      <c r="H598" t="s">
        <v>2489</v>
      </c>
      <c r="I598">
        <v>97</v>
      </c>
      <c r="J598">
        <v>100</v>
      </c>
      <c r="K598" s="9">
        <f t="shared" si="19"/>
        <v>45516</v>
      </c>
      <c r="L598" t="s">
        <v>2784</v>
      </c>
      <c r="M598" t="s">
        <v>2923</v>
      </c>
    </row>
    <row r="599" spans="1:13" hidden="1" x14ac:dyDescent="0.35">
      <c r="A599" t="s">
        <v>608</v>
      </c>
      <c r="B599" t="s">
        <v>2182</v>
      </c>
      <c r="C599" t="s">
        <v>2457</v>
      </c>
      <c r="D599" t="s">
        <v>2462</v>
      </c>
      <c r="E599" t="str">
        <f t="shared" si="18"/>
        <v>ASHFORD UK</v>
      </c>
      <c r="F599" t="s">
        <v>2480</v>
      </c>
      <c r="G599">
        <v>0.9</v>
      </c>
      <c r="H599" t="s">
        <v>2487</v>
      </c>
      <c r="I599">
        <v>0.88</v>
      </c>
      <c r="J599">
        <v>0.97</v>
      </c>
      <c r="K599" s="9">
        <f t="shared" si="19"/>
        <v>45681</v>
      </c>
      <c r="L599" t="s">
        <v>2654</v>
      </c>
      <c r="M599" t="s">
        <v>2924</v>
      </c>
    </row>
    <row r="600" spans="1:13" hidden="1" x14ac:dyDescent="0.35">
      <c r="A600" t="s">
        <v>609</v>
      </c>
      <c r="B600" t="s">
        <v>2309</v>
      </c>
      <c r="C600" t="s">
        <v>2457</v>
      </c>
      <c r="D600" t="s">
        <v>2476</v>
      </c>
      <c r="E600" t="str">
        <f t="shared" si="18"/>
        <v>BUDAPEST SITE</v>
      </c>
      <c r="F600" t="s">
        <v>2485</v>
      </c>
      <c r="G600">
        <v>-54.31</v>
      </c>
      <c r="H600" t="s">
        <v>2490</v>
      </c>
      <c r="I600">
        <v>0</v>
      </c>
      <c r="J600">
        <v>100</v>
      </c>
      <c r="K600" s="9">
        <f t="shared" si="19"/>
        <v>45826</v>
      </c>
      <c r="L600" t="s">
        <v>2575</v>
      </c>
      <c r="M600" t="s">
        <v>2925</v>
      </c>
    </row>
    <row r="601" spans="1:13" hidden="1" x14ac:dyDescent="0.35">
      <c r="A601" t="s">
        <v>610</v>
      </c>
      <c r="B601" t="s">
        <v>2315</v>
      </c>
      <c r="C601" t="s">
        <v>2460</v>
      </c>
      <c r="D601" t="s">
        <v>2472</v>
      </c>
      <c r="E601" t="str">
        <f t="shared" si="18"/>
        <v>VERNIER</v>
      </c>
      <c r="F601" t="s">
        <v>2483</v>
      </c>
      <c r="G601">
        <v>0.41</v>
      </c>
      <c r="H601" t="s">
        <v>2489</v>
      </c>
      <c r="I601">
        <v>0</v>
      </c>
      <c r="J601">
        <v>1</v>
      </c>
      <c r="K601" s="9">
        <f t="shared" si="19"/>
        <v>46011</v>
      </c>
      <c r="L601" t="s">
        <v>2747</v>
      </c>
      <c r="M601" t="s">
        <v>2929</v>
      </c>
    </row>
    <row r="602" spans="1:13" hidden="1" x14ac:dyDescent="0.35">
      <c r="A602" t="s">
        <v>611</v>
      </c>
      <c r="B602" t="s">
        <v>2128</v>
      </c>
      <c r="C602" t="s">
        <v>2458</v>
      </c>
      <c r="D602" t="s">
        <v>2471</v>
      </c>
      <c r="E602" t="str">
        <f t="shared" si="18"/>
        <v>BUDAPEST</v>
      </c>
      <c r="F602" t="s">
        <v>2482</v>
      </c>
      <c r="G602">
        <v>99.83</v>
      </c>
      <c r="H602" t="s">
        <v>2489</v>
      </c>
      <c r="I602">
        <v>97</v>
      </c>
      <c r="J602">
        <v>100</v>
      </c>
      <c r="K602" s="9">
        <f t="shared" si="19"/>
        <v>45565</v>
      </c>
      <c r="L602" t="s">
        <v>2604</v>
      </c>
      <c r="M602" t="s">
        <v>2927</v>
      </c>
    </row>
    <row r="603" spans="1:13" hidden="1" x14ac:dyDescent="0.35">
      <c r="A603" t="s">
        <v>612</v>
      </c>
      <c r="B603" t="s">
        <v>2298</v>
      </c>
      <c r="C603" t="s">
        <v>2458</v>
      </c>
      <c r="D603" t="s">
        <v>2474</v>
      </c>
      <c r="E603" t="str">
        <f t="shared" si="18"/>
        <v>DORTMUND DE</v>
      </c>
      <c r="F603" t="s">
        <v>2482</v>
      </c>
      <c r="G603">
        <v>98.25</v>
      </c>
      <c r="H603" t="s">
        <v>2489</v>
      </c>
      <c r="I603">
        <v>97</v>
      </c>
      <c r="J603">
        <v>100</v>
      </c>
      <c r="K603" s="9">
        <f t="shared" si="19"/>
        <v>45323</v>
      </c>
      <c r="L603" t="s">
        <v>2738</v>
      </c>
      <c r="M603" t="s">
        <v>2929</v>
      </c>
    </row>
    <row r="604" spans="1:13" hidden="1" x14ac:dyDescent="0.35">
      <c r="A604" t="s">
        <v>613</v>
      </c>
      <c r="B604" t="s">
        <v>2327</v>
      </c>
      <c r="C604" t="s">
        <v>2458</v>
      </c>
      <c r="D604" t="s">
        <v>2478</v>
      </c>
      <c r="E604" t="str">
        <f t="shared" si="18"/>
        <v>BUD</v>
      </c>
      <c r="F604" t="s">
        <v>2480</v>
      </c>
      <c r="G604">
        <v>0.93</v>
      </c>
      <c r="H604" t="s">
        <v>2487</v>
      </c>
      <c r="I604">
        <v>0.88</v>
      </c>
      <c r="J604">
        <v>0.97</v>
      </c>
      <c r="K604" s="9">
        <f t="shared" si="19"/>
        <v>45699</v>
      </c>
      <c r="L604" t="s">
        <v>2756</v>
      </c>
      <c r="M604" t="s">
        <v>2932</v>
      </c>
    </row>
    <row r="605" spans="1:13" hidden="1" x14ac:dyDescent="0.35">
      <c r="A605" t="s">
        <v>614</v>
      </c>
      <c r="B605" t="s">
        <v>2345</v>
      </c>
      <c r="C605" t="s">
        <v>2458</v>
      </c>
      <c r="D605" t="s">
        <v>2476</v>
      </c>
      <c r="E605" t="str">
        <f t="shared" si="18"/>
        <v>BUDAPEST SITE</v>
      </c>
      <c r="F605" t="s">
        <v>2479</v>
      </c>
      <c r="G605">
        <v>41.58</v>
      </c>
      <c r="H605" t="s">
        <v>2486</v>
      </c>
      <c r="I605">
        <v>0</v>
      </c>
      <c r="J605">
        <v>120</v>
      </c>
      <c r="K605" s="9">
        <f t="shared" si="19"/>
        <v>45379</v>
      </c>
      <c r="L605" t="s">
        <v>2772</v>
      </c>
      <c r="M605" t="s">
        <v>2924</v>
      </c>
    </row>
    <row r="606" spans="1:13" hidden="1" x14ac:dyDescent="0.35">
      <c r="A606" t="s">
        <v>615</v>
      </c>
      <c r="B606" t="s">
        <v>2219</v>
      </c>
      <c r="C606" t="s">
        <v>2460</v>
      </c>
      <c r="D606" t="s">
        <v>2464</v>
      </c>
      <c r="E606" t="str">
        <f t="shared" si="18"/>
        <v>EAST HANOVER</v>
      </c>
      <c r="F606" t="s">
        <v>2482</v>
      </c>
      <c r="G606">
        <v>98.17</v>
      </c>
      <c r="H606" t="s">
        <v>2489</v>
      </c>
      <c r="I606">
        <v>97</v>
      </c>
      <c r="J606">
        <v>100</v>
      </c>
      <c r="K606" s="9">
        <f t="shared" si="19"/>
        <v>45626</v>
      </c>
      <c r="L606" t="s">
        <v>2686</v>
      </c>
      <c r="M606" t="s">
        <v>2925</v>
      </c>
    </row>
    <row r="607" spans="1:13" hidden="1" x14ac:dyDescent="0.35">
      <c r="A607" t="s">
        <v>616</v>
      </c>
      <c r="B607" t="s">
        <v>2260</v>
      </c>
      <c r="C607" t="s">
        <v>2461</v>
      </c>
      <c r="D607" t="s">
        <v>2471</v>
      </c>
      <c r="E607" t="str">
        <f t="shared" si="18"/>
        <v>BUDAPEST</v>
      </c>
      <c r="F607" t="s">
        <v>2485</v>
      </c>
      <c r="G607">
        <v>48.61</v>
      </c>
      <c r="H607" t="s">
        <v>2490</v>
      </c>
      <c r="I607">
        <v>0</v>
      </c>
      <c r="J607">
        <v>100</v>
      </c>
      <c r="K607" s="9">
        <f t="shared" si="19"/>
        <v>45623</v>
      </c>
      <c r="L607" t="s">
        <v>2712</v>
      </c>
      <c r="M607" t="s">
        <v>2931</v>
      </c>
    </row>
    <row r="608" spans="1:13" hidden="1" x14ac:dyDescent="0.35">
      <c r="A608" t="s">
        <v>617</v>
      </c>
      <c r="B608" t="s">
        <v>2050</v>
      </c>
      <c r="C608" t="s">
        <v>2461</v>
      </c>
      <c r="D608" t="s">
        <v>2466</v>
      </c>
      <c r="E608" t="str">
        <f t="shared" si="18"/>
        <v>EAST HANOVER</v>
      </c>
      <c r="F608" t="s">
        <v>2482</v>
      </c>
      <c r="G608">
        <v>98.94</v>
      </c>
      <c r="H608" t="s">
        <v>2489</v>
      </c>
      <c r="I608">
        <v>97</v>
      </c>
      <c r="J608">
        <v>100</v>
      </c>
      <c r="K608" s="9">
        <f t="shared" si="19"/>
        <v>45398</v>
      </c>
      <c r="L608" t="s">
        <v>2529</v>
      </c>
      <c r="M608" t="s">
        <v>2927</v>
      </c>
    </row>
    <row r="609" spans="1:13" hidden="1" x14ac:dyDescent="0.35">
      <c r="A609" t="s">
        <v>618</v>
      </c>
      <c r="B609" t="s">
        <v>2171</v>
      </c>
      <c r="C609" t="s">
        <v>2459</v>
      </c>
      <c r="D609" t="s">
        <v>2462</v>
      </c>
      <c r="E609" t="str">
        <f t="shared" si="18"/>
        <v>ASHFORD UK</v>
      </c>
      <c r="F609" t="s">
        <v>2484</v>
      </c>
      <c r="G609">
        <v>5.79</v>
      </c>
      <c r="I609">
        <v>6</v>
      </c>
      <c r="J609">
        <v>7.5</v>
      </c>
      <c r="K609" s="9">
        <f t="shared" si="19"/>
        <v>45629</v>
      </c>
      <c r="L609" t="s">
        <v>2644</v>
      </c>
      <c r="M609" t="s">
        <v>2927</v>
      </c>
    </row>
    <row r="610" spans="1:13" hidden="1" x14ac:dyDescent="0.35">
      <c r="A610" t="s">
        <v>619</v>
      </c>
      <c r="B610" t="s">
        <v>2223</v>
      </c>
      <c r="C610" t="s">
        <v>2458</v>
      </c>
      <c r="D610" t="s">
        <v>2464</v>
      </c>
      <c r="E610" t="str">
        <f t="shared" si="18"/>
        <v>EAST HANOVER</v>
      </c>
      <c r="F610" t="s">
        <v>2481</v>
      </c>
      <c r="G610">
        <v>221.74</v>
      </c>
      <c r="H610" t="s">
        <v>2488</v>
      </c>
      <c r="I610">
        <v>150</v>
      </c>
      <c r="J610">
        <v>400</v>
      </c>
      <c r="K610" s="9">
        <f t="shared" si="19"/>
        <v>45496</v>
      </c>
      <c r="L610" t="s">
        <v>2688</v>
      </c>
      <c r="M610" t="s">
        <v>2931</v>
      </c>
    </row>
    <row r="611" spans="1:13" hidden="1" x14ac:dyDescent="0.35">
      <c r="A611" t="s">
        <v>620</v>
      </c>
      <c r="B611" t="s">
        <v>2188</v>
      </c>
      <c r="C611" t="s">
        <v>2457</v>
      </c>
      <c r="D611" t="s">
        <v>2475</v>
      </c>
      <c r="E611" t="str">
        <f t="shared" si="18"/>
        <v>ASHFORD</v>
      </c>
      <c r="F611" t="s">
        <v>2479</v>
      </c>
      <c r="G611">
        <v>58.2</v>
      </c>
      <c r="H611" t="s">
        <v>2486</v>
      </c>
      <c r="I611">
        <v>0</v>
      </c>
      <c r="J611">
        <v>120</v>
      </c>
      <c r="K611" s="9">
        <f t="shared" si="19"/>
        <v>45916</v>
      </c>
      <c r="L611" t="s">
        <v>2624</v>
      </c>
      <c r="M611" t="s">
        <v>2930</v>
      </c>
    </row>
    <row r="612" spans="1:13" hidden="1" x14ac:dyDescent="0.35">
      <c r="A612" t="s">
        <v>621</v>
      </c>
      <c r="B612" t="s">
        <v>2361</v>
      </c>
      <c r="C612" t="s">
        <v>2461</v>
      </c>
      <c r="D612" t="s">
        <v>2471</v>
      </c>
      <c r="E612" t="str">
        <f t="shared" si="18"/>
        <v>BUDAPEST</v>
      </c>
      <c r="F612" t="s">
        <v>2479</v>
      </c>
      <c r="G612">
        <v>73.72</v>
      </c>
      <c r="H612" t="s">
        <v>2486</v>
      </c>
      <c r="I612">
        <v>0</v>
      </c>
      <c r="J612">
        <v>120</v>
      </c>
      <c r="K612" s="9">
        <f t="shared" si="19"/>
        <v>45779</v>
      </c>
      <c r="L612" t="s">
        <v>2785</v>
      </c>
      <c r="M612" t="s">
        <v>2929</v>
      </c>
    </row>
    <row r="613" spans="1:13" hidden="1" x14ac:dyDescent="0.35">
      <c r="A613" t="s">
        <v>622</v>
      </c>
      <c r="B613" t="s">
        <v>2132</v>
      </c>
      <c r="C613" t="s">
        <v>2457</v>
      </c>
      <c r="D613" t="s">
        <v>2471</v>
      </c>
      <c r="E613" t="str">
        <f t="shared" si="18"/>
        <v>BUDAPEST</v>
      </c>
      <c r="F613" t="s">
        <v>2480</v>
      </c>
      <c r="G613">
        <v>0.94</v>
      </c>
      <c r="H613" t="s">
        <v>2487</v>
      </c>
      <c r="I613">
        <v>0.88</v>
      </c>
      <c r="J613">
        <v>0.97</v>
      </c>
      <c r="K613" s="9">
        <f t="shared" si="19"/>
        <v>45493</v>
      </c>
      <c r="L613" t="s">
        <v>2752</v>
      </c>
      <c r="M613" t="s">
        <v>2932</v>
      </c>
    </row>
    <row r="614" spans="1:13" hidden="1" x14ac:dyDescent="0.35">
      <c r="A614" t="s">
        <v>623</v>
      </c>
      <c r="B614" t="s">
        <v>2362</v>
      </c>
      <c r="C614" t="s">
        <v>2457</v>
      </c>
      <c r="D614" t="s">
        <v>2473</v>
      </c>
      <c r="E614" t="str">
        <f t="shared" si="18"/>
        <v>DORTMUND</v>
      </c>
      <c r="F614" t="s">
        <v>2483</v>
      </c>
      <c r="G614">
        <v>0.56000000000000005</v>
      </c>
      <c r="H614" t="s">
        <v>2489</v>
      </c>
      <c r="I614">
        <v>0</v>
      </c>
      <c r="J614">
        <v>1</v>
      </c>
      <c r="K614" s="9">
        <f t="shared" si="19"/>
        <v>45320</v>
      </c>
      <c r="L614" t="s">
        <v>2786</v>
      </c>
      <c r="M614" t="s">
        <v>2932</v>
      </c>
    </row>
    <row r="615" spans="1:13" hidden="1" x14ac:dyDescent="0.35">
      <c r="A615" t="s">
        <v>624</v>
      </c>
      <c r="B615" t="s">
        <v>2189</v>
      </c>
      <c r="C615" t="s">
        <v>2461</v>
      </c>
      <c r="D615" t="s">
        <v>2476</v>
      </c>
      <c r="E615" t="str">
        <f t="shared" si="18"/>
        <v>BUDAPEST SITE</v>
      </c>
      <c r="F615" t="s">
        <v>2483</v>
      </c>
      <c r="G615">
        <v>0.37</v>
      </c>
      <c r="H615" t="s">
        <v>2489</v>
      </c>
      <c r="I615">
        <v>0</v>
      </c>
      <c r="J615">
        <v>1</v>
      </c>
      <c r="K615" s="9">
        <f t="shared" si="19"/>
        <v>45691</v>
      </c>
      <c r="L615" t="s">
        <v>2660</v>
      </c>
      <c r="M615" t="s">
        <v>2932</v>
      </c>
    </row>
    <row r="616" spans="1:13" hidden="1" x14ac:dyDescent="0.35">
      <c r="A616" t="s">
        <v>625</v>
      </c>
      <c r="B616" t="s">
        <v>2063</v>
      </c>
      <c r="C616" t="s">
        <v>2461</v>
      </c>
      <c r="D616" t="s">
        <v>2466</v>
      </c>
      <c r="E616" t="str">
        <f t="shared" si="18"/>
        <v>EAST HANOVER</v>
      </c>
      <c r="F616" t="s">
        <v>2483</v>
      </c>
      <c r="G616">
        <v>0.02</v>
      </c>
      <c r="H616" t="s">
        <v>2489</v>
      </c>
      <c r="I616">
        <v>0</v>
      </c>
      <c r="J616">
        <v>1</v>
      </c>
      <c r="K616" s="9">
        <f t="shared" si="19"/>
        <v>45884</v>
      </c>
      <c r="L616" t="s">
        <v>2542</v>
      </c>
      <c r="M616" t="s">
        <v>2926</v>
      </c>
    </row>
    <row r="617" spans="1:13" hidden="1" x14ac:dyDescent="0.35">
      <c r="A617" t="s">
        <v>626</v>
      </c>
      <c r="B617" t="s">
        <v>2363</v>
      </c>
      <c r="C617" t="s">
        <v>2459</v>
      </c>
      <c r="D617" t="s">
        <v>2469</v>
      </c>
      <c r="E617" t="str">
        <f t="shared" si="18"/>
        <v>DORTMUND</v>
      </c>
      <c r="F617" t="s">
        <v>2481</v>
      </c>
      <c r="G617">
        <v>251.86</v>
      </c>
      <c r="H617" t="s">
        <v>2488</v>
      </c>
      <c r="I617">
        <v>150</v>
      </c>
      <c r="J617">
        <v>400</v>
      </c>
      <c r="K617" s="9">
        <f t="shared" si="19"/>
        <v>45789</v>
      </c>
      <c r="L617" t="s">
        <v>2567</v>
      </c>
      <c r="M617" t="s">
        <v>2929</v>
      </c>
    </row>
    <row r="618" spans="1:13" hidden="1" x14ac:dyDescent="0.35">
      <c r="A618" t="s">
        <v>627</v>
      </c>
      <c r="B618" t="s">
        <v>2087</v>
      </c>
      <c r="C618" t="s">
        <v>2459</v>
      </c>
      <c r="D618" t="s">
        <v>2475</v>
      </c>
      <c r="E618" t="str">
        <f t="shared" si="18"/>
        <v>ASHFORD</v>
      </c>
      <c r="F618" t="s">
        <v>2484</v>
      </c>
      <c r="G618">
        <v>6.61</v>
      </c>
      <c r="I618">
        <v>6</v>
      </c>
      <c r="J618">
        <v>7.5</v>
      </c>
      <c r="K618" s="9">
        <f t="shared" si="19"/>
        <v>45399</v>
      </c>
      <c r="L618" t="s">
        <v>2492</v>
      </c>
      <c r="M618" t="s">
        <v>2932</v>
      </c>
    </row>
    <row r="619" spans="1:13" hidden="1" x14ac:dyDescent="0.35">
      <c r="A619" t="s">
        <v>628</v>
      </c>
      <c r="B619" t="s">
        <v>2248</v>
      </c>
      <c r="C619" t="s">
        <v>2460</v>
      </c>
      <c r="D619" t="s">
        <v>2473</v>
      </c>
      <c r="E619" t="str">
        <f t="shared" si="18"/>
        <v>DORTMUND</v>
      </c>
      <c r="F619" t="s">
        <v>2483</v>
      </c>
      <c r="G619">
        <v>0.17</v>
      </c>
      <c r="H619" t="s">
        <v>2489</v>
      </c>
      <c r="I619">
        <v>0</v>
      </c>
      <c r="J619">
        <v>1</v>
      </c>
      <c r="K619" s="9">
        <f t="shared" si="19"/>
        <v>45956</v>
      </c>
      <c r="L619" t="s">
        <v>2701</v>
      </c>
      <c r="M619" t="s">
        <v>2926</v>
      </c>
    </row>
    <row r="620" spans="1:13" hidden="1" x14ac:dyDescent="0.35">
      <c r="A620" t="s">
        <v>629</v>
      </c>
      <c r="B620" t="s">
        <v>2236</v>
      </c>
      <c r="C620" t="s">
        <v>2457</v>
      </c>
      <c r="D620" t="s">
        <v>2476</v>
      </c>
      <c r="E620" t="str">
        <f t="shared" si="18"/>
        <v>BUDAPEST SITE</v>
      </c>
      <c r="F620" t="s">
        <v>2485</v>
      </c>
      <c r="G620">
        <v>25.01</v>
      </c>
      <c r="H620" t="s">
        <v>2490</v>
      </c>
      <c r="I620">
        <v>0</v>
      </c>
      <c r="J620">
        <v>100</v>
      </c>
      <c r="K620" s="9">
        <f t="shared" si="19"/>
        <v>45536</v>
      </c>
      <c r="L620" t="s">
        <v>2693</v>
      </c>
      <c r="M620" t="s">
        <v>2924</v>
      </c>
    </row>
    <row r="621" spans="1:13" hidden="1" x14ac:dyDescent="0.35">
      <c r="A621" t="s">
        <v>630</v>
      </c>
      <c r="B621" t="s">
        <v>2139</v>
      </c>
      <c r="C621" t="s">
        <v>2460</v>
      </c>
      <c r="D621" t="s">
        <v>2473</v>
      </c>
      <c r="E621" t="str">
        <f t="shared" si="18"/>
        <v>DORTMUND</v>
      </c>
      <c r="F621" t="s">
        <v>2481</v>
      </c>
      <c r="G621">
        <v>274.35000000000002</v>
      </c>
      <c r="H621" t="s">
        <v>2488</v>
      </c>
      <c r="I621">
        <v>150</v>
      </c>
      <c r="J621">
        <v>400</v>
      </c>
      <c r="K621" s="9">
        <f t="shared" si="19"/>
        <v>45295</v>
      </c>
      <c r="L621" t="s">
        <v>2614</v>
      </c>
      <c r="M621" t="s">
        <v>2923</v>
      </c>
    </row>
    <row r="622" spans="1:13" hidden="1" x14ac:dyDescent="0.35">
      <c r="A622" t="s">
        <v>631</v>
      </c>
      <c r="B622" t="s">
        <v>2290</v>
      </c>
      <c r="C622" t="s">
        <v>2461</v>
      </c>
      <c r="D622" t="s">
        <v>2473</v>
      </c>
      <c r="E622" t="str">
        <f t="shared" si="18"/>
        <v>DORTMUND</v>
      </c>
      <c r="F622" t="s">
        <v>2485</v>
      </c>
      <c r="G622">
        <v>13.45</v>
      </c>
      <c r="H622" t="s">
        <v>2490</v>
      </c>
      <c r="I622">
        <v>0</v>
      </c>
      <c r="J622">
        <v>100</v>
      </c>
      <c r="K622" s="9">
        <f t="shared" si="19"/>
        <v>45864</v>
      </c>
      <c r="L622" t="s">
        <v>2550</v>
      </c>
      <c r="M622" t="s">
        <v>2930</v>
      </c>
    </row>
    <row r="623" spans="1:13" hidden="1" x14ac:dyDescent="0.35">
      <c r="A623" t="s">
        <v>632</v>
      </c>
      <c r="B623" t="s">
        <v>2342</v>
      </c>
      <c r="C623" t="s">
        <v>2458</v>
      </c>
      <c r="D623" t="s">
        <v>2470</v>
      </c>
      <c r="E623" t="str">
        <f t="shared" si="18"/>
        <v>E. HANOVER</v>
      </c>
      <c r="F623" t="s">
        <v>2480</v>
      </c>
      <c r="G623">
        <v>0.96</v>
      </c>
      <c r="H623" t="s">
        <v>2487</v>
      </c>
      <c r="I623">
        <v>0.88</v>
      </c>
      <c r="J623">
        <v>0.97</v>
      </c>
      <c r="K623" s="9">
        <f t="shared" si="19"/>
        <v>45686</v>
      </c>
      <c r="L623" t="s">
        <v>2554</v>
      </c>
      <c r="M623" t="s">
        <v>2923</v>
      </c>
    </row>
    <row r="624" spans="1:13" hidden="1" x14ac:dyDescent="0.35">
      <c r="A624" t="s">
        <v>633</v>
      </c>
      <c r="B624" t="s">
        <v>2349</v>
      </c>
      <c r="C624" t="s">
        <v>2461</v>
      </c>
      <c r="D624" t="s">
        <v>2464</v>
      </c>
      <c r="E624" t="str">
        <f t="shared" si="18"/>
        <v>EAST HANOVER</v>
      </c>
      <c r="F624" t="s">
        <v>2482</v>
      </c>
      <c r="G624">
        <v>97.6</v>
      </c>
      <c r="H624" t="s">
        <v>2489</v>
      </c>
      <c r="I624">
        <v>97</v>
      </c>
      <c r="J624">
        <v>100</v>
      </c>
      <c r="K624" s="9">
        <f t="shared" si="19"/>
        <v>45451</v>
      </c>
      <c r="L624" t="s">
        <v>2706</v>
      </c>
      <c r="M624" t="s">
        <v>2923</v>
      </c>
    </row>
    <row r="625" spans="1:13" hidden="1" x14ac:dyDescent="0.35">
      <c r="A625" t="s">
        <v>634</v>
      </c>
      <c r="B625" t="s">
        <v>2198</v>
      </c>
      <c r="C625" t="s">
        <v>2459</v>
      </c>
      <c r="D625" t="s">
        <v>2466</v>
      </c>
      <c r="E625" t="str">
        <f t="shared" si="18"/>
        <v>EAST HANOVER</v>
      </c>
      <c r="F625" t="s">
        <v>2483</v>
      </c>
      <c r="G625">
        <v>0.28000000000000003</v>
      </c>
      <c r="H625" t="s">
        <v>2489</v>
      </c>
      <c r="I625">
        <v>0</v>
      </c>
      <c r="J625">
        <v>1</v>
      </c>
      <c r="K625" s="9">
        <f t="shared" si="19"/>
        <v>45704</v>
      </c>
      <c r="L625" t="s">
        <v>2669</v>
      </c>
      <c r="M625" t="s">
        <v>2930</v>
      </c>
    </row>
    <row r="626" spans="1:13" hidden="1" x14ac:dyDescent="0.35">
      <c r="A626" t="s">
        <v>635</v>
      </c>
      <c r="B626" t="s">
        <v>2364</v>
      </c>
      <c r="C626" t="s">
        <v>2461</v>
      </c>
      <c r="D626" t="s">
        <v>2470</v>
      </c>
      <c r="E626" t="str">
        <f t="shared" si="18"/>
        <v>E. HANOVER</v>
      </c>
      <c r="F626" t="s">
        <v>2481</v>
      </c>
      <c r="G626">
        <v>257.91000000000003</v>
      </c>
      <c r="H626" t="s">
        <v>2488</v>
      </c>
      <c r="I626">
        <v>150</v>
      </c>
      <c r="J626">
        <v>400</v>
      </c>
      <c r="K626" s="9">
        <f t="shared" si="19"/>
        <v>45885</v>
      </c>
      <c r="L626" t="s">
        <v>2556</v>
      </c>
      <c r="M626" t="s">
        <v>2927</v>
      </c>
    </row>
    <row r="627" spans="1:13" hidden="1" x14ac:dyDescent="0.35">
      <c r="A627" t="s">
        <v>636</v>
      </c>
      <c r="B627" t="s">
        <v>2365</v>
      </c>
      <c r="C627" t="s">
        <v>2459</v>
      </c>
      <c r="D627" t="s">
        <v>2477</v>
      </c>
      <c r="E627" t="str">
        <f t="shared" si="18"/>
        <v>BUDAPEST</v>
      </c>
      <c r="F627" t="s">
        <v>2483</v>
      </c>
      <c r="G627">
        <v>0.54</v>
      </c>
      <c r="H627" t="s">
        <v>2489</v>
      </c>
      <c r="I627">
        <v>0</v>
      </c>
      <c r="J627">
        <v>1</v>
      </c>
      <c r="K627" s="9">
        <f t="shared" si="19"/>
        <v>45344</v>
      </c>
      <c r="L627" t="s">
        <v>2787</v>
      </c>
      <c r="M627" t="s">
        <v>2923</v>
      </c>
    </row>
    <row r="628" spans="1:13" hidden="1" x14ac:dyDescent="0.35">
      <c r="A628" t="s">
        <v>637</v>
      </c>
      <c r="B628" t="s">
        <v>2366</v>
      </c>
      <c r="C628" t="s">
        <v>2461</v>
      </c>
      <c r="D628" t="s">
        <v>2477</v>
      </c>
      <c r="E628" t="str">
        <f t="shared" si="18"/>
        <v>BUDAPEST</v>
      </c>
      <c r="F628" t="s">
        <v>2481</v>
      </c>
      <c r="G628">
        <v>240.52</v>
      </c>
      <c r="H628" t="s">
        <v>2488</v>
      </c>
      <c r="I628">
        <v>150</v>
      </c>
      <c r="J628">
        <v>400</v>
      </c>
      <c r="K628" s="9">
        <f t="shared" si="19"/>
        <v>45629</v>
      </c>
      <c r="L628" t="s">
        <v>2644</v>
      </c>
      <c r="M628" t="s">
        <v>2927</v>
      </c>
    </row>
    <row r="629" spans="1:13" hidden="1" x14ac:dyDescent="0.35">
      <c r="A629" t="s">
        <v>638</v>
      </c>
      <c r="B629" t="s">
        <v>2237</v>
      </c>
      <c r="C629" t="s">
        <v>2458</v>
      </c>
      <c r="D629" t="s">
        <v>2463</v>
      </c>
      <c r="E629" t="str">
        <f t="shared" si="18"/>
        <v>VERNIER</v>
      </c>
      <c r="F629" t="s">
        <v>2483</v>
      </c>
      <c r="G629">
        <v>0.1</v>
      </c>
      <c r="H629" t="s">
        <v>2489</v>
      </c>
      <c r="I629">
        <v>0</v>
      </c>
      <c r="J629">
        <v>1</v>
      </c>
      <c r="K629" s="9">
        <f t="shared" si="19"/>
        <v>45697</v>
      </c>
      <c r="L629" t="s">
        <v>2694</v>
      </c>
      <c r="M629" t="s">
        <v>2928</v>
      </c>
    </row>
    <row r="630" spans="1:13" hidden="1" x14ac:dyDescent="0.35">
      <c r="A630" t="s">
        <v>639</v>
      </c>
      <c r="B630" t="s">
        <v>2269</v>
      </c>
      <c r="C630" t="s">
        <v>2458</v>
      </c>
      <c r="D630" t="s">
        <v>2470</v>
      </c>
      <c r="E630" t="str">
        <f t="shared" si="18"/>
        <v>E. HANOVER</v>
      </c>
      <c r="F630" t="s">
        <v>2485</v>
      </c>
      <c r="G630">
        <v>-18.3</v>
      </c>
      <c r="H630" t="s">
        <v>2490</v>
      </c>
      <c r="I630">
        <v>0</v>
      </c>
      <c r="J630">
        <v>100</v>
      </c>
      <c r="K630" s="9">
        <f t="shared" si="19"/>
        <v>45638</v>
      </c>
      <c r="L630" t="s">
        <v>2552</v>
      </c>
      <c r="M630" t="s">
        <v>2925</v>
      </c>
    </row>
    <row r="631" spans="1:13" hidden="1" x14ac:dyDescent="0.35">
      <c r="A631" t="s">
        <v>640</v>
      </c>
      <c r="B631" t="s">
        <v>2328</v>
      </c>
      <c r="C631" t="s">
        <v>2461</v>
      </c>
      <c r="D631" t="s">
        <v>2462</v>
      </c>
      <c r="E631" t="str">
        <f t="shared" si="18"/>
        <v>ASHFORD UK</v>
      </c>
      <c r="F631" t="s">
        <v>2480</v>
      </c>
      <c r="G631">
        <v>0.92</v>
      </c>
      <c r="H631" t="s">
        <v>2487</v>
      </c>
      <c r="I631">
        <v>0.88</v>
      </c>
      <c r="J631">
        <v>0.97</v>
      </c>
      <c r="K631" s="9">
        <f t="shared" si="19"/>
        <v>45710</v>
      </c>
      <c r="L631" t="s">
        <v>2758</v>
      </c>
      <c r="M631" t="s">
        <v>2928</v>
      </c>
    </row>
    <row r="632" spans="1:13" hidden="1" x14ac:dyDescent="0.35">
      <c r="A632" t="s">
        <v>641</v>
      </c>
      <c r="B632" t="s">
        <v>2367</v>
      </c>
      <c r="C632" t="s">
        <v>2461</v>
      </c>
      <c r="D632" t="s">
        <v>2474</v>
      </c>
      <c r="E632" t="str">
        <f t="shared" si="18"/>
        <v>DORTMUND DE</v>
      </c>
      <c r="F632" t="s">
        <v>2479</v>
      </c>
      <c r="G632">
        <v>42.6</v>
      </c>
      <c r="H632" t="s">
        <v>2486</v>
      </c>
      <c r="I632">
        <v>0</v>
      </c>
      <c r="J632">
        <v>120</v>
      </c>
      <c r="K632" s="9">
        <f t="shared" si="19"/>
        <v>45794</v>
      </c>
      <c r="L632" t="s">
        <v>2788</v>
      </c>
      <c r="M632" t="s">
        <v>2927</v>
      </c>
    </row>
    <row r="633" spans="1:13" hidden="1" x14ac:dyDescent="0.35">
      <c r="A633" t="s">
        <v>642</v>
      </c>
      <c r="B633" t="s">
        <v>2368</v>
      </c>
      <c r="C633" t="s">
        <v>2460</v>
      </c>
      <c r="D633" t="s">
        <v>2469</v>
      </c>
      <c r="E633" t="str">
        <f t="shared" si="18"/>
        <v>DORTMUND</v>
      </c>
      <c r="F633" t="s">
        <v>2483</v>
      </c>
      <c r="G633">
        <v>0.16</v>
      </c>
      <c r="H633" t="s">
        <v>2489</v>
      </c>
      <c r="I633">
        <v>0</v>
      </c>
      <c r="J633">
        <v>1</v>
      </c>
      <c r="K633" s="9">
        <f t="shared" si="19"/>
        <v>45555</v>
      </c>
      <c r="L633" t="s">
        <v>2789</v>
      </c>
      <c r="M633" t="s">
        <v>2930</v>
      </c>
    </row>
    <row r="634" spans="1:13" hidden="1" x14ac:dyDescent="0.35">
      <c r="A634" t="s">
        <v>643</v>
      </c>
      <c r="B634" t="s">
        <v>2369</v>
      </c>
      <c r="C634" t="s">
        <v>2458</v>
      </c>
      <c r="D634" t="s">
        <v>2475</v>
      </c>
      <c r="E634" t="str">
        <f t="shared" si="18"/>
        <v>ASHFORD</v>
      </c>
      <c r="F634" t="s">
        <v>2485</v>
      </c>
      <c r="G634">
        <v>24.18</v>
      </c>
      <c r="H634" t="s">
        <v>2490</v>
      </c>
      <c r="I634">
        <v>0</v>
      </c>
      <c r="J634">
        <v>100</v>
      </c>
      <c r="K634" s="9">
        <f t="shared" si="19"/>
        <v>46003</v>
      </c>
      <c r="L634" t="s">
        <v>2790</v>
      </c>
      <c r="M634" t="s">
        <v>2924</v>
      </c>
    </row>
    <row r="635" spans="1:13" hidden="1" x14ac:dyDescent="0.35">
      <c r="A635" t="s">
        <v>644</v>
      </c>
      <c r="B635" t="s">
        <v>2288</v>
      </c>
      <c r="C635" t="s">
        <v>2457</v>
      </c>
      <c r="D635" t="s">
        <v>2474</v>
      </c>
      <c r="E635" t="str">
        <f t="shared" si="18"/>
        <v>DORTMUND DE</v>
      </c>
      <c r="F635" t="s">
        <v>2479</v>
      </c>
      <c r="G635">
        <v>23.01</v>
      </c>
      <c r="H635" t="s">
        <v>2486</v>
      </c>
      <c r="I635">
        <v>0</v>
      </c>
      <c r="J635">
        <v>120</v>
      </c>
      <c r="K635" s="9">
        <f t="shared" si="19"/>
        <v>45894</v>
      </c>
      <c r="L635" t="s">
        <v>2731</v>
      </c>
      <c r="M635" t="s">
        <v>2923</v>
      </c>
    </row>
    <row r="636" spans="1:13" hidden="1" x14ac:dyDescent="0.35">
      <c r="A636" t="s">
        <v>645</v>
      </c>
      <c r="B636" t="s">
        <v>2203</v>
      </c>
      <c r="C636" t="s">
        <v>2458</v>
      </c>
      <c r="D636" t="s">
        <v>2474</v>
      </c>
      <c r="E636" t="str">
        <f t="shared" si="18"/>
        <v>DORTMUND DE</v>
      </c>
      <c r="F636" t="s">
        <v>2479</v>
      </c>
      <c r="G636">
        <v>54.18</v>
      </c>
      <c r="H636" t="s">
        <v>2486</v>
      </c>
      <c r="I636">
        <v>0</v>
      </c>
      <c r="J636">
        <v>120</v>
      </c>
      <c r="K636" s="9">
        <f t="shared" si="19"/>
        <v>45911</v>
      </c>
      <c r="L636" t="s">
        <v>2673</v>
      </c>
      <c r="M636" t="s">
        <v>2927</v>
      </c>
    </row>
    <row r="637" spans="1:13" hidden="1" x14ac:dyDescent="0.35">
      <c r="A637" t="s">
        <v>646</v>
      </c>
      <c r="B637" t="s">
        <v>2370</v>
      </c>
      <c r="C637" t="s">
        <v>2459</v>
      </c>
      <c r="D637" t="s">
        <v>2469</v>
      </c>
      <c r="E637" t="str">
        <f t="shared" si="18"/>
        <v>DORTMUND</v>
      </c>
      <c r="F637" t="s">
        <v>2482</v>
      </c>
      <c r="G637">
        <v>98.29</v>
      </c>
      <c r="H637" t="s">
        <v>2489</v>
      </c>
      <c r="I637">
        <v>97</v>
      </c>
      <c r="J637">
        <v>100</v>
      </c>
      <c r="K637" s="9">
        <f t="shared" si="19"/>
        <v>45318</v>
      </c>
      <c r="L637" t="s">
        <v>2773</v>
      </c>
      <c r="M637" t="s">
        <v>2932</v>
      </c>
    </row>
    <row r="638" spans="1:13" hidden="1" x14ac:dyDescent="0.35">
      <c r="A638" t="s">
        <v>647</v>
      </c>
      <c r="B638" t="s">
        <v>2221</v>
      </c>
      <c r="C638" t="s">
        <v>2458</v>
      </c>
      <c r="D638" t="s">
        <v>2469</v>
      </c>
      <c r="E638" t="str">
        <f t="shared" si="18"/>
        <v>DORTMUND</v>
      </c>
      <c r="F638" t="s">
        <v>2479</v>
      </c>
      <c r="G638">
        <v>52.36</v>
      </c>
      <c r="H638" t="s">
        <v>2486</v>
      </c>
      <c r="I638">
        <v>0</v>
      </c>
      <c r="J638">
        <v>120</v>
      </c>
      <c r="K638" s="9">
        <f t="shared" si="19"/>
        <v>45520</v>
      </c>
      <c r="L638" t="s">
        <v>2649</v>
      </c>
      <c r="M638" t="s">
        <v>2929</v>
      </c>
    </row>
    <row r="639" spans="1:13" hidden="1" x14ac:dyDescent="0.35">
      <c r="A639" t="s">
        <v>648</v>
      </c>
      <c r="B639" t="s">
        <v>2030</v>
      </c>
      <c r="C639" t="s">
        <v>2457</v>
      </c>
      <c r="D639" t="s">
        <v>2463</v>
      </c>
      <c r="E639" t="str">
        <f t="shared" si="18"/>
        <v>VERNIER</v>
      </c>
      <c r="F639" t="s">
        <v>2485</v>
      </c>
      <c r="G639">
        <v>15.47</v>
      </c>
      <c r="H639" t="s">
        <v>2490</v>
      </c>
      <c r="I639">
        <v>0</v>
      </c>
      <c r="J639">
        <v>100</v>
      </c>
      <c r="K639" s="9">
        <f t="shared" si="19"/>
        <v>45613</v>
      </c>
      <c r="L639" t="s">
        <v>2510</v>
      </c>
      <c r="M639" t="s">
        <v>2929</v>
      </c>
    </row>
    <row r="640" spans="1:13" hidden="1" x14ac:dyDescent="0.35">
      <c r="A640" t="s">
        <v>649</v>
      </c>
      <c r="B640" t="s">
        <v>2277</v>
      </c>
      <c r="C640" t="s">
        <v>2457</v>
      </c>
      <c r="D640" t="s">
        <v>2477</v>
      </c>
      <c r="E640" t="str">
        <f t="shared" si="18"/>
        <v>BUDAPEST</v>
      </c>
      <c r="F640" t="s">
        <v>2480</v>
      </c>
      <c r="G640">
        <v>0.88</v>
      </c>
      <c r="H640" t="s">
        <v>2487</v>
      </c>
      <c r="I640">
        <v>0.88</v>
      </c>
      <c r="J640">
        <v>0.97</v>
      </c>
      <c r="K640" s="9">
        <f t="shared" si="19"/>
        <v>45587</v>
      </c>
      <c r="L640" t="s">
        <v>2725</v>
      </c>
      <c r="M640" t="s">
        <v>2927</v>
      </c>
    </row>
    <row r="641" spans="1:13" hidden="1" x14ac:dyDescent="0.35">
      <c r="A641" t="s">
        <v>650</v>
      </c>
      <c r="B641" t="s">
        <v>2371</v>
      </c>
      <c r="C641" t="s">
        <v>2459</v>
      </c>
      <c r="D641" t="s">
        <v>2469</v>
      </c>
      <c r="E641" t="str">
        <f t="shared" si="18"/>
        <v>DORTMUND</v>
      </c>
      <c r="F641" t="s">
        <v>2479</v>
      </c>
      <c r="G641">
        <v>52.38</v>
      </c>
      <c r="H641" t="s">
        <v>2486</v>
      </c>
      <c r="I641">
        <v>0</v>
      </c>
      <c r="J641">
        <v>120</v>
      </c>
      <c r="K641" s="9">
        <f t="shared" si="19"/>
        <v>45519</v>
      </c>
      <c r="L641" t="s">
        <v>2791</v>
      </c>
      <c r="M641" t="s">
        <v>2926</v>
      </c>
    </row>
    <row r="642" spans="1:13" hidden="1" x14ac:dyDescent="0.35">
      <c r="A642" t="s">
        <v>651</v>
      </c>
      <c r="B642" t="s">
        <v>2104</v>
      </c>
      <c r="C642" t="s">
        <v>2458</v>
      </c>
      <c r="D642" t="s">
        <v>2462</v>
      </c>
      <c r="E642" t="str">
        <f t="shared" si="18"/>
        <v>ASHFORD UK</v>
      </c>
      <c r="F642" t="s">
        <v>2483</v>
      </c>
      <c r="G642">
        <v>0.51</v>
      </c>
      <c r="H642" t="s">
        <v>2489</v>
      </c>
      <c r="I642">
        <v>0</v>
      </c>
      <c r="J642">
        <v>1</v>
      </c>
      <c r="K642" s="9">
        <f t="shared" si="19"/>
        <v>45831</v>
      </c>
      <c r="L642" t="s">
        <v>2540</v>
      </c>
      <c r="M642" t="s">
        <v>2925</v>
      </c>
    </row>
    <row r="643" spans="1:13" hidden="1" x14ac:dyDescent="0.35">
      <c r="A643" t="s">
        <v>652</v>
      </c>
      <c r="B643" t="s">
        <v>2062</v>
      </c>
      <c r="C643" t="s">
        <v>2458</v>
      </c>
      <c r="D643" t="s">
        <v>2470</v>
      </c>
      <c r="E643" t="str">
        <f t="shared" ref="E643:E706" si="20">UPPER(D643)</f>
        <v>E. HANOVER</v>
      </c>
      <c r="F643" t="s">
        <v>2482</v>
      </c>
      <c r="G643">
        <v>99.44</v>
      </c>
      <c r="H643" t="s">
        <v>2489</v>
      </c>
      <c r="I643">
        <v>97</v>
      </c>
      <c r="J643">
        <v>100</v>
      </c>
      <c r="K643" s="9">
        <f t="shared" ref="K643:K706" si="21">IF(L643="","",
IF(MID(L643,5,1)="-",
DATE(LEFT(L643,4),MID(L643,6,2),RIGHT(L643,2)),
DATE(RIGHT(L643,4),MID(L643,4,2),LEFT(L643,2))
))</f>
        <v>45845</v>
      </c>
      <c r="L643" t="s">
        <v>2541</v>
      </c>
      <c r="M643" t="s">
        <v>2931</v>
      </c>
    </row>
    <row r="644" spans="1:13" hidden="1" x14ac:dyDescent="0.35">
      <c r="A644" t="s">
        <v>653</v>
      </c>
      <c r="B644" t="s">
        <v>2372</v>
      </c>
      <c r="C644" t="s">
        <v>2461</v>
      </c>
      <c r="D644" t="s">
        <v>2462</v>
      </c>
      <c r="E644" t="str">
        <f t="shared" si="20"/>
        <v>ASHFORD UK</v>
      </c>
      <c r="F644" t="s">
        <v>2485</v>
      </c>
      <c r="G644">
        <v>6.28</v>
      </c>
      <c r="H644" t="s">
        <v>2490</v>
      </c>
      <c r="I644">
        <v>0</v>
      </c>
      <c r="J644">
        <v>100</v>
      </c>
      <c r="K644" s="9">
        <f t="shared" si="21"/>
        <v>45704</v>
      </c>
      <c r="L644" t="s">
        <v>2669</v>
      </c>
      <c r="M644" t="s">
        <v>2927</v>
      </c>
    </row>
    <row r="645" spans="1:13" hidden="1" x14ac:dyDescent="0.35">
      <c r="A645" t="s">
        <v>654</v>
      </c>
      <c r="B645" t="s">
        <v>2091</v>
      </c>
      <c r="C645" t="s">
        <v>2460</v>
      </c>
      <c r="D645" t="s">
        <v>2463</v>
      </c>
      <c r="E645" t="str">
        <f t="shared" si="20"/>
        <v>VERNIER</v>
      </c>
      <c r="F645" t="s">
        <v>2480</v>
      </c>
      <c r="G645">
        <v>0.95</v>
      </c>
      <c r="H645" t="s">
        <v>2487</v>
      </c>
      <c r="I645">
        <v>0.88</v>
      </c>
      <c r="J645">
        <v>0.97</v>
      </c>
      <c r="K645" s="9">
        <f t="shared" si="21"/>
        <v>45517</v>
      </c>
      <c r="L645" t="s">
        <v>2569</v>
      </c>
      <c r="M645" t="s">
        <v>2930</v>
      </c>
    </row>
    <row r="646" spans="1:13" hidden="1" x14ac:dyDescent="0.35">
      <c r="A646" t="s">
        <v>655</v>
      </c>
      <c r="B646" t="s">
        <v>2373</v>
      </c>
      <c r="C646" t="s">
        <v>2458</v>
      </c>
      <c r="D646" t="s">
        <v>2478</v>
      </c>
      <c r="E646" t="str">
        <f t="shared" si="20"/>
        <v>BUD</v>
      </c>
      <c r="F646" t="s">
        <v>2485</v>
      </c>
      <c r="G646">
        <v>-29.67</v>
      </c>
      <c r="H646" t="s">
        <v>2490</v>
      </c>
      <c r="I646">
        <v>0</v>
      </c>
      <c r="J646">
        <v>100</v>
      </c>
      <c r="K646" s="9">
        <f t="shared" si="21"/>
        <v>45953</v>
      </c>
      <c r="L646" t="s">
        <v>2792</v>
      </c>
      <c r="M646" t="s">
        <v>2926</v>
      </c>
    </row>
    <row r="647" spans="1:13" hidden="1" x14ac:dyDescent="0.35">
      <c r="A647" t="s">
        <v>656</v>
      </c>
      <c r="B647" t="s">
        <v>2374</v>
      </c>
      <c r="C647" t="s">
        <v>2460</v>
      </c>
      <c r="D647" t="s">
        <v>2475</v>
      </c>
      <c r="E647" t="str">
        <f t="shared" si="20"/>
        <v>ASHFORD</v>
      </c>
      <c r="F647" t="s">
        <v>2479</v>
      </c>
      <c r="G647">
        <v>34.26</v>
      </c>
      <c r="H647" t="s">
        <v>2486</v>
      </c>
      <c r="I647">
        <v>0</v>
      </c>
      <c r="J647">
        <v>120</v>
      </c>
      <c r="K647" s="9">
        <f t="shared" si="21"/>
        <v>45494</v>
      </c>
      <c r="L647" t="s">
        <v>2793</v>
      </c>
      <c r="M647" t="s">
        <v>2924</v>
      </c>
    </row>
    <row r="648" spans="1:13" hidden="1" x14ac:dyDescent="0.35">
      <c r="A648" t="s">
        <v>657</v>
      </c>
      <c r="B648" t="s">
        <v>2337</v>
      </c>
      <c r="C648" t="s">
        <v>2461</v>
      </c>
      <c r="D648" t="s">
        <v>2470</v>
      </c>
      <c r="E648" t="str">
        <f t="shared" si="20"/>
        <v>E. HANOVER</v>
      </c>
      <c r="F648" t="s">
        <v>2483</v>
      </c>
      <c r="G648">
        <v>0.16</v>
      </c>
      <c r="H648" t="s">
        <v>2489</v>
      </c>
      <c r="I648">
        <v>0</v>
      </c>
      <c r="J648">
        <v>1</v>
      </c>
      <c r="K648" s="9">
        <f t="shared" si="21"/>
        <v>45545</v>
      </c>
      <c r="L648" t="s">
        <v>2767</v>
      </c>
      <c r="M648" t="s">
        <v>2923</v>
      </c>
    </row>
    <row r="649" spans="1:13" hidden="1" x14ac:dyDescent="0.35">
      <c r="A649" t="s">
        <v>658</v>
      </c>
      <c r="B649" t="s">
        <v>2375</v>
      </c>
      <c r="C649" t="s">
        <v>2458</v>
      </c>
      <c r="D649" t="s">
        <v>2477</v>
      </c>
      <c r="E649" t="str">
        <f t="shared" si="20"/>
        <v>BUDAPEST</v>
      </c>
      <c r="F649" t="s">
        <v>2479</v>
      </c>
      <c r="G649">
        <v>27.1</v>
      </c>
      <c r="H649" t="s">
        <v>2486</v>
      </c>
      <c r="I649">
        <v>0</v>
      </c>
      <c r="J649">
        <v>120</v>
      </c>
      <c r="K649" s="9">
        <f t="shared" si="21"/>
        <v>45427</v>
      </c>
      <c r="L649" t="s">
        <v>2794</v>
      </c>
      <c r="M649" t="s">
        <v>2926</v>
      </c>
    </row>
    <row r="650" spans="1:13" hidden="1" x14ac:dyDescent="0.35">
      <c r="A650" t="s">
        <v>659</v>
      </c>
      <c r="B650" t="s">
        <v>2370</v>
      </c>
      <c r="C650" t="s">
        <v>2459</v>
      </c>
      <c r="D650" t="s">
        <v>2474</v>
      </c>
      <c r="E650" t="str">
        <f t="shared" si="20"/>
        <v>DORTMUND DE</v>
      </c>
      <c r="F650" t="s">
        <v>2480</v>
      </c>
      <c r="G650">
        <v>0.9</v>
      </c>
      <c r="H650" t="s">
        <v>2487</v>
      </c>
      <c r="I650">
        <v>0.88</v>
      </c>
      <c r="J650">
        <v>0.97</v>
      </c>
      <c r="K650" s="9">
        <f t="shared" si="21"/>
        <v>45318</v>
      </c>
      <c r="L650" t="s">
        <v>2773</v>
      </c>
      <c r="M650" t="s">
        <v>2927</v>
      </c>
    </row>
    <row r="651" spans="1:13" hidden="1" x14ac:dyDescent="0.35">
      <c r="A651" t="s">
        <v>660</v>
      </c>
      <c r="B651" t="s">
        <v>2305</v>
      </c>
      <c r="C651" t="s">
        <v>2458</v>
      </c>
      <c r="D651" t="s">
        <v>2468</v>
      </c>
      <c r="E651" t="str">
        <f t="shared" si="20"/>
        <v>VERNIER CH</v>
      </c>
      <c r="F651" t="s">
        <v>2482</v>
      </c>
      <c r="G651">
        <v>97.56</v>
      </c>
      <c r="H651" t="s">
        <v>2489</v>
      </c>
      <c r="I651">
        <v>97</v>
      </c>
      <c r="J651">
        <v>100</v>
      </c>
      <c r="K651" s="9">
        <f t="shared" si="21"/>
        <v>45959</v>
      </c>
      <c r="L651" t="s">
        <v>2795</v>
      </c>
      <c r="M651" t="s">
        <v>2931</v>
      </c>
    </row>
    <row r="652" spans="1:13" hidden="1" x14ac:dyDescent="0.35">
      <c r="A652" t="s">
        <v>661</v>
      </c>
      <c r="B652" t="s">
        <v>2314</v>
      </c>
      <c r="C652" t="s">
        <v>2460</v>
      </c>
      <c r="D652" t="s">
        <v>2475</v>
      </c>
      <c r="E652" t="str">
        <f t="shared" si="20"/>
        <v>ASHFORD</v>
      </c>
      <c r="F652" t="s">
        <v>2479</v>
      </c>
      <c r="G652">
        <v>62.49</v>
      </c>
      <c r="H652" t="s">
        <v>2486</v>
      </c>
      <c r="I652">
        <v>0</v>
      </c>
      <c r="J652">
        <v>120</v>
      </c>
      <c r="K652" s="9">
        <f t="shared" si="21"/>
        <v>45671</v>
      </c>
      <c r="L652" t="s">
        <v>2598</v>
      </c>
      <c r="M652" t="s">
        <v>2923</v>
      </c>
    </row>
    <row r="653" spans="1:13" hidden="1" x14ac:dyDescent="0.35">
      <c r="A653" t="s">
        <v>662</v>
      </c>
      <c r="B653" t="s">
        <v>2055</v>
      </c>
      <c r="C653" t="s">
        <v>2461</v>
      </c>
      <c r="D653" t="s">
        <v>2478</v>
      </c>
      <c r="E653" t="str">
        <f t="shared" si="20"/>
        <v>BUD</v>
      </c>
      <c r="F653" t="s">
        <v>2480</v>
      </c>
      <c r="G653">
        <v>0.94</v>
      </c>
      <c r="H653" t="s">
        <v>2487</v>
      </c>
      <c r="I653">
        <v>0.88</v>
      </c>
      <c r="J653">
        <v>0.97</v>
      </c>
      <c r="K653" s="9">
        <f t="shared" si="21"/>
        <v>46020</v>
      </c>
      <c r="L653" t="s">
        <v>2534</v>
      </c>
      <c r="M653" t="s">
        <v>2926</v>
      </c>
    </row>
    <row r="654" spans="1:13" hidden="1" x14ac:dyDescent="0.35">
      <c r="A654" t="s">
        <v>663</v>
      </c>
      <c r="B654" t="s">
        <v>2067</v>
      </c>
      <c r="C654" t="s">
        <v>2459</v>
      </c>
      <c r="D654" t="s">
        <v>2475</v>
      </c>
      <c r="E654" t="str">
        <f t="shared" si="20"/>
        <v>ASHFORD</v>
      </c>
      <c r="F654" t="s">
        <v>2484</v>
      </c>
      <c r="G654">
        <v>6.82</v>
      </c>
      <c r="I654">
        <v>6</v>
      </c>
      <c r="J654">
        <v>7.5</v>
      </c>
      <c r="K654" s="9">
        <f t="shared" si="21"/>
        <v>45844</v>
      </c>
      <c r="L654" t="s">
        <v>2546</v>
      </c>
      <c r="M654" t="s">
        <v>2924</v>
      </c>
    </row>
    <row r="655" spans="1:13" hidden="1" x14ac:dyDescent="0.35">
      <c r="A655" t="s">
        <v>664</v>
      </c>
      <c r="B655" t="s">
        <v>2376</v>
      </c>
      <c r="C655" t="s">
        <v>2459</v>
      </c>
      <c r="D655" t="s">
        <v>2467</v>
      </c>
      <c r="E655" t="str">
        <f t="shared" si="20"/>
        <v>ASHFORD</v>
      </c>
      <c r="F655" t="s">
        <v>2482</v>
      </c>
      <c r="G655">
        <v>98.64</v>
      </c>
      <c r="H655" t="s">
        <v>2489</v>
      </c>
      <c r="I655">
        <v>97</v>
      </c>
      <c r="J655">
        <v>100</v>
      </c>
      <c r="K655" s="9">
        <f t="shared" si="21"/>
        <v>45780</v>
      </c>
      <c r="L655" t="s">
        <v>2796</v>
      </c>
      <c r="M655" t="s">
        <v>2925</v>
      </c>
    </row>
    <row r="656" spans="1:13" hidden="1" x14ac:dyDescent="0.35">
      <c r="A656" t="s">
        <v>665</v>
      </c>
      <c r="B656" t="s">
        <v>2377</v>
      </c>
      <c r="C656" t="s">
        <v>2460</v>
      </c>
      <c r="D656" t="s">
        <v>2472</v>
      </c>
      <c r="E656" t="str">
        <f t="shared" si="20"/>
        <v>VERNIER</v>
      </c>
      <c r="F656" t="s">
        <v>2481</v>
      </c>
      <c r="G656">
        <v>291.95999999999998</v>
      </c>
      <c r="H656" t="s">
        <v>2488</v>
      </c>
      <c r="I656">
        <v>150</v>
      </c>
      <c r="J656">
        <v>400</v>
      </c>
      <c r="K656" s="9">
        <f t="shared" si="21"/>
        <v>45398</v>
      </c>
      <c r="L656" t="s">
        <v>2529</v>
      </c>
      <c r="M656" t="s">
        <v>2928</v>
      </c>
    </row>
    <row r="657" spans="1:13" hidden="1" x14ac:dyDescent="0.35">
      <c r="A657" t="s">
        <v>666</v>
      </c>
      <c r="B657" t="s">
        <v>2076</v>
      </c>
      <c r="C657" t="s">
        <v>2458</v>
      </c>
      <c r="D657" t="s">
        <v>2464</v>
      </c>
      <c r="E657" t="str">
        <f t="shared" si="20"/>
        <v>EAST HANOVER</v>
      </c>
      <c r="F657" t="s">
        <v>2482</v>
      </c>
      <c r="G657">
        <v>98.35</v>
      </c>
      <c r="H657" t="s">
        <v>2489</v>
      </c>
      <c r="I657">
        <v>97</v>
      </c>
      <c r="J657">
        <v>100</v>
      </c>
      <c r="K657" s="9">
        <f t="shared" si="21"/>
        <v>45955</v>
      </c>
      <c r="L657" t="s">
        <v>2555</v>
      </c>
      <c r="M657" t="s">
        <v>2931</v>
      </c>
    </row>
    <row r="658" spans="1:13" hidden="1" x14ac:dyDescent="0.35">
      <c r="A658" t="s">
        <v>667</v>
      </c>
      <c r="B658" t="s">
        <v>2229</v>
      </c>
      <c r="C658" t="s">
        <v>2460</v>
      </c>
      <c r="D658" t="s">
        <v>2469</v>
      </c>
      <c r="E658" t="str">
        <f t="shared" si="20"/>
        <v>DORTMUND</v>
      </c>
      <c r="F658" t="s">
        <v>2484</v>
      </c>
      <c r="G658">
        <v>6.45</v>
      </c>
      <c r="I658">
        <v>6</v>
      </c>
      <c r="J658">
        <v>7.5</v>
      </c>
      <c r="K658" s="9">
        <f t="shared" si="21"/>
        <v>45990</v>
      </c>
      <c r="L658" t="s">
        <v>2691</v>
      </c>
      <c r="M658" t="s">
        <v>2929</v>
      </c>
    </row>
    <row r="659" spans="1:13" hidden="1" x14ac:dyDescent="0.35">
      <c r="A659" t="s">
        <v>668</v>
      </c>
      <c r="B659" t="s">
        <v>2134</v>
      </c>
      <c r="C659" t="s">
        <v>2459</v>
      </c>
      <c r="D659" t="s">
        <v>2463</v>
      </c>
      <c r="E659" t="str">
        <f t="shared" si="20"/>
        <v>VERNIER</v>
      </c>
      <c r="F659" t="s">
        <v>2479</v>
      </c>
      <c r="G659">
        <v>87.41</v>
      </c>
      <c r="H659" t="s">
        <v>2486</v>
      </c>
      <c r="I659">
        <v>0</v>
      </c>
      <c r="J659">
        <v>120</v>
      </c>
      <c r="K659" s="9">
        <f t="shared" si="21"/>
        <v>45721</v>
      </c>
      <c r="L659" t="s">
        <v>2610</v>
      </c>
      <c r="M659" t="s">
        <v>2929</v>
      </c>
    </row>
    <row r="660" spans="1:13" hidden="1" x14ac:dyDescent="0.35">
      <c r="A660" t="s">
        <v>669</v>
      </c>
      <c r="B660" t="s">
        <v>2326</v>
      </c>
      <c r="C660" t="s">
        <v>2459</v>
      </c>
      <c r="D660" t="s">
        <v>2462</v>
      </c>
      <c r="E660" t="str">
        <f t="shared" si="20"/>
        <v>ASHFORD UK</v>
      </c>
      <c r="F660" t="s">
        <v>2481</v>
      </c>
      <c r="G660">
        <v>240.54</v>
      </c>
      <c r="H660" t="s">
        <v>2488</v>
      </c>
      <c r="I660">
        <v>150</v>
      </c>
      <c r="J660">
        <v>400</v>
      </c>
      <c r="K660" s="9">
        <f t="shared" si="21"/>
        <v>45676</v>
      </c>
      <c r="L660" t="s">
        <v>2707</v>
      </c>
      <c r="M660" t="s">
        <v>2926</v>
      </c>
    </row>
    <row r="661" spans="1:13" hidden="1" x14ac:dyDescent="0.35">
      <c r="A661" t="s">
        <v>670</v>
      </c>
      <c r="B661" t="s">
        <v>2378</v>
      </c>
      <c r="C661" t="s">
        <v>2457</v>
      </c>
      <c r="D661" t="s">
        <v>2470</v>
      </c>
      <c r="E661" t="str">
        <f t="shared" si="20"/>
        <v>E. HANOVER</v>
      </c>
      <c r="F661" t="s">
        <v>2482</v>
      </c>
      <c r="G661">
        <v>97.54</v>
      </c>
      <c r="H661" t="s">
        <v>2489</v>
      </c>
      <c r="I661">
        <v>97</v>
      </c>
      <c r="J661">
        <v>100</v>
      </c>
      <c r="K661" s="9">
        <f t="shared" si="21"/>
        <v>45394</v>
      </c>
      <c r="L661" t="s">
        <v>2797</v>
      </c>
      <c r="M661" t="s">
        <v>2932</v>
      </c>
    </row>
    <row r="662" spans="1:13" hidden="1" x14ac:dyDescent="0.35">
      <c r="A662" t="s">
        <v>671</v>
      </c>
      <c r="B662" t="s">
        <v>2288</v>
      </c>
      <c r="C662" t="s">
        <v>2457</v>
      </c>
      <c r="D662" t="s">
        <v>2474</v>
      </c>
      <c r="E662" t="str">
        <f t="shared" si="20"/>
        <v>DORTMUND DE</v>
      </c>
      <c r="F662" t="s">
        <v>2481</v>
      </c>
      <c r="G662">
        <v>257.07</v>
      </c>
      <c r="H662" t="s">
        <v>2488</v>
      </c>
      <c r="I662">
        <v>150</v>
      </c>
      <c r="J662">
        <v>400</v>
      </c>
      <c r="K662" s="9">
        <f t="shared" si="21"/>
        <v>45894</v>
      </c>
      <c r="L662" t="s">
        <v>2731</v>
      </c>
      <c r="M662" t="s">
        <v>2929</v>
      </c>
    </row>
    <row r="663" spans="1:13" hidden="1" x14ac:dyDescent="0.35">
      <c r="A663" t="s">
        <v>672</v>
      </c>
      <c r="B663" t="s">
        <v>2049</v>
      </c>
      <c r="C663" t="s">
        <v>2458</v>
      </c>
      <c r="D663" t="s">
        <v>2474</v>
      </c>
      <c r="E663" t="str">
        <f t="shared" si="20"/>
        <v>DORTMUND DE</v>
      </c>
      <c r="F663" t="s">
        <v>2479</v>
      </c>
      <c r="G663">
        <v>38.28</v>
      </c>
      <c r="H663" t="s">
        <v>2486</v>
      </c>
      <c r="I663">
        <v>0</v>
      </c>
      <c r="J663">
        <v>120</v>
      </c>
      <c r="K663" s="9">
        <f t="shared" si="21"/>
        <v>45452</v>
      </c>
      <c r="L663" t="s">
        <v>2528</v>
      </c>
      <c r="M663" t="s">
        <v>2931</v>
      </c>
    </row>
    <row r="664" spans="1:13" hidden="1" x14ac:dyDescent="0.35">
      <c r="A664" t="s">
        <v>673</v>
      </c>
      <c r="B664" t="s">
        <v>2255</v>
      </c>
      <c r="C664" t="s">
        <v>2457</v>
      </c>
      <c r="D664" t="s">
        <v>2467</v>
      </c>
      <c r="E664" t="str">
        <f t="shared" si="20"/>
        <v>ASHFORD</v>
      </c>
      <c r="F664" t="s">
        <v>2479</v>
      </c>
      <c r="G664">
        <v>24.84</v>
      </c>
      <c r="H664" t="s">
        <v>2486</v>
      </c>
      <c r="I664">
        <v>0</v>
      </c>
      <c r="J664">
        <v>120</v>
      </c>
      <c r="K664" s="9">
        <f t="shared" si="21"/>
        <v>45451</v>
      </c>
      <c r="L664" t="s">
        <v>2706</v>
      </c>
      <c r="M664" t="s">
        <v>2932</v>
      </c>
    </row>
    <row r="665" spans="1:13" hidden="1" x14ac:dyDescent="0.35">
      <c r="A665" t="s">
        <v>674</v>
      </c>
      <c r="B665" t="s">
        <v>2379</v>
      </c>
      <c r="C665" t="s">
        <v>2461</v>
      </c>
      <c r="D665" t="s">
        <v>2476</v>
      </c>
      <c r="E665" t="str">
        <f t="shared" si="20"/>
        <v>BUDAPEST SITE</v>
      </c>
      <c r="F665" t="s">
        <v>2479</v>
      </c>
      <c r="G665">
        <v>58.44</v>
      </c>
      <c r="H665" t="s">
        <v>2486</v>
      </c>
      <c r="I665">
        <v>0</v>
      </c>
      <c r="J665">
        <v>120</v>
      </c>
      <c r="K665" s="9">
        <f t="shared" si="21"/>
        <v>45342</v>
      </c>
      <c r="L665" t="s">
        <v>2798</v>
      </c>
      <c r="M665" t="s">
        <v>2923</v>
      </c>
    </row>
    <row r="666" spans="1:13" hidden="1" x14ac:dyDescent="0.35">
      <c r="A666" t="s">
        <v>675</v>
      </c>
      <c r="B666" t="s">
        <v>2202</v>
      </c>
      <c r="C666" t="s">
        <v>2460</v>
      </c>
      <c r="D666" t="s">
        <v>2467</v>
      </c>
      <c r="E666" t="str">
        <f t="shared" si="20"/>
        <v>ASHFORD</v>
      </c>
      <c r="F666" t="s">
        <v>2480</v>
      </c>
      <c r="G666">
        <v>0.93</v>
      </c>
      <c r="H666" t="s">
        <v>2487</v>
      </c>
      <c r="I666">
        <v>0.88</v>
      </c>
      <c r="J666">
        <v>0.97</v>
      </c>
      <c r="K666" s="9">
        <f t="shared" si="21"/>
        <v>45393</v>
      </c>
      <c r="L666" t="s">
        <v>2632</v>
      </c>
      <c r="M666" t="s">
        <v>2929</v>
      </c>
    </row>
    <row r="667" spans="1:13" hidden="1" x14ac:dyDescent="0.35">
      <c r="A667" t="s">
        <v>676</v>
      </c>
      <c r="B667" t="s">
        <v>2380</v>
      </c>
      <c r="C667" t="s">
        <v>2457</v>
      </c>
      <c r="D667" t="s">
        <v>2469</v>
      </c>
      <c r="E667" t="str">
        <f t="shared" si="20"/>
        <v>DORTMUND</v>
      </c>
      <c r="F667" t="s">
        <v>2480</v>
      </c>
      <c r="G667">
        <v>0.94</v>
      </c>
      <c r="H667" t="s">
        <v>2487</v>
      </c>
      <c r="I667">
        <v>0.88</v>
      </c>
      <c r="J667">
        <v>0.97</v>
      </c>
      <c r="K667" s="9">
        <f t="shared" si="21"/>
        <v>45787</v>
      </c>
      <c r="L667" t="s">
        <v>2625</v>
      </c>
      <c r="M667" t="s">
        <v>2931</v>
      </c>
    </row>
    <row r="668" spans="1:13" hidden="1" x14ac:dyDescent="0.35">
      <c r="A668" t="s">
        <v>677</v>
      </c>
      <c r="B668" t="s">
        <v>2070</v>
      </c>
      <c r="C668" t="s">
        <v>2460</v>
      </c>
      <c r="D668" t="s">
        <v>2472</v>
      </c>
      <c r="E668" t="str">
        <f t="shared" si="20"/>
        <v>VERNIER</v>
      </c>
      <c r="F668" t="s">
        <v>2479</v>
      </c>
      <c r="G668">
        <v>32.68</v>
      </c>
      <c r="H668" t="s">
        <v>2486</v>
      </c>
      <c r="I668">
        <v>0</v>
      </c>
      <c r="J668">
        <v>120</v>
      </c>
      <c r="K668" s="9">
        <f t="shared" si="21"/>
        <v>45300</v>
      </c>
      <c r="L668" t="s">
        <v>2549</v>
      </c>
      <c r="M668" t="s">
        <v>2929</v>
      </c>
    </row>
    <row r="669" spans="1:13" hidden="1" x14ac:dyDescent="0.35">
      <c r="A669" t="s">
        <v>678</v>
      </c>
      <c r="B669" t="s">
        <v>2381</v>
      </c>
      <c r="C669" t="s">
        <v>2457</v>
      </c>
      <c r="D669" t="s">
        <v>2463</v>
      </c>
      <c r="E669" t="str">
        <f t="shared" si="20"/>
        <v>VERNIER</v>
      </c>
      <c r="F669" t="s">
        <v>2479</v>
      </c>
      <c r="G669">
        <v>52.64</v>
      </c>
      <c r="H669" t="s">
        <v>2486</v>
      </c>
      <c r="I669">
        <v>0</v>
      </c>
      <c r="J669">
        <v>120</v>
      </c>
      <c r="K669" s="9">
        <f t="shared" si="21"/>
        <v>45355</v>
      </c>
      <c r="L669" t="s">
        <v>2799</v>
      </c>
      <c r="M669" t="s">
        <v>2928</v>
      </c>
    </row>
    <row r="670" spans="1:13" hidden="1" x14ac:dyDescent="0.35">
      <c r="A670" t="s">
        <v>679</v>
      </c>
      <c r="B670" t="s">
        <v>2183</v>
      </c>
      <c r="C670" t="s">
        <v>2457</v>
      </c>
      <c r="D670" t="s">
        <v>2466</v>
      </c>
      <c r="E670" t="str">
        <f t="shared" si="20"/>
        <v>EAST HANOVER</v>
      </c>
      <c r="F670" t="s">
        <v>2479</v>
      </c>
      <c r="G670">
        <v>41.62</v>
      </c>
      <c r="H670" t="s">
        <v>2486</v>
      </c>
      <c r="I670">
        <v>0</v>
      </c>
      <c r="J670">
        <v>120</v>
      </c>
      <c r="K670" s="9">
        <f t="shared" si="21"/>
        <v>45810</v>
      </c>
      <c r="L670" t="s">
        <v>2655</v>
      </c>
      <c r="M670" t="s">
        <v>2923</v>
      </c>
    </row>
    <row r="671" spans="1:13" hidden="1" x14ac:dyDescent="0.35">
      <c r="A671" t="s">
        <v>680</v>
      </c>
      <c r="B671" t="s">
        <v>2382</v>
      </c>
      <c r="C671" t="s">
        <v>2459</v>
      </c>
      <c r="D671" t="s">
        <v>2470</v>
      </c>
      <c r="E671" t="str">
        <f t="shared" si="20"/>
        <v>E. HANOVER</v>
      </c>
      <c r="F671" t="s">
        <v>2482</v>
      </c>
      <c r="G671">
        <v>98.62</v>
      </c>
      <c r="H671" t="s">
        <v>2489</v>
      </c>
      <c r="I671">
        <v>97</v>
      </c>
      <c r="J671">
        <v>100</v>
      </c>
      <c r="K671" s="9">
        <f t="shared" si="21"/>
        <v>45831</v>
      </c>
      <c r="L671" t="s">
        <v>2540</v>
      </c>
      <c r="M671" t="s">
        <v>2930</v>
      </c>
    </row>
    <row r="672" spans="1:13" hidden="1" x14ac:dyDescent="0.35">
      <c r="A672" t="s">
        <v>681</v>
      </c>
      <c r="B672" t="s">
        <v>2057</v>
      </c>
      <c r="C672" t="s">
        <v>2461</v>
      </c>
      <c r="D672" t="s">
        <v>2467</v>
      </c>
      <c r="E672" t="str">
        <f t="shared" si="20"/>
        <v>ASHFORD</v>
      </c>
      <c r="F672" t="s">
        <v>2479</v>
      </c>
      <c r="G672">
        <v>12.61</v>
      </c>
      <c r="H672" t="s">
        <v>2486</v>
      </c>
      <c r="I672">
        <v>0</v>
      </c>
      <c r="J672">
        <v>120</v>
      </c>
      <c r="K672" s="9">
        <f t="shared" si="21"/>
        <v>45869</v>
      </c>
      <c r="L672" t="s">
        <v>2536</v>
      </c>
      <c r="M672" t="s">
        <v>2928</v>
      </c>
    </row>
    <row r="673" spans="1:13" hidden="1" x14ac:dyDescent="0.35">
      <c r="A673" t="s">
        <v>682</v>
      </c>
      <c r="B673" t="s">
        <v>2112</v>
      </c>
      <c r="C673" t="s">
        <v>2457</v>
      </c>
      <c r="D673" t="s">
        <v>2473</v>
      </c>
      <c r="E673" t="str">
        <f t="shared" si="20"/>
        <v>DORTMUND</v>
      </c>
      <c r="F673" t="s">
        <v>2479</v>
      </c>
      <c r="G673">
        <v>60.65</v>
      </c>
      <c r="H673" t="s">
        <v>2486</v>
      </c>
      <c r="I673">
        <v>0</v>
      </c>
      <c r="J673">
        <v>120</v>
      </c>
      <c r="K673" s="9">
        <f t="shared" si="21"/>
        <v>45993</v>
      </c>
      <c r="L673" t="s">
        <v>2588</v>
      </c>
      <c r="M673" t="s">
        <v>2929</v>
      </c>
    </row>
    <row r="674" spans="1:13" hidden="1" x14ac:dyDescent="0.35">
      <c r="A674" t="s">
        <v>683</v>
      </c>
      <c r="B674" t="s">
        <v>2177</v>
      </c>
      <c r="C674" t="s">
        <v>2457</v>
      </c>
      <c r="D674" t="s">
        <v>2472</v>
      </c>
      <c r="E674" t="str">
        <f t="shared" si="20"/>
        <v>VERNIER</v>
      </c>
      <c r="F674" t="s">
        <v>2480</v>
      </c>
      <c r="G674">
        <v>0.91</v>
      </c>
      <c r="H674" t="s">
        <v>2487</v>
      </c>
      <c r="I674">
        <v>0.88</v>
      </c>
      <c r="J674">
        <v>0.97</v>
      </c>
      <c r="K674" s="9">
        <f t="shared" si="21"/>
        <v>45520</v>
      </c>
      <c r="L674" t="s">
        <v>2649</v>
      </c>
      <c r="M674" t="s">
        <v>2927</v>
      </c>
    </row>
    <row r="675" spans="1:13" hidden="1" x14ac:dyDescent="0.35">
      <c r="A675" t="s">
        <v>684</v>
      </c>
      <c r="B675" t="s">
        <v>2148</v>
      </c>
      <c r="C675" t="s">
        <v>2460</v>
      </c>
      <c r="D675" t="s">
        <v>2468</v>
      </c>
      <c r="E675" t="str">
        <f t="shared" si="20"/>
        <v>VERNIER CH</v>
      </c>
      <c r="F675" t="s">
        <v>2482</v>
      </c>
      <c r="G675">
        <v>101.8</v>
      </c>
      <c r="H675" t="s">
        <v>2489</v>
      </c>
      <c r="I675">
        <v>97</v>
      </c>
      <c r="J675">
        <v>100</v>
      </c>
      <c r="K675" s="9">
        <f t="shared" si="21"/>
        <v>45840</v>
      </c>
      <c r="L675" t="s">
        <v>2623</v>
      </c>
      <c r="M675" t="s">
        <v>2928</v>
      </c>
    </row>
    <row r="676" spans="1:13" hidden="1" x14ac:dyDescent="0.35">
      <c r="A676" t="s">
        <v>685</v>
      </c>
      <c r="B676" t="s">
        <v>2248</v>
      </c>
      <c r="C676" t="s">
        <v>2460</v>
      </c>
      <c r="D676" t="s">
        <v>2473</v>
      </c>
      <c r="E676" t="str">
        <f t="shared" si="20"/>
        <v>DORTMUND</v>
      </c>
      <c r="F676" t="s">
        <v>2482</v>
      </c>
      <c r="G676">
        <v>98.26</v>
      </c>
      <c r="H676" t="s">
        <v>2489</v>
      </c>
      <c r="I676">
        <v>97</v>
      </c>
      <c r="J676">
        <v>100</v>
      </c>
      <c r="K676" s="9">
        <f t="shared" si="21"/>
        <v>45956</v>
      </c>
      <c r="L676" t="s">
        <v>2701</v>
      </c>
      <c r="M676" t="s">
        <v>2923</v>
      </c>
    </row>
    <row r="677" spans="1:13" hidden="1" x14ac:dyDescent="0.35">
      <c r="A677" t="s">
        <v>686</v>
      </c>
      <c r="B677" t="s">
        <v>2383</v>
      </c>
      <c r="C677" t="s">
        <v>2458</v>
      </c>
      <c r="D677" t="s">
        <v>2471</v>
      </c>
      <c r="E677" t="str">
        <f t="shared" si="20"/>
        <v>BUDAPEST</v>
      </c>
      <c r="F677" t="s">
        <v>2481</v>
      </c>
      <c r="G677">
        <v>278.60000000000002</v>
      </c>
      <c r="H677" t="s">
        <v>2488</v>
      </c>
      <c r="I677">
        <v>150</v>
      </c>
      <c r="J677">
        <v>400</v>
      </c>
      <c r="K677" s="9">
        <f t="shared" si="21"/>
        <v>45347</v>
      </c>
      <c r="L677" t="s">
        <v>2800</v>
      </c>
      <c r="M677" t="s">
        <v>2932</v>
      </c>
    </row>
    <row r="678" spans="1:13" hidden="1" x14ac:dyDescent="0.35">
      <c r="A678" t="s">
        <v>687</v>
      </c>
      <c r="B678" t="s">
        <v>2185</v>
      </c>
      <c r="C678" t="s">
        <v>2461</v>
      </c>
      <c r="D678" t="s">
        <v>2464</v>
      </c>
      <c r="E678" t="str">
        <f t="shared" si="20"/>
        <v>EAST HANOVER</v>
      </c>
      <c r="F678" t="s">
        <v>2484</v>
      </c>
      <c r="G678">
        <v>6.93</v>
      </c>
      <c r="I678">
        <v>6</v>
      </c>
      <c r="J678">
        <v>7.5</v>
      </c>
      <c r="K678" s="9">
        <f t="shared" si="21"/>
        <v>45830</v>
      </c>
      <c r="L678" t="s">
        <v>2657</v>
      </c>
      <c r="M678" t="s">
        <v>2928</v>
      </c>
    </row>
    <row r="679" spans="1:13" hidden="1" x14ac:dyDescent="0.35">
      <c r="A679" t="s">
        <v>32</v>
      </c>
      <c r="B679" t="s">
        <v>2032</v>
      </c>
      <c r="C679" t="s">
        <v>2460</v>
      </c>
      <c r="D679" t="s">
        <v>2462</v>
      </c>
      <c r="E679" t="str">
        <f t="shared" si="20"/>
        <v>ASHFORD UK</v>
      </c>
      <c r="F679" t="s">
        <v>2485</v>
      </c>
      <c r="G679">
        <v>4.6900000000000004</v>
      </c>
      <c r="H679" t="s">
        <v>2490</v>
      </c>
      <c r="I679">
        <v>0</v>
      </c>
      <c r="J679">
        <v>100</v>
      </c>
      <c r="K679" s="9">
        <f t="shared" si="21"/>
        <v>45409</v>
      </c>
      <c r="L679" t="s">
        <v>2512</v>
      </c>
      <c r="M679" t="s">
        <v>2931</v>
      </c>
    </row>
    <row r="680" spans="1:13" hidden="1" x14ac:dyDescent="0.35">
      <c r="A680" t="s">
        <v>688</v>
      </c>
      <c r="B680" t="s">
        <v>2384</v>
      </c>
      <c r="C680" t="s">
        <v>2460</v>
      </c>
      <c r="D680" t="s">
        <v>2471</v>
      </c>
      <c r="E680" t="str">
        <f t="shared" si="20"/>
        <v>BUDAPEST</v>
      </c>
      <c r="F680" t="s">
        <v>2482</v>
      </c>
      <c r="G680">
        <v>99.02</v>
      </c>
      <c r="H680" t="s">
        <v>2489</v>
      </c>
      <c r="I680">
        <v>97</v>
      </c>
      <c r="J680">
        <v>100</v>
      </c>
      <c r="K680" s="9">
        <f t="shared" si="21"/>
        <v>45554</v>
      </c>
      <c r="L680" t="s">
        <v>2801</v>
      </c>
      <c r="M680" t="s">
        <v>2931</v>
      </c>
    </row>
    <row r="681" spans="1:13" hidden="1" x14ac:dyDescent="0.35">
      <c r="A681" t="s">
        <v>689</v>
      </c>
      <c r="B681" t="s">
        <v>2076</v>
      </c>
      <c r="C681" t="s">
        <v>2458</v>
      </c>
      <c r="D681" t="s">
        <v>2464</v>
      </c>
      <c r="E681" t="str">
        <f t="shared" si="20"/>
        <v>EAST HANOVER</v>
      </c>
      <c r="F681" t="s">
        <v>2481</v>
      </c>
      <c r="G681">
        <v>240.06</v>
      </c>
      <c r="H681" t="s">
        <v>2488</v>
      </c>
      <c r="I681">
        <v>150</v>
      </c>
      <c r="J681">
        <v>400</v>
      </c>
      <c r="K681" s="9">
        <f t="shared" si="21"/>
        <v>45955</v>
      </c>
      <c r="L681" t="s">
        <v>2802</v>
      </c>
      <c r="M681" t="s">
        <v>2925</v>
      </c>
    </row>
    <row r="682" spans="1:13" hidden="1" x14ac:dyDescent="0.35">
      <c r="A682" t="s">
        <v>690</v>
      </c>
      <c r="B682" t="s">
        <v>2349</v>
      </c>
      <c r="C682" t="s">
        <v>2461</v>
      </c>
      <c r="D682" t="s">
        <v>2470</v>
      </c>
      <c r="E682" t="str">
        <f t="shared" si="20"/>
        <v>E. HANOVER</v>
      </c>
      <c r="F682" t="s">
        <v>2485</v>
      </c>
      <c r="G682">
        <v>4</v>
      </c>
      <c r="H682" t="s">
        <v>2490</v>
      </c>
      <c r="I682">
        <v>0</v>
      </c>
      <c r="J682">
        <v>100</v>
      </c>
      <c r="K682" s="9">
        <f t="shared" si="21"/>
        <v>45451</v>
      </c>
      <c r="L682" t="s">
        <v>2706</v>
      </c>
      <c r="M682" t="s">
        <v>2930</v>
      </c>
    </row>
    <row r="683" spans="1:13" hidden="1" x14ac:dyDescent="0.35">
      <c r="A683" t="s">
        <v>691</v>
      </c>
      <c r="B683" t="s">
        <v>2230</v>
      </c>
      <c r="C683" t="s">
        <v>2457</v>
      </c>
      <c r="D683" t="s">
        <v>2469</v>
      </c>
      <c r="E683" t="str">
        <f t="shared" si="20"/>
        <v>DORTMUND</v>
      </c>
      <c r="F683" t="s">
        <v>2482</v>
      </c>
      <c r="G683">
        <v>98.77</v>
      </c>
      <c r="H683" t="s">
        <v>2489</v>
      </c>
      <c r="I683">
        <v>97</v>
      </c>
      <c r="J683">
        <v>100</v>
      </c>
      <c r="K683" s="9">
        <f t="shared" si="21"/>
        <v>45721</v>
      </c>
      <c r="L683" t="s">
        <v>2610</v>
      </c>
      <c r="M683" t="s">
        <v>2932</v>
      </c>
    </row>
    <row r="684" spans="1:13" hidden="1" x14ac:dyDescent="0.35">
      <c r="A684" t="s">
        <v>692</v>
      </c>
      <c r="B684" t="s">
        <v>2209</v>
      </c>
      <c r="C684" t="s">
        <v>2458</v>
      </c>
      <c r="D684" t="s">
        <v>2475</v>
      </c>
      <c r="E684" t="str">
        <f t="shared" si="20"/>
        <v>ASHFORD</v>
      </c>
      <c r="F684" t="s">
        <v>2484</v>
      </c>
      <c r="G684">
        <v>6.61</v>
      </c>
      <c r="I684">
        <v>6</v>
      </c>
      <c r="J684">
        <v>7.5</v>
      </c>
      <c r="K684" s="9">
        <f t="shared" si="21"/>
        <v>45673</v>
      </c>
      <c r="L684" t="s">
        <v>2677</v>
      </c>
      <c r="M684" t="s">
        <v>2932</v>
      </c>
    </row>
    <row r="685" spans="1:13" hidden="1" x14ac:dyDescent="0.35">
      <c r="A685" t="s">
        <v>693</v>
      </c>
      <c r="B685" t="s">
        <v>2385</v>
      </c>
      <c r="C685" t="s">
        <v>2457</v>
      </c>
      <c r="D685" t="s">
        <v>2470</v>
      </c>
      <c r="E685" t="str">
        <f t="shared" si="20"/>
        <v>E. HANOVER</v>
      </c>
      <c r="F685" t="s">
        <v>2485</v>
      </c>
      <c r="G685">
        <v>22.08</v>
      </c>
      <c r="H685" t="s">
        <v>2490</v>
      </c>
      <c r="I685">
        <v>0</v>
      </c>
      <c r="J685">
        <v>100</v>
      </c>
      <c r="K685" s="9">
        <f t="shared" si="21"/>
        <v>45790</v>
      </c>
      <c r="L685" t="s">
        <v>2803</v>
      </c>
      <c r="M685" t="s">
        <v>2924</v>
      </c>
    </row>
    <row r="686" spans="1:13" hidden="1" x14ac:dyDescent="0.35">
      <c r="A686" t="s">
        <v>694</v>
      </c>
      <c r="B686" t="s">
        <v>2231</v>
      </c>
      <c r="C686" t="s">
        <v>2461</v>
      </c>
      <c r="D686" t="s">
        <v>2477</v>
      </c>
      <c r="E686" t="str">
        <f t="shared" si="20"/>
        <v>BUDAPEST</v>
      </c>
      <c r="F686" t="s">
        <v>2483</v>
      </c>
      <c r="G686">
        <v>7.0000000000000007E-2</v>
      </c>
      <c r="H686" t="s">
        <v>2489</v>
      </c>
      <c r="I686">
        <v>0</v>
      </c>
      <c r="J686">
        <v>1</v>
      </c>
      <c r="K686" s="9">
        <f t="shared" si="21"/>
        <v>45294</v>
      </c>
      <c r="L686" t="s">
        <v>2506</v>
      </c>
      <c r="M686" t="s">
        <v>2927</v>
      </c>
    </row>
    <row r="687" spans="1:13" hidden="1" x14ac:dyDescent="0.35">
      <c r="A687" t="s">
        <v>695</v>
      </c>
      <c r="B687" t="s">
        <v>2066</v>
      </c>
      <c r="C687" t="s">
        <v>2459</v>
      </c>
      <c r="D687" t="s">
        <v>2475</v>
      </c>
      <c r="E687" t="str">
        <f t="shared" si="20"/>
        <v>ASHFORD</v>
      </c>
      <c r="F687" t="s">
        <v>2479</v>
      </c>
      <c r="G687">
        <v>41.3</v>
      </c>
      <c r="H687" t="s">
        <v>2486</v>
      </c>
      <c r="I687">
        <v>0</v>
      </c>
      <c r="J687">
        <v>120</v>
      </c>
      <c r="K687" s="9">
        <f t="shared" si="21"/>
        <v>45566</v>
      </c>
      <c r="L687" t="s">
        <v>2804</v>
      </c>
      <c r="M687" t="s">
        <v>2927</v>
      </c>
    </row>
    <row r="688" spans="1:13" hidden="1" x14ac:dyDescent="0.35">
      <c r="A688" t="s">
        <v>696</v>
      </c>
      <c r="B688" t="s">
        <v>2204</v>
      </c>
      <c r="C688" t="s">
        <v>2460</v>
      </c>
      <c r="D688" t="s">
        <v>2468</v>
      </c>
      <c r="E688" t="str">
        <f t="shared" si="20"/>
        <v>VERNIER CH</v>
      </c>
      <c r="F688" t="s">
        <v>2484</v>
      </c>
      <c r="G688">
        <v>5.83</v>
      </c>
      <c r="I688">
        <v>6</v>
      </c>
      <c r="J688">
        <v>7.5</v>
      </c>
      <c r="K688" s="9">
        <f t="shared" si="21"/>
        <v>45445</v>
      </c>
      <c r="L688" t="s">
        <v>2628</v>
      </c>
      <c r="M688" t="s">
        <v>2931</v>
      </c>
    </row>
    <row r="689" spans="1:13" hidden="1" x14ac:dyDescent="0.35">
      <c r="A689" t="s">
        <v>697</v>
      </c>
      <c r="B689" t="s">
        <v>2386</v>
      </c>
      <c r="C689" t="s">
        <v>2459</v>
      </c>
      <c r="D689" t="s">
        <v>2464</v>
      </c>
      <c r="E689" t="str">
        <f t="shared" si="20"/>
        <v>EAST HANOVER</v>
      </c>
      <c r="F689" t="s">
        <v>2483</v>
      </c>
      <c r="G689">
        <v>0.3</v>
      </c>
      <c r="H689" t="s">
        <v>2489</v>
      </c>
      <c r="I689">
        <v>0</v>
      </c>
      <c r="J689">
        <v>1</v>
      </c>
      <c r="K689" s="9">
        <f t="shared" si="21"/>
        <v>45609</v>
      </c>
      <c r="L689" t="s">
        <v>2646</v>
      </c>
      <c r="M689" t="s">
        <v>2932</v>
      </c>
    </row>
    <row r="690" spans="1:13" hidden="1" x14ac:dyDescent="0.35">
      <c r="A690" t="s">
        <v>698</v>
      </c>
      <c r="B690" t="s">
        <v>2387</v>
      </c>
      <c r="C690" t="s">
        <v>2457</v>
      </c>
      <c r="D690" t="s">
        <v>2475</v>
      </c>
      <c r="E690" t="str">
        <f t="shared" si="20"/>
        <v>ASHFORD</v>
      </c>
      <c r="F690" t="s">
        <v>2479</v>
      </c>
      <c r="G690">
        <v>55.02</v>
      </c>
      <c r="H690" t="s">
        <v>2486</v>
      </c>
      <c r="I690">
        <v>0</v>
      </c>
      <c r="J690">
        <v>120</v>
      </c>
      <c r="K690" s="9">
        <f t="shared" si="21"/>
        <v>45621</v>
      </c>
      <c r="L690" t="s">
        <v>2685</v>
      </c>
      <c r="M690" t="s">
        <v>2927</v>
      </c>
    </row>
    <row r="691" spans="1:13" hidden="1" x14ac:dyDescent="0.35">
      <c r="A691" t="s">
        <v>699</v>
      </c>
      <c r="B691" t="s">
        <v>2357</v>
      </c>
      <c r="C691" t="s">
        <v>2459</v>
      </c>
      <c r="D691" t="s">
        <v>2467</v>
      </c>
      <c r="E691" t="str">
        <f t="shared" si="20"/>
        <v>ASHFORD</v>
      </c>
      <c r="F691" t="s">
        <v>2485</v>
      </c>
      <c r="G691">
        <v>-13.09</v>
      </c>
      <c r="H691" t="s">
        <v>2490</v>
      </c>
      <c r="I691">
        <v>0</v>
      </c>
      <c r="J691">
        <v>100</v>
      </c>
      <c r="K691" s="9">
        <f t="shared" si="21"/>
        <v>45388</v>
      </c>
      <c r="L691" t="s">
        <v>2583</v>
      </c>
      <c r="M691" t="s">
        <v>2925</v>
      </c>
    </row>
    <row r="692" spans="1:13" hidden="1" x14ac:dyDescent="0.35">
      <c r="A692" t="s">
        <v>700</v>
      </c>
      <c r="B692" t="s">
        <v>2286</v>
      </c>
      <c r="C692" t="s">
        <v>2458</v>
      </c>
      <c r="D692" t="s">
        <v>2473</v>
      </c>
      <c r="E692" t="str">
        <f t="shared" si="20"/>
        <v>DORTMUND</v>
      </c>
      <c r="F692" t="s">
        <v>2482</v>
      </c>
      <c r="G692">
        <v>101.8</v>
      </c>
      <c r="H692" t="s">
        <v>2489</v>
      </c>
      <c r="I692">
        <v>97</v>
      </c>
      <c r="J692">
        <v>100</v>
      </c>
      <c r="K692" s="9">
        <f t="shared" si="21"/>
        <v>45739</v>
      </c>
      <c r="L692" t="s">
        <v>2525</v>
      </c>
      <c r="M692" t="s">
        <v>2925</v>
      </c>
    </row>
    <row r="693" spans="1:13" hidden="1" x14ac:dyDescent="0.35">
      <c r="A693" t="s">
        <v>701</v>
      </c>
      <c r="B693" t="s">
        <v>2253</v>
      </c>
      <c r="C693" t="s">
        <v>2461</v>
      </c>
      <c r="D693" t="s">
        <v>2473</v>
      </c>
      <c r="E693" t="str">
        <f t="shared" si="20"/>
        <v>DORTMUND</v>
      </c>
      <c r="F693" t="s">
        <v>2479</v>
      </c>
      <c r="G693">
        <v>49.48</v>
      </c>
      <c r="H693" t="s">
        <v>2486</v>
      </c>
      <c r="I693">
        <v>0</v>
      </c>
      <c r="J693">
        <v>120</v>
      </c>
      <c r="K693" s="9">
        <f t="shared" si="21"/>
        <v>45388</v>
      </c>
      <c r="L693" t="s">
        <v>2583</v>
      </c>
      <c r="M693" t="s">
        <v>2930</v>
      </c>
    </row>
    <row r="694" spans="1:13" hidden="1" x14ac:dyDescent="0.35">
      <c r="A694" t="s">
        <v>702</v>
      </c>
      <c r="B694" t="s">
        <v>2142</v>
      </c>
      <c r="C694" t="s">
        <v>2458</v>
      </c>
      <c r="D694" t="s">
        <v>2466</v>
      </c>
      <c r="E694" t="str">
        <f t="shared" si="20"/>
        <v>EAST HANOVER</v>
      </c>
      <c r="F694" t="s">
        <v>2483</v>
      </c>
      <c r="G694">
        <v>0.33</v>
      </c>
      <c r="H694" t="s">
        <v>2489</v>
      </c>
      <c r="I694">
        <v>0</v>
      </c>
      <c r="J694">
        <v>1</v>
      </c>
      <c r="K694" s="9">
        <f t="shared" si="21"/>
        <v>45942</v>
      </c>
      <c r="L694" t="s">
        <v>2617</v>
      </c>
      <c r="M694" t="s">
        <v>2926</v>
      </c>
    </row>
    <row r="695" spans="1:13" hidden="1" x14ac:dyDescent="0.35">
      <c r="A695" t="s">
        <v>703</v>
      </c>
      <c r="B695" t="s">
        <v>2048</v>
      </c>
      <c r="C695" t="s">
        <v>2458</v>
      </c>
      <c r="D695" t="s">
        <v>2473</v>
      </c>
      <c r="E695" t="str">
        <f t="shared" si="20"/>
        <v>DORTMUND</v>
      </c>
      <c r="F695" t="s">
        <v>2483</v>
      </c>
      <c r="G695">
        <v>0.32</v>
      </c>
      <c r="H695" t="s">
        <v>2489</v>
      </c>
      <c r="I695">
        <v>0</v>
      </c>
      <c r="J695">
        <v>1</v>
      </c>
      <c r="K695" s="9">
        <f t="shared" si="21"/>
        <v>45845</v>
      </c>
      <c r="L695" t="s">
        <v>2541</v>
      </c>
      <c r="M695" t="s">
        <v>2929</v>
      </c>
    </row>
    <row r="696" spans="1:13" hidden="1" x14ac:dyDescent="0.35">
      <c r="A696" t="s">
        <v>704</v>
      </c>
      <c r="B696" t="s">
        <v>2278</v>
      </c>
      <c r="C696" t="s">
        <v>2460</v>
      </c>
      <c r="D696" t="s">
        <v>2467</v>
      </c>
      <c r="E696" t="str">
        <f t="shared" si="20"/>
        <v>ASHFORD</v>
      </c>
      <c r="F696" t="s">
        <v>2481</v>
      </c>
      <c r="G696">
        <v>275.8</v>
      </c>
      <c r="H696" t="s">
        <v>2488</v>
      </c>
      <c r="I696">
        <v>150</v>
      </c>
      <c r="J696">
        <v>400</v>
      </c>
      <c r="K696" s="9">
        <f t="shared" si="21"/>
        <v>45658</v>
      </c>
      <c r="L696" t="s">
        <v>2726</v>
      </c>
      <c r="M696" t="s">
        <v>2932</v>
      </c>
    </row>
    <row r="697" spans="1:13" hidden="1" x14ac:dyDescent="0.35">
      <c r="A697" t="s">
        <v>582</v>
      </c>
      <c r="B697" t="s">
        <v>2169</v>
      </c>
      <c r="C697" t="s">
        <v>2458</v>
      </c>
      <c r="D697" t="s">
        <v>2463</v>
      </c>
      <c r="E697" t="str">
        <f t="shared" si="20"/>
        <v>VERNIER</v>
      </c>
      <c r="F697" t="s">
        <v>2480</v>
      </c>
      <c r="G697">
        <v>0.91</v>
      </c>
      <c r="H697" t="s">
        <v>2487</v>
      </c>
      <c r="I697">
        <v>0.88</v>
      </c>
      <c r="J697">
        <v>0.97</v>
      </c>
      <c r="K697" s="9">
        <f t="shared" si="21"/>
        <v>45571</v>
      </c>
      <c r="L697" t="s">
        <v>2754</v>
      </c>
      <c r="M697" t="s">
        <v>2924</v>
      </c>
    </row>
    <row r="698" spans="1:13" hidden="1" x14ac:dyDescent="0.35">
      <c r="A698" t="s">
        <v>705</v>
      </c>
      <c r="B698" t="s">
        <v>2191</v>
      </c>
      <c r="C698" t="s">
        <v>2460</v>
      </c>
      <c r="D698" t="s">
        <v>2473</v>
      </c>
      <c r="E698" t="str">
        <f t="shared" si="20"/>
        <v>DORTMUND</v>
      </c>
      <c r="F698" t="s">
        <v>2481</v>
      </c>
      <c r="G698">
        <v>193.38</v>
      </c>
      <c r="H698" t="s">
        <v>2488</v>
      </c>
      <c r="I698">
        <v>150</v>
      </c>
      <c r="J698">
        <v>400</v>
      </c>
      <c r="K698" s="9">
        <f t="shared" si="21"/>
        <v>45483</v>
      </c>
      <c r="L698" t="s">
        <v>2663</v>
      </c>
      <c r="M698" t="s">
        <v>2926</v>
      </c>
    </row>
    <row r="699" spans="1:13" hidden="1" x14ac:dyDescent="0.35">
      <c r="A699" t="s">
        <v>706</v>
      </c>
      <c r="B699" t="s">
        <v>2235</v>
      </c>
      <c r="C699" t="s">
        <v>2459</v>
      </c>
      <c r="D699" t="s">
        <v>2473</v>
      </c>
      <c r="E699" t="str">
        <f t="shared" si="20"/>
        <v>DORTMUND</v>
      </c>
      <c r="F699" t="s">
        <v>2479</v>
      </c>
      <c r="G699">
        <v>16.04</v>
      </c>
      <c r="H699" t="s">
        <v>2486</v>
      </c>
      <c r="I699">
        <v>0</v>
      </c>
      <c r="J699">
        <v>120</v>
      </c>
      <c r="K699" s="9">
        <f t="shared" si="21"/>
        <v>45854</v>
      </c>
      <c r="L699" t="s">
        <v>2667</v>
      </c>
      <c r="M699" t="s">
        <v>2923</v>
      </c>
    </row>
    <row r="700" spans="1:13" hidden="1" x14ac:dyDescent="0.35">
      <c r="A700" t="s">
        <v>707</v>
      </c>
      <c r="B700" t="s">
        <v>2092</v>
      </c>
      <c r="C700" t="s">
        <v>2459</v>
      </c>
      <c r="D700" t="s">
        <v>2464</v>
      </c>
      <c r="E700" t="str">
        <f t="shared" si="20"/>
        <v>EAST HANOVER</v>
      </c>
      <c r="F700" t="s">
        <v>2485</v>
      </c>
      <c r="G700">
        <v>-75</v>
      </c>
      <c r="H700" t="s">
        <v>2490</v>
      </c>
      <c r="I700">
        <v>0</v>
      </c>
      <c r="J700">
        <v>100</v>
      </c>
      <c r="K700" s="9">
        <f t="shared" si="21"/>
        <v>45889</v>
      </c>
      <c r="L700" t="s">
        <v>2570</v>
      </c>
      <c r="M700" t="s">
        <v>2930</v>
      </c>
    </row>
    <row r="701" spans="1:13" hidden="1" x14ac:dyDescent="0.35">
      <c r="A701" t="s">
        <v>708</v>
      </c>
      <c r="B701" t="s">
        <v>2140</v>
      </c>
      <c r="C701" t="s">
        <v>2460</v>
      </c>
      <c r="D701" t="s">
        <v>2478</v>
      </c>
      <c r="E701" t="str">
        <f t="shared" si="20"/>
        <v>BUD</v>
      </c>
      <c r="F701" t="s">
        <v>2482</v>
      </c>
      <c r="G701">
        <v>98.26</v>
      </c>
      <c r="H701" t="s">
        <v>2489</v>
      </c>
      <c r="I701">
        <v>97</v>
      </c>
      <c r="J701">
        <v>100</v>
      </c>
      <c r="K701" s="9">
        <f t="shared" si="21"/>
        <v>45891</v>
      </c>
      <c r="L701" t="s">
        <v>2615</v>
      </c>
      <c r="M701" t="s">
        <v>2925</v>
      </c>
    </row>
    <row r="702" spans="1:13" hidden="1" x14ac:dyDescent="0.35">
      <c r="A702" t="s">
        <v>709</v>
      </c>
      <c r="B702" t="s">
        <v>2140</v>
      </c>
      <c r="C702" t="s">
        <v>2460</v>
      </c>
      <c r="D702" t="s">
        <v>2478</v>
      </c>
      <c r="E702" t="str">
        <f t="shared" si="20"/>
        <v>BUD</v>
      </c>
      <c r="F702" t="s">
        <v>2481</v>
      </c>
      <c r="G702">
        <v>302.38</v>
      </c>
      <c r="H702" t="s">
        <v>2488</v>
      </c>
      <c r="I702">
        <v>150</v>
      </c>
      <c r="J702">
        <v>400</v>
      </c>
      <c r="K702" s="9">
        <f t="shared" si="21"/>
        <v>45891</v>
      </c>
      <c r="L702" t="s">
        <v>2615</v>
      </c>
      <c r="M702" t="s">
        <v>2928</v>
      </c>
    </row>
    <row r="703" spans="1:13" hidden="1" x14ac:dyDescent="0.35">
      <c r="A703" t="s">
        <v>710</v>
      </c>
      <c r="B703" t="s">
        <v>2388</v>
      </c>
      <c r="C703" t="s">
        <v>2457</v>
      </c>
      <c r="D703" t="s">
        <v>2466</v>
      </c>
      <c r="E703" t="str">
        <f t="shared" si="20"/>
        <v>EAST HANOVER</v>
      </c>
      <c r="F703" t="s">
        <v>2485</v>
      </c>
      <c r="G703">
        <v>36.74</v>
      </c>
      <c r="H703" t="s">
        <v>2490</v>
      </c>
      <c r="I703">
        <v>0</v>
      </c>
      <c r="J703">
        <v>100</v>
      </c>
      <c r="K703" s="9">
        <f t="shared" si="21"/>
        <v>45336</v>
      </c>
      <c r="L703" t="s">
        <v>2805</v>
      </c>
      <c r="M703" t="s">
        <v>2926</v>
      </c>
    </row>
    <row r="704" spans="1:13" hidden="1" x14ac:dyDescent="0.35">
      <c r="A704" t="s">
        <v>711</v>
      </c>
      <c r="B704" t="s">
        <v>2355</v>
      </c>
      <c r="C704" t="s">
        <v>2457</v>
      </c>
      <c r="D704" t="s">
        <v>2471</v>
      </c>
      <c r="E704" t="str">
        <f t="shared" si="20"/>
        <v>BUDAPEST</v>
      </c>
      <c r="F704" t="s">
        <v>2480</v>
      </c>
      <c r="G704">
        <v>0.95</v>
      </c>
      <c r="H704" t="s">
        <v>2487</v>
      </c>
      <c r="I704">
        <v>0.88</v>
      </c>
      <c r="J704">
        <v>0.97</v>
      </c>
      <c r="K704" s="9">
        <f t="shared" si="21"/>
        <v>45598</v>
      </c>
      <c r="L704" t="s">
        <v>2778</v>
      </c>
      <c r="M704" t="s">
        <v>2932</v>
      </c>
    </row>
    <row r="705" spans="1:13" hidden="1" x14ac:dyDescent="0.35">
      <c r="A705" t="s">
        <v>712</v>
      </c>
      <c r="B705" t="s">
        <v>2205</v>
      </c>
      <c r="C705" t="s">
        <v>2457</v>
      </c>
      <c r="D705" t="s">
        <v>2465</v>
      </c>
      <c r="E705" t="str">
        <f t="shared" si="20"/>
        <v>VERNIER</v>
      </c>
      <c r="F705" t="s">
        <v>2479</v>
      </c>
      <c r="G705">
        <v>67.599999999999994</v>
      </c>
      <c r="H705" t="s">
        <v>2486</v>
      </c>
      <c r="I705">
        <v>0</v>
      </c>
      <c r="J705">
        <v>120</v>
      </c>
      <c r="K705" s="9">
        <f t="shared" si="21"/>
        <v>45661</v>
      </c>
      <c r="L705" t="s">
        <v>2612</v>
      </c>
      <c r="M705" t="s">
        <v>2931</v>
      </c>
    </row>
    <row r="706" spans="1:13" hidden="1" x14ac:dyDescent="0.35">
      <c r="A706" t="s">
        <v>713</v>
      </c>
      <c r="B706" t="s">
        <v>2224</v>
      </c>
      <c r="C706" t="s">
        <v>2460</v>
      </c>
      <c r="D706" t="s">
        <v>2470</v>
      </c>
      <c r="E706" t="str">
        <f t="shared" si="20"/>
        <v>E. HANOVER</v>
      </c>
      <c r="F706" t="s">
        <v>2485</v>
      </c>
      <c r="G706">
        <v>14.81</v>
      </c>
      <c r="H706" t="s">
        <v>2490</v>
      </c>
      <c r="I706">
        <v>0</v>
      </c>
      <c r="J706">
        <v>100</v>
      </c>
      <c r="K706" s="9">
        <f t="shared" si="21"/>
        <v>45831</v>
      </c>
      <c r="L706" t="s">
        <v>2540</v>
      </c>
      <c r="M706" t="s">
        <v>2931</v>
      </c>
    </row>
    <row r="707" spans="1:13" hidden="1" x14ac:dyDescent="0.35">
      <c r="A707" t="s">
        <v>714</v>
      </c>
      <c r="B707" t="s">
        <v>2111</v>
      </c>
      <c r="C707" t="s">
        <v>2461</v>
      </c>
      <c r="D707" t="s">
        <v>2463</v>
      </c>
      <c r="E707" t="str">
        <f t="shared" ref="E707:E770" si="22">UPPER(D707)</f>
        <v>VERNIER</v>
      </c>
      <c r="F707" t="s">
        <v>2480</v>
      </c>
      <c r="G707">
        <v>0.91</v>
      </c>
      <c r="H707" t="s">
        <v>2487</v>
      </c>
      <c r="I707">
        <v>0.88</v>
      </c>
      <c r="J707">
        <v>0.97</v>
      </c>
      <c r="K707" s="9">
        <f t="shared" ref="K707:K770" si="23">IF(L707="","",
IF(MID(L707,5,1)="-",
DATE(LEFT(L707,4),MID(L707,6,2),RIGHT(L707,2)),
DATE(RIGHT(L707,4),MID(L707,4,2),LEFT(L707,2))
))</f>
        <v>45547</v>
      </c>
      <c r="L707" t="s">
        <v>2587</v>
      </c>
      <c r="M707" t="s">
        <v>2924</v>
      </c>
    </row>
    <row r="708" spans="1:13" hidden="1" x14ac:dyDescent="0.35">
      <c r="A708" t="s">
        <v>715</v>
      </c>
      <c r="B708" t="s">
        <v>2389</v>
      </c>
      <c r="C708" t="s">
        <v>2460</v>
      </c>
      <c r="D708" t="s">
        <v>2474</v>
      </c>
      <c r="E708" t="str">
        <f t="shared" si="22"/>
        <v>DORTMUND DE</v>
      </c>
      <c r="F708" t="s">
        <v>2480</v>
      </c>
      <c r="G708">
        <v>0.93</v>
      </c>
      <c r="H708" t="s">
        <v>2487</v>
      </c>
      <c r="I708">
        <v>0.88</v>
      </c>
      <c r="J708">
        <v>0.97</v>
      </c>
      <c r="K708" s="9">
        <f t="shared" si="23"/>
        <v>45546</v>
      </c>
      <c r="L708" t="s">
        <v>2806</v>
      </c>
      <c r="M708" t="s">
        <v>2923</v>
      </c>
    </row>
    <row r="709" spans="1:13" hidden="1" x14ac:dyDescent="0.35">
      <c r="A709" t="s">
        <v>716</v>
      </c>
      <c r="B709" t="s">
        <v>2387</v>
      </c>
      <c r="C709" t="s">
        <v>2457</v>
      </c>
      <c r="D709" t="s">
        <v>2462</v>
      </c>
      <c r="E709" t="str">
        <f t="shared" si="22"/>
        <v>ASHFORD UK</v>
      </c>
      <c r="F709" t="s">
        <v>2485</v>
      </c>
      <c r="G709">
        <v>31.1</v>
      </c>
      <c r="H709" t="s">
        <v>2490</v>
      </c>
      <c r="I709">
        <v>0</v>
      </c>
      <c r="J709">
        <v>100</v>
      </c>
      <c r="K709" s="9">
        <f t="shared" si="23"/>
        <v>45621</v>
      </c>
      <c r="L709" t="s">
        <v>2685</v>
      </c>
      <c r="M709" t="s">
        <v>2923</v>
      </c>
    </row>
    <row r="710" spans="1:13" hidden="1" x14ac:dyDescent="0.35">
      <c r="A710" t="s">
        <v>717</v>
      </c>
      <c r="B710" t="s">
        <v>2292</v>
      </c>
      <c r="C710" t="s">
        <v>2461</v>
      </c>
      <c r="D710" t="s">
        <v>2472</v>
      </c>
      <c r="E710" t="str">
        <f t="shared" si="22"/>
        <v>VERNIER</v>
      </c>
      <c r="F710" t="s">
        <v>2482</v>
      </c>
      <c r="G710">
        <v>98.42</v>
      </c>
      <c r="H710" t="s">
        <v>2489</v>
      </c>
      <c r="I710">
        <v>97</v>
      </c>
      <c r="J710">
        <v>100</v>
      </c>
      <c r="K710" s="9">
        <f t="shared" si="23"/>
        <v>45646</v>
      </c>
      <c r="L710" t="s">
        <v>2734</v>
      </c>
      <c r="M710" t="s">
        <v>2923</v>
      </c>
    </row>
    <row r="711" spans="1:13" hidden="1" x14ac:dyDescent="0.35">
      <c r="A711" t="s">
        <v>718</v>
      </c>
      <c r="B711" t="s">
        <v>2359</v>
      </c>
      <c r="C711" t="s">
        <v>2458</v>
      </c>
      <c r="D711" t="s">
        <v>2470</v>
      </c>
      <c r="E711" t="str">
        <f t="shared" si="22"/>
        <v>E. HANOVER</v>
      </c>
      <c r="F711" t="s">
        <v>2481</v>
      </c>
      <c r="G711">
        <v>274.11</v>
      </c>
      <c r="H711" t="s">
        <v>2488</v>
      </c>
      <c r="I711">
        <v>150</v>
      </c>
      <c r="J711">
        <v>400</v>
      </c>
      <c r="K711" s="9">
        <f t="shared" si="23"/>
        <v>45574</v>
      </c>
      <c r="L711" t="s">
        <v>2781</v>
      </c>
      <c r="M711" t="s">
        <v>2929</v>
      </c>
    </row>
    <row r="712" spans="1:13" hidden="1" x14ac:dyDescent="0.35">
      <c r="A712" t="s">
        <v>719</v>
      </c>
      <c r="B712" t="s">
        <v>2291</v>
      </c>
      <c r="C712" t="s">
        <v>2458</v>
      </c>
      <c r="D712" t="s">
        <v>2464</v>
      </c>
      <c r="E712" t="str">
        <f t="shared" si="22"/>
        <v>EAST HANOVER</v>
      </c>
      <c r="F712" t="s">
        <v>2481</v>
      </c>
      <c r="G712">
        <v>326.2</v>
      </c>
      <c r="H712" t="s">
        <v>2488</v>
      </c>
      <c r="I712">
        <v>150</v>
      </c>
      <c r="J712">
        <v>400</v>
      </c>
      <c r="K712" s="9">
        <f t="shared" si="23"/>
        <v>45763</v>
      </c>
      <c r="L712" t="s">
        <v>2807</v>
      </c>
      <c r="M712" t="s">
        <v>2924</v>
      </c>
    </row>
    <row r="713" spans="1:13" hidden="1" x14ac:dyDescent="0.35">
      <c r="A713" t="s">
        <v>720</v>
      </c>
      <c r="B713" t="s">
        <v>2024</v>
      </c>
      <c r="C713" t="s">
        <v>2457</v>
      </c>
      <c r="D713" t="s">
        <v>2463</v>
      </c>
      <c r="E713" t="str">
        <f t="shared" si="22"/>
        <v>VERNIER</v>
      </c>
      <c r="F713" t="s">
        <v>2481</v>
      </c>
      <c r="G713">
        <v>309.66000000000003</v>
      </c>
      <c r="H713" t="s">
        <v>2488</v>
      </c>
      <c r="I713">
        <v>150</v>
      </c>
      <c r="J713">
        <v>400</v>
      </c>
      <c r="K713" s="9">
        <f t="shared" si="23"/>
        <v>45529</v>
      </c>
      <c r="L713" t="s">
        <v>2504</v>
      </c>
      <c r="M713" t="s">
        <v>2927</v>
      </c>
    </row>
    <row r="714" spans="1:13" hidden="1" x14ac:dyDescent="0.35">
      <c r="A714" t="s">
        <v>721</v>
      </c>
      <c r="B714" t="s">
        <v>2027</v>
      </c>
      <c r="C714" t="s">
        <v>2458</v>
      </c>
      <c r="D714" t="s">
        <v>2464</v>
      </c>
      <c r="E714" t="str">
        <f t="shared" si="22"/>
        <v>EAST HANOVER</v>
      </c>
      <c r="F714" t="s">
        <v>2484</v>
      </c>
      <c r="G714">
        <v>6.45</v>
      </c>
      <c r="I714">
        <v>6</v>
      </c>
      <c r="J714">
        <v>7.5</v>
      </c>
      <c r="K714" s="9">
        <f t="shared" si="23"/>
        <v>45827</v>
      </c>
      <c r="L714" t="s">
        <v>2808</v>
      </c>
      <c r="M714" t="s">
        <v>2927</v>
      </c>
    </row>
    <row r="715" spans="1:13" hidden="1" x14ac:dyDescent="0.35">
      <c r="A715" t="s">
        <v>722</v>
      </c>
      <c r="B715" t="s">
        <v>2175</v>
      </c>
      <c r="C715" t="s">
        <v>2457</v>
      </c>
      <c r="D715" t="s">
        <v>2462</v>
      </c>
      <c r="E715" t="str">
        <f t="shared" si="22"/>
        <v>ASHFORD UK</v>
      </c>
      <c r="F715" t="s">
        <v>2482</v>
      </c>
      <c r="G715">
        <v>98.78</v>
      </c>
      <c r="H715" t="s">
        <v>2489</v>
      </c>
      <c r="I715">
        <v>97</v>
      </c>
      <c r="J715">
        <v>100</v>
      </c>
      <c r="K715" s="9">
        <f t="shared" si="23"/>
        <v>45921</v>
      </c>
      <c r="L715" t="s">
        <v>2647</v>
      </c>
      <c r="M715" t="s">
        <v>2932</v>
      </c>
    </row>
    <row r="716" spans="1:13" hidden="1" x14ac:dyDescent="0.35">
      <c r="A716" t="s">
        <v>723</v>
      </c>
      <c r="B716" t="s">
        <v>2366</v>
      </c>
      <c r="C716" t="s">
        <v>2461</v>
      </c>
      <c r="D716" t="s">
        <v>2478</v>
      </c>
      <c r="E716" t="str">
        <f t="shared" si="22"/>
        <v>BUD</v>
      </c>
      <c r="F716" t="s">
        <v>2482</v>
      </c>
      <c r="G716">
        <v>98.91</v>
      </c>
      <c r="H716" t="s">
        <v>2489</v>
      </c>
      <c r="I716">
        <v>97</v>
      </c>
      <c r="J716">
        <v>100</v>
      </c>
      <c r="K716" s="9">
        <f t="shared" si="23"/>
        <v>45629</v>
      </c>
      <c r="L716" t="s">
        <v>2644</v>
      </c>
      <c r="M716" t="s">
        <v>2923</v>
      </c>
    </row>
    <row r="717" spans="1:13" hidden="1" x14ac:dyDescent="0.35">
      <c r="A717" t="s">
        <v>724</v>
      </c>
      <c r="B717" t="s">
        <v>2082</v>
      </c>
      <c r="C717" t="s">
        <v>2461</v>
      </c>
      <c r="D717" t="s">
        <v>2467</v>
      </c>
      <c r="E717" t="str">
        <f t="shared" si="22"/>
        <v>ASHFORD</v>
      </c>
      <c r="F717" t="s">
        <v>2482</v>
      </c>
      <c r="G717">
        <v>99.73</v>
      </c>
      <c r="H717" t="s">
        <v>2489</v>
      </c>
      <c r="I717">
        <v>97</v>
      </c>
      <c r="J717">
        <v>100</v>
      </c>
      <c r="K717" s="9">
        <f t="shared" si="23"/>
        <v>45392</v>
      </c>
      <c r="L717" t="s">
        <v>2561</v>
      </c>
      <c r="M717" t="s">
        <v>2927</v>
      </c>
    </row>
    <row r="718" spans="1:13" hidden="1" x14ac:dyDescent="0.35">
      <c r="A718" t="s">
        <v>725</v>
      </c>
      <c r="B718" t="s">
        <v>2390</v>
      </c>
      <c r="C718" t="s">
        <v>2459</v>
      </c>
      <c r="D718" t="s">
        <v>2465</v>
      </c>
      <c r="E718" t="str">
        <f t="shared" si="22"/>
        <v>VERNIER</v>
      </c>
      <c r="F718" t="s">
        <v>2479</v>
      </c>
      <c r="G718">
        <v>36.19</v>
      </c>
      <c r="H718" t="s">
        <v>2486</v>
      </c>
      <c r="I718">
        <v>0</v>
      </c>
      <c r="J718">
        <v>120</v>
      </c>
      <c r="K718" s="9">
        <f t="shared" si="23"/>
        <v>45571</v>
      </c>
      <c r="L718" t="s">
        <v>2754</v>
      </c>
      <c r="M718" t="s">
        <v>2925</v>
      </c>
    </row>
    <row r="719" spans="1:13" hidden="1" x14ac:dyDescent="0.35">
      <c r="A719" t="s">
        <v>726</v>
      </c>
      <c r="B719" t="s">
        <v>2131</v>
      </c>
      <c r="C719" t="s">
        <v>2459</v>
      </c>
      <c r="D719" t="s">
        <v>2471</v>
      </c>
      <c r="E719" t="str">
        <f t="shared" si="22"/>
        <v>BUDAPEST</v>
      </c>
      <c r="F719" t="s">
        <v>2484</v>
      </c>
      <c r="G719">
        <v>6.9</v>
      </c>
      <c r="I719">
        <v>6</v>
      </c>
      <c r="J719">
        <v>7.5</v>
      </c>
      <c r="K719" s="9">
        <f t="shared" si="23"/>
        <v>45561</v>
      </c>
      <c r="L719" t="s">
        <v>2607</v>
      </c>
      <c r="M719" t="s">
        <v>2924</v>
      </c>
    </row>
    <row r="720" spans="1:13" hidden="1" x14ac:dyDescent="0.35">
      <c r="A720" t="s">
        <v>727</v>
      </c>
      <c r="B720" t="s">
        <v>2391</v>
      </c>
      <c r="C720" t="s">
        <v>2458</v>
      </c>
      <c r="D720" t="s">
        <v>2475</v>
      </c>
      <c r="E720" t="str">
        <f t="shared" si="22"/>
        <v>ASHFORD</v>
      </c>
      <c r="F720" t="s">
        <v>2483</v>
      </c>
      <c r="G720">
        <v>0.48</v>
      </c>
      <c r="H720" t="s">
        <v>2489</v>
      </c>
      <c r="I720">
        <v>0</v>
      </c>
      <c r="J720">
        <v>1</v>
      </c>
      <c r="K720" s="9">
        <f t="shared" si="23"/>
        <v>45743</v>
      </c>
      <c r="L720" t="s">
        <v>2538</v>
      </c>
      <c r="M720" t="s">
        <v>2926</v>
      </c>
    </row>
    <row r="721" spans="1:13" hidden="1" x14ac:dyDescent="0.35">
      <c r="A721" t="s">
        <v>728</v>
      </c>
      <c r="B721" t="s">
        <v>2392</v>
      </c>
      <c r="C721" t="s">
        <v>2461</v>
      </c>
      <c r="D721" t="s">
        <v>2475</v>
      </c>
      <c r="E721" t="str">
        <f t="shared" si="22"/>
        <v>ASHFORD</v>
      </c>
      <c r="F721" t="s">
        <v>2482</v>
      </c>
      <c r="G721">
        <v>97.89</v>
      </c>
      <c r="H721" t="s">
        <v>2489</v>
      </c>
      <c r="I721">
        <v>97</v>
      </c>
      <c r="J721">
        <v>100</v>
      </c>
      <c r="K721" s="9">
        <f t="shared" si="23"/>
        <v>45923</v>
      </c>
      <c r="L721" t="s">
        <v>2809</v>
      </c>
      <c r="M721" t="s">
        <v>2928</v>
      </c>
    </row>
    <row r="722" spans="1:13" hidden="1" x14ac:dyDescent="0.35">
      <c r="A722" t="s">
        <v>729</v>
      </c>
      <c r="B722" t="s">
        <v>2388</v>
      </c>
      <c r="C722" t="s">
        <v>2457</v>
      </c>
      <c r="D722" t="s">
        <v>2464</v>
      </c>
      <c r="E722" t="str">
        <f t="shared" si="22"/>
        <v>EAST HANOVER</v>
      </c>
      <c r="F722" t="s">
        <v>2481</v>
      </c>
      <c r="G722">
        <v>261.07</v>
      </c>
      <c r="H722" t="s">
        <v>2488</v>
      </c>
      <c r="I722">
        <v>150</v>
      </c>
      <c r="J722">
        <v>400</v>
      </c>
      <c r="K722" s="9">
        <f t="shared" si="23"/>
        <v>45336</v>
      </c>
      <c r="L722" t="s">
        <v>2805</v>
      </c>
      <c r="M722" t="s">
        <v>2923</v>
      </c>
    </row>
    <row r="723" spans="1:13" hidden="1" x14ac:dyDescent="0.35">
      <c r="A723" t="s">
        <v>730</v>
      </c>
      <c r="B723" t="s">
        <v>2273</v>
      </c>
      <c r="C723" t="s">
        <v>2459</v>
      </c>
      <c r="D723" t="s">
        <v>2471</v>
      </c>
      <c r="E723" t="str">
        <f t="shared" si="22"/>
        <v>BUDAPEST</v>
      </c>
      <c r="F723" t="s">
        <v>2480</v>
      </c>
      <c r="G723">
        <v>0.91</v>
      </c>
      <c r="H723" t="s">
        <v>2487</v>
      </c>
      <c r="I723">
        <v>0.88</v>
      </c>
      <c r="J723">
        <v>0.97</v>
      </c>
      <c r="K723" s="9">
        <f t="shared" si="23"/>
        <v>45657</v>
      </c>
      <c r="L723" t="s">
        <v>2721</v>
      </c>
      <c r="M723" t="s">
        <v>2927</v>
      </c>
    </row>
    <row r="724" spans="1:13" hidden="1" x14ac:dyDescent="0.35">
      <c r="A724" t="s">
        <v>731</v>
      </c>
      <c r="B724" t="s">
        <v>2246</v>
      </c>
      <c r="C724" t="s">
        <v>2460</v>
      </c>
      <c r="D724" t="s">
        <v>2465</v>
      </c>
      <c r="E724" t="str">
        <f t="shared" si="22"/>
        <v>VERNIER</v>
      </c>
      <c r="F724" t="s">
        <v>2479</v>
      </c>
      <c r="G724">
        <v>53.7</v>
      </c>
      <c r="H724" t="s">
        <v>2486</v>
      </c>
      <c r="I724">
        <v>0</v>
      </c>
      <c r="J724">
        <v>120</v>
      </c>
      <c r="K724" s="9">
        <f t="shared" si="23"/>
        <v>45884</v>
      </c>
      <c r="L724" t="s">
        <v>2542</v>
      </c>
      <c r="M724" t="s">
        <v>2931</v>
      </c>
    </row>
    <row r="725" spans="1:13" hidden="1" x14ac:dyDescent="0.35">
      <c r="A725" t="s">
        <v>732</v>
      </c>
      <c r="B725" t="s">
        <v>2173</v>
      </c>
      <c r="C725" t="s">
        <v>2460</v>
      </c>
      <c r="D725" t="s">
        <v>2464</v>
      </c>
      <c r="E725" t="str">
        <f t="shared" si="22"/>
        <v>EAST HANOVER</v>
      </c>
      <c r="F725" t="s">
        <v>2479</v>
      </c>
      <c r="G725">
        <v>68.81</v>
      </c>
      <c r="H725" t="s">
        <v>2486</v>
      </c>
      <c r="I725">
        <v>0</v>
      </c>
      <c r="J725">
        <v>120</v>
      </c>
      <c r="K725" s="9">
        <f t="shared" si="23"/>
        <v>45609</v>
      </c>
      <c r="L725" t="s">
        <v>2646</v>
      </c>
      <c r="M725" t="s">
        <v>2929</v>
      </c>
    </row>
    <row r="726" spans="1:13" hidden="1" x14ac:dyDescent="0.35">
      <c r="A726" t="s">
        <v>733</v>
      </c>
      <c r="B726" t="s">
        <v>2072</v>
      </c>
      <c r="C726" t="s">
        <v>2460</v>
      </c>
      <c r="D726" t="s">
        <v>2469</v>
      </c>
      <c r="E726" t="str">
        <f t="shared" si="22"/>
        <v>DORTMUND</v>
      </c>
      <c r="F726" t="s">
        <v>2479</v>
      </c>
      <c r="G726">
        <v>54.81</v>
      </c>
      <c r="H726" t="s">
        <v>2486</v>
      </c>
      <c r="I726">
        <v>0</v>
      </c>
      <c r="J726">
        <v>120</v>
      </c>
      <c r="K726" s="9">
        <f t="shared" si="23"/>
        <v>45544</v>
      </c>
      <c r="L726" t="s">
        <v>2551</v>
      </c>
      <c r="M726" t="s">
        <v>2925</v>
      </c>
    </row>
    <row r="727" spans="1:13" hidden="1" x14ac:dyDescent="0.35">
      <c r="A727" t="s">
        <v>734</v>
      </c>
      <c r="B727" t="s">
        <v>2016</v>
      </c>
      <c r="C727" t="s">
        <v>2458</v>
      </c>
      <c r="D727" t="s">
        <v>2462</v>
      </c>
      <c r="E727" t="str">
        <f t="shared" si="22"/>
        <v>ASHFORD UK</v>
      </c>
      <c r="F727" t="s">
        <v>2482</v>
      </c>
      <c r="G727">
        <v>98.82</v>
      </c>
      <c r="H727" t="s">
        <v>2489</v>
      </c>
      <c r="I727">
        <v>97</v>
      </c>
      <c r="J727">
        <v>100</v>
      </c>
      <c r="K727" s="9">
        <f t="shared" si="23"/>
        <v>45446</v>
      </c>
      <c r="L727" t="s">
        <v>2496</v>
      </c>
      <c r="M727" t="s">
        <v>2926</v>
      </c>
    </row>
    <row r="728" spans="1:13" hidden="1" x14ac:dyDescent="0.35">
      <c r="A728" t="s">
        <v>735</v>
      </c>
      <c r="B728" t="s">
        <v>2110</v>
      </c>
      <c r="C728" t="s">
        <v>2460</v>
      </c>
      <c r="D728" t="s">
        <v>2465</v>
      </c>
      <c r="E728" t="str">
        <f t="shared" si="22"/>
        <v>VERNIER</v>
      </c>
      <c r="F728" t="s">
        <v>2482</v>
      </c>
      <c r="G728">
        <v>98.2</v>
      </c>
      <c r="H728" t="s">
        <v>2489</v>
      </c>
      <c r="I728">
        <v>97</v>
      </c>
      <c r="J728">
        <v>100</v>
      </c>
      <c r="K728" s="9">
        <f t="shared" si="23"/>
        <v>45860</v>
      </c>
      <c r="L728" t="s">
        <v>2558</v>
      </c>
      <c r="M728" t="s">
        <v>2926</v>
      </c>
    </row>
    <row r="729" spans="1:13" hidden="1" x14ac:dyDescent="0.35">
      <c r="A729" t="s">
        <v>736</v>
      </c>
      <c r="B729" t="s">
        <v>2266</v>
      </c>
      <c r="C729" t="s">
        <v>2460</v>
      </c>
      <c r="D729" t="s">
        <v>2467</v>
      </c>
      <c r="E729" t="str">
        <f t="shared" si="22"/>
        <v>ASHFORD</v>
      </c>
      <c r="F729" t="s">
        <v>2480</v>
      </c>
      <c r="G729">
        <v>0.95</v>
      </c>
      <c r="H729" t="s">
        <v>2487</v>
      </c>
      <c r="I729">
        <v>0.88</v>
      </c>
      <c r="J729">
        <v>0.97</v>
      </c>
      <c r="K729" s="9">
        <f t="shared" si="23"/>
        <v>45819</v>
      </c>
      <c r="L729" t="s">
        <v>2620</v>
      </c>
      <c r="M729" t="s">
        <v>2930</v>
      </c>
    </row>
    <row r="730" spans="1:13" hidden="1" x14ac:dyDescent="0.35">
      <c r="A730" t="s">
        <v>737</v>
      </c>
      <c r="B730" t="s">
        <v>2071</v>
      </c>
      <c r="C730" t="s">
        <v>2457</v>
      </c>
      <c r="D730" t="s">
        <v>2468</v>
      </c>
      <c r="E730" t="str">
        <f t="shared" si="22"/>
        <v>VERNIER CH</v>
      </c>
      <c r="F730" t="s">
        <v>2484</v>
      </c>
      <c r="G730">
        <v>6.6</v>
      </c>
      <c r="I730">
        <v>6</v>
      </c>
      <c r="J730">
        <v>7.5</v>
      </c>
      <c r="K730" s="9">
        <f t="shared" si="23"/>
        <v>45864</v>
      </c>
      <c r="L730" t="s">
        <v>2550</v>
      </c>
      <c r="M730" t="s">
        <v>2931</v>
      </c>
    </row>
    <row r="731" spans="1:13" hidden="1" x14ac:dyDescent="0.35">
      <c r="A731" t="s">
        <v>738</v>
      </c>
      <c r="B731" t="s">
        <v>2393</v>
      </c>
      <c r="C731" t="s">
        <v>2460</v>
      </c>
      <c r="D731" t="s">
        <v>2463</v>
      </c>
      <c r="E731" t="str">
        <f t="shared" si="22"/>
        <v>VERNIER</v>
      </c>
      <c r="F731" t="s">
        <v>2481</v>
      </c>
      <c r="G731">
        <v>214.09</v>
      </c>
      <c r="H731" t="s">
        <v>2488</v>
      </c>
      <c r="I731">
        <v>150</v>
      </c>
      <c r="J731">
        <v>400</v>
      </c>
      <c r="K731" s="9">
        <f t="shared" si="23"/>
        <v>45942</v>
      </c>
      <c r="L731" t="s">
        <v>2617</v>
      </c>
      <c r="M731" t="s">
        <v>2929</v>
      </c>
    </row>
    <row r="732" spans="1:13" hidden="1" x14ac:dyDescent="0.35">
      <c r="A732" t="s">
        <v>739</v>
      </c>
      <c r="B732" t="s">
        <v>2251</v>
      </c>
      <c r="C732" t="s">
        <v>2461</v>
      </c>
      <c r="D732" t="s">
        <v>2467</v>
      </c>
      <c r="E732" t="str">
        <f t="shared" si="22"/>
        <v>ASHFORD</v>
      </c>
      <c r="F732" t="s">
        <v>2480</v>
      </c>
      <c r="G732">
        <v>0.94</v>
      </c>
      <c r="H732" t="s">
        <v>2487</v>
      </c>
      <c r="I732">
        <v>0.88</v>
      </c>
      <c r="J732">
        <v>0.97</v>
      </c>
      <c r="K732" s="9">
        <f t="shared" si="23"/>
        <v>45441</v>
      </c>
      <c r="L732" t="s">
        <v>2810</v>
      </c>
      <c r="M732" t="s">
        <v>2924</v>
      </c>
    </row>
    <row r="733" spans="1:13" hidden="1" x14ac:dyDescent="0.35">
      <c r="A733" t="s">
        <v>740</v>
      </c>
      <c r="B733" t="s">
        <v>2071</v>
      </c>
      <c r="C733" t="s">
        <v>2457</v>
      </c>
      <c r="D733" t="s">
        <v>2472</v>
      </c>
      <c r="E733" t="str">
        <f t="shared" si="22"/>
        <v>VERNIER</v>
      </c>
      <c r="F733" t="s">
        <v>2480</v>
      </c>
      <c r="G733">
        <v>0.95</v>
      </c>
      <c r="H733" t="s">
        <v>2487</v>
      </c>
      <c r="I733">
        <v>0.88</v>
      </c>
      <c r="J733">
        <v>0.97</v>
      </c>
      <c r="K733" s="9">
        <f t="shared" si="23"/>
        <v>45864</v>
      </c>
      <c r="L733" t="s">
        <v>2550</v>
      </c>
      <c r="M733" t="s">
        <v>2924</v>
      </c>
    </row>
    <row r="734" spans="1:13" hidden="1" x14ac:dyDescent="0.35">
      <c r="A734" t="s">
        <v>741</v>
      </c>
      <c r="B734" t="s">
        <v>2062</v>
      </c>
      <c r="C734" t="s">
        <v>2458</v>
      </c>
      <c r="D734" t="s">
        <v>2470</v>
      </c>
      <c r="E734" t="str">
        <f t="shared" si="22"/>
        <v>E. HANOVER</v>
      </c>
      <c r="F734" t="s">
        <v>2485</v>
      </c>
      <c r="G734">
        <v>13.41</v>
      </c>
      <c r="H734" t="s">
        <v>2490</v>
      </c>
      <c r="I734">
        <v>0</v>
      </c>
      <c r="J734">
        <v>100</v>
      </c>
      <c r="K734" s="9">
        <f t="shared" si="23"/>
        <v>45845</v>
      </c>
      <c r="L734" t="s">
        <v>2541</v>
      </c>
      <c r="M734" t="s">
        <v>2929</v>
      </c>
    </row>
    <row r="735" spans="1:13" hidden="1" x14ac:dyDescent="0.35">
      <c r="A735" t="s">
        <v>742</v>
      </c>
      <c r="B735" t="s">
        <v>2394</v>
      </c>
      <c r="C735" t="s">
        <v>2460</v>
      </c>
      <c r="D735" t="s">
        <v>2472</v>
      </c>
      <c r="E735" t="str">
        <f t="shared" si="22"/>
        <v>VERNIER</v>
      </c>
      <c r="F735" t="s">
        <v>2485</v>
      </c>
      <c r="G735">
        <v>-25.38</v>
      </c>
      <c r="H735" t="s">
        <v>2490</v>
      </c>
      <c r="I735">
        <v>0</v>
      </c>
      <c r="J735">
        <v>100</v>
      </c>
      <c r="K735" s="9">
        <f t="shared" si="23"/>
        <v>45499</v>
      </c>
      <c r="L735" t="s">
        <v>2671</v>
      </c>
      <c r="M735" t="s">
        <v>2927</v>
      </c>
    </row>
    <row r="736" spans="1:13" hidden="1" x14ac:dyDescent="0.35">
      <c r="A736" t="s">
        <v>743</v>
      </c>
      <c r="B736" t="s">
        <v>2063</v>
      </c>
      <c r="C736" t="s">
        <v>2461</v>
      </c>
      <c r="D736" t="s">
        <v>2466</v>
      </c>
      <c r="E736" t="str">
        <f t="shared" si="22"/>
        <v>EAST HANOVER</v>
      </c>
      <c r="F736" t="s">
        <v>2485</v>
      </c>
      <c r="G736">
        <v>15.63</v>
      </c>
      <c r="H736" t="s">
        <v>2490</v>
      </c>
      <c r="I736">
        <v>0</v>
      </c>
      <c r="J736">
        <v>100</v>
      </c>
      <c r="K736" s="9">
        <f t="shared" si="23"/>
        <v>45884</v>
      </c>
      <c r="L736" t="s">
        <v>2542</v>
      </c>
      <c r="M736" t="s">
        <v>2930</v>
      </c>
    </row>
    <row r="737" spans="1:13" hidden="1" x14ac:dyDescent="0.35">
      <c r="A737" t="s">
        <v>744</v>
      </c>
      <c r="B737" t="s">
        <v>2280</v>
      </c>
      <c r="C737" t="s">
        <v>2460</v>
      </c>
      <c r="D737" t="s">
        <v>2470</v>
      </c>
      <c r="E737" t="str">
        <f t="shared" si="22"/>
        <v>E. HANOVER</v>
      </c>
      <c r="F737" t="s">
        <v>2484</v>
      </c>
      <c r="G737">
        <v>6.07</v>
      </c>
      <c r="I737">
        <v>6</v>
      </c>
      <c r="J737">
        <v>7.5</v>
      </c>
      <c r="K737" s="9">
        <f t="shared" si="23"/>
        <v>45685</v>
      </c>
      <c r="L737" t="s">
        <v>2724</v>
      </c>
      <c r="M737" t="s">
        <v>2927</v>
      </c>
    </row>
    <row r="738" spans="1:13" hidden="1" x14ac:dyDescent="0.35">
      <c r="A738" t="s">
        <v>745</v>
      </c>
      <c r="B738" t="s">
        <v>2209</v>
      </c>
      <c r="C738" t="s">
        <v>2458</v>
      </c>
      <c r="D738" t="s">
        <v>2462</v>
      </c>
      <c r="E738" t="str">
        <f t="shared" si="22"/>
        <v>ASHFORD UK</v>
      </c>
      <c r="F738" t="s">
        <v>2479</v>
      </c>
      <c r="G738">
        <v>46.89</v>
      </c>
      <c r="H738" t="s">
        <v>2486</v>
      </c>
      <c r="I738">
        <v>0</v>
      </c>
      <c r="J738">
        <v>120</v>
      </c>
      <c r="K738" s="9">
        <f t="shared" si="23"/>
        <v>45673</v>
      </c>
      <c r="L738" t="s">
        <v>2677</v>
      </c>
      <c r="M738" t="s">
        <v>2930</v>
      </c>
    </row>
    <row r="739" spans="1:13" hidden="1" x14ac:dyDescent="0.35">
      <c r="A739" t="s">
        <v>746</v>
      </c>
      <c r="B739" t="s">
        <v>2267</v>
      </c>
      <c r="C739" t="s">
        <v>2460</v>
      </c>
      <c r="D739" t="s">
        <v>2466</v>
      </c>
      <c r="E739" t="str">
        <f t="shared" si="22"/>
        <v>EAST HANOVER</v>
      </c>
      <c r="F739" t="s">
        <v>2485</v>
      </c>
      <c r="G739">
        <v>5.68</v>
      </c>
      <c r="H739" t="s">
        <v>2490</v>
      </c>
      <c r="I739">
        <v>0</v>
      </c>
      <c r="J739">
        <v>100</v>
      </c>
      <c r="K739" s="9">
        <f t="shared" si="23"/>
        <v>45995</v>
      </c>
      <c r="L739" t="s">
        <v>2716</v>
      </c>
      <c r="M739" t="s">
        <v>2931</v>
      </c>
    </row>
    <row r="740" spans="1:13" hidden="1" x14ac:dyDescent="0.35">
      <c r="A740" t="s">
        <v>747</v>
      </c>
      <c r="B740" t="s">
        <v>2395</v>
      </c>
      <c r="C740" t="s">
        <v>2457</v>
      </c>
      <c r="D740" t="s">
        <v>2477</v>
      </c>
      <c r="E740" t="str">
        <f t="shared" si="22"/>
        <v>BUDAPEST</v>
      </c>
      <c r="F740" t="s">
        <v>2482</v>
      </c>
      <c r="G740">
        <v>98.68</v>
      </c>
      <c r="H740" t="s">
        <v>2489</v>
      </c>
      <c r="I740">
        <v>97</v>
      </c>
      <c r="J740">
        <v>100</v>
      </c>
      <c r="K740" s="9">
        <f t="shared" si="23"/>
        <v>45737</v>
      </c>
      <c r="L740" t="s">
        <v>2643</v>
      </c>
      <c r="M740" t="s">
        <v>2923</v>
      </c>
    </row>
    <row r="741" spans="1:13" hidden="1" x14ac:dyDescent="0.35">
      <c r="A741" t="s">
        <v>748</v>
      </c>
      <c r="B741" t="s">
        <v>2295</v>
      </c>
      <c r="C741" t="s">
        <v>2459</v>
      </c>
      <c r="D741" t="s">
        <v>2465</v>
      </c>
      <c r="E741" t="str">
        <f t="shared" si="22"/>
        <v>VERNIER</v>
      </c>
      <c r="F741" t="s">
        <v>2484</v>
      </c>
      <c r="G741">
        <v>7.19</v>
      </c>
      <c r="I741">
        <v>6</v>
      </c>
      <c r="J741">
        <v>7.5</v>
      </c>
      <c r="K741" s="9">
        <f t="shared" si="23"/>
        <v>45977</v>
      </c>
      <c r="L741" t="s">
        <v>2736</v>
      </c>
      <c r="M741" t="s">
        <v>2928</v>
      </c>
    </row>
    <row r="742" spans="1:13" hidden="1" x14ac:dyDescent="0.35">
      <c r="A742" t="s">
        <v>749</v>
      </c>
      <c r="B742" t="s">
        <v>2396</v>
      </c>
      <c r="C742" t="s">
        <v>2461</v>
      </c>
      <c r="D742" t="s">
        <v>2477</v>
      </c>
      <c r="E742" t="str">
        <f t="shared" si="22"/>
        <v>BUDAPEST</v>
      </c>
      <c r="F742" t="s">
        <v>2482</v>
      </c>
      <c r="G742">
        <v>98.96</v>
      </c>
      <c r="H742" t="s">
        <v>2489</v>
      </c>
      <c r="I742">
        <v>97</v>
      </c>
      <c r="J742">
        <v>100</v>
      </c>
      <c r="K742" s="9">
        <f t="shared" si="23"/>
        <v>45767</v>
      </c>
      <c r="L742" t="s">
        <v>2811</v>
      </c>
      <c r="M742" t="s">
        <v>2923</v>
      </c>
    </row>
    <row r="743" spans="1:13" hidden="1" x14ac:dyDescent="0.35">
      <c r="A743" t="s">
        <v>750</v>
      </c>
      <c r="B743" t="s">
        <v>2397</v>
      </c>
      <c r="C743" t="s">
        <v>2459</v>
      </c>
      <c r="D743" t="s">
        <v>2477</v>
      </c>
      <c r="E743" t="str">
        <f t="shared" si="22"/>
        <v>BUDAPEST</v>
      </c>
      <c r="F743" t="s">
        <v>2482</v>
      </c>
      <c r="G743">
        <v>98.47</v>
      </c>
      <c r="H743" t="s">
        <v>2489</v>
      </c>
      <c r="I743">
        <v>97</v>
      </c>
      <c r="J743">
        <v>100</v>
      </c>
      <c r="K743" s="9">
        <f t="shared" si="23"/>
        <v>45436</v>
      </c>
      <c r="L743" t="s">
        <v>2812</v>
      </c>
      <c r="M743" t="s">
        <v>2930</v>
      </c>
    </row>
    <row r="744" spans="1:13" hidden="1" x14ac:dyDescent="0.35">
      <c r="A744" t="s">
        <v>751</v>
      </c>
      <c r="B744" t="s">
        <v>2363</v>
      </c>
      <c r="C744" t="s">
        <v>2459</v>
      </c>
      <c r="D744" t="s">
        <v>2469</v>
      </c>
      <c r="E744" t="str">
        <f t="shared" si="22"/>
        <v>DORTMUND</v>
      </c>
      <c r="F744" t="s">
        <v>2484</v>
      </c>
      <c r="G744">
        <v>6.84</v>
      </c>
      <c r="I744">
        <v>6</v>
      </c>
      <c r="J744">
        <v>7.5</v>
      </c>
      <c r="K744" s="9">
        <f t="shared" si="23"/>
        <v>45789</v>
      </c>
      <c r="L744" t="s">
        <v>2567</v>
      </c>
      <c r="M744" t="s">
        <v>2927</v>
      </c>
    </row>
    <row r="745" spans="1:13" hidden="1" x14ac:dyDescent="0.35">
      <c r="A745" t="s">
        <v>752</v>
      </c>
      <c r="B745" t="s">
        <v>2043</v>
      </c>
      <c r="C745" t="s">
        <v>2461</v>
      </c>
      <c r="D745" t="s">
        <v>2465</v>
      </c>
      <c r="E745" t="str">
        <f t="shared" si="22"/>
        <v>VERNIER</v>
      </c>
      <c r="F745" t="s">
        <v>2485</v>
      </c>
      <c r="G745">
        <v>6.83</v>
      </c>
      <c r="H745" t="s">
        <v>2490</v>
      </c>
      <c r="I745">
        <v>0</v>
      </c>
      <c r="J745">
        <v>100</v>
      </c>
      <c r="K745" s="9">
        <f t="shared" si="23"/>
        <v>45431</v>
      </c>
      <c r="L745" t="s">
        <v>2523</v>
      </c>
      <c r="M745" t="s">
        <v>2923</v>
      </c>
    </row>
    <row r="746" spans="1:13" hidden="1" x14ac:dyDescent="0.35">
      <c r="A746" t="s">
        <v>753</v>
      </c>
      <c r="B746" t="s">
        <v>2043</v>
      </c>
      <c r="C746" t="s">
        <v>2461</v>
      </c>
      <c r="D746" t="s">
        <v>2465</v>
      </c>
      <c r="E746" t="str">
        <f t="shared" si="22"/>
        <v>VERNIER</v>
      </c>
      <c r="F746" t="s">
        <v>2481</v>
      </c>
      <c r="G746">
        <v>293.68</v>
      </c>
      <c r="H746" t="s">
        <v>2488</v>
      </c>
      <c r="I746">
        <v>150</v>
      </c>
      <c r="J746">
        <v>400</v>
      </c>
      <c r="K746" s="9">
        <f t="shared" si="23"/>
        <v>45431</v>
      </c>
      <c r="L746" t="s">
        <v>2523</v>
      </c>
      <c r="M746" t="s">
        <v>2925</v>
      </c>
    </row>
    <row r="747" spans="1:13" hidden="1" x14ac:dyDescent="0.35">
      <c r="A747" t="s">
        <v>754</v>
      </c>
      <c r="B747" t="s">
        <v>2324</v>
      </c>
      <c r="C747" t="s">
        <v>2459</v>
      </c>
      <c r="D747" t="s">
        <v>2467</v>
      </c>
      <c r="E747" t="str">
        <f t="shared" si="22"/>
        <v>ASHFORD</v>
      </c>
      <c r="F747" t="s">
        <v>2483</v>
      </c>
      <c r="G747">
        <v>0.47</v>
      </c>
      <c r="H747" t="s">
        <v>2489</v>
      </c>
      <c r="I747">
        <v>0</v>
      </c>
      <c r="J747">
        <v>1</v>
      </c>
      <c r="K747" s="9">
        <f t="shared" si="23"/>
        <v>45828</v>
      </c>
      <c r="L747" t="s">
        <v>2755</v>
      </c>
      <c r="M747" t="s">
        <v>2927</v>
      </c>
    </row>
    <row r="748" spans="1:13" hidden="1" x14ac:dyDescent="0.35">
      <c r="A748" t="s">
        <v>755</v>
      </c>
      <c r="B748" t="s">
        <v>2303</v>
      </c>
      <c r="C748" t="s">
        <v>2460</v>
      </c>
      <c r="D748" t="s">
        <v>2470</v>
      </c>
      <c r="E748" t="str">
        <f t="shared" si="22"/>
        <v>E. HANOVER</v>
      </c>
      <c r="F748" t="s">
        <v>2485</v>
      </c>
      <c r="G748">
        <v>175</v>
      </c>
      <c r="H748" t="s">
        <v>2490</v>
      </c>
      <c r="I748">
        <v>0</v>
      </c>
      <c r="J748">
        <v>100</v>
      </c>
      <c r="K748" s="9">
        <f t="shared" si="23"/>
        <v>45870</v>
      </c>
      <c r="L748" t="s">
        <v>2813</v>
      </c>
      <c r="M748" t="s">
        <v>2930</v>
      </c>
    </row>
    <row r="749" spans="1:13" hidden="1" x14ac:dyDescent="0.35">
      <c r="A749" t="s">
        <v>756</v>
      </c>
      <c r="B749" t="s">
        <v>2398</v>
      </c>
      <c r="C749" t="s">
        <v>2461</v>
      </c>
      <c r="D749" t="s">
        <v>2474</v>
      </c>
      <c r="E749" t="str">
        <f t="shared" si="22"/>
        <v>DORTMUND DE</v>
      </c>
      <c r="F749" t="s">
        <v>2481</v>
      </c>
      <c r="G749">
        <v>250.29</v>
      </c>
      <c r="H749" t="s">
        <v>2488</v>
      </c>
      <c r="I749">
        <v>150</v>
      </c>
      <c r="J749">
        <v>400</v>
      </c>
      <c r="K749" s="9">
        <f t="shared" si="23"/>
        <v>45965</v>
      </c>
      <c r="L749" t="s">
        <v>2814</v>
      </c>
      <c r="M749" t="s">
        <v>2931</v>
      </c>
    </row>
    <row r="750" spans="1:13" hidden="1" x14ac:dyDescent="0.35">
      <c r="A750" t="s">
        <v>757</v>
      </c>
      <c r="B750" t="s">
        <v>2218</v>
      </c>
      <c r="C750" t="s">
        <v>2457</v>
      </c>
      <c r="D750" t="s">
        <v>2474</v>
      </c>
      <c r="E750" t="str">
        <f t="shared" si="22"/>
        <v>DORTMUND DE</v>
      </c>
      <c r="F750" t="s">
        <v>2483</v>
      </c>
      <c r="G750">
        <v>0.11</v>
      </c>
      <c r="H750" t="s">
        <v>2489</v>
      </c>
      <c r="I750">
        <v>0</v>
      </c>
      <c r="J750">
        <v>1</v>
      </c>
      <c r="K750" s="9">
        <f t="shared" si="23"/>
        <v>45621</v>
      </c>
      <c r="L750" t="s">
        <v>2685</v>
      </c>
      <c r="M750" t="s">
        <v>2930</v>
      </c>
    </row>
    <row r="751" spans="1:13" hidden="1" x14ac:dyDescent="0.35">
      <c r="A751" t="s">
        <v>758</v>
      </c>
      <c r="B751" t="s">
        <v>2262</v>
      </c>
      <c r="C751" t="s">
        <v>2459</v>
      </c>
      <c r="D751" t="s">
        <v>2468</v>
      </c>
      <c r="E751" t="str">
        <f t="shared" si="22"/>
        <v>VERNIER CH</v>
      </c>
      <c r="F751" t="s">
        <v>2479</v>
      </c>
      <c r="G751">
        <v>59.55</v>
      </c>
      <c r="H751" t="s">
        <v>2486</v>
      </c>
      <c r="I751">
        <v>0</v>
      </c>
      <c r="J751">
        <v>120</v>
      </c>
      <c r="K751" s="9">
        <f t="shared" si="23"/>
        <v>45659</v>
      </c>
      <c r="L751" t="s">
        <v>2815</v>
      </c>
      <c r="M751" t="s">
        <v>2931</v>
      </c>
    </row>
    <row r="752" spans="1:13" hidden="1" x14ac:dyDescent="0.35">
      <c r="A752" t="s">
        <v>759</v>
      </c>
      <c r="B752" t="s">
        <v>2399</v>
      </c>
      <c r="C752" t="s">
        <v>2459</v>
      </c>
      <c r="D752" t="s">
        <v>2470</v>
      </c>
      <c r="E752" t="str">
        <f t="shared" si="22"/>
        <v>E. HANOVER</v>
      </c>
      <c r="F752" t="s">
        <v>2482</v>
      </c>
      <c r="G752">
        <v>98.89</v>
      </c>
      <c r="H752" t="s">
        <v>2489</v>
      </c>
      <c r="I752">
        <v>97</v>
      </c>
      <c r="J752">
        <v>100</v>
      </c>
      <c r="K752" s="9">
        <f t="shared" si="23"/>
        <v>45669</v>
      </c>
      <c r="L752" t="s">
        <v>2816</v>
      </c>
      <c r="M752" t="s">
        <v>2927</v>
      </c>
    </row>
    <row r="753" spans="1:13" hidden="1" x14ac:dyDescent="0.35">
      <c r="A753" t="s">
        <v>760</v>
      </c>
      <c r="B753" t="s">
        <v>2019</v>
      </c>
      <c r="C753" t="s">
        <v>2461</v>
      </c>
      <c r="D753" t="s">
        <v>2466</v>
      </c>
      <c r="E753" t="str">
        <f t="shared" si="22"/>
        <v>EAST HANOVER</v>
      </c>
      <c r="F753" t="s">
        <v>2484</v>
      </c>
      <c r="G753">
        <v>7.14</v>
      </c>
      <c r="I753">
        <v>6</v>
      </c>
      <c r="J753">
        <v>7.5</v>
      </c>
      <c r="K753" s="9">
        <f t="shared" si="23"/>
        <v>45881</v>
      </c>
      <c r="L753" t="s">
        <v>2499</v>
      </c>
      <c r="M753" t="s">
        <v>2931</v>
      </c>
    </row>
    <row r="754" spans="1:13" hidden="1" x14ac:dyDescent="0.35">
      <c r="A754" t="s">
        <v>761</v>
      </c>
      <c r="B754" t="s">
        <v>2400</v>
      </c>
      <c r="C754" t="s">
        <v>2457</v>
      </c>
      <c r="D754" t="s">
        <v>2469</v>
      </c>
      <c r="E754" t="str">
        <f t="shared" si="22"/>
        <v>DORTMUND</v>
      </c>
      <c r="F754" t="s">
        <v>2484</v>
      </c>
      <c r="G754">
        <v>5.86</v>
      </c>
      <c r="I754">
        <v>6</v>
      </c>
      <c r="J754">
        <v>7.5</v>
      </c>
      <c r="K754" s="9">
        <f t="shared" si="23"/>
        <v>45810</v>
      </c>
      <c r="L754" t="s">
        <v>2655</v>
      </c>
      <c r="M754" t="s">
        <v>2926</v>
      </c>
    </row>
    <row r="755" spans="1:13" hidden="1" x14ac:dyDescent="0.35">
      <c r="A755" t="s">
        <v>762</v>
      </c>
      <c r="B755" t="s">
        <v>2401</v>
      </c>
      <c r="C755" t="s">
        <v>2457</v>
      </c>
      <c r="D755" t="s">
        <v>2477</v>
      </c>
      <c r="E755" t="str">
        <f t="shared" si="22"/>
        <v>BUDAPEST</v>
      </c>
      <c r="F755" t="s">
        <v>2480</v>
      </c>
      <c r="G755">
        <v>0.94</v>
      </c>
      <c r="H755" t="s">
        <v>2487</v>
      </c>
      <c r="I755">
        <v>0.88</v>
      </c>
      <c r="J755">
        <v>0.97</v>
      </c>
      <c r="K755" s="9">
        <f t="shared" si="23"/>
        <v>45660</v>
      </c>
      <c r="L755" t="s">
        <v>2817</v>
      </c>
      <c r="M755" t="s">
        <v>2925</v>
      </c>
    </row>
    <row r="756" spans="1:13" hidden="1" x14ac:dyDescent="0.35">
      <c r="A756" t="s">
        <v>763</v>
      </c>
      <c r="B756" t="s">
        <v>2362</v>
      </c>
      <c r="C756" t="s">
        <v>2457</v>
      </c>
      <c r="D756" t="s">
        <v>2474</v>
      </c>
      <c r="E756" t="str">
        <f t="shared" si="22"/>
        <v>DORTMUND DE</v>
      </c>
      <c r="F756" t="s">
        <v>2485</v>
      </c>
      <c r="G756">
        <v>7.36</v>
      </c>
      <c r="H756" t="s">
        <v>2490</v>
      </c>
      <c r="I756">
        <v>0</v>
      </c>
      <c r="J756">
        <v>100</v>
      </c>
      <c r="K756" s="9">
        <f t="shared" si="23"/>
        <v>45320</v>
      </c>
      <c r="L756" t="s">
        <v>2786</v>
      </c>
      <c r="M756" t="s">
        <v>2924</v>
      </c>
    </row>
    <row r="757" spans="1:13" hidden="1" x14ac:dyDescent="0.35">
      <c r="A757" t="s">
        <v>764</v>
      </c>
      <c r="B757" t="s">
        <v>2307</v>
      </c>
      <c r="C757" t="s">
        <v>2460</v>
      </c>
      <c r="D757" t="s">
        <v>2465</v>
      </c>
      <c r="E757" t="str">
        <f t="shared" si="22"/>
        <v>VERNIER</v>
      </c>
      <c r="F757" t="s">
        <v>2479</v>
      </c>
      <c r="G757">
        <v>31.54</v>
      </c>
      <c r="H757" t="s">
        <v>2486</v>
      </c>
      <c r="I757">
        <v>0</v>
      </c>
      <c r="J757">
        <v>120</v>
      </c>
      <c r="K757" s="9">
        <f t="shared" si="23"/>
        <v>45622</v>
      </c>
      <c r="L757" t="s">
        <v>2743</v>
      </c>
      <c r="M757" t="s">
        <v>2925</v>
      </c>
    </row>
    <row r="758" spans="1:13" hidden="1" x14ac:dyDescent="0.35">
      <c r="A758" t="s">
        <v>765</v>
      </c>
      <c r="B758" t="s">
        <v>2374</v>
      </c>
      <c r="C758" t="s">
        <v>2460</v>
      </c>
      <c r="D758" t="s">
        <v>2462</v>
      </c>
      <c r="E758" t="str">
        <f t="shared" si="22"/>
        <v>ASHFORD UK</v>
      </c>
      <c r="F758" t="s">
        <v>2482</v>
      </c>
      <c r="G758">
        <v>98.88</v>
      </c>
      <c r="H758" t="s">
        <v>2489</v>
      </c>
      <c r="I758">
        <v>97</v>
      </c>
      <c r="J758">
        <v>100</v>
      </c>
      <c r="K758" s="9">
        <f t="shared" si="23"/>
        <v>45494</v>
      </c>
      <c r="L758" t="s">
        <v>2793</v>
      </c>
      <c r="M758" t="s">
        <v>2923</v>
      </c>
    </row>
    <row r="759" spans="1:13" hidden="1" x14ac:dyDescent="0.35">
      <c r="A759" t="s">
        <v>766</v>
      </c>
      <c r="B759" t="s">
        <v>2132</v>
      </c>
      <c r="C759" t="s">
        <v>2457</v>
      </c>
      <c r="D759" t="s">
        <v>2477</v>
      </c>
      <c r="E759" t="str">
        <f t="shared" si="22"/>
        <v>BUDAPEST</v>
      </c>
      <c r="F759" t="s">
        <v>2481</v>
      </c>
      <c r="G759">
        <v>210.78</v>
      </c>
      <c r="H759" t="s">
        <v>2488</v>
      </c>
      <c r="I759">
        <v>150</v>
      </c>
      <c r="J759">
        <v>400</v>
      </c>
      <c r="K759" s="9">
        <f t="shared" si="23"/>
        <v>45493</v>
      </c>
      <c r="L759" t="s">
        <v>2752</v>
      </c>
      <c r="M759" t="s">
        <v>2932</v>
      </c>
    </row>
    <row r="760" spans="1:13" hidden="1" x14ac:dyDescent="0.35">
      <c r="A760" t="s">
        <v>767</v>
      </c>
      <c r="B760" t="s">
        <v>2320</v>
      </c>
      <c r="C760" t="s">
        <v>2457</v>
      </c>
      <c r="D760" t="s">
        <v>2470</v>
      </c>
      <c r="E760" t="str">
        <f t="shared" si="22"/>
        <v>E. HANOVER</v>
      </c>
      <c r="F760" t="s">
        <v>2479</v>
      </c>
      <c r="G760">
        <v>55.88</v>
      </c>
      <c r="H760" t="s">
        <v>2486</v>
      </c>
      <c r="I760">
        <v>0</v>
      </c>
      <c r="J760">
        <v>120</v>
      </c>
      <c r="K760" s="9">
        <f t="shared" si="23"/>
        <v>45595</v>
      </c>
      <c r="L760" t="s">
        <v>2631</v>
      </c>
      <c r="M760" t="s">
        <v>2927</v>
      </c>
    </row>
    <row r="761" spans="1:13" hidden="1" x14ac:dyDescent="0.35">
      <c r="A761" t="s">
        <v>768</v>
      </c>
      <c r="B761" t="s">
        <v>2378</v>
      </c>
      <c r="C761" t="s">
        <v>2457</v>
      </c>
      <c r="D761" t="s">
        <v>2464</v>
      </c>
      <c r="E761" t="str">
        <f t="shared" si="22"/>
        <v>EAST HANOVER</v>
      </c>
      <c r="F761" t="s">
        <v>2479</v>
      </c>
      <c r="G761">
        <v>47.16</v>
      </c>
      <c r="H761" t="s">
        <v>2486</v>
      </c>
      <c r="I761">
        <v>0</v>
      </c>
      <c r="J761">
        <v>120</v>
      </c>
      <c r="K761" s="9">
        <f t="shared" si="23"/>
        <v>45394</v>
      </c>
      <c r="L761" t="s">
        <v>2797</v>
      </c>
      <c r="M761" t="s">
        <v>2926</v>
      </c>
    </row>
    <row r="762" spans="1:13" hidden="1" x14ac:dyDescent="0.35">
      <c r="A762" t="s">
        <v>769</v>
      </c>
      <c r="B762" t="s">
        <v>2098</v>
      </c>
      <c r="C762" t="s">
        <v>2460</v>
      </c>
      <c r="D762" t="s">
        <v>2464</v>
      </c>
      <c r="E762" t="str">
        <f t="shared" si="22"/>
        <v>EAST HANOVER</v>
      </c>
      <c r="F762" t="s">
        <v>2481</v>
      </c>
      <c r="G762">
        <v>266.58</v>
      </c>
      <c r="H762" t="s">
        <v>2488</v>
      </c>
      <c r="I762">
        <v>150</v>
      </c>
      <c r="J762">
        <v>400</v>
      </c>
      <c r="K762" s="9">
        <f t="shared" si="23"/>
        <v>45460</v>
      </c>
      <c r="L762" t="s">
        <v>2576</v>
      </c>
      <c r="M762" t="s">
        <v>2929</v>
      </c>
    </row>
    <row r="763" spans="1:13" hidden="1" x14ac:dyDescent="0.35">
      <c r="A763" t="s">
        <v>770</v>
      </c>
      <c r="B763" t="s">
        <v>2402</v>
      </c>
      <c r="C763" t="s">
        <v>2461</v>
      </c>
      <c r="D763" t="s">
        <v>2464</v>
      </c>
      <c r="E763" t="str">
        <f t="shared" si="22"/>
        <v>EAST HANOVER</v>
      </c>
      <c r="F763" t="s">
        <v>2484</v>
      </c>
      <c r="G763">
        <v>7.23</v>
      </c>
      <c r="I763">
        <v>6</v>
      </c>
      <c r="J763">
        <v>7.5</v>
      </c>
      <c r="K763" s="9">
        <f t="shared" si="23"/>
        <v>45479</v>
      </c>
      <c r="L763" t="s">
        <v>2818</v>
      </c>
      <c r="M763" t="s">
        <v>2924</v>
      </c>
    </row>
    <row r="764" spans="1:13" hidden="1" x14ac:dyDescent="0.35">
      <c r="A764" t="s">
        <v>771</v>
      </c>
      <c r="B764" t="s">
        <v>2080</v>
      </c>
      <c r="C764" t="s">
        <v>2457</v>
      </c>
      <c r="D764" t="s">
        <v>2471</v>
      </c>
      <c r="E764" t="str">
        <f t="shared" si="22"/>
        <v>BUDAPEST</v>
      </c>
      <c r="F764" t="s">
        <v>2485</v>
      </c>
      <c r="G764">
        <v>18.23</v>
      </c>
      <c r="H764" t="s">
        <v>2490</v>
      </c>
      <c r="I764">
        <v>0</v>
      </c>
      <c r="J764">
        <v>100</v>
      </c>
      <c r="K764" s="9">
        <f t="shared" si="23"/>
        <v>45304</v>
      </c>
      <c r="L764" t="s">
        <v>2559</v>
      </c>
      <c r="M764" t="s">
        <v>2924</v>
      </c>
    </row>
    <row r="765" spans="1:13" hidden="1" x14ac:dyDescent="0.35">
      <c r="A765" t="s">
        <v>772</v>
      </c>
      <c r="B765" t="s">
        <v>2255</v>
      </c>
      <c r="C765" t="s">
        <v>2457</v>
      </c>
      <c r="D765" t="s">
        <v>2475</v>
      </c>
      <c r="E765" t="str">
        <f t="shared" si="22"/>
        <v>ASHFORD</v>
      </c>
      <c r="F765" t="s">
        <v>2482</v>
      </c>
      <c r="G765">
        <v>98.13</v>
      </c>
      <c r="H765" t="s">
        <v>2489</v>
      </c>
      <c r="I765">
        <v>97</v>
      </c>
      <c r="J765">
        <v>100</v>
      </c>
      <c r="K765" s="9">
        <f t="shared" si="23"/>
        <v>45451</v>
      </c>
      <c r="L765" t="s">
        <v>2706</v>
      </c>
      <c r="M765" t="s">
        <v>2924</v>
      </c>
    </row>
    <row r="766" spans="1:13" hidden="1" x14ac:dyDescent="0.35">
      <c r="A766" t="s">
        <v>773</v>
      </c>
      <c r="B766" t="s">
        <v>2220</v>
      </c>
      <c r="C766" t="s">
        <v>2457</v>
      </c>
      <c r="D766" t="s">
        <v>2465</v>
      </c>
      <c r="E766" t="str">
        <f t="shared" si="22"/>
        <v>VERNIER</v>
      </c>
      <c r="F766" t="s">
        <v>2480</v>
      </c>
      <c r="G766">
        <v>0.88</v>
      </c>
      <c r="H766" t="s">
        <v>2487</v>
      </c>
      <c r="I766">
        <v>0.88</v>
      </c>
      <c r="J766">
        <v>0.97</v>
      </c>
      <c r="K766" s="9">
        <f t="shared" si="23"/>
        <v>45889</v>
      </c>
      <c r="L766" t="s">
        <v>2570</v>
      </c>
      <c r="M766" t="s">
        <v>2926</v>
      </c>
    </row>
    <row r="767" spans="1:13" x14ac:dyDescent="0.35">
      <c r="A767" t="s">
        <v>774</v>
      </c>
      <c r="B767" t="s">
        <v>2136</v>
      </c>
      <c r="C767" t="s">
        <v>2458</v>
      </c>
      <c r="D767" t="s">
        <v>2473</v>
      </c>
      <c r="E767" t="str">
        <f t="shared" si="22"/>
        <v>DORTMUND</v>
      </c>
      <c r="F767" t="s">
        <v>2479</v>
      </c>
      <c r="H767" t="s">
        <v>2486</v>
      </c>
      <c r="I767">
        <v>0</v>
      </c>
      <c r="J767">
        <v>120</v>
      </c>
      <c r="K767" s="9">
        <f t="shared" si="23"/>
        <v>45534</v>
      </c>
      <c r="L767" t="s">
        <v>2568</v>
      </c>
      <c r="M767" t="s">
        <v>2926</v>
      </c>
    </row>
    <row r="768" spans="1:13" hidden="1" x14ac:dyDescent="0.35">
      <c r="A768" t="s">
        <v>775</v>
      </c>
      <c r="B768" t="s">
        <v>2023</v>
      </c>
      <c r="C768" t="s">
        <v>2460</v>
      </c>
      <c r="D768" t="s">
        <v>2464</v>
      </c>
      <c r="E768" t="str">
        <f t="shared" si="22"/>
        <v>EAST HANOVER</v>
      </c>
      <c r="F768" t="s">
        <v>2485</v>
      </c>
      <c r="G768">
        <v>44.47</v>
      </c>
      <c r="H768" t="s">
        <v>2490</v>
      </c>
      <c r="I768">
        <v>0</v>
      </c>
      <c r="J768">
        <v>100</v>
      </c>
      <c r="K768" s="9">
        <f t="shared" si="23"/>
        <v>46016</v>
      </c>
      <c r="L768" t="s">
        <v>2503</v>
      </c>
      <c r="M768" t="s">
        <v>2923</v>
      </c>
    </row>
    <row r="769" spans="1:13" hidden="1" x14ac:dyDescent="0.35">
      <c r="A769" t="s">
        <v>776</v>
      </c>
      <c r="B769" t="s">
        <v>2075</v>
      </c>
      <c r="C769" t="s">
        <v>2461</v>
      </c>
      <c r="D769" t="s">
        <v>2477</v>
      </c>
      <c r="E769" t="str">
        <f t="shared" si="22"/>
        <v>BUDAPEST</v>
      </c>
      <c r="F769" t="s">
        <v>2482</v>
      </c>
      <c r="G769">
        <v>98.79</v>
      </c>
      <c r="H769" t="s">
        <v>2489</v>
      </c>
      <c r="I769">
        <v>97</v>
      </c>
      <c r="J769">
        <v>100</v>
      </c>
      <c r="K769" s="9">
        <f t="shared" si="23"/>
        <v>45686</v>
      </c>
      <c r="L769" t="s">
        <v>2554</v>
      </c>
      <c r="M769" t="s">
        <v>2923</v>
      </c>
    </row>
    <row r="770" spans="1:13" hidden="1" x14ac:dyDescent="0.35">
      <c r="A770" t="s">
        <v>777</v>
      </c>
      <c r="B770" t="s">
        <v>2398</v>
      </c>
      <c r="C770" t="s">
        <v>2461</v>
      </c>
      <c r="D770" t="s">
        <v>2473</v>
      </c>
      <c r="E770" t="str">
        <f t="shared" si="22"/>
        <v>DORTMUND</v>
      </c>
      <c r="F770" t="s">
        <v>2482</v>
      </c>
      <c r="G770">
        <v>98.95</v>
      </c>
      <c r="H770" t="s">
        <v>2489</v>
      </c>
      <c r="I770">
        <v>97</v>
      </c>
      <c r="J770">
        <v>100</v>
      </c>
      <c r="K770" s="9">
        <f t="shared" si="23"/>
        <v>45965</v>
      </c>
      <c r="L770" t="s">
        <v>2819</v>
      </c>
      <c r="M770" t="s">
        <v>2923</v>
      </c>
    </row>
    <row r="771" spans="1:13" hidden="1" x14ac:dyDescent="0.35">
      <c r="A771" t="s">
        <v>778</v>
      </c>
      <c r="B771" t="s">
        <v>2224</v>
      </c>
      <c r="C771" t="s">
        <v>2460</v>
      </c>
      <c r="D771" t="s">
        <v>2464</v>
      </c>
      <c r="E771" t="str">
        <f t="shared" ref="E771:E834" si="24">UPPER(D771)</f>
        <v>EAST HANOVER</v>
      </c>
      <c r="F771" t="s">
        <v>2484</v>
      </c>
      <c r="G771">
        <v>6.78</v>
      </c>
      <c r="I771">
        <v>6</v>
      </c>
      <c r="J771">
        <v>7.5</v>
      </c>
      <c r="K771" s="9">
        <f t="shared" ref="K771:K834" si="25">IF(L771="","",
IF(MID(L771,5,1)="-",
DATE(LEFT(L771,4),MID(L771,6,2),RIGHT(L771,2)),
DATE(RIGHT(L771,4),MID(L771,4,2),LEFT(L771,2))
))</f>
        <v>45831</v>
      </c>
      <c r="L771" t="s">
        <v>2540</v>
      </c>
      <c r="M771" t="s">
        <v>2926</v>
      </c>
    </row>
    <row r="772" spans="1:13" hidden="1" x14ac:dyDescent="0.35">
      <c r="A772" t="s">
        <v>779</v>
      </c>
      <c r="B772" t="s">
        <v>2352</v>
      </c>
      <c r="C772" t="s">
        <v>2457</v>
      </c>
      <c r="D772" t="s">
        <v>2473</v>
      </c>
      <c r="E772" t="str">
        <f t="shared" si="24"/>
        <v>DORTMUND</v>
      </c>
      <c r="F772" t="s">
        <v>2485</v>
      </c>
      <c r="G772">
        <v>-11.03</v>
      </c>
      <c r="H772" t="s">
        <v>2490</v>
      </c>
      <c r="I772">
        <v>0</v>
      </c>
      <c r="J772">
        <v>100</v>
      </c>
      <c r="K772" s="9">
        <f t="shared" si="25"/>
        <v>45416</v>
      </c>
      <c r="L772" t="s">
        <v>2553</v>
      </c>
      <c r="M772" t="s">
        <v>2929</v>
      </c>
    </row>
    <row r="773" spans="1:13" hidden="1" x14ac:dyDescent="0.35">
      <c r="A773" t="s">
        <v>780</v>
      </c>
      <c r="B773" t="s">
        <v>2273</v>
      </c>
      <c r="C773" t="s">
        <v>2459</v>
      </c>
      <c r="D773" t="s">
        <v>2471</v>
      </c>
      <c r="E773" t="str">
        <f t="shared" si="24"/>
        <v>BUDAPEST</v>
      </c>
      <c r="F773" t="s">
        <v>2479</v>
      </c>
      <c r="G773">
        <v>55.99</v>
      </c>
      <c r="H773" t="s">
        <v>2486</v>
      </c>
      <c r="I773">
        <v>0</v>
      </c>
      <c r="J773">
        <v>120</v>
      </c>
      <c r="K773" s="9">
        <f t="shared" si="25"/>
        <v>45657</v>
      </c>
      <c r="L773" t="s">
        <v>2721</v>
      </c>
      <c r="M773" t="s">
        <v>2923</v>
      </c>
    </row>
    <row r="774" spans="1:13" hidden="1" x14ac:dyDescent="0.35">
      <c r="A774" t="s">
        <v>781</v>
      </c>
      <c r="B774" t="s">
        <v>2395</v>
      </c>
      <c r="C774" t="s">
        <v>2457</v>
      </c>
      <c r="D774" t="s">
        <v>2478</v>
      </c>
      <c r="E774" t="str">
        <f t="shared" si="24"/>
        <v>BUD</v>
      </c>
      <c r="F774" t="s">
        <v>2484</v>
      </c>
      <c r="G774">
        <v>6.74</v>
      </c>
      <c r="I774">
        <v>6</v>
      </c>
      <c r="J774">
        <v>7.5</v>
      </c>
      <c r="K774" s="9">
        <f t="shared" si="25"/>
        <v>45737</v>
      </c>
      <c r="L774" t="s">
        <v>2643</v>
      </c>
      <c r="M774" t="s">
        <v>2926</v>
      </c>
    </row>
    <row r="775" spans="1:13" hidden="1" x14ac:dyDescent="0.35">
      <c r="A775" t="s">
        <v>782</v>
      </c>
      <c r="B775" t="s">
        <v>2349</v>
      </c>
      <c r="C775" t="s">
        <v>2461</v>
      </c>
      <c r="D775" t="s">
        <v>2464</v>
      </c>
      <c r="E775" t="str">
        <f t="shared" si="24"/>
        <v>EAST HANOVER</v>
      </c>
      <c r="F775" t="s">
        <v>2483</v>
      </c>
      <c r="G775">
        <v>0.25</v>
      </c>
      <c r="H775" t="s">
        <v>2489</v>
      </c>
      <c r="I775">
        <v>0</v>
      </c>
      <c r="J775">
        <v>1</v>
      </c>
      <c r="K775" s="9">
        <f t="shared" si="25"/>
        <v>45451</v>
      </c>
      <c r="L775" t="s">
        <v>2706</v>
      </c>
      <c r="M775" t="s">
        <v>2925</v>
      </c>
    </row>
    <row r="776" spans="1:13" hidden="1" x14ac:dyDescent="0.35">
      <c r="A776" t="s">
        <v>783</v>
      </c>
      <c r="B776" t="s">
        <v>2403</v>
      </c>
      <c r="C776" t="s">
        <v>2460</v>
      </c>
      <c r="D776" t="s">
        <v>2470</v>
      </c>
      <c r="E776" t="str">
        <f t="shared" si="24"/>
        <v>E. HANOVER</v>
      </c>
      <c r="F776" t="s">
        <v>2481</v>
      </c>
      <c r="G776">
        <v>231.78</v>
      </c>
      <c r="H776" t="s">
        <v>2488</v>
      </c>
      <c r="I776">
        <v>150</v>
      </c>
      <c r="J776">
        <v>400</v>
      </c>
      <c r="K776" s="9">
        <f t="shared" si="25"/>
        <v>45567</v>
      </c>
      <c r="L776" t="s">
        <v>2820</v>
      </c>
      <c r="M776" t="s">
        <v>2927</v>
      </c>
    </row>
    <row r="777" spans="1:13" hidden="1" x14ac:dyDescent="0.35">
      <c r="A777" t="s">
        <v>784</v>
      </c>
      <c r="B777" t="s">
        <v>2389</v>
      </c>
      <c r="C777" t="s">
        <v>2460</v>
      </c>
      <c r="D777" t="s">
        <v>2473</v>
      </c>
      <c r="E777" t="str">
        <f t="shared" si="24"/>
        <v>DORTMUND</v>
      </c>
      <c r="F777" t="s">
        <v>2485</v>
      </c>
      <c r="G777">
        <v>57.09</v>
      </c>
      <c r="H777" t="s">
        <v>2490</v>
      </c>
      <c r="I777">
        <v>0</v>
      </c>
      <c r="J777">
        <v>100</v>
      </c>
      <c r="K777" s="9">
        <f t="shared" si="25"/>
        <v>45546</v>
      </c>
      <c r="L777" t="s">
        <v>2806</v>
      </c>
      <c r="M777" t="s">
        <v>2926</v>
      </c>
    </row>
    <row r="778" spans="1:13" hidden="1" x14ac:dyDescent="0.35">
      <c r="A778" t="s">
        <v>785</v>
      </c>
      <c r="B778" t="s">
        <v>2404</v>
      </c>
      <c r="C778" t="s">
        <v>2458</v>
      </c>
      <c r="D778" t="s">
        <v>2473</v>
      </c>
      <c r="E778" t="str">
        <f t="shared" si="24"/>
        <v>DORTMUND</v>
      </c>
      <c r="F778" t="s">
        <v>2485</v>
      </c>
      <c r="G778">
        <v>16.03</v>
      </c>
      <c r="H778" t="s">
        <v>2490</v>
      </c>
      <c r="I778">
        <v>0</v>
      </c>
      <c r="J778">
        <v>100</v>
      </c>
      <c r="K778" s="9">
        <f t="shared" si="25"/>
        <v>45368</v>
      </c>
      <c r="L778" t="s">
        <v>2684</v>
      </c>
      <c r="M778" t="s">
        <v>2927</v>
      </c>
    </row>
    <row r="779" spans="1:13" hidden="1" x14ac:dyDescent="0.35">
      <c r="A779" t="s">
        <v>786</v>
      </c>
      <c r="B779" t="s">
        <v>2332</v>
      </c>
      <c r="C779" t="s">
        <v>2461</v>
      </c>
      <c r="D779" t="s">
        <v>2467</v>
      </c>
      <c r="E779" t="str">
        <f t="shared" si="24"/>
        <v>ASHFORD</v>
      </c>
      <c r="F779" t="s">
        <v>2484</v>
      </c>
      <c r="G779">
        <v>6.35</v>
      </c>
      <c r="I779">
        <v>6</v>
      </c>
      <c r="J779">
        <v>7.5</v>
      </c>
      <c r="K779" s="9">
        <f t="shared" si="25"/>
        <v>45649</v>
      </c>
      <c r="L779" t="s">
        <v>2821</v>
      </c>
      <c r="M779" t="s">
        <v>2930</v>
      </c>
    </row>
    <row r="780" spans="1:13" hidden="1" x14ac:dyDescent="0.35">
      <c r="A780" t="s">
        <v>787</v>
      </c>
      <c r="B780" t="s">
        <v>2201</v>
      </c>
      <c r="C780" t="s">
        <v>2460</v>
      </c>
      <c r="D780" t="s">
        <v>2475</v>
      </c>
      <c r="E780" t="str">
        <f t="shared" si="24"/>
        <v>ASHFORD</v>
      </c>
      <c r="F780" t="s">
        <v>2481</v>
      </c>
      <c r="G780">
        <v>289.41000000000003</v>
      </c>
      <c r="H780" t="s">
        <v>2488</v>
      </c>
      <c r="I780">
        <v>150</v>
      </c>
      <c r="J780">
        <v>400</v>
      </c>
      <c r="K780" s="9">
        <f t="shared" si="25"/>
        <v>45947</v>
      </c>
      <c r="L780" t="s">
        <v>2672</v>
      </c>
      <c r="M780" t="s">
        <v>2928</v>
      </c>
    </row>
    <row r="781" spans="1:13" hidden="1" x14ac:dyDescent="0.35">
      <c r="A781" t="s">
        <v>788</v>
      </c>
      <c r="B781" t="s">
        <v>2405</v>
      </c>
      <c r="C781" t="s">
        <v>2457</v>
      </c>
      <c r="D781" t="s">
        <v>2470</v>
      </c>
      <c r="E781" t="str">
        <f t="shared" si="24"/>
        <v>E. HANOVER</v>
      </c>
      <c r="F781" t="s">
        <v>2481</v>
      </c>
      <c r="G781">
        <v>272.42</v>
      </c>
      <c r="H781" t="s">
        <v>2488</v>
      </c>
      <c r="I781">
        <v>150</v>
      </c>
      <c r="J781">
        <v>400</v>
      </c>
      <c r="K781" s="9">
        <f t="shared" si="25"/>
        <v>45926</v>
      </c>
      <c r="L781" t="s">
        <v>2822</v>
      </c>
      <c r="M781" t="s">
        <v>2931</v>
      </c>
    </row>
    <row r="782" spans="1:13" hidden="1" x14ac:dyDescent="0.35">
      <c r="A782" t="s">
        <v>789</v>
      </c>
      <c r="B782" t="s">
        <v>2357</v>
      </c>
      <c r="C782" t="s">
        <v>2459</v>
      </c>
      <c r="D782" t="s">
        <v>2467</v>
      </c>
      <c r="E782" t="str">
        <f t="shared" si="24"/>
        <v>ASHFORD</v>
      </c>
      <c r="F782" t="s">
        <v>2481</v>
      </c>
      <c r="G782">
        <v>217.55</v>
      </c>
      <c r="H782" t="s">
        <v>2488</v>
      </c>
      <c r="I782">
        <v>150</v>
      </c>
      <c r="J782">
        <v>400</v>
      </c>
      <c r="K782" s="9">
        <f t="shared" si="25"/>
        <v>45388</v>
      </c>
      <c r="L782" t="s">
        <v>2583</v>
      </c>
      <c r="M782" t="s">
        <v>2925</v>
      </c>
    </row>
    <row r="783" spans="1:13" x14ac:dyDescent="0.35">
      <c r="A783" t="s">
        <v>790</v>
      </c>
      <c r="B783" t="s">
        <v>2194</v>
      </c>
      <c r="C783" t="s">
        <v>2457</v>
      </c>
      <c r="D783" t="s">
        <v>2477</v>
      </c>
      <c r="E783" t="str">
        <f t="shared" si="24"/>
        <v>BUDAPEST</v>
      </c>
      <c r="F783" t="s">
        <v>2484</v>
      </c>
      <c r="I783">
        <v>6</v>
      </c>
      <c r="J783">
        <v>7.5</v>
      </c>
      <c r="K783" s="9">
        <f t="shared" si="25"/>
        <v>45645</v>
      </c>
      <c r="L783" t="s">
        <v>2665</v>
      </c>
      <c r="M783" t="s">
        <v>2926</v>
      </c>
    </row>
    <row r="784" spans="1:13" hidden="1" x14ac:dyDescent="0.35">
      <c r="A784" t="s">
        <v>791</v>
      </c>
      <c r="B784" t="s">
        <v>2406</v>
      </c>
      <c r="C784" t="s">
        <v>2459</v>
      </c>
      <c r="D784" t="s">
        <v>2472</v>
      </c>
      <c r="E784" t="str">
        <f t="shared" si="24"/>
        <v>VERNIER</v>
      </c>
      <c r="F784" t="s">
        <v>2484</v>
      </c>
      <c r="G784">
        <v>6.65</v>
      </c>
      <c r="I784">
        <v>6</v>
      </c>
      <c r="J784">
        <v>7.5</v>
      </c>
      <c r="K784" s="9">
        <f t="shared" si="25"/>
        <v>45345</v>
      </c>
      <c r="L784" t="s">
        <v>2589</v>
      </c>
      <c r="M784" t="s">
        <v>2923</v>
      </c>
    </row>
    <row r="785" spans="1:13" hidden="1" x14ac:dyDescent="0.35">
      <c r="A785" t="s">
        <v>792</v>
      </c>
      <c r="B785" t="s">
        <v>2188</v>
      </c>
      <c r="C785" t="s">
        <v>2457</v>
      </c>
      <c r="D785" t="s">
        <v>2462</v>
      </c>
      <c r="E785" t="str">
        <f t="shared" si="24"/>
        <v>ASHFORD UK</v>
      </c>
      <c r="F785" t="s">
        <v>2483</v>
      </c>
      <c r="G785">
        <v>0.5</v>
      </c>
      <c r="H785" t="s">
        <v>2489</v>
      </c>
      <c r="I785">
        <v>0</v>
      </c>
      <c r="J785">
        <v>1</v>
      </c>
      <c r="K785" s="9">
        <f t="shared" si="25"/>
        <v>45916</v>
      </c>
      <c r="L785" t="s">
        <v>2624</v>
      </c>
      <c r="M785" t="s">
        <v>2927</v>
      </c>
    </row>
    <row r="786" spans="1:13" hidden="1" x14ac:dyDescent="0.35">
      <c r="A786" t="s">
        <v>793</v>
      </c>
      <c r="B786" t="s">
        <v>2142</v>
      </c>
      <c r="C786" t="s">
        <v>2458</v>
      </c>
      <c r="D786" t="s">
        <v>2466</v>
      </c>
      <c r="E786" t="str">
        <f t="shared" si="24"/>
        <v>EAST HANOVER</v>
      </c>
      <c r="F786" t="s">
        <v>2485</v>
      </c>
      <c r="G786">
        <v>-2.33</v>
      </c>
      <c r="H786" t="s">
        <v>2490</v>
      </c>
      <c r="I786">
        <v>0</v>
      </c>
      <c r="J786">
        <v>100</v>
      </c>
      <c r="K786" s="9">
        <f t="shared" si="25"/>
        <v>45942</v>
      </c>
      <c r="L786" t="s">
        <v>2823</v>
      </c>
      <c r="M786" t="s">
        <v>2931</v>
      </c>
    </row>
    <row r="787" spans="1:13" hidden="1" x14ac:dyDescent="0.35">
      <c r="A787" t="s">
        <v>321</v>
      </c>
      <c r="B787" t="s">
        <v>2247</v>
      </c>
      <c r="C787" t="s">
        <v>2461</v>
      </c>
      <c r="D787" t="s">
        <v>2462</v>
      </c>
      <c r="E787" t="str">
        <f t="shared" si="24"/>
        <v>ASHFORD UK</v>
      </c>
      <c r="F787" t="s">
        <v>2485</v>
      </c>
      <c r="G787">
        <v>-30.26</v>
      </c>
      <c r="H787" t="s">
        <v>2490</v>
      </c>
      <c r="I787">
        <v>0</v>
      </c>
      <c r="J787">
        <v>100</v>
      </c>
      <c r="K787" s="9">
        <f t="shared" si="25"/>
        <v>45307</v>
      </c>
      <c r="L787" t="s">
        <v>2700</v>
      </c>
      <c r="M787" t="s">
        <v>2926</v>
      </c>
    </row>
    <row r="788" spans="1:13" hidden="1" x14ac:dyDescent="0.35">
      <c r="A788" t="s">
        <v>794</v>
      </c>
      <c r="B788" t="s">
        <v>2407</v>
      </c>
      <c r="C788" t="s">
        <v>2461</v>
      </c>
      <c r="D788" t="s">
        <v>2464</v>
      </c>
      <c r="E788" t="str">
        <f t="shared" si="24"/>
        <v>EAST HANOVER</v>
      </c>
      <c r="F788" t="s">
        <v>2480</v>
      </c>
      <c r="G788">
        <v>0.91</v>
      </c>
      <c r="H788" t="s">
        <v>2487</v>
      </c>
      <c r="I788">
        <v>0.88</v>
      </c>
      <c r="J788">
        <v>0.97</v>
      </c>
      <c r="K788" s="9">
        <f t="shared" si="25"/>
        <v>45527</v>
      </c>
      <c r="L788" t="s">
        <v>2824</v>
      </c>
      <c r="M788" t="s">
        <v>2929</v>
      </c>
    </row>
    <row r="789" spans="1:13" hidden="1" x14ac:dyDescent="0.35">
      <c r="A789" t="s">
        <v>795</v>
      </c>
      <c r="B789" t="s">
        <v>2113</v>
      </c>
      <c r="C789" t="s">
        <v>2458</v>
      </c>
      <c r="D789" t="s">
        <v>2464</v>
      </c>
      <c r="E789" t="str">
        <f t="shared" si="24"/>
        <v>EAST HANOVER</v>
      </c>
      <c r="F789" t="s">
        <v>2479</v>
      </c>
      <c r="G789">
        <v>180</v>
      </c>
      <c r="H789" t="s">
        <v>2486</v>
      </c>
      <c r="I789">
        <v>0</v>
      </c>
      <c r="J789">
        <v>120</v>
      </c>
      <c r="K789" s="9">
        <f t="shared" si="25"/>
        <v>45345</v>
      </c>
      <c r="L789" t="s">
        <v>2589</v>
      </c>
      <c r="M789" t="s">
        <v>2931</v>
      </c>
    </row>
    <row r="790" spans="1:13" hidden="1" x14ac:dyDescent="0.35">
      <c r="A790" t="s">
        <v>796</v>
      </c>
      <c r="B790" t="s">
        <v>2251</v>
      </c>
      <c r="C790" t="s">
        <v>2461</v>
      </c>
      <c r="D790" t="s">
        <v>2475</v>
      </c>
      <c r="E790" t="str">
        <f t="shared" si="24"/>
        <v>ASHFORD</v>
      </c>
      <c r="F790" t="s">
        <v>2485</v>
      </c>
      <c r="G790">
        <v>11.75</v>
      </c>
      <c r="H790" t="s">
        <v>2490</v>
      </c>
      <c r="I790">
        <v>0</v>
      </c>
      <c r="J790">
        <v>100</v>
      </c>
      <c r="K790" s="9">
        <f t="shared" si="25"/>
        <v>45441</v>
      </c>
      <c r="L790" t="s">
        <v>2699</v>
      </c>
      <c r="M790" t="s">
        <v>2923</v>
      </c>
    </row>
    <row r="791" spans="1:13" hidden="1" x14ac:dyDescent="0.35">
      <c r="A791" t="s">
        <v>797</v>
      </c>
      <c r="B791" t="s">
        <v>2408</v>
      </c>
      <c r="C791" t="s">
        <v>2461</v>
      </c>
      <c r="D791" t="s">
        <v>2465</v>
      </c>
      <c r="E791" t="str">
        <f t="shared" si="24"/>
        <v>VERNIER</v>
      </c>
      <c r="F791" t="s">
        <v>2485</v>
      </c>
      <c r="G791">
        <v>49.2</v>
      </c>
      <c r="H791" t="s">
        <v>2490</v>
      </c>
      <c r="I791">
        <v>0</v>
      </c>
      <c r="J791">
        <v>100</v>
      </c>
      <c r="K791" s="9">
        <f t="shared" si="25"/>
        <v>45702</v>
      </c>
      <c r="L791" t="s">
        <v>2825</v>
      </c>
      <c r="M791" t="s">
        <v>2931</v>
      </c>
    </row>
    <row r="792" spans="1:13" hidden="1" x14ac:dyDescent="0.35">
      <c r="A792" t="s">
        <v>798</v>
      </c>
      <c r="B792" t="s">
        <v>2179</v>
      </c>
      <c r="C792" t="s">
        <v>2460</v>
      </c>
      <c r="D792" t="s">
        <v>2474</v>
      </c>
      <c r="E792" t="str">
        <f t="shared" si="24"/>
        <v>DORTMUND DE</v>
      </c>
      <c r="F792" t="s">
        <v>2482</v>
      </c>
      <c r="G792">
        <v>98.18</v>
      </c>
      <c r="H792" t="s">
        <v>2489</v>
      </c>
      <c r="I792">
        <v>97</v>
      </c>
      <c r="J792">
        <v>100</v>
      </c>
      <c r="K792" s="9">
        <f t="shared" si="25"/>
        <v>45693</v>
      </c>
      <c r="L792" t="s">
        <v>2651</v>
      </c>
      <c r="M792" t="s">
        <v>2931</v>
      </c>
    </row>
    <row r="793" spans="1:13" hidden="1" x14ac:dyDescent="0.35">
      <c r="A793" t="s">
        <v>799</v>
      </c>
      <c r="B793" t="s">
        <v>2409</v>
      </c>
      <c r="C793" t="s">
        <v>2459</v>
      </c>
      <c r="D793" t="s">
        <v>2466</v>
      </c>
      <c r="E793" t="str">
        <f t="shared" si="24"/>
        <v>EAST HANOVER</v>
      </c>
      <c r="F793" t="s">
        <v>2484</v>
      </c>
      <c r="G793">
        <v>6.84</v>
      </c>
      <c r="I793">
        <v>6</v>
      </c>
      <c r="J793">
        <v>7.5</v>
      </c>
      <c r="K793" s="9">
        <f t="shared" si="25"/>
        <v>45416</v>
      </c>
      <c r="L793" t="s">
        <v>2553</v>
      </c>
      <c r="M793" t="s">
        <v>2925</v>
      </c>
    </row>
    <row r="794" spans="1:13" hidden="1" x14ac:dyDescent="0.35">
      <c r="A794" t="s">
        <v>800</v>
      </c>
      <c r="B794" t="s">
        <v>2410</v>
      </c>
      <c r="C794" t="s">
        <v>2457</v>
      </c>
      <c r="D794" t="s">
        <v>2469</v>
      </c>
      <c r="E794" t="str">
        <f t="shared" si="24"/>
        <v>DORTMUND</v>
      </c>
      <c r="F794" t="s">
        <v>2481</v>
      </c>
      <c r="G794">
        <v>193.13</v>
      </c>
      <c r="H794" t="s">
        <v>2488</v>
      </c>
      <c r="I794">
        <v>150</v>
      </c>
      <c r="J794">
        <v>400</v>
      </c>
      <c r="K794" s="9">
        <f t="shared" si="25"/>
        <v>45832</v>
      </c>
      <c r="L794" t="s">
        <v>2826</v>
      </c>
      <c r="M794" t="s">
        <v>2931</v>
      </c>
    </row>
    <row r="795" spans="1:13" hidden="1" x14ac:dyDescent="0.35">
      <c r="A795" t="s">
        <v>801</v>
      </c>
      <c r="B795" t="s">
        <v>2306</v>
      </c>
      <c r="C795" t="s">
        <v>2461</v>
      </c>
      <c r="D795" t="s">
        <v>2476</v>
      </c>
      <c r="E795" t="str">
        <f t="shared" si="24"/>
        <v>BUDAPEST SITE</v>
      </c>
      <c r="F795" t="s">
        <v>2483</v>
      </c>
      <c r="G795">
        <v>0.49</v>
      </c>
      <c r="H795" t="s">
        <v>2489</v>
      </c>
      <c r="I795">
        <v>0</v>
      </c>
      <c r="J795">
        <v>1</v>
      </c>
      <c r="K795" s="9">
        <f t="shared" si="25"/>
        <v>45909</v>
      </c>
      <c r="L795" t="s">
        <v>2827</v>
      </c>
      <c r="M795" t="s">
        <v>2924</v>
      </c>
    </row>
    <row r="796" spans="1:13" hidden="1" x14ac:dyDescent="0.35">
      <c r="A796" t="s">
        <v>802</v>
      </c>
      <c r="B796" t="s">
        <v>2411</v>
      </c>
      <c r="C796" t="s">
        <v>2457</v>
      </c>
      <c r="D796" t="s">
        <v>2466</v>
      </c>
      <c r="E796" t="str">
        <f t="shared" si="24"/>
        <v>EAST HANOVER</v>
      </c>
      <c r="F796" t="s">
        <v>2482</v>
      </c>
      <c r="G796">
        <v>98.27</v>
      </c>
      <c r="H796" t="s">
        <v>2489</v>
      </c>
      <c r="I796">
        <v>97</v>
      </c>
      <c r="J796">
        <v>100</v>
      </c>
      <c r="K796" s="9">
        <f t="shared" si="25"/>
        <v>45612</v>
      </c>
      <c r="L796" t="s">
        <v>2828</v>
      </c>
      <c r="M796" t="s">
        <v>2925</v>
      </c>
    </row>
    <row r="797" spans="1:13" hidden="1" x14ac:dyDescent="0.35">
      <c r="A797" t="s">
        <v>803</v>
      </c>
      <c r="B797" t="s">
        <v>2412</v>
      </c>
      <c r="C797" t="s">
        <v>2461</v>
      </c>
      <c r="D797" t="s">
        <v>2465</v>
      </c>
      <c r="E797" t="str">
        <f t="shared" si="24"/>
        <v>VERNIER</v>
      </c>
      <c r="F797" t="s">
        <v>2482</v>
      </c>
      <c r="G797">
        <v>98.42</v>
      </c>
      <c r="H797" t="s">
        <v>2489</v>
      </c>
      <c r="I797">
        <v>97</v>
      </c>
      <c r="J797">
        <v>100</v>
      </c>
      <c r="K797" s="9">
        <f t="shared" si="25"/>
        <v>45937</v>
      </c>
      <c r="L797" t="s">
        <v>2829</v>
      </c>
      <c r="M797" t="s">
        <v>2923</v>
      </c>
    </row>
    <row r="798" spans="1:13" hidden="1" x14ac:dyDescent="0.35">
      <c r="A798" t="s">
        <v>804</v>
      </c>
      <c r="B798" t="s">
        <v>2263</v>
      </c>
      <c r="C798" t="s">
        <v>2459</v>
      </c>
      <c r="D798" t="s">
        <v>2474</v>
      </c>
      <c r="E798" t="str">
        <f t="shared" si="24"/>
        <v>DORTMUND DE</v>
      </c>
      <c r="F798" t="s">
        <v>2483</v>
      </c>
      <c r="G798">
        <v>0.3</v>
      </c>
      <c r="H798" t="s">
        <v>2489</v>
      </c>
      <c r="I798">
        <v>0</v>
      </c>
      <c r="J798">
        <v>1</v>
      </c>
      <c r="K798" s="9">
        <f t="shared" si="25"/>
        <v>45573</v>
      </c>
      <c r="L798" t="s">
        <v>2581</v>
      </c>
      <c r="M798" t="s">
        <v>2932</v>
      </c>
    </row>
    <row r="799" spans="1:13" hidden="1" x14ac:dyDescent="0.35">
      <c r="A799" t="s">
        <v>805</v>
      </c>
      <c r="B799" t="s">
        <v>2212</v>
      </c>
      <c r="C799" t="s">
        <v>2460</v>
      </c>
      <c r="D799" t="s">
        <v>2462</v>
      </c>
      <c r="E799" t="str">
        <f t="shared" si="24"/>
        <v>ASHFORD UK</v>
      </c>
      <c r="F799" t="s">
        <v>2482</v>
      </c>
      <c r="G799">
        <v>97.31</v>
      </c>
      <c r="H799" t="s">
        <v>2489</v>
      </c>
      <c r="I799">
        <v>97</v>
      </c>
      <c r="J799">
        <v>100</v>
      </c>
      <c r="K799" s="9">
        <f t="shared" si="25"/>
        <v>45449</v>
      </c>
      <c r="L799" t="s">
        <v>2679</v>
      </c>
      <c r="M799" t="s">
        <v>2932</v>
      </c>
    </row>
    <row r="800" spans="1:13" hidden="1" x14ac:dyDescent="0.35">
      <c r="A800" t="s">
        <v>806</v>
      </c>
      <c r="B800" t="s">
        <v>2295</v>
      </c>
      <c r="C800" t="s">
        <v>2459</v>
      </c>
      <c r="D800" t="s">
        <v>2472</v>
      </c>
      <c r="E800" t="str">
        <f t="shared" si="24"/>
        <v>VERNIER</v>
      </c>
      <c r="F800" t="s">
        <v>2485</v>
      </c>
      <c r="G800">
        <v>8.91</v>
      </c>
      <c r="H800" t="s">
        <v>2490</v>
      </c>
      <c r="I800">
        <v>0</v>
      </c>
      <c r="J800">
        <v>100</v>
      </c>
      <c r="K800" s="9">
        <f t="shared" si="25"/>
        <v>45977</v>
      </c>
      <c r="L800" t="s">
        <v>2736</v>
      </c>
      <c r="M800" t="s">
        <v>2926</v>
      </c>
    </row>
    <row r="801" spans="1:13" hidden="1" x14ac:dyDescent="0.35">
      <c r="A801" t="s">
        <v>807</v>
      </c>
      <c r="B801" t="s">
        <v>2325</v>
      </c>
      <c r="C801" t="s">
        <v>2458</v>
      </c>
      <c r="D801" t="s">
        <v>2468</v>
      </c>
      <c r="E801" t="str">
        <f t="shared" si="24"/>
        <v>VERNIER CH</v>
      </c>
      <c r="F801" t="s">
        <v>2480</v>
      </c>
      <c r="G801">
        <v>0.89</v>
      </c>
      <c r="H801" t="s">
        <v>2487</v>
      </c>
      <c r="I801">
        <v>0.88</v>
      </c>
      <c r="J801">
        <v>0.97</v>
      </c>
      <c r="K801" s="9">
        <f t="shared" si="25"/>
        <v>45491</v>
      </c>
      <c r="L801" t="s">
        <v>2753</v>
      </c>
      <c r="M801" t="s">
        <v>2928</v>
      </c>
    </row>
    <row r="802" spans="1:13" hidden="1" x14ac:dyDescent="0.35">
      <c r="A802" t="s">
        <v>808</v>
      </c>
      <c r="B802" t="s">
        <v>2106</v>
      </c>
      <c r="C802" t="s">
        <v>2461</v>
      </c>
      <c r="D802" t="s">
        <v>2465</v>
      </c>
      <c r="E802" t="str">
        <f t="shared" si="24"/>
        <v>VERNIER</v>
      </c>
      <c r="F802" t="s">
        <v>2480</v>
      </c>
      <c r="G802">
        <v>0.92</v>
      </c>
      <c r="H802" t="s">
        <v>2487</v>
      </c>
      <c r="I802">
        <v>0.88</v>
      </c>
      <c r="J802">
        <v>0.97</v>
      </c>
      <c r="K802" s="9">
        <f t="shared" si="25"/>
        <v>45388</v>
      </c>
      <c r="L802" t="s">
        <v>2583</v>
      </c>
      <c r="M802" t="s">
        <v>2923</v>
      </c>
    </row>
    <row r="803" spans="1:13" hidden="1" x14ac:dyDescent="0.35">
      <c r="A803" t="s">
        <v>809</v>
      </c>
      <c r="B803" t="s">
        <v>2176</v>
      </c>
      <c r="C803" t="s">
        <v>2461</v>
      </c>
      <c r="D803" t="s">
        <v>2474</v>
      </c>
      <c r="E803" t="str">
        <f t="shared" si="24"/>
        <v>DORTMUND DE</v>
      </c>
      <c r="F803" t="s">
        <v>2485</v>
      </c>
      <c r="G803">
        <v>13.93</v>
      </c>
      <c r="H803" t="s">
        <v>2490</v>
      </c>
      <c r="I803">
        <v>0</v>
      </c>
      <c r="J803">
        <v>100</v>
      </c>
      <c r="K803" s="9">
        <f t="shared" si="25"/>
        <v>45312</v>
      </c>
      <c r="L803" t="s">
        <v>2648</v>
      </c>
      <c r="M803" t="s">
        <v>2930</v>
      </c>
    </row>
    <row r="804" spans="1:13" hidden="1" x14ac:dyDescent="0.35">
      <c r="A804" t="s">
        <v>810</v>
      </c>
      <c r="B804" t="s">
        <v>2187</v>
      </c>
      <c r="C804" t="s">
        <v>2457</v>
      </c>
      <c r="D804" t="s">
        <v>2475</v>
      </c>
      <c r="E804" t="str">
        <f t="shared" si="24"/>
        <v>ASHFORD</v>
      </c>
      <c r="F804" t="s">
        <v>2483</v>
      </c>
      <c r="G804">
        <v>0.7</v>
      </c>
      <c r="H804" t="s">
        <v>2489</v>
      </c>
      <c r="I804">
        <v>0</v>
      </c>
      <c r="J804">
        <v>1</v>
      </c>
      <c r="K804" s="9">
        <f t="shared" si="25"/>
        <v>46002</v>
      </c>
      <c r="L804" t="s">
        <v>2659</v>
      </c>
      <c r="M804" t="s">
        <v>2926</v>
      </c>
    </row>
    <row r="805" spans="1:13" hidden="1" x14ac:dyDescent="0.35">
      <c r="A805" t="s">
        <v>811</v>
      </c>
      <c r="B805" t="s">
        <v>2400</v>
      </c>
      <c r="C805" t="s">
        <v>2457</v>
      </c>
      <c r="D805" t="s">
        <v>2474</v>
      </c>
      <c r="E805" t="str">
        <f t="shared" si="24"/>
        <v>DORTMUND DE</v>
      </c>
      <c r="F805" t="s">
        <v>2479</v>
      </c>
      <c r="G805">
        <v>30.92</v>
      </c>
      <c r="H805" t="s">
        <v>2486</v>
      </c>
      <c r="I805">
        <v>0</v>
      </c>
      <c r="J805">
        <v>120</v>
      </c>
      <c r="K805" s="9">
        <f t="shared" si="25"/>
        <v>45810</v>
      </c>
      <c r="L805" t="s">
        <v>2655</v>
      </c>
      <c r="M805" t="s">
        <v>2923</v>
      </c>
    </row>
    <row r="806" spans="1:13" hidden="1" x14ac:dyDescent="0.35">
      <c r="A806" t="s">
        <v>812</v>
      </c>
      <c r="B806" t="s">
        <v>2413</v>
      </c>
      <c r="C806" t="s">
        <v>2458</v>
      </c>
      <c r="D806" t="s">
        <v>2475</v>
      </c>
      <c r="E806" t="str">
        <f t="shared" si="24"/>
        <v>ASHFORD</v>
      </c>
      <c r="F806" t="s">
        <v>2479</v>
      </c>
      <c r="G806">
        <v>41.6</v>
      </c>
      <c r="H806" t="s">
        <v>2486</v>
      </c>
      <c r="I806">
        <v>0</v>
      </c>
      <c r="J806">
        <v>120</v>
      </c>
      <c r="K806" s="9">
        <f t="shared" si="25"/>
        <v>45419</v>
      </c>
      <c r="L806" t="s">
        <v>2765</v>
      </c>
      <c r="M806" t="s">
        <v>2927</v>
      </c>
    </row>
    <row r="807" spans="1:13" hidden="1" x14ac:dyDescent="0.35">
      <c r="A807" t="s">
        <v>813</v>
      </c>
      <c r="B807" t="s">
        <v>2414</v>
      </c>
      <c r="C807" t="s">
        <v>2460</v>
      </c>
      <c r="D807" t="s">
        <v>2475</v>
      </c>
      <c r="E807" t="str">
        <f t="shared" si="24"/>
        <v>ASHFORD</v>
      </c>
      <c r="F807" t="s">
        <v>2479</v>
      </c>
      <c r="G807">
        <v>35.83</v>
      </c>
      <c r="H807" t="s">
        <v>2486</v>
      </c>
      <c r="I807">
        <v>0</v>
      </c>
      <c r="J807">
        <v>120</v>
      </c>
      <c r="K807" s="9">
        <f t="shared" si="25"/>
        <v>45983</v>
      </c>
      <c r="L807" t="s">
        <v>2830</v>
      </c>
      <c r="M807" t="s">
        <v>2925</v>
      </c>
    </row>
    <row r="808" spans="1:13" hidden="1" x14ac:dyDescent="0.35">
      <c r="A808" t="s">
        <v>814</v>
      </c>
      <c r="B808" t="s">
        <v>2207</v>
      </c>
      <c r="C808" t="s">
        <v>2460</v>
      </c>
      <c r="D808" t="s">
        <v>2476</v>
      </c>
      <c r="E808" t="str">
        <f t="shared" si="24"/>
        <v>BUDAPEST SITE</v>
      </c>
      <c r="F808" t="s">
        <v>2483</v>
      </c>
      <c r="G808">
        <v>0.36</v>
      </c>
      <c r="H808" t="s">
        <v>2489</v>
      </c>
      <c r="I808">
        <v>0</v>
      </c>
      <c r="J808">
        <v>1</v>
      </c>
      <c r="K808" s="9">
        <f t="shared" si="25"/>
        <v>45736</v>
      </c>
      <c r="L808" t="s">
        <v>2675</v>
      </c>
      <c r="M808" t="s">
        <v>2925</v>
      </c>
    </row>
    <row r="809" spans="1:13" hidden="1" x14ac:dyDescent="0.35">
      <c r="A809" t="s">
        <v>276</v>
      </c>
      <c r="B809" t="s">
        <v>2102</v>
      </c>
      <c r="C809" t="s">
        <v>2461</v>
      </c>
      <c r="D809" t="s">
        <v>2463</v>
      </c>
      <c r="E809" t="str">
        <f t="shared" si="24"/>
        <v>VERNIER</v>
      </c>
      <c r="F809" t="s">
        <v>2483</v>
      </c>
      <c r="G809">
        <v>0.36</v>
      </c>
      <c r="H809" t="s">
        <v>2489</v>
      </c>
      <c r="I809">
        <v>0</v>
      </c>
      <c r="J809">
        <v>1</v>
      </c>
      <c r="K809" s="9">
        <f t="shared" si="25"/>
        <v>45959</v>
      </c>
      <c r="L809" t="s">
        <v>2580</v>
      </c>
      <c r="M809" t="s">
        <v>2929</v>
      </c>
    </row>
    <row r="810" spans="1:13" hidden="1" x14ac:dyDescent="0.35">
      <c r="A810" t="s">
        <v>815</v>
      </c>
      <c r="B810" t="s">
        <v>2239</v>
      </c>
      <c r="C810" t="s">
        <v>2459</v>
      </c>
      <c r="D810" t="s">
        <v>2472</v>
      </c>
      <c r="E810" t="str">
        <f t="shared" si="24"/>
        <v>VERNIER</v>
      </c>
      <c r="F810" t="s">
        <v>2485</v>
      </c>
      <c r="G810">
        <v>-31.57</v>
      </c>
      <c r="H810" t="s">
        <v>2490</v>
      </c>
      <c r="I810">
        <v>0</v>
      </c>
      <c r="J810">
        <v>100</v>
      </c>
      <c r="K810" s="9">
        <f t="shared" si="25"/>
        <v>45340</v>
      </c>
      <c r="L810" t="s">
        <v>2695</v>
      </c>
      <c r="M810" t="s">
        <v>2923</v>
      </c>
    </row>
    <row r="811" spans="1:13" hidden="1" x14ac:dyDescent="0.35">
      <c r="A811" t="s">
        <v>816</v>
      </c>
      <c r="B811" t="s">
        <v>2415</v>
      </c>
      <c r="C811" t="s">
        <v>2460</v>
      </c>
      <c r="D811" t="s">
        <v>2472</v>
      </c>
      <c r="E811" t="str">
        <f t="shared" si="24"/>
        <v>VERNIER</v>
      </c>
      <c r="F811" t="s">
        <v>2482</v>
      </c>
      <c r="G811">
        <v>98.91</v>
      </c>
      <c r="H811" t="s">
        <v>2489</v>
      </c>
      <c r="I811">
        <v>97</v>
      </c>
      <c r="J811">
        <v>100</v>
      </c>
      <c r="K811" s="9">
        <f t="shared" si="25"/>
        <v>45618</v>
      </c>
      <c r="L811" t="s">
        <v>2831</v>
      </c>
      <c r="M811" t="s">
        <v>2925</v>
      </c>
    </row>
    <row r="812" spans="1:13" hidden="1" x14ac:dyDescent="0.35">
      <c r="A812" t="s">
        <v>817</v>
      </c>
      <c r="B812" t="s">
        <v>2416</v>
      </c>
      <c r="C812" t="s">
        <v>2458</v>
      </c>
      <c r="D812" t="s">
        <v>2464</v>
      </c>
      <c r="E812" t="str">
        <f t="shared" si="24"/>
        <v>EAST HANOVER</v>
      </c>
      <c r="F812" t="s">
        <v>2482</v>
      </c>
      <c r="G812">
        <v>98.48</v>
      </c>
      <c r="H812" t="s">
        <v>2489</v>
      </c>
      <c r="I812">
        <v>97</v>
      </c>
      <c r="J812">
        <v>100</v>
      </c>
      <c r="K812" s="9">
        <f t="shared" si="25"/>
        <v>46003</v>
      </c>
      <c r="L812" t="s">
        <v>2790</v>
      </c>
      <c r="M812" t="s">
        <v>2931</v>
      </c>
    </row>
    <row r="813" spans="1:13" hidden="1" x14ac:dyDescent="0.35">
      <c r="A813" t="s">
        <v>818</v>
      </c>
      <c r="B813" t="s">
        <v>2017</v>
      </c>
      <c r="C813" t="s">
        <v>2458</v>
      </c>
      <c r="D813" t="s">
        <v>2465</v>
      </c>
      <c r="E813" t="str">
        <f t="shared" si="24"/>
        <v>VERNIER</v>
      </c>
      <c r="F813" t="s">
        <v>2485</v>
      </c>
      <c r="G813">
        <v>-9.89</v>
      </c>
      <c r="H813" t="s">
        <v>2490</v>
      </c>
      <c r="I813">
        <v>0</v>
      </c>
      <c r="J813">
        <v>100</v>
      </c>
      <c r="K813" s="9">
        <f t="shared" si="25"/>
        <v>46008</v>
      </c>
      <c r="L813" t="s">
        <v>2497</v>
      </c>
      <c r="M813" t="s">
        <v>2923</v>
      </c>
    </row>
    <row r="814" spans="1:13" hidden="1" x14ac:dyDescent="0.35">
      <c r="A814" t="s">
        <v>819</v>
      </c>
      <c r="B814" t="s">
        <v>2350</v>
      </c>
      <c r="C814" t="s">
        <v>2459</v>
      </c>
      <c r="D814" t="s">
        <v>2465</v>
      </c>
      <c r="E814" t="str">
        <f t="shared" si="24"/>
        <v>VERNIER</v>
      </c>
      <c r="F814" t="s">
        <v>2482</v>
      </c>
      <c r="G814">
        <v>99.23</v>
      </c>
      <c r="H814" t="s">
        <v>2489</v>
      </c>
      <c r="I814">
        <v>97</v>
      </c>
      <c r="J814">
        <v>100</v>
      </c>
      <c r="K814" s="9">
        <f t="shared" si="25"/>
        <v>45605</v>
      </c>
      <c r="L814" t="s">
        <v>2776</v>
      </c>
      <c r="M814" t="s">
        <v>2926</v>
      </c>
    </row>
    <row r="815" spans="1:13" hidden="1" x14ac:dyDescent="0.35">
      <c r="A815" t="s">
        <v>820</v>
      </c>
      <c r="B815" t="s">
        <v>2246</v>
      </c>
      <c r="C815" t="s">
        <v>2460</v>
      </c>
      <c r="D815" t="s">
        <v>2472</v>
      </c>
      <c r="E815" t="str">
        <f t="shared" si="24"/>
        <v>VERNIER</v>
      </c>
      <c r="F815" t="s">
        <v>2483</v>
      </c>
      <c r="G815">
        <v>0.28000000000000003</v>
      </c>
      <c r="H815" t="s">
        <v>2489</v>
      </c>
      <c r="I815">
        <v>0</v>
      </c>
      <c r="J815">
        <v>1</v>
      </c>
      <c r="K815" s="9">
        <f t="shared" si="25"/>
        <v>45884</v>
      </c>
      <c r="L815" t="s">
        <v>2542</v>
      </c>
      <c r="M815" t="s">
        <v>2928</v>
      </c>
    </row>
    <row r="816" spans="1:13" hidden="1" x14ac:dyDescent="0.35">
      <c r="A816" t="s">
        <v>821</v>
      </c>
      <c r="B816" t="s">
        <v>2417</v>
      </c>
      <c r="C816" t="s">
        <v>2459</v>
      </c>
      <c r="D816" t="s">
        <v>2467</v>
      </c>
      <c r="E816" t="str">
        <f t="shared" si="24"/>
        <v>ASHFORD</v>
      </c>
      <c r="F816" t="s">
        <v>2481</v>
      </c>
      <c r="G816">
        <v>247.64</v>
      </c>
      <c r="H816" t="s">
        <v>2488</v>
      </c>
      <c r="I816">
        <v>150</v>
      </c>
      <c r="J816">
        <v>400</v>
      </c>
      <c r="K816" s="9">
        <f t="shared" si="25"/>
        <v>45969</v>
      </c>
      <c r="L816" t="s">
        <v>2519</v>
      </c>
      <c r="M816" t="s">
        <v>2927</v>
      </c>
    </row>
    <row r="817" spans="1:13" hidden="1" x14ac:dyDescent="0.35">
      <c r="A817" t="s">
        <v>822</v>
      </c>
      <c r="B817" t="s">
        <v>2214</v>
      </c>
      <c r="C817" t="s">
        <v>2457</v>
      </c>
      <c r="D817" t="s">
        <v>2467</v>
      </c>
      <c r="E817" t="str">
        <f t="shared" si="24"/>
        <v>ASHFORD</v>
      </c>
      <c r="F817" t="s">
        <v>2479</v>
      </c>
      <c r="G817">
        <v>58.84</v>
      </c>
      <c r="H817" t="s">
        <v>2486</v>
      </c>
      <c r="I817">
        <v>0</v>
      </c>
      <c r="J817">
        <v>120</v>
      </c>
      <c r="K817" s="9">
        <f t="shared" si="25"/>
        <v>45791</v>
      </c>
      <c r="L817" t="s">
        <v>2681</v>
      </c>
      <c r="M817" t="s">
        <v>2932</v>
      </c>
    </row>
    <row r="818" spans="1:13" hidden="1" x14ac:dyDescent="0.35">
      <c r="A818" t="s">
        <v>823</v>
      </c>
      <c r="B818" t="s">
        <v>2338</v>
      </c>
      <c r="C818" t="s">
        <v>2458</v>
      </c>
      <c r="D818" t="s">
        <v>2477</v>
      </c>
      <c r="E818" t="str">
        <f t="shared" si="24"/>
        <v>BUDAPEST</v>
      </c>
      <c r="F818" t="s">
        <v>2480</v>
      </c>
      <c r="G818">
        <v>0.95</v>
      </c>
      <c r="H818" t="s">
        <v>2487</v>
      </c>
      <c r="I818">
        <v>0.88</v>
      </c>
      <c r="J818">
        <v>0.97</v>
      </c>
      <c r="K818" s="9">
        <f t="shared" si="25"/>
        <v>45311</v>
      </c>
      <c r="L818" t="s">
        <v>2768</v>
      </c>
      <c r="M818" t="s">
        <v>2926</v>
      </c>
    </row>
    <row r="819" spans="1:13" hidden="1" x14ac:dyDescent="0.35">
      <c r="A819" t="s">
        <v>824</v>
      </c>
      <c r="B819" t="s">
        <v>2341</v>
      </c>
      <c r="C819" t="s">
        <v>2459</v>
      </c>
      <c r="D819" t="s">
        <v>2466</v>
      </c>
      <c r="E819" t="str">
        <f t="shared" si="24"/>
        <v>EAST HANOVER</v>
      </c>
      <c r="F819" t="s">
        <v>2482</v>
      </c>
      <c r="G819">
        <v>99.11</v>
      </c>
      <c r="H819" t="s">
        <v>2489</v>
      </c>
      <c r="I819">
        <v>97</v>
      </c>
      <c r="J819">
        <v>100</v>
      </c>
      <c r="K819" s="9">
        <f t="shared" si="25"/>
        <v>45812</v>
      </c>
      <c r="L819" t="s">
        <v>2770</v>
      </c>
      <c r="M819" t="s">
        <v>2926</v>
      </c>
    </row>
    <row r="820" spans="1:13" hidden="1" x14ac:dyDescent="0.35">
      <c r="A820" t="s">
        <v>825</v>
      </c>
      <c r="B820" t="s">
        <v>2297</v>
      </c>
      <c r="C820" t="s">
        <v>2458</v>
      </c>
      <c r="D820" t="s">
        <v>2464</v>
      </c>
      <c r="E820" t="str">
        <f t="shared" si="24"/>
        <v>EAST HANOVER</v>
      </c>
      <c r="F820" t="s">
        <v>2485</v>
      </c>
      <c r="G820">
        <v>56.6</v>
      </c>
      <c r="H820" t="s">
        <v>2490</v>
      </c>
      <c r="I820">
        <v>0</v>
      </c>
      <c r="J820">
        <v>100</v>
      </c>
      <c r="K820" s="9">
        <f t="shared" si="25"/>
        <v>45800</v>
      </c>
      <c r="L820" t="s">
        <v>2737</v>
      </c>
      <c r="M820" t="s">
        <v>2932</v>
      </c>
    </row>
    <row r="821" spans="1:13" hidden="1" x14ac:dyDescent="0.35">
      <c r="A821" t="s">
        <v>826</v>
      </c>
      <c r="B821" t="s">
        <v>2233</v>
      </c>
      <c r="C821" t="s">
        <v>2459</v>
      </c>
      <c r="D821" t="s">
        <v>2477</v>
      </c>
      <c r="E821" t="str">
        <f t="shared" si="24"/>
        <v>BUDAPEST</v>
      </c>
      <c r="F821" t="s">
        <v>2481</v>
      </c>
      <c r="G821">
        <v>232.3</v>
      </c>
      <c r="H821" t="s">
        <v>2488</v>
      </c>
      <c r="I821">
        <v>150</v>
      </c>
      <c r="J821">
        <v>400</v>
      </c>
      <c r="K821" s="9">
        <f t="shared" si="25"/>
        <v>45854</v>
      </c>
      <c r="L821" t="s">
        <v>2667</v>
      </c>
      <c r="M821" t="s">
        <v>2932</v>
      </c>
    </row>
    <row r="822" spans="1:13" hidden="1" x14ac:dyDescent="0.35">
      <c r="A822" t="s">
        <v>827</v>
      </c>
      <c r="B822" t="s">
        <v>2195</v>
      </c>
      <c r="C822" t="s">
        <v>2457</v>
      </c>
      <c r="D822" t="s">
        <v>2469</v>
      </c>
      <c r="E822" t="str">
        <f t="shared" si="24"/>
        <v>DORTMUND</v>
      </c>
      <c r="F822" t="s">
        <v>2481</v>
      </c>
      <c r="G822">
        <v>226.66</v>
      </c>
      <c r="H822" t="s">
        <v>2488</v>
      </c>
      <c r="I822">
        <v>150</v>
      </c>
      <c r="J822">
        <v>400</v>
      </c>
      <c r="K822" s="9">
        <f t="shared" si="25"/>
        <v>45588</v>
      </c>
      <c r="L822" t="s">
        <v>2666</v>
      </c>
      <c r="M822" t="s">
        <v>2927</v>
      </c>
    </row>
    <row r="823" spans="1:13" hidden="1" x14ac:dyDescent="0.35">
      <c r="A823" t="s">
        <v>828</v>
      </c>
      <c r="B823" t="s">
        <v>2418</v>
      </c>
      <c r="C823" t="s">
        <v>2458</v>
      </c>
      <c r="D823" t="s">
        <v>2468</v>
      </c>
      <c r="E823" t="str">
        <f t="shared" si="24"/>
        <v>VERNIER CH</v>
      </c>
      <c r="F823" t="s">
        <v>2481</v>
      </c>
      <c r="G823">
        <v>287.51</v>
      </c>
      <c r="H823" t="s">
        <v>2488</v>
      </c>
      <c r="I823">
        <v>150</v>
      </c>
      <c r="J823">
        <v>400</v>
      </c>
      <c r="K823" s="9">
        <f t="shared" si="25"/>
        <v>45759</v>
      </c>
      <c r="L823" t="s">
        <v>2728</v>
      </c>
      <c r="M823" t="s">
        <v>2928</v>
      </c>
    </row>
    <row r="824" spans="1:13" hidden="1" x14ac:dyDescent="0.35">
      <c r="A824" t="s">
        <v>829</v>
      </c>
      <c r="B824" t="s">
        <v>2114</v>
      </c>
      <c r="C824" t="s">
        <v>2460</v>
      </c>
      <c r="D824" t="s">
        <v>2464</v>
      </c>
      <c r="E824" t="str">
        <f t="shared" si="24"/>
        <v>EAST HANOVER</v>
      </c>
      <c r="F824" t="s">
        <v>2481</v>
      </c>
      <c r="G824">
        <v>251.74</v>
      </c>
      <c r="H824" t="s">
        <v>2488</v>
      </c>
      <c r="I824">
        <v>150</v>
      </c>
      <c r="J824">
        <v>400</v>
      </c>
      <c r="K824" s="9">
        <f t="shared" si="25"/>
        <v>45654</v>
      </c>
      <c r="L824" t="s">
        <v>2508</v>
      </c>
      <c r="M824" t="s">
        <v>2931</v>
      </c>
    </row>
    <row r="825" spans="1:13" hidden="1" x14ac:dyDescent="0.35">
      <c r="A825" t="s">
        <v>830</v>
      </c>
      <c r="B825" t="s">
        <v>2217</v>
      </c>
      <c r="C825" t="s">
        <v>2458</v>
      </c>
      <c r="D825" t="s">
        <v>2471</v>
      </c>
      <c r="E825" t="str">
        <f t="shared" si="24"/>
        <v>BUDAPEST</v>
      </c>
      <c r="F825" t="s">
        <v>2481</v>
      </c>
      <c r="G825">
        <v>30</v>
      </c>
      <c r="H825" t="s">
        <v>2488</v>
      </c>
      <c r="I825">
        <v>150</v>
      </c>
      <c r="J825">
        <v>400</v>
      </c>
      <c r="K825" s="9">
        <f t="shared" si="25"/>
        <v>45368</v>
      </c>
      <c r="L825" t="s">
        <v>2684</v>
      </c>
      <c r="M825" t="s">
        <v>2928</v>
      </c>
    </row>
    <row r="826" spans="1:13" hidden="1" x14ac:dyDescent="0.35">
      <c r="A826" t="s">
        <v>831</v>
      </c>
      <c r="B826" t="s">
        <v>2419</v>
      </c>
      <c r="C826" t="s">
        <v>2458</v>
      </c>
      <c r="D826" t="s">
        <v>2474</v>
      </c>
      <c r="E826" t="str">
        <f t="shared" si="24"/>
        <v>DORTMUND DE</v>
      </c>
      <c r="F826" t="s">
        <v>2480</v>
      </c>
      <c r="G826">
        <v>0.88</v>
      </c>
      <c r="H826" t="s">
        <v>2487</v>
      </c>
      <c r="I826">
        <v>0.88</v>
      </c>
      <c r="J826">
        <v>0.97</v>
      </c>
      <c r="K826" s="9">
        <f t="shared" si="25"/>
        <v>45881</v>
      </c>
      <c r="L826" t="s">
        <v>2499</v>
      </c>
      <c r="M826" t="s">
        <v>2924</v>
      </c>
    </row>
    <row r="827" spans="1:13" hidden="1" x14ac:dyDescent="0.35">
      <c r="A827" t="s">
        <v>832</v>
      </c>
      <c r="B827" t="s">
        <v>2379</v>
      </c>
      <c r="C827" t="s">
        <v>2461</v>
      </c>
      <c r="D827" t="s">
        <v>2476</v>
      </c>
      <c r="E827" t="str">
        <f t="shared" si="24"/>
        <v>BUDAPEST SITE</v>
      </c>
      <c r="F827" t="s">
        <v>2483</v>
      </c>
      <c r="G827">
        <v>0.65</v>
      </c>
      <c r="H827" t="s">
        <v>2489</v>
      </c>
      <c r="I827">
        <v>0</v>
      </c>
      <c r="J827">
        <v>1</v>
      </c>
      <c r="K827" s="9">
        <f t="shared" si="25"/>
        <v>45342</v>
      </c>
      <c r="L827" t="s">
        <v>2798</v>
      </c>
      <c r="M827" t="s">
        <v>2926</v>
      </c>
    </row>
    <row r="828" spans="1:13" hidden="1" x14ac:dyDescent="0.35">
      <c r="A828" t="s">
        <v>833</v>
      </c>
      <c r="B828" t="s">
        <v>2327</v>
      </c>
      <c r="C828" t="s">
        <v>2458</v>
      </c>
      <c r="D828" t="s">
        <v>2478</v>
      </c>
      <c r="E828" t="str">
        <f t="shared" si="24"/>
        <v>BUD</v>
      </c>
      <c r="F828" t="s">
        <v>2483</v>
      </c>
      <c r="G828">
        <v>0.56000000000000005</v>
      </c>
      <c r="H828" t="s">
        <v>2489</v>
      </c>
      <c r="I828">
        <v>0</v>
      </c>
      <c r="J828">
        <v>1</v>
      </c>
      <c r="K828" s="9">
        <f t="shared" si="25"/>
        <v>45699</v>
      </c>
      <c r="L828" t="s">
        <v>2756</v>
      </c>
      <c r="M828" t="s">
        <v>2932</v>
      </c>
    </row>
    <row r="829" spans="1:13" hidden="1" x14ac:dyDescent="0.35">
      <c r="A829" t="s">
        <v>834</v>
      </c>
      <c r="B829" t="s">
        <v>2291</v>
      </c>
      <c r="C829" t="s">
        <v>2458</v>
      </c>
      <c r="D829" t="s">
        <v>2470</v>
      </c>
      <c r="E829" t="str">
        <f t="shared" si="24"/>
        <v>E. HANOVER</v>
      </c>
      <c r="F829" t="s">
        <v>2479</v>
      </c>
      <c r="G829">
        <v>47.62</v>
      </c>
      <c r="H829" t="s">
        <v>2486</v>
      </c>
      <c r="I829">
        <v>0</v>
      </c>
      <c r="J829">
        <v>120</v>
      </c>
      <c r="K829" s="9">
        <f t="shared" si="25"/>
        <v>45763</v>
      </c>
      <c r="L829" t="s">
        <v>2807</v>
      </c>
      <c r="M829" t="s">
        <v>2927</v>
      </c>
    </row>
    <row r="830" spans="1:13" hidden="1" x14ac:dyDescent="0.35">
      <c r="A830" t="s">
        <v>835</v>
      </c>
      <c r="B830" t="s">
        <v>2198</v>
      </c>
      <c r="C830" t="s">
        <v>2459</v>
      </c>
      <c r="D830" t="s">
        <v>2470</v>
      </c>
      <c r="E830" t="str">
        <f t="shared" si="24"/>
        <v>E. HANOVER</v>
      </c>
      <c r="F830" t="s">
        <v>2485</v>
      </c>
      <c r="G830">
        <v>27.51</v>
      </c>
      <c r="H830" t="s">
        <v>2490</v>
      </c>
      <c r="I830">
        <v>0</v>
      </c>
      <c r="J830">
        <v>100</v>
      </c>
      <c r="K830" s="9">
        <f t="shared" si="25"/>
        <v>45704</v>
      </c>
      <c r="L830" t="s">
        <v>2669</v>
      </c>
      <c r="M830" t="s">
        <v>2928</v>
      </c>
    </row>
    <row r="831" spans="1:13" hidden="1" x14ac:dyDescent="0.35">
      <c r="A831" t="s">
        <v>836</v>
      </c>
      <c r="B831" t="s">
        <v>2420</v>
      </c>
      <c r="C831" t="s">
        <v>2460</v>
      </c>
      <c r="D831" t="s">
        <v>2469</v>
      </c>
      <c r="E831" t="str">
        <f t="shared" si="24"/>
        <v>DORTMUND</v>
      </c>
      <c r="F831" t="s">
        <v>2484</v>
      </c>
      <c r="G831">
        <v>6.92</v>
      </c>
      <c r="I831">
        <v>6</v>
      </c>
      <c r="J831">
        <v>7.5</v>
      </c>
      <c r="K831" s="9">
        <f t="shared" si="25"/>
        <v>45962</v>
      </c>
      <c r="L831" t="s">
        <v>2832</v>
      </c>
      <c r="M831" t="s">
        <v>2931</v>
      </c>
    </row>
    <row r="832" spans="1:13" hidden="1" x14ac:dyDescent="0.35">
      <c r="A832" t="s">
        <v>837</v>
      </c>
      <c r="B832" t="s">
        <v>2160</v>
      </c>
      <c r="C832" t="s">
        <v>2458</v>
      </c>
      <c r="D832" t="s">
        <v>2469</v>
      </c>
      <c r="E832" t="str">
        <f t="shared" si="24"/>
        <v>DORTMUND</v>
      </c>
      <c r="F832" t="s">
        <v>2485</v>
      </c>
      <c r="G832">
        <v>11.95</v>
      </c>
      <c r="H832" t="s">
        <v>2490</v>
      </c>
      <c r="I832">
        <v>0</v>
      </c>
      <c r="J832">
        <v>100</v>
      </c>
      <c r="K832" s="9">
        <f t="shared" si="25"/>
        <v>45476</v>
      </c>
      <c r="L832" t="s">
        <v>2621</v>
      </c>
      <c r="M832" t="s">
        <v>2932</v>
      </c>
    </row>
    <row r="833" spans="1:13" hidden="1" x14ac:dyDescent="0.35">
      <c r="A833" t="s">
        <v>838</v>
      </c>
      <c r="B833" t="s">
        <v>2407</v>
      </c>
      <c r="C833" t="s">
        <v>2461</v>
      </c>
      <c r="D833" t="s">
        <v>2470</v>
      </c>
      <c r="E833" t="str">
        <f t="shared" si="24"/>
        <v>E. HANOVER</v>
      </c>
      <c r="F833" t="s">
        <v>2481</v>
      </c>
      <c r="G833">
        <v>243.32</v>
      </c>
      <c r="H833" t="s">
        <v>2488</v>
      </c>
      <c r="I833">
        <v>150</v>
      </c>
      <c r="J833">
        <v>400</v>
      </c>
      <c r="K833" s="9">
        <f t="shared" si="25"/>
        <v>45527</v>
      </c>
      <c r="L833" t="s">
        <v>2824</v>
      </c>
      <c r="M833" t="s">
        <v>2923</v>
      </c>
    </row>
    <row r="834" spans="1:13" hidden="1" x14ac:dyDescent="0.35">
      <c r="A834" t="s">
        <v>839</v>
      </c>
      <c r="B834" t="s">
        <v>2241</v>
      </c>
      <c r="C834" t="s">
        <v>2460</v>
      </c>
      <c r="D834" t="s">
        <v>2473</v>
      </c>
      <c r="E834" t="str">
        <f t="shared" si="24"/>
        <v>DORTMUND</v>
      </c>
      <c r="F834" t="s">
        <v>2482</v>
      </c>
      <c r="G834">
        <v>98.79</v>
      </c>
      <c r="H834" t="s">
        <v>2489</v>
      </c>
      <c r="I834">
        <v>97</v>
      </c>
      <c r="J834">
        <v>100</v>
      </c>
      <c r="K834" s="9">
        <f t="shared" si="25"/>
        <v>45781</v>
      </c>
      <c r="L834" t="s">
        <v>2696</v>
      </c>
      <c r="M834" t="s">
        <v>2929</v>
      </c>
    </row>
    <row r="835" spans="1:13" hidden="1" x14ac:dyDescent="0.35">
      <c r="A835" t="s">
        <v>840</v>
      </c>
      <c r="B835" t="s">
        <v>2421</v>
      </c>
      <c r="C835" t="s">
        <v>2460</v>
      </c>
      <c r="D835" t="s">
        <v>2462</v>
      </c>
      <c r="E835" t="str">
        <f t="shared" ref="E835:E898" si="26">UPPER(D835)</f>
        <v>ASHFORD UK</v>
      </c>
      <c r="F835" t="s">
        <v>2482</v>
      </c>
      <c r="G835">
        <v>97.38</v>
      </c>
      <c r="H835" t="s">
        <v>2489</v>
      </c>
      <c r="I835">
        <v>97</v>
      </c>
      <c r="J835">
        <v>100</v>
      </c>
      <c r="K835" s="9">
        <f t="shared" ref="K835:K898" si="27">IF(L835="","",
IF(MID(L835,5,1)="-",
DATE(LEFT(L835,4),MID(L835,6,2),RIGHT(L835,2)),
DATE(RIGHT(L835,4),MID(L835,4,2),LEFT(L835,2))
))</f>
        <v>45404</v>
      </c>
      <c r="L835" t="s">
        <v>2630</v>
      </c>
      <c r="M835" t="s">
        <v>2923</v>
      </c>
    </row>
    <row r="836" spans="1:13" hidden="1" x14ac:dyDescent="0.35">
      <c r="A836" t="s">
        <v>841</v>
      </c>
      <c r="B836" t="s">
        <v>2337</v>
      </c>
      <c r="C836" t="s">
        <v>2461</v>
      </c>
      <c r="D836" t="s">
        <v>2466</v>
      </c>
      <c r="E836" t="str">
        <f t="shared" si="26"/>
        <v>EAST HANOVER</v>
      </c>
      <c r="F836" t="s">
        <v>2485</v>
      </c>
      <c r="G836">
        <v>17.86</v>
      </c>
      <c r="H836" t="s">
        <v>2490</v>
      </c>
      <c r="I836">
        <v>0</v>
      </c>
      <c r="J836">
        <v>100</v>
      </c>
      <c r="K836" s="9">
        <f t="shared" si="27"/>
        <v>45545</v>
      </c>
      <c r="L836" t="s">
        <v>2767</v>
      </c>
      <c r="M836" t="s">
        <v>2930</v>
      </c>
    </row>
    <row r="837" spans="1:13" hidden="1" x14ac:dyDescent="0.35">
      <c r="A837" t="s">
        <v>842</v>
      </c>
      <c r="B837" t="s">
        <v>2382</v>
      </c>
      <c r="C837" t="s">
        <v>2459</v>
      </c>
      <c r="D837" t="s">
        <v>2464</v>
      </c>
      <c r="E837" t="str">
        <f t="shared" si="26"/>
        <v>EAST HANOVER</v>
      </c>
      <c r="F837" t="s">
        <v>2481</v>
      </c>
      <c r="G837">
        <v>262.95999999999998</v>
      </c>
      <c r="H837" t="s">
        <v>2488</v>
      </c>
      <c r="I837">
        <v>150</v>
      </c>
      <c r="J837">
        <v>400</v>
      </c>
      <c r="K837" s="9">
        <f t="shared" si="27"/>
        <v>45831</v>
      </c>
      <c r="L837" t="s">
        <v>2540</v>
      </c>
      <c r="M837" t="s">
        <v>2929</v>
      </c>
    </row>
    <row r="838" spans="1:13" hidden="1" x14ac:dyDescent="0.35">
      <c r="A838" t="s">
        <v>843</v>
      </c>
      <c r="B838" t="s">
        <v>2034</v>
      </c>
      <c r="C838" t="s">
        <v>2461</v>
      </c>
      <c r="D838" t="s">
        <v>2475</v>
      </c>
      <c r="E838" t="str">
        <f t="shared" si="26"/>
        <v>ASHFORD</v>
      </c>
      <c r="F838" t="s">
        <v>2485</v>
      </c>
      <c r="G838">
        <v>-17.05</v>
      </c>
      <c r="H838" t="s">
        <v>2490</v>
      </c>
      <c r="I838">
        <v>0</v>
      </c>
      <c r="J838">
        <v>100</v>
      </c>
      <c r="K838" s="9">
        <f t="shared" si="27"/>
        <v>45615</v>
      </c>
      <c r="L838" t="s">
        <v>2593</v>
      </c>
      <c r="M838" t="s">
        <v>2931</v>
      </c>
    </row>
    <row r="839" spans="1:13" hidden="1" x14ac:dyDescent="0.35">
      <c r="A839" t="s">
        <v>844</v>
      </c>
      <c r="B839" t="s">
        <v>2245</v>
      </c>
      <c r="C839" t="s">
        <v>2457</v>
      </c>
      <c r="D839" t="s">
        <v>2478</v>
      </c>
      <c r="E839" t="str">
        <f t="shared" si="26"/>
        <v>BUD</v>
      </c>
      <c r="F839" t="s">
        <v>2479</v>
      </c>
      <c r="G839">
        <v>8.7899999999999991</v>
      </c>
      <c r="H839" t="s">
        <v>2486</v>
      </c>
      <c r="I839">
        <v>0</v>
      </c>
      <c r="J839">
        <v>120</v>
      </c>
      <c r="K839" s="9">
        <f t="shared" si="27"/>
        <v>45441</v>
      </c>
      <c r="L839" t="s">
        <v>2699</v>
      </c>
      <c r="M839" t="s">
        <v>2927</v>
      </c>
    </row>
    <row r="840" spans="1:13" hidden="1" x14ac:dyDescent="0.35">
      <c r="A840" t="s">
        <v>845</v>
      </c>
      <c r="B840" t="s">
        <v>2106</v>
      </c>
      <c r="C840" t="s">
        <v>2461</v>
      </c>
      <c r="D840" t="s">
        <v>2465</v>
      </c>
      <c r="E840" t="str">
        <f t="shared" si="26"/>
        <v>VERNIER</v>
      </c>
      <c r="F840" t="s">
        <v>2485</v>
      </c>
      <c r="G840">
        <v>-6.33</v>
      </c>
      <c r="H840" t="s">
        <v>2490</v>
      </c>
      <c r="I840">
        <v>0</v>
      </c>
      <c r="J840">
        <v>100</v>
      </c>
      <c r="K840" s="9">
        <f t="shared" si="27"/>
        <v>45388</v>
      </c>
      <c r="L840" t="s">
        <v>2583</v>
      </c>
      <c r="M840" t="s">
        <v>2928</v>
      </c>
    </row>
    <row r="841" spans="1:13" hidden="1" x14ac:dyDescent="0.35">
      <c r="A841" t="s">
        <v>846</v>
      </c>
      <c r="B841" t="s">
        <v>2143</v>
      </c>
      <c r="C841" t="s">
        <v>2460</v>
      </c>
      <c r="D841" t="s">
        <v>2469</v>
      </c>
      <c r="E841" t="str">
        <f t="shared" si="26"/>
        <v>DORTMUND</v>
      </c>
      <c r="F841" t="s">
        <v>2481</v>
      </c>
      <c r="G841">
        <v>214.82</v>
      </c>
      <c r="H841" t="s">
        <v>2488</v>
      </c>
      <c r="I841">
        <v>150</v>
      </c>
      <c r="J841">
        <v>400</v>
      </c>
      <c r="K841" s="9">
        <f t="shared" si="27"/>
        <v>45540</v>
      </c>
      <c r="L841" t="s">
        <v>2618</v>
      </c>
      <c r="M841" t="s">
        <v>2929</v>
      </c>
    </row>
    <row r="842" spans="1:13" hidden="1" x14ac:dyDescent="0.35">
      <c r="A842" t="s">
        <v>847</v>
      </c>
      <c r="B842" t="s">
        <v>2123</v>
      </c>
      <c r="C842" t="s">
        <v>2457</v>
      </c>
      <c r="D842" t="s">
        <v>2473</v>
      </c>
      <c r="E842" t="str">
        <f t="shared" si="26"/>
        <v>DORTMUND</v>
      </c>
      <c r="F842" t="s">
        <v>2480</v>
      </c>
      <c r="G842">
        <v>0.9</v>
      </c>
      <c r="H842" t="s">
        <v>2487</v>
      </c>
      <c r="I842">
        <v>0.88</v>
      </c>
      <c r="J842">
        <v>0.97</v>
      </c>
      <c r="K842" s="9">
        <f t="shared" si="27"/>
        <v>45974</v>
      </c>
      <c r="L842" t="s">
        <v>2599</v>
      </c>
      <c r="M842" t="s">
        <v>2928</v>
      </c>
    </row>
    <row r="843" spans="1:13" hidden="1" x14ac:dyDescent="0.35">
      <c r="A843" t="s">
        <v>848</v>
      </c>
      <c r="B843" t="s">
        <v>2152</v>
      </c>
      <c r="C843" t="s">
        <v>2461</v>
      </c>
      <c r="D843" t="s">
        <v>2476</v>
      </c>
      <c r="E843" t="str">
        <f t="shared" si="26"/>
        <v>BUDAPEST SITE</v>
      </c>
      <c r="F843" t="s">
        <v>2482</v>
      </c>
      <c r="G843">
        <v>98.17</v>
      </c>
      <c r="H843" t="s">
        <v>2489</v>
      </c>
      <c r="I843">
        <v>97</v>
      </c>
      <c r="J843">
        <v>100</v>
      </c>
      <c r="K843" s="9">
        <f t="shared" si="27"/>
        <v>45958</v>
      </c>
      <c r="L843" t="s">
        <v>2833</v>
      </c>
      <c r="M843" t="s">
        <v>2928</v>
      </c>
    </row>
    <row r="844" spans="1:13" hidden="1" x14ac:dyDescent="0.35">
      <c r="A844" t="s">
        <v>849</v>
      </c>
      <c r="B844" t="s">
        <v>2058</v>
      </c>
      <c r="C844" t="s">
        <v>2460</v>
      </c>
      <c r="D844" t="s">
        <v>2471</v>
      </c>
      <c r="E844" t="str">
        <f t="shared" si="26"/>
        <v>BUDAPEST</v>
      </c>
      <c r="F844" t="s">
        <v>2484</v>
      </c>
      <c r="G844">
        <v>6.83</v>
      </c>
      <c r="I844">
        <v>6</v>
      </c>
      <c r="J844">
        <v>7.5</v>
      </c>
      <c r="K844" s="9">
        <f t="shared" si="27"/>
        <v>45695</v>
      </c>
      <c r="L844" t="s">
        <v>2537</v>
      </c>
      <c r="M844" t="s">
        <v>2924</v>
      </c>
    </row>
    <row r="845" spans="1:13" hidden="1" x14ac:dyDescent="0.35">
      <c r="A845" t="s">
        <v>850</v>
      </c>
      <c r="B845" t="s">
        <v>2257</v>
      </c>
      <c r="C845" t="s">
        <v>2457</v>
      </c>
      <c r="D845" t="s">
        <v>2473</v>
      </c>
      <c r="E845" t="str">
        <f t="shared" si="26"/>
        <v>DORTMUND</v>
      </c>
      <c r="F845" t="s">
        <v>2484</v>
      </c>
      <c r="G845">
        <v>6.6</v>
      </c>
      <c r="I845">
        <v>6</v>
      </c>
      <c r="J845">
        <v>7.5</v>
      </c>
      <c r="K845" s="9">
        <f t="shared" si="27"/>
        <v>45635</v>
      </c>
      <c r="L845" t="s">
        <v>2619</v>
      </c>
      <c r="M845" t="s">
        <v>2927</v>
      </c>
    </row>
    <row r="846" spans="1:13" hidden="1" x14ac:dyDescent="0.35">
      <c r="A846" t="s">
        <v>851</v>
      </c>
      <c r="B846" t="s">
        <v>2350</v>
      </c>
      <c r="C846" t="s">
        <v>2459</v>
      </c>
      <c r="D846" t="s">
        <v>2465</v>
      </c>
      <c r="E846" t="str">
        <f t="shared" si="26"/>
        <v>VERNIER</v>
      </c>
      <c r="F846" t="s">
        <v>2481</v>
      </c>
      <c r="G846">
        <v>311.05</v>
      </c>
      <c r="H846" t="s">
        <v>2488</v>
      </c>
      <c r="I846">
        <v>150</v>
      </c>
      <c r="J846">
        <v>400</v>
      </c>
      <c r="K846" s="9">
        <f t="shared" si="27"/>
        <v>45605</v>
      </c>
      <c r="L846" t="s">
        <v>2776</v>
      </c>
      <c r="M846" t="s">
        <v>2923</v>
      </c>
    </row>
    <row r="847" spans="1:13" hidden="1" x14ac:dyDescent="0.35">
      <c r="A847" t="s">
        <v>852</v>
      </c>
      <c r="B847" t="s">
        <v>2206</v>
      </c>
      <c r="C847" t="s">
        <v>2458</v>
      </c>
      <c r="D847" t="s">
        <v>2474</v>
      </c>
      <c r="E847" t="str">
        <f t="shared" si="26"/>
        <v>DORTMUND DE</v>
      </c>
      <c r="F847" t="s">
        <v>2480</v>
      </c>
      <c r="G847">
        <v>0.89</v>
      </c>
      <c r="H847" t="s">
        <v>2487</v>
      </c>
      <c r="I847">
        <v>0.88</v>
      </c>
      <c r="J847">
        <v>0.97</v>
      </c>
      <c r="K847" s="9">
        <f t="shared" si="27"/>
        <v>45814</v>
      </c>
      <c r="L847" t="s">
        <v>2674</v>
      </c>
      <c r="M847" t="s">
        <v>2929</v>
      </c>
    </row>
    <row r="848" spans="1:13" hidden="1" x14ac:dyDescent="0.35">
      <c r="A848" t="s">
        <v>853</v>
      </c>
      <c r="B848" t="s">
        <v>2113</v>
      </c>
      <c r="C848" t="s">
        <v>2458</v>
      </c>
      <c r="D848" t="s">
        <v>2470</v>
      </c>
      <c r="E848" t="str">
        <f t="shared" si="26"/>
        <v>E. HANOVER</v>
      </c>
      <c r="F848" t="s">
        <v>2482</v>
      </c>
      <c r="G848">
        <v>99.85</v>
      </c>
      <c r="H848" t="s">
        <v>2489</v>
      </c>
      <c r="I848">
        <v>97</v>
      </c>
      <c r="J848">
        <v>100</v>
      </c>
      <c r="K848" s="9">
        <f t="shared" si="27"/>
        <v>45345</v>
      </c>
      <c r="L848" t="s">
        <v>2589</v>
      </c>
      <c r="M848" t="s">
        <v>2926</v>
      </c>
    </row>
    <row r="849" spans="1:13" hidden="1" x14ac:dyDescent="0.35">
      <c r="A849" t="s">
        <v>854</v>
      </c>
      <c r="B849" t="s">
        <v>2313</v>
      </c>
      <c r="C849" t="s">
        <v>2459</v>
      </c>
      <c r="D849" t="s">
        <v>2477</v>
      </c>
      <c r="E849" t="str">
        <f t="shared" si="26"/>
        <v>BUDAPEST</v>
      </c>
      <c r="F849" t="s">
        <v>2482</v>
      </c>
      <c r="G849">
        <v>98.66</v>
      </c>
      <c r="H849" t="s">
        <v>2489</v>
      </c>
      <c r="I849">
        <v>97</v>
      </c>
      <c r="J849">
        <v>100</v>
      </c>
      <c r="K849" s="9">
        <f t="shared" si="27"/>
        <v>45742</v>
      </c>
      <c r="L849" t="s">
        <v>2746</v>
      </c>
      <c r="M849" t="s">
        <v>2923</v>
      </c>
    </row>
    <row r="850" spans="1:13" hidden="1" x14ac:dyDescent="0.35">
      <c r="A850" t="s">
        <v>855</v>
      </c>
      <c r="B850" t="s">
        <v>2120</v>
      </c>
      <c r="C850" t="s">
        <v>2459</v>
      </c>
      <c r="D850" t="s">
        <v>2465</v>
      </c>
      <c r="E850" t="str">
        <f t="shared" si="26"/>
        <v>VERNIER</v>
      </c>
      <c r="F850" t="s">
        <v>2485</v>
      </c>
      <c r="G850">
        <v>43.12</v>
      </c>
      <c r="H850" t="s">
        <v>2490</v>
      </c>
      <c r="I850">
        <v>0</v>
      </c>
      <c r="J850">
        <v>100</v>
      </c>
      <c r="K850" s="9">
        <f t="shared" si="27"/>
        <v>45393</v>
      </c>
      <c r="L850" t="s">
        <v>2632</v>
      </c>
      <c r="M850" t="s">
        <v>2925</v>
      </c>
    </row>
    <row r="851" spans="1:13" x14ac:dyDescent="0.35">
      <c r="A851" t="s">
        <v>856</v>
      </c>
      <c r="B851" t="s">
        <v>2011</v>
      </c>
      <c r="C851" t="s">
        <v>2457</v>
      </c>
      <c r="D851" t="s">
        <v>2475</v>
      </c>
      <c r="E851" t="str">
        <f t="shared" si="26"/>
        <v>ASHFORD</v>
      </c>
      <c r="F851" t="s">
        <v>2482</v>
      </c>
      <c r="H851" t="s">
        <v>2489</v>
      </c>
      <c r="I851">
        <v>97</v>
      </c>
      <c r="J851">
        <v>100</v>
      </c>
      <c r="K851" s="9">
        <f t="shared" si="27"/>
        <v>45350</v>
      </c>
      <c r="L851" t="s">
        <v>2524</v>
      </c>
      <c r="M851" t="s">
        <v>2924</v>
      </c>
    </row>
    <row r="852" spans="1:13" hidden="1" x14ac:dyDescent="0.35">
      <c r="A852" t="s">
        <v>857</v>
      </c>
      <c r="B852" t="s">
        <v>2422</v>
      </c>
      <c r="C852" t="s">
        <v>2461</v>
      </c>
      <c r="D852" t="s">
        <v>2469</v>
      </c>
      <c r="E852" t="str">
        <f t="shared" si="26"/>
        <v>DORTMUND</v>
      </c>
      <c r="F852" t="s">
        <v>2481</v>
      </c>
      <c r="G852">
        <v>190.07</v>
      </c>
      <c r="H852" t="s">
        <v>2488</v>
      </c>
      <c r="I852">
        <v>150</v>
      </c>
      <c r="J852">
        <v>400</v>
      </c>
      <c r="K852" s="9">
        <f t="shared" si="27"/>
        <v>45539</v>
      </c>
      <c r="L852" t="s">
        <v>2834</v>
      </c>
      <c r="M852" t="s">
        <v>2929</v>
      </c>
    </row>
    <row r="853" spans="1:13" hidden="1" x14ac:dyDescent="0.35">
      <c r="A853" t="s">
        <v>858</v>
      </c>
      <c r="B853" t="s">
        <v>2423</v>
      </c>
      <c r="C853" t="s">
        <v>2461</v>
      </c>
      <c r="D853" t="s">
        <v>2464</v>
      </c>
      <c r="E853" t="str">
        <f t="shared" si="26"/>
        <v>EAST HANOVER</v>
      </c>
      <c r="F853" t="s">
        <v>2480</v>
      </c>
      <c r="G853">
        <v>0.91</v>
      </c>
      <c r="H853" t="s">
        <v>2487</v>
      </c>
      <c r="I853">
        <v>0.88</v>
      </c>
      <c r="J853">
        <v>0.97</v>
      </c>
      <c r="K853" s="9">
        <f t="shared" si="27"/>
        <v>45916</v>
      </c>
      <c r="L853" t="s">
        <v>2624</v>
      </c>
      <c r="M853" t="s">
        <v>2928</v>
      </c>
    </row>
    <row r="854" spans="1:13" hidden="1" x14ac:dyDescent="0.35">
      <c r="A854" t="s">
        <v>859</v>
      </c>
      <c r="B854" t="s">
        <v>2424</v>
      </c>
      <c r="C854" t="s">
        <v>2457</v>
      </c>
      <c r="D854" t="s">
        <v>2473</v>
      </c>
      <c r="E854" t="str">
        <f t="shared" si="26"/>
        <v>DORTMUND</v>
      </c>
      <c r="F854" t="s">
        <v>2485</v>
      </c>
      <c r="G854">
        <v>95.2</v>
      </c>
      <c r="H854" t="s">
        <v>2490</v>
      </c>
      <c r="I854">
        <v>0</v>
      </c>
      <c r="J854">
        <v>100</v>
      </c>
      <c r="K854" s="9">
        <f t="shared" si="27"/>
        <v>45371</v>
      </c>
      <c r="L854" t="s">
        <v>2622</v>
      </c>
      <c r="M854" t="s">
        <v>2931</v>
      </c>
    </row>
    <row r="855" spans="1:13" hidden="1" x14ac:dyDescent="0.35">
      <c r="A855" t="s">
        <v>860</v>
      </c>
      <c r="B855" t="s">
        <v>2425</v>
      </c>
      <c r="C855" t="s">
        <v>2461</v>
      </c>
      <c r="D855" t="s">
        <v>2464</v>
      </c>
      <c r="E855" t="str">
        <f t="shared" si="26"/>
        <v>EAST HANOVER</v>
      </c>
      <c r="F855" t="s">
        <v>2480</v>
      </c>
      <c r="G855">
        <v>0.92</v>
      </c>
      <c r="H855" t="s">
        <v>2487</v>
      </c>
      <c r="I855">
        <v>0.88</v>
      </c>
      <c r="J855">
        <v>0.97</v>
      </c>
      <c r="K855" s="9">
        <f t="shared" si="27"/>
        <v>45556</v>
      </c>
      <c r="L855" t="s">
        <v>2835</v>
      </c>
      <c r="M855" t="s">
        <v>2929</v>
      </c>
    </row>
    <row r="856" spans="1:13" hidden="1" x14ac:dyDescent="0.35">
      <c r="A856" t="s">
        <v>861</v>
      </c>
      <c r="B856" t="s">
        <v>2052</v>
      </c>
      <c r="C856" t="s">
        <v>2460</v>
      </c>
      <c r="D856" t="s">
        <v>2470</v>
      </c>
      <c r="E856" t="str">
        <f t="shared" si="26"/>
        <v>E. HANOVER</v>
      </c>
      <c r="F856" t="s">
        <v>2484</v>
      </c>
      <c r="G856">
        <v>7.06</v>
      </c>
      <c r="I856">
        <v>6</v>
      </c>
      <c r="J856">
        <v>7.5</v>
      </c>
      <c r="K856" s="9">
        <f t="shared" si="27"/>
        <v>45461</v>
      </c>
      <c r="L856" t="s">
        <v>2531</v>
      </c>
      <c r="M856" t="s">
        <v>2932</v>
      </c>
    </row>
    <row r="857" spans="1:13" hidden="1" x14ac:dyDescent="0.35">
      <c r="A857" t="s">
        <v>862</v>
      </c>
      <c r="B857" t="s">
        <v>2400</v>
      </c>
      <c r="C857" t="s">
        <v>2457</v>
      </c>
      <c r="D857" t="s">
        <v>2473</v>
      </c>
      <c r="E857" t="str">
        <f t="shared" si="26"/>
        <v>DORTMUND</v>
      </c>
      <c r="F857" t="s">
        <v>2480</v>
      </c>
      <c r="G857">
        <v>0.88</v>
      </c>
      <c r="H857" t="s">
        <v>2487</v>
      </c>
      <c r="I857">
        <v>0.88</v>
      </c>
      <c r="J857">
        <v>0.97</v>
      </c>
      <c r="K857" s="9">
        <f t="shared" si="27"/>
        <v>45810</v>
      </c>
      <c r="L857" t="s">
        <v>2655</v>
      </c>
      <c r="M857" t="s">
        <v>2932</v>
      </c>
    </row>
    <row r="858" spans="1:13" hidden="1" x14ac:dyDescent="0.35">
      <c r="A858" t="s">
        <v>863</v>
      </c>
      <c r="B858" t="s">
        <v>2295</v>
      </c>
      <c r="C858" t="s">
        <v>2459</v>
      </c>
      <c r="D858" t="s">
        <v>2463</v>
      </c>
      <c r="E858" t="str">
        <f t="shared" si="26"/>
        <v>VERNIER</v>
      </c>
      <c r="F858" t="s">
        <v>2481</v>
      </c>
      <c r="G858">
        <v>241.6</v>
      </c>
      <c r="H858" t="s">
        <v>2488</v>
      </c>
      <c r="I858">
        <v>150</v>
      </c>
      <c r="J858">
        <v>400</v>
      </c>
      <c r="K858" s="9">
        <f t="shared" si="27"/>
        <v>45977</v>
      </c>
      <c r="L858" t="s">
        <v>2736</v>
      </c>
      <c r="M858" t="s">
        <v>2926</v>
      </c>
    </row>
    <row r="859" spans="1:13" hidden="1" x14ac:dyDescent="0.35">
      <c r="A859" t="s">
        <v>864</v>
      </c>
      <c r="B859" t="s">
        <v>2011</v>
      </c>
      <c r="C859" t="s">
        <v>2457</v>
      </c>
      <c r="D859" t="s">
        <v>2462</v>
      </c>
      <c r="E859" t="str">
        <f t="shared" si="26"/>
        <v>ASHFORD UK</v>
      </c>
      <c r="F859" t="s">
        <v>2481</v>
      </c>
      <c r="G859">
        <v>220.41</v>
      </c>
      <c r="H859" t="s">
        <v>2488</v>
      </c>
      <c r="I859">
        <v>150</v>
      </c>
      <c r="J859">
        <v>400</v>
      </c>
      <c r="K859" s="9">
        <f t="shared" si="27"/>
        <v>45350</v>
      </c>
      <c r="L859" t="s">
        <v>2524</v>
      </c>
      <c r="M859" t="s">
        <v>2927</v>
      </c>
    </row>
    <row r="860" spans="1:13" x14ac:dyDescent="0.35">
      <c r="A860" t="s">
        <v>865</v>
      </c>
      <c r="B860" t="s">
        <v>2044</v>
      </c>
      <c r="C860" t="s">
        <v>2459</v>
      </c>
      <c r="D860" t="s">
        <v>2471</v>
      </c>
      <c r="E860" t="str">
        <f t="shared" si="26"/>
        <v>BUDAPEST</v>
      </c>
      <c r="F860" t="s">
        <v>2482</v>
      </c>
      <c r="H860" t="s">
        <v>2489</v>
      </c>
      <c r="I860">
        <v>97</v>
      </c>
      <c r="J860">
        <v>100</v>
      </c>
      <c r="K860" s="9">
        <f t="shared" si="27"/>
        <v>45350</v>
      </c>
      <c r="L860" t="s">
        <v>2524</v>
      </c>
      <c r="M860" t="s">
        <v>2932</v>
      </c>
    </row>
    <row r="861" spans="1:13" hidden="1" x14ac:dyDescent="0.35">
      <c r="A861" t="s">
        <v>866</v>
      </c>
      <c r="B861" t="s">
        <v>2284</v>
      </c>
      <c r="C861" t="s">
        <v>2461</v>
      </c>
      <c r="D861" t="s">
        <v>2476</v>
      </c>
      <c r="E861" t="str">
        <f t="shared" si="26"/>
        <v>BUDAPEST SITE</v>
      </c>
      <c r="F861" t="s">
        <v>2484</v>
      </c>
      <c r="G861">
        <v>7.37</v>
      </c>
      <c r="I861">
        <v>6</v>
      </c>
      <c r="J861">
        <v>7.5</v>
      </c>
      <c r="K861" s="9">
        <f t="shared" si="27"/>
        <v>45542</v>
      </c>
      <c r="L861" t="s">
        <v>2571</v>
      </c>
      <c r="M861" t="s">
        <v>2929</v>
      </c>
    </row>
    <row r="862" spans="1:13" hidden="1" x14ac:dyDescent="0.35">
      <c r="A862" t="s">
        <v>867</v>
      </c>
      <c r="B862" t="s">
        <v>2346</v>
      </c>
      <c r="C862" t="s">
        <v>2457</v>
      </c>
      <c r="D862" t="s">
        <v>2465</v>
      </c>
      <c r="E862" t="str">
        <f t="shared" si="26"/>
        <v>VERNIER</v>
      </c>
      <c r="F862" t="s">
        <v>2480</v>
      </c>
      <c r="G862">
        <v>0.91</v>
      </c>
      <c r="H862" t="s">
        <v>2487</v>
      </c>
      <c r="I862">
        <v>0.88</v>
      </c>
      <c r="J862">
        <v>0.97</v>
      </c>
      <c r="K862" s="9">
        <f t="shared" si="27"/>
        <v>45318</v>
      </c>
      <c r="L862" t="s">
        <v>2773</v>
      </c>
      <c r="M862" t="s">
        <v>2932</v>
      </c>
    </row>
    <row r="863" spans="1:13" hidden="1" x14ac:dyDescent="0.35">
      <c r="A863" t="s">
        <v>868</v>
      </c>
      <c r="B863" t="s">
        <v>2393</v>
      </c>
      <c r="C863" t="s">
        <v>2460</v>
      </c>
      <c r="D863" t="s">
        <v>2468</v>
      </c>
      <c r="E863" t="str">
        <f t="shared" si="26"/>
        <v>VERNIER CH</v>
      </c>
      <c r="F863" t="s">
        <v>2483</v>
      </c>
      <c r="G863">
        <v>0.4</v>
      </c>
      <c r="H863" t="s">
        <v>2489</v>
      </c>
      <c r="I863">
        <v>0</v>
      </c>
      <c r="J863">
        <v>1</v>
      </c>
      <c r="K863" s="9">
        <f t="shared" si="27"/>
        <v>45942</v>
      </c>
      <c r="L863" t="s">
        <v>2617</v>
      </c>
      <c r="M863" t="s">
        <v>2923</v>
      </c>
    </row>
    <row r="864" spans="1:13" hidden="1" x14ac:dyDescent="0.35">
      <c r="A864" t="s">
        <v>869</v>
      </c>
      <c r="B864" t="s">
        <v>2426</v>
      </c>
      <c r="C864" t="s">
        <v>2461</v>
      </c>
      <c r="D864" t="s">
        <v>2474</v>
      </c>
      <c r="E864" t="str">
        <f t="shared" si="26"/>
        <v>DORTMUND DE</v>
      </c>
      <c r="F864" t="s">
        <v>2479</v>
      </c>
      <c r="G864">
        <v>63.86</v>
      </c>
      <c r="H864" t="s">
        <v>2486</v>
      </c>
      <c r="I864">
        <v>0</v>
      </c>
      <c r="J864">
        <v>120</v>
      </c>
      <c r="K864" s="9">
        <f t="shared" si="27"/>
        <v>45834</v>
      </c>
      <c r="L864" t="s">
        <v>2836</v>
      </c>
      <c r="M864" t="s">
        <v>2927</v>
      </c>
    </row>
    <row r="865" spans="1:13" hidden="1" x14ac:dyDescent="0.35">
      <c r="A865" t="s">
        <v>870</v>
      </c>
      <c r="B865" t="s">
        <v>2354</v>
      </c>
      <c r="C865" t="s">
        <v>2458</v>
      </c>
      <c r="D865" t="s">
        <v>2471</v>
      </c>
      <c r="E865" t="str">
        <f t="shared" si="26"/>
        <v>BUDAPEST</v>
      </c>
      <c r="F865" t="s">
        <v>2480</v>
      </c>
      <c r="G865">
        <v>0.92</v>
      </c>
      <c r="H865" t="s">
        <v>2487</v>
      </c>
      <c r="I865">
        <v>0.88</v>
      </c>
      <c r="J865">
        <v>0.97</v>
      </c>
      <c r="K865" s="9">
        <f t="shared" si="27"/>
        <v>45587</v>
      </c>
      <c r="L865" t="s">
        <v>2725</v>
      </c>
      <c r="M865" t="s">
        <v>2931</v>
      </c>
    </row>
    <row r="866" spans="1:13" hidden="1" x14ac:dyDescent="0.35">
      <c r="A866" t="s">
        <v>871</v>
      </c>
      <c r="B866" t="s">
        <v>2319</v>
      </c>
      <c r="C866" t="s">
        <v>2458</v>
      </c>
      <c r="D866" t="s">
        <v>2469</v>
      </c>
      <c r="E866" t="str">
        <f t="shared" si="26"/>
        <v>DORTMUND</v>
      </c>
      <c r="F866" t="s">
        <v>2479</v>
      </c>
      <c r="G866">
        <v>11.29</v>
      </c>
      <c r="H866" t="s">
        <v>2486</v>
      </c>
      <c r="I866">
        <v>0</v>
      </c>
      <c r="J866">
        <v>120</v>
      </c>
      <c r="K866" s="9">
        <f t="shared" si="27"/>
        <v>45477</v>
      </c>
      <c r="L866" t="s">
        <v>2751</v>
      </c>
      <c r="M866" t="s">
        <v>2932</v>
      </c>
    </row>
    <row r="867" spans="1:13" hidden="1" x14ac:dyDescent="0.35">
      <c r="A867" t="s">
        <v>872</v>
      </c>
      <c r="B867" t="s">
        <v>2380</v>
      </c>
      <c r="C867" t="s">
        <v>2457</v>
      </c>
      <c r="D867" t="s">
        <v>2473</v>
      </c>
      <c r="E867" t="str">
        <f t="shared" si="26"/>
        <v>DORTMUND</v>
      </c>
      <c r="F867" t="s">
        <v>2484</v>
      </c>
      <c r="G867">
        <v>7.22</v>
      </c>
      <c r="I867">
        <v>6</v>
      </c>
      <c r="J867">
        <v>7.5</v>
      </c>
      <c r="K867" s="9">
        <f t="shared" si="27"/>
        <v>45787</v>
      </c>
      <c r="L867" t="s">
        <v>2625</v>
      </c>
      <c r="M867" t="s">
        <v>2931</v>
      </c>
    </row>
    <row r="868" spans="1:13" hidden="1" x14ac:dyDescent="0.35">
      <c r="A868" t="s">
        <v>873</v>
      </c>
      <c r="B868" t="s">
        <v>2100</v>
      </c>
      <c r="C868" t="s">
        <v>2461</v>
      </c>
      <c r="D868" t="s">
        <v>2478</v>
      </c>
      <c r="E868" t="str">
        <f t="shared" si="26"/>
        <v>BUD</v>
      </c>
      <c r="F868" t="s">
        <v>2484</v>
      </c>
      <c r="G868">
        <v>6.71</v>
      </c>
      <c r="I868">
        <v>6</v>
      </c>
      <c r="J868">
        <v>7.5</v>
      </c>
      <c r="K868" s="9">
        <f t="shared" si="27"/>
        <v>45413</v>
      </c>
      <c r="L868" t="s">
        <v>2578</v>
      </c>
      <c r="M868" t="s">
        <v>2930</v>
      </c>
    </row>
    <row r="869" spans="1:13" hidden="1" x14ac:dyDescent="0.35">
      <c r="A869" t="s">
        <v>874</v>
      </c>
      <c r="B869" t="s">
        <v>2072</v>
      </c>
      <c r="C869" t="s">
        <v>2460</v>
      </c>
      <c r="D869" t="s">
        <v>2469</v>
      </c>
      <c r="E869" t="str">
        <f t="shared" si="26"/>
        <v>DORTMUND</v>
      </c>
      <c r="F869" t="s">
        <v>2482</v>
      </c>
      <c r="G869">
        <v>98.87</v>
      </c>
      <c r="H869" t="s">
        <v>2489</v>
      </c>
      <c r="I869">
        <v>97</v>
      </c>
      <c r="J869">
        <v>100</v>
      </c>
      <c r="K869" s="9">
        <f t="shared" si="27"/>
        <v>45544</v>
      </c>
      <c r="L869" t="s">
        <v>2551</v>
      </c>
      <c r="M869" t="s">
        <v>2927</v>
      </c>
    </row>
    <row r="870" spans="1:13" x14ac:dyDescent="0.35">
      <c r="A870" t="s">
        <v>875</v>
      </c>
      <c r="B870" t="s">
        <v>2354</v>
      </c>
      <c r="C870" t="s">
        <v>2458</v>
      </c>
      <c r="D870" t="s">
        <v>2476</v>
      </c>
      <c r="E870" t="str">
        <f t="shared" si="26"/>
        <v>BUDAPEST SITE</v>
      </c>
      <c r="F870" t="s">
        <v>2484</v>
      </c>
      <c r="I870">
        <v>6</v>
      </c>
      <c r="J870">
        <v>7.5</v>
      </c>
      <c r="K870" s="9">
        <f t="shared" si="27"/>
        <v>45587</v>
      </c>
      <c r="L870" t="s">
        <v>2725</v>
      </c>
      <c r="M870" t="s">
        <v>2928</v>
      </c>
    </row>
    <row r="871" spans="1:13" hidden="1" x14ac:dyDescent="0.35">
      <c r="A871" t="s">
        <v>876</v>
      </c>
      <c r="B871" t="s">
        <v>2427</v>
      </c>
      <c r="C871" t="s">
        <v>2461</v>
      </c>
      <c r="D871" t="s">
        <v>2471</v>
      </c>
      <c r="E871" t="str">
        <f t="shared" si="26"/>
        <v>BUDAPEST</v>
      </c>
      <c r="F871" t="s">
        <v>2480</v>
      </c>
      <c r="G871">
        <v>0.89</v>
      </c>
      <c r="H871" t="s">
        <v>2487</v>
      </c>
      <c r="I871">
        <v>0.88</v>
      </c>
      <c r="J871">
        <v>0.97</v>
      </c>
      <c r="K871" s="9">
        <f t="shared" si="27"/>
        <v>45590</v>
      </c>
      <c r="L871" t="s">
        <v>2837</v>
      </c>
      <c r="M871" t="s">
        <v>2924</v>
      </c>
    </row>
    <row r="872" spans="1:13" hidden="1" x14ac:dyDescent="0.35">
      <c r="A872" t="s">
        <v>877</v>
      </c>
      <c r="B872" t="s">
        <v>2327</v>
      </c>
      <c r="C872" t="s">
        <v>2458</v>
      </c>
      <c r="D872" t="s">
        <v>2471</v>
      </c>
      <c r="E872" t="str">
        <f t="shared" si="26"/>
        <v>BUDAPEST</v>
      </c>
      <c r="F872" t="s">
        <v>2479</v>
      </c>
      <c r="G872">
        <v>51.8</v>
      </c>
      <c r="H872" t="s">
        <v>2486</v>
      </c>
      <c r="I872">
        <v>0</v>
      </c>
      <c r="J872">
        <v>120</v>
      </c>
      <c r="K872" s="9">
        <f t="shared" si="27"/>
        <v>45699</v>
      </c>
      <c r="L872" t="s">
        <v>2756</v>
      </c>
      <c r="M872" t="s">
        <v>2925</v>
      </c>
    </row>
    <row r="873" spans="1:13" hidden="1" x14ac:dyDescent="0.35">
      <c r="A873" t="s">
        <v>878</v>
      </c>
      <c r="B873" t="s">
        <v>2428</v>
      </c>
      <c r="C873" t="s">
        <v>2458</v>
      </c>
      <c r="D873" t="s">
        <v>2465</v>
      </c>
      <c r="E873" t="str">
        <f t="shared" si="26"/>
        <v>VERNIER</v>
      </c>
      <c r="F873" t="s">
        <v>2479</v>
      </c>
      <c r="G873">
        <v>46.73</v>
      </c>
      <c r="H873" t="s">
        <v>2486</v>
      </c>
      <c r="I873">
        <v>0</v>
      </c>
      <c r="J873">
        <v>120</v>
      </c>
      <c r="K873" s="9">
        <f t="shared" si="27"/>
        <v>45343</v>
      </c>
      <c r="L873" t="s">
        <v>2838</v>
      </c>
      <c r="M873" t="s">
        <v>2931</v>
      </c>
    </row>
    <row r="874" spans="1:13" hidden="1" x14ac:dyDescent="0.35">
      <c r="A874" t="s">
        <v>879</v>
      </c>
      <c r="B874" t="s">
        <v>2171</v>
      </c>
      <c r="C874" t="s">
        <v>2459</v>
      </c>
      <c r="D874" t="s">
        <v>2462</v>
      </c>
      <c r="E874" t="str">
        <f t="shared" si="26"/>
        <v>ASHFORD UK</v>
      </c>
      <c r="F874" t="s">
        <v>2482</v>
      </c>
      <c r="G874">
        <v>98.25</v>
      </c>
      <c r="H874" t="s">
        <v>2489</v>
      </c>
      <c r="I874">
        <v>97</v>
      </c>
      <c r="J874">
        <v>100</v>
      </c>
      <c r="K874" s="9">
        <f t="shared" si="27"/>
        <v>45629</v>
      </c>
      <c r="L874" t="s">
        <v>2644</v>
      </c>
      <c r="M874" t="s">
        <v>2926</v>
      </c>
    </row>
    <row r="875" spans="1:13" hidden="1" x14ac:dyDescent="0.35">
      <c r="A875" t="s">
        <v>880</v>
      </c>
      <c r="B875" t="s">
        <v>2401</v>
      </c>
      <c r="C875" t="s">
        <v>2457</v>
      </c>
      <c r="D875" t="s">
        <v>2478</v>
      </c>
      <c r="E875" t="str">
        <f t="shared" si="26"/>
        <v>BUD</v>
      </c>
      <c r="F875" t="s">
        <v>2484</v>
      </c>
      <c r="G875">
        <v>7.21</v>
      </c>
      <c r="I875">
        <v>6</v>
      </c>
      <c r="J875">
        <v>7.5</v>
      </c>
      <c r="K875" s="9">
        <f t="shared" si="27"/>
        <v>45660</v>
      </c>
      <c r="L875" t="s">
        <v>2817</v>
      </c>
      <c r="M875" t="s">
        <v>2931</v>
      </c>
    </row>
    <row r="876" spans="1:13" hidden="1" x14ac:dyDescent="0.35">
      <c r="A876" t="s">
        <v>881</v>
      </c>
      <c r="B876" t="s">
        <v>2425</v>
      </c>
      <c r="C876" t="s">
        <v>2461</v>
      </c>
      <c r="D876" t="s">
        <v>2470</v>
      </c>
      <c r="E876" t="str">
        <f t="shared" si="26"/>
        <v>E. HANOVER</v>
      </c>
      <c r="F876" t="s">
        <v>2479</v>
      </c>
      <c r="G876">
        <v>81.17</v>
      </c>
      <c r="H876" t="s">
        <v>2486</v>
      </c>
      <c r="I876">
        <v>0</v>
      </c>
      <c r="J876">
        <v>120</v>
      </c>
      <c r="K876" s="9">
        <f t="shared" si="27"/>
        <v>45556</v>
      </c>
      <c r="L876" t="s">
        <v>2835</v>
      </c>
      <c r="M876" t="s">
        <v>2926</v>
      </c>
    </row>
    <row r="877" spans="1:13" hidden="1" x14ac:dyDescent="0.35">
      <c r="A877" t="s">
        <v>882</v>
      </c>
      <c r="B877" t="s">
        <v>2161</v>
      </c>
      <c r="C877" t="s">
        <v>2459</v>
      </c>
      <c r="D877" t="s">
        <v>2469</v>
      </c>
      <c r="E877" t="str">
        <f t="shared" si="26"/>
        <v>DORTMUND</v>
      </c>
      <c r="F877" t="s">
        <v>2483</v>
      </c>
      <c r="G877">
        <v>0.37</v>
      </c>
      <c r="H877" t="s">
        <v>2489</v>
      </c>
      <c r="I877">
        <v>0</v>
      </c>
      <c r="J877">
        <v>1</v>
      </c>
      <c r="K877" s="9">
        <f t="shared" si="27"/>
        <v>45963</v>
      </c>
      <c r="L877" t="s">
        <v>2634</v>
      </c>
      <c r="M877" t="s">
        <v>2929</v>
      </c>
    </row>
    <row r="878" spans="1:13" hidden="1" x14ac:dyDescent="0.35">
      <c r="A878" t="s">
        <v>883</v>
      </c>
      <c r="B878" t="s">
        <v>2129</v>
      </c>
      <c r="C878" t="s">
        <v>2461</v>
      </c>
      <c r="D878" t="s">
        <v>2473</v>
      </c>
      <c r="E878" t="str">
        <f t="shared" si="26"/>
        <v>DORTMUND</v>
      </c>
      <c r="F878" t="s">
        <v>2480</v>
      </c>
      <c r="G878">
        <v>0.97</v>
      </c>
      <c r="H878" t="s">
        <v>2487</v>
      </c>
      <c r="I878">
        <v>0.88</v>
      </c>
      <c r="J878">
        <v>0.97</v>
      </c>
      <c r="K878" s="9">
        <f t="shared" si="27"/>
        <v>45617</v>
      </c>
      <c r="L878" t="s">
        <v>2605</v>
      </c>
      <c r="M878" t="s">
        <v>2932</v>
      </c>
    </row>
    <row r="879" spans="1:13" hidden="1" x14ac:dyDescent="0.35">
      <c r="A879" t="s">
        <v>884</v>
      </c>
      <c r="B879" t="s">
        <v>2108</v>
      </c>
      <c r="C879" t="s">
        <v>2458</v>
      </c>
      <c r="D879" t="s">
        <v>2462</v>
      </c>
      <c r="E879" t="str">
        <f t="shared" si="26"/>
        <v>ASHFORD UK</v>
      </c>
      <c r="F879" t="s">
        <v>2480</v>
      </c>
      <c r="G879">
        <v>0.89</v>
      </c>
      <c r="H879" t="s">
        <v>2487</v>
      </c>
      <c r="I879">
        <v>0.88</v>
      </c>
      <c r="J879">
        <v>0.97</v>
      </c>
      <c r="K879" s="9">
        <f t="shared" si="27"/>
        <v>45362</v>
      </c>
      <c r="L879" t="s">
        <v>2585</v>
      </c>
      <c r="M879" t="s">
        <v>2929</v>
      </c>
    </row>
    <row r="880" spans="1:13" hidden="1" x14ac:dyDescent="0.35">
      <c r="A880" t="s">
        <v>885</v>
      </c>
      <c r="B880" t="s">
        <v>2036</v>
      </c>
      <c r="C880" t="s">
        <v>2459</v>
      </c>
      <c r="D880" t="s">
        <v>2465</v>
      </c>
      <c r="E880" t="str">
        <f t="shared" si="26"/>
        <v>VERNIER</v>
      </c>
      <c r="F880" t="s">
        <v>2483</v>
      </c>
      <c r="G880">
        <v>0.34</v>
      </c>
      <c r="H880" t="s">
        <v>2489</v>
      </c>
      <c r="I880">
        <v>0</v>
      </c>
      <c r="J880">
        <v>1</v>
      </c>
      <c r="K880" s="9">
        <f t="shared" si="27"/>
        <v>45769</v>
      </c>
      <c r="L880" t="s">
        <v>2516</v>
      </c>
      <c r="M880" t="s">
        <v>2931</v>
      </c>
    </row>
    <row r="881" spans="1:13" hidden="1" x14ac:dyDescent="0.35">
      <c r="A881" t="s">
        <v>886</v>
      </c>
      <c r="B881" t="s">
        <v>2372</v>
      </c>
      <c r="C881" t="s">
        <v>2461</v>
      </c>
      <c r="D881" t="s">
        <v>2462</v>
      </c>
      <c r="E881" t="str">
        <f t="shared" si="26"/>
        <v>ASHFORD UK</v>
      </c>
      <c r="F881" t="s">
        <v>2481</v>
      </c>
      <c r="G881">
        <v>216.66</v>
      </c>
      <c r="H881" t="s">
        <v>2488</v>
      </c>
      <c r="I881">
        <v>150</v>
      </c>
      <c r="J881">
        <v>400</v>
      </c>
      <c r="K881" s="9">
        <f t="shared" si="27"/>
        <v>45704</v>
      </c>
      <c r="L881" t="s">
        <v>2669</v>
      </c>
      <c r="M881" t="s">
        <v>2926</v>
      </c>
    </row>
    <row r="882" spans="1:13" hidden="1" x14ac:dyDescent="0.35">
      <c r="A882" t="s">
        <v>887</v>
      </c>
      <c r="B882" t="s">
        <v>2347</v>
      </c>
      <c r="C882" t="s">
        <v>2460</v>
      </c>
      <c r="D882" t="s">
        <v>2469</v>
      </c>
      <c r="E882" t="str">
        <f t="shared" si="26"/>
        <v>DORTMUND</v>
      </c>
      <c r="F882" t="s">
        <v>2481</v>
      </c>
      <c r="G882">
        <v>277.19</v>
      </c>
      <c r="H882" t="s">
        <v>2488</v>
      </c>
      <c r="I882">
        <v>150</v>
      </c>
      <c r="J882">
        <v>400</v>
      </c>
      <c r="K882" s="9">
        <f t="shared" si="27"/>
        <v>45401</v>
      </c>
      <c r="L882" t="s">
        <v>2774</v>
      </c>
      <c r="M882" t="s">
        <v>2932</v>
      </c>
    </row>
    <row r="883" spans="1:13" hidden="1" x14ac:dyDescent="0.35">
      <c r="A883" t="s">
        <v>888</v>
      </c>
      <c r="B883" t="s">
        <v>2082</v>
      </c>
      <c r="C883" t="s">
        <v>2461</v>
      </c>
      <c r="D883" t="s">
        <v>2467</v>
      </c>
      <c r="E883" t="str">
        <f t="shared" si="26"/>
        <v>ASHFORD</v>
      </c>
      <c r="F883" t="s">
        <v>2483</v>
      </c>
      <c r="G883">
        <v>0.59</v>
      </c>
      <c r="H883" t="s">
        <v>2489</v>
      </c>
      <c r="I883">
        <v>0</v>
      </c>
      <c r="J883">
        <v>1</v>
      </c>
      <c r="K883" s="9">
        <f t="shared" si="27"/>
        <v>45392</v>
      </c>
      <c r="L883" t="s">
        <v>2561</v>
      </c>
      <c r="M883" t="s">
        <v>2931</v>
      </c>
    </row>
    <row r="884" spans="1:13" hidden="1" x14ac:dyDescent="0.35">
      <c r="A884" t="s">
        <v>889</v>
      </c>
      <c r="B884" t="s">
        <v>2152</v>
      </c>
      <c r="C884" t="s">
        <v>2461</v>
      </c>
      <c r="D884" t="s">
        <v>2476</v>
      </c>
      <c r="E884" t="str">
        <f t="shared" si="26"/>
        <v>BUDAPEST SITE</v>
      </c>
      <c r="F884" t="s">
        <v>2479</v>
      </c>
      <c r="G884">
        <v>40.07</v>
      </c>
      <c r="H884" t="s">
        <v>2486</v>
      </c>
      <c r="I884">
        <v>0</v>
      </c>
      <c r="J884">
        <v>120</v>
      </c>
      <c r="K884" s="9">
        <f t="shared" si="27"/>
        <v>45958</v>
      </c>
      <c r="L884" t="s">
        <v>2627</v>
      </c>
      <c r="M884" t="s">
        <v>2923</v>
      </c>
    </row>
    <row r="885" spans="1:13" hidden="1" x14ac:dyDescent="0.35">
      <c r="A885" t="s">
        <v>78</v>
      </c>
      <c r="B885" t="s">
        <v>2076</v>
      </c>
      <c r="C885" t="s">
        <v>2458</v>
      </c>
      <c r="D885" t="s">
        <v>2470</v>
      </c>
      <c r="E885" t="str">
        <f t="shared" si="26"/>
        <v>E. HANOVER</v>
      </c>
      <c r="F885" t="s">
        <v>2479</v>
      </c>
      <c r="G885">
        <v>65.31</v>
      </c>
      <c r="H885" t="s">
        <v>2486</v>
      </c>
      <c r="I885">
        <v>0</v>
      </c>
      <c r="J885">
        <v>120</v>
      </c>
      <c r="K885" s="9">
        <f t="shared" si="27"/>
        <v>45955</v>
      </c>
      <c r="L885" t="s">
        <v>2555</v>
      </c>
      <c r="M885" t="s">
        <v>2929</v>
      </c>
    </row>
    <row r="886" spans="1:13" hidden="1" x14ac:dyDescent="0.35">
      <c r="A886" t="s">
        <v>890</v>
      </c>
      <c r="B886" t="s">
        <v>2429</v>
      </c>
      <c r="C886" t="s">
        <v>2460</v>
      </c>
      <c r="D886" t="s">
        <v>2464</v>
      </c>
      <c r="E886" t="str">
        <f t="shared" si="26"/>
        <v>EAST HANOVER</v>
      </c>
      <c r="F886" t="s">
        <v>2479</v>
      </c>
      <c r="G886">
        <v>84.97</v>
      </c>
      <c r="H886" t="s">
        <v>2486</v>
      </c>
      <c r="I886">
        <v>0</v>
      </c>
      <c r="J886">
        <v>120</v>
      </c>
      <c r="K886" s="9">
        <f t="shared" si="27"/>
        <v>45620</v>
      </c>
      <c r="L886" t="s">
        <v>2839</v>
      </c>
      <c r="M886" t="s">
        <v>2926</v>
      </c>
    </row>
    <row r="887" spans="1:13" hidden="1" x14ac:dyDescent="0.35">
      <c r="A887" t="s">
        <v>891</v>
      </c>
      <c r="B887" t="s">
        <v>2062</v>
      </c>
      <c r="C887" t="s">
        <v>2458</v>
      </c>
      <c r="D887" t="s">
        <v>2470</v>
      </c>
      <c r="E887" t="str">
        <f t="shared" si="26"/>
        <v>E. HANOVER</v>
      </c>
      <c r="F887" t="s">
        <v>2484</v>
      </c>
      <c r="G887">
        <v>7.14</v>
      </c>
      <c r="I887">
        <v>6</v>
      </c>
      <c r="J887">
        <v>7.5</v>
      </c>
      <c r="K887" s="9">
        <f t="shared" si="27"/>
        <v>45845</v>
      </c>
      <c r="L887" t="s">
        <v>2541</v>
      </c>
      <c r="M887" t="s">
        <v>2932</v>
      </c>
    </row>
    <row r="888" spans="1:13" hidden="1" x14ac:dyDescent="0.35">
      <c r="A888" t="s">
        <v>892</v>
      </c>
      <c r="B888" t="s">
        <v>2417</v>
      </c>
      <c r="C888" t="s">
        <v>2459</v>
      </c>
      <c r="D888" t="s">
        <v>2462</v>
      </c>
      <c r="E888" t="str">
        <f t="shared" si="26"/>
        <v>ASHFORD UK</v>
      </c>
      <c r="F888" t="s">
        <v>2485</v>
      </c>
      <c r="G888">
        <v>-3.02</v>
      </c>
      <c r="H888" t="s">
        <v>2490</v>
      </c>
      <c r="I888">
        <v>0</v>
      </c>
      <c r="J888">
        <v>100</v>
      </c>
      <c r="K888" s="9">
        <f t="shared" si="27"/>
        <v>45969</v>
      </c>
      <c r="L888" t="s">
        <v>2519</v>
      </c>
      <c r="M888" t="s">
        <v>2930</v>
      </c>
    </row>
    <row r="889" spans="1:13" hidden="1" x14ac:dyDescent="0.35">
      <c r="A889" t="s">
        <v>893</v>
      </c>
      <c r="B889" t="s">
        <v>2371</v>
      </c>
      <c r="C889" t="s">
        <v>2459</v>
      </c>
      <c r="D889" t="s">
        <v>2473</v>
      </c>
      <c r="E889" t="str">
        <f t="shared" si="26"/>
        <v>DORTMUND</v>
      </c>
      <c r="F889" t="s">
        <v>2480</v>
      </c>
      <c r="G889">
        <v>0.92</v>
      </c>
      <c r="H889" t="s">
        <v>2487</v>
      </c>
      <c r="I889">
        <v>0.88</v>
      </c>
      <c r="J889">
        <v>0.97</v>
      </c>
      <c r="K889" s="9">
        <f t="shared" si="27"/>
        <v>45519</v>
      </c>
      <c r="L889" t="s">
        <v>2791</v>
      </c>
      <c r="M889" t="s">
        <v>2930</v>
      </c>
    </row>
    <row r="890" spans="1:13" hidden="1" x14ac:dyDescent="0.35">
      <c r="A890" t="s">
        <v>894</v>
      </c>
      <c r="B890" t="s">
        <v>2364</v>
      </c>
      <c r="C890" t="s">
        <v>2461</v>
      </c>
      <c r="D890" t="s">
        <v>2470</v>
      </c>
      <c r="E890" t="str">
        <f t="shared" si="26"/>
        <v>E. HANOVER</v>
      </c>
      <c r="F890" t="s">
        <v>2483</v>
      </c>
      <c r="G890">
        <v>0.56999999999999995</v>
      </c>
      <c r="H890" t="s">
        <v>2489</v>
      </c>
      <c r="I890">
        <v>0</v>
      </c>
      <c r="J890">
        <v>1</v>
      </c>
      <c r="K890" s="9">
        <f t="shared" si="27"/>
        <v>45885</v>
      </c>
      <c r="L890" t="s">
        <v>2556</v>
      </c>
      <c r="M890" t="s">
        <v>2930</v>
      </c>
    </row>
    <row r="891" spans="1:13" hidden="1" x14ac:dyDescent="0.35">
      <c r="A891" t="s">
        <v>895</v>
      </c>
      <c r="B891" t="s">
        <v>2343</v>
      </c>
      <c r="C891" t="s">
        <v>2457</v>
      </c>
      <c r="D891" t="s">
        <v>2470</v>
      </c>
      <c r="E891" t="str">
        <f t="shared" si="26"/>
        <v>E. HANOVER</v>
      </c>
      <c r="F891" t="s">
        <v>2483</v>
      </c>
      <c r="G891">
        <v>0.34</v>
      </c>
      <c r="H891" t="s">
        <v>2489</v>
      </c>
      <c r="I891">
        <v>0</v>
      </c>
      <c r="J891">
        <v>1</v>
      </c>
      <c r="K891" s="9">
        <f t="shared" si="27"/>
        <v>45531</v>
      </c>
      <c r="L891" t="s">
        <v>2771</v>
      </c>
      <c r="M891" t="s">
        <v>2930</v>
      </c>
    </row>
    <row r="892" spans="1:13" hidden="1" x14ac:dyDescent="0.35">
      <c r="A892" t="s">
        <v>896</v>
      </c>
      <c r="B892" t="s">
        <v>2088</v>
      </c>
      <c r="C892" t="s">
        <v>2461</v>
      </c>
      <c r="D892" t="s">
        <v>2478</v>
      </c>
      <c r="E892" t="str">
        <f t="shared" si="26"/>
        <v>BUD</v>
      </c>
      <c r="F892" t="s">
        <v>2483</v>
      </c>
      <c r="G892">
        <v>0.27</v>
      </c>
      <c r="H892" t="s">
        <v>2489</v>
      </c>
      <c r="I892">
        <v>0</v>
      </c>
      <c r="J892">
        <v>1</v>
      </c>
      <c r="K892" s="9">
        <f t="shared" si="27"/>
        <v>45973</v>
      </c>
      <c r="L892" t="s">
        <v>2566</v>
      </c>
      <c r="M892" t="s">
        <v>2931</v>
      </c>
    </row>
    <row r="893" spans="1:13" hidden="1" x14ac:dyDescent="0.35">
      <c r="A893" t="s">
        <v>861</v>
      </c>
      <c r="B893" t="s">
        <v>2052</v>
      </c>
      <c r="C893" t="s">
        <v>2460</v>
      </c>
      <c r="D893" t="s">
        <v>2470</v>
      </c>
      <c r="E893" t="str">
        <f t="shared" si="26"/>
        <v>E. HANOVER</v>
      </c>
      <c r="F893" t="s">
        <v>2484</v>
      </c>
      <c r="G893">
        <v>7.06</v>
      </c>
      <c r="I893">
        <v>6</v>
      </c>
      <c r="J893">
        <v>7.5</v>
      </c>
      <c r="K893" s="9">
        <f t="shared" si="27"/>
        <v>45461</v>
      </c>
      <c r="L893" t="s">
        <v>2531</v>
      </c>
      <c r="M893" t="s">
        <v>2932</v>
      </c>
    </row>
    <row r="894" spans="1:13" hidden="1" x14ac:dyDescent="0.35">
      <c r="A894" t="s">
        <v>897</v>
      </c>
      <c r="B894" t="s">
        <v>2428</v>
      </c>
      <c r="C894" t="s">
        <v>2458</v>
      </c>
      <c r="D894" t="s">
        <v>2468</v>
      </c>
      <c r="E894" t="str">
        <f t="shared" si="26"/>
        <v>VERNIER CH</v>
      </c>
      <c r="F894" t="s">
        <v>2480</v>
      </c>
      <c r="G894">
        <v>0.92</v>
      </c>
      <c r="H894" t="s">
        <v>2487</v>
      </c>
      <c r="I894">
        <v>0.88</v>
      </c>
      <c r="J894">
        <v>0.97</v>
      </c>
      <c r="K894" s="9">
        <f t="shared" si="27"/>
        <v>45343</v>
      </c>
      <c r="L894" t="s">
        <v>2838</v>
      </c>
      <c r="M894" t="s">
        <v>2928</v>
      </c>
    </row>
    <row r="895" spans="1:13" hidden="1" x14ac:dyDescent="0.35">
      <c r="A895" t="s">
        <v>898</v>
      </c>
      <c r="B895" t="s">
        <v>2177</v>
      </c>
      <c r="C895" t="s">
        <v>2457</v>
      </c>
      <c r="D895" t="s">
        <v>2472</v>
      </c>
      <c r="E895" t="str">
        <f t="shared" si="26"/>
        <v>VERNIER</v>
      </c>
      <c r="F895" t="s">
        <v>2484</v>
      </c>
      <c r="G895">
        <v>6.12</v>
      </c>
      <c r="I895">
        <v>6</v>
      </c>
      <c r="J895">
        <v>7.5</v>
      </c>
      <c r="K895" s="9">
        <f t="shared" si="27"/>
        <v>45520</v>
      </c>
      <c r="L895" t="s">
        <v>2840</v>
      </c>
      <c r="M895" t="s">
        <v>2925</v>
      </c>
    </row>
    <row r="896" spans="1:13" hidden="1" x14ac:dyDescent="0.35">
      <c r="A896" t="s">
        <v>899</v>
      </c>
      <c r="B896" t="s">
        <v>2430</v>
      </c>
      <c r="C896" t="s">
        <v>2458</v>
      </c>
      <c r="D896" t="s">
        <v>2476</v>
      </c>
      <c r="E896" t="str">
        <f t="shared" si="26"/>
        <v>BUDAPEST SITE</v>
      </c>
      <c r="F896" t="s">
        <v>2485</v>
      </c>
      <c r="G896">
        <v>-0.14000000000000001</v>
      </c>
      <c r="H896" t="s">
        <v>2490</v>
      </c>
      <c r="I896">
        <v>0</v>
      </c>
      <c r="J896">
        <v>100</v>
      </c>
      <c r="K896" s="9">
        <f t="shared" si="27"/>
        <v>45714</v>
      </c>
      <c r="L896" t="s">
        <v>2841</v>
      </c>
      <c r="M896" t="s">
        <v>2932</v>
      </c>
    </row>
    <row r="897" spans="1:13" hidden="1" x14ac:dyDescent="0.35">
      <c r="A897" t="s">
        <v>900</v>
      </c>
      <c r="B897" t="s">
        <v>2429</v>
      </c>
      <c r="C897" t="s">
        <v>2460</v>
      </c>
      <c r="D897" t="s">
        <v>2466</v>
      </c>
      <c r="E897" t="str">
        <f t="shared" si="26"/>
        <v>EAST HANOVER</v>
      </c>
      <c r="F897" t="s">
        <v>2481</v>
      </c>
      <c r="G897">
        <v>207.65</v>
      </c>
      <c r="H897" t="s">
        <v>2488</v>
      </c>
      <c r="I897">
        <v>150</v>
      </c>
      <c r="J897">
        <v>400</v>
      </c>
      <c r="K897" s="9">
        <f t="shared" si="27"/>
        <v>45620</v>
      </c>
      <c r="L897" t="s">
        <v>2842</v>
      </c>
      <c r="M897" t="s">
        <v>2925</v>
      </c>
    </row>
    <row r="898" spans="1:13" hidden="1" x14ac:dyDescent="0.35">
      <c r="A898" t="s">
        <v>901</v>
      </c>
      <c r="B898" t="s">
        <v>2389</v>
      </c>
      <c r="C898" t="s">
        <v>2460</v>
      </c>
      <c r="D898" t="s">
        <v>2473</v>
      </c>
      <c r="E898" t="str">
        <f t="shared" si="26"/>
        <v>DORTMUND</v>
      </c>
      <c r="F898" t="s">
        <v>2484</v>
      </c>
      <c r="G898">
        <v>7.37</v>
      </c>
      <c r="I898">
        <v>6</v>
      </c>
      <c r="J898">
        <v>7.5</v>
      </c>
      <c r="K898" s="9">
        <f t="shared" si="27"/>
        <v>45546</v>
      </c>
      <c r="L898" t="s">
        <v>2806</v>
      </c>
      <c r="M898" t="s">
        <v>2930</v>
      </c>
    </row>
    <row r="899" spans="1:13" hidden="1" x14ac:dyDescent="0.35">
      <c r="A899" t="s">
        <v>902</v>
      </c>
      <c r="B899" t="s">
        <v>2105</v>
      </c>
      <c r="C899" t="s">
        <v>2457</v>
      </c>
      <c r="D899" t="s">
        <v>2462</v>
      </c>
      <c r="E899" t="str">
        <f t="shared" ref="E899:E962" si="28">UPPER(D899)</f>
        <v>ASHFORD UK</v>
      </c>
      <c r="F899" t="s">
        <v>2480</v>
      </c>
      <c r="G899">
        <v>0.93</v>
      </c>
      <c r="H899" t="s">
        <v>2487</v>
      </c>
      <c r="I899">
        <v>0.88</v>
      </c>
      <c r="J899">
        <v>0.97</v>
      </c>
      <c r="K899" s="9">
        <f t="shared" ref="K899:K962" si="29">IF(L899="","",
IF(MID(L899,5,1)="-",
DATE(LEFT(L899,4),MID(L899,6,2),RIGHT(L899,2)),
DATE(RIGHT(L899,4),MID(L899,4,2),LEFT(L899,2))
))</f>
        <v>45358</v>
      </c>
      <c r="L899" t="s">
        <v>2582</v>
      </c>
      <c r="M899" t="s">
        <v>2929</v>
      </c>
    </row>
    <row r="900" spans="1:13" hidden="1" x14ac:dyDescent="0.35">
      <c r="A900" t="s">
        <v>903</v>
      </c>
      <c r="B900" t="s">
        <v>2427</v>
      </c>
      <c r="C900" t="s">
        <v>2461</v>
      </c>
      <c r="D900" t="s">
        <v>2471</v>
      </c>
      <c r="E900" t="str">
        <f t="shared" si="28"/>
        <v>BUDAPEST</v>
      </c>
      <c r="F900" t="s">
        <v>2483</v>
      </c>
      <c r="G900">
        <v>0.28999999999999998</v>
      </c>
      <c r="H900" t="s">
        <v>2489</v>
      </c>
      <c r="I900">
        <v>0</v>
      </c>
      <c r="J900">
        <v>1</v>
      </c>
      <c r="K900" s="9">
        <f t="shared" si="29"/>
        <v>45590</v>
      </c>
      <c r="L900" t="s">
        <v>2843</v>
      </c>
      <c r="M900" t="s">
        <v>2923</v>
      </c>
    </row>
    <row r="901" spans="1:13" hidden="1" x14ac:dyDescent="0.35">
      <c r="A901" t="s">
        <v>904</v>
      </c>
      <c r="B901" t="s">
        <v>2020</v>
      </c>
      <c r="C901" t="s">
        <v>2458</v>
      </c>
      <c r="D901" t="s">
        <v>2478</v>
      </c>
      <c r="E901" t="str">
        <f t="shared" si="28"/>
        <v>BUD</v>
      </c>
      <c r="F901" t="s">
        <v>2483</v>
      </c>
      <c r="G901">
        <v>0.38</v>
      </c>
      <c r="H901" t="s">
        <v>2489</v>
      </c>
      <c r="I901">
        <v>0</v>
      </c>
      <c r="J901">
        <v>1</v>
      </c>
      <c r="K901" s="9">
        <f t="shared" si="29"/>
        <v>45655</v>
      </c>
      <c r="L901" t="s">
        <v>2500</v>
      </c>
      <c r="M901" t="s">
        <v>2926</v>
      </c>
    </row>
    <row r="902" spans="1:13" hidden="1" x14ac:dyDescent="0.35">
      <c r="A902" t="s">
        <v>905</v>
      </c>
      <c r="B902" t="s">
        <v>2167</v>
      </c>
      <c r="C902" t="s">
        <v>2460</v>
      </c>
      <c r="D902" t="s">
        <v>2472</v>
      </c>
      <c r="E902" t="str">
        <f t="shared" si="28"/>
        <v>VERNIER</v>
      </c>
      <c r="F902" t="s">
        <v>2480</v>
      </c>
      <c r="G902">
        <v>0.94</v>
      </c>
      <c r="H902" t="s">
        <v>2487</v>
      </c>
      <c r="I902">
        <v>0.88</v>
      </c>
      <c r="J902">
        <v>0.97</v>
      </c>
      <c r="K902" s="9">
        <f t="shared" si="29"/>
        <v>45528</v>
      </c>
      <c r="L902" t="s">
        <v>2640</v>
      </c>
      <c r="M902" t="s">
        <v>2931</v>
      </c>
    </row>
    <row r="903" spans="1:13" hidden="1" x14ac:dyDescent="0.35">
      <c r="A903" t="s">
        <v>906</v>
      </c>
      <c r="B903" t="s">
        <v>2311</v>
      </c>
      <c r="C903" t="s">
        <v>2459</v>
      </c>
      <c r="D903" t="s">
        <v>2464</v>
      </c>
      <c r="E903" t="str">
        <f t="shared" si="28"/>
        <v>EAST HANOVER</v>
      </c>
      <c r="F903" t="s">
        <v>2485</v>
      </c>
      <c r="G903">
        <v>-26.98</v>
      </c>
      <c r="H903" t="s">
        <v>2490</v>
      </c>
      <c r="I903">
        <v>0</v>
      </c>
      <c r="J903">
        <v>100</v>
      </c>
      <c r="K903" s="9">
        <f t="shared" si="29"/>
        <v>45958</v>
      </c>
      <c r="L903" t="s">
        <v>2627</v>
      </c>
      <c r="M903" t="s">
        <v>2928</v>
      </c>
    </row>
    <row r="904" spans="1:13" hidden="1" x14ac:dyDescent="0.35">
      <c r="A904" t="s">
        <v>907</v>
      </c>
      <c r="B904" t="s">
        <v>2125</v>
      </c>
      <c r="C904" t="s">
        <v>2460</v>
      </c>
      <c r="D904" t="s">
        <v>2476</v>
      </c>
      <c r="E904" t="str">
        <f t="shared" si="28"/>
        <v>BUDAPEST SITE</v>
      </c>
      <c r="F904" t="s">
        <v>2485</v>
      </c>
      <c r="G904">
        <v>16.75</v>
      </c>
      <c r="H904" t="s">
        <v>2490</v>
      </c>
      <c r="I904">
        <v>0</v>
      </c>
      <c r="J904">
        <v>100</v>
      </c>
      <c r="K904" s="9">
        <f t="shared" si="29"/>
        <v>45544</v>
      </c>
      <c r="L904" t="s">
        <v>2551</v>
      </c>
      <c r="M904" t="s">
        <v>2926</v>
      </c>
    </row>
    <row r="905" spans="1:13" hidden="1" x14ac:dyDescent="0.35">
      <c r="A905" t="s">
        <v>908</v>
      </c>
      <c r="B905" t="s">
        <v>2431</v>
      </c>
      <c r="C905" t="s">
        <v>2460</v>
      </c>
      <c r="D905" t="s">
        <v>2467</v>
      </c>
      <c r="E905" t="str">
        <f t="shared" si="28"/>
        <v>ASHFORD</v>
      </c>
      <c r="F905" t="s">
        <v>2483</v>
      </c>
      <c r="G905">
        <v>0.54</v>
      </c>
      <c r="H905" t="s">
        <v>2489</v>
      </c>
      <c r="I905">
        <v>0</v>
      </c>
      <c r="J905">
        <v>1</v>
      </c>
      <c r="K905" s="9">
        <f t="shared" si="29"/>
        <v>45462</v>
      </c>
      <c r="L905" t="s">
        <v>2844</v>
      </c>
      <c r="M905" t="s">
        <v>2925</v>
      </c>
    </row>
    <row r="906" spans="1:13" hidden="1" x14ac:dyDescent="0.35">
      <c r="A906" t="s">
        <v>909</v>
      </c>
      <c r="B906" t="s">
        <v>2394</v>
      </c>
      <c r="C906" t="s">
        <v>2460</v>
      </c>
      <c r="D906" t="s">
        <v>2463</v>
      </c>
      <c r="E906" t="str">
        <f t="shared" si="28"/>
        <v>VERNIER</v>
      </c>
      <c r="F906" t="s">
        <v>2484</v>
      </c>
      <c r="G906">
        <v>6.9</v>
      </c>
      <c r="I906">
        <v>6</v>
      </c>
      <c r="J906">
        <v>7.5</v>
      </c>
      <c r="K906" s="9">
        <f t="shared" si="29"/>
        <v>45499</v>
      </c>
      <c r="L906" t="s">
        <v>2671</v>
      </c>
      <c r="M906" t="s">
        <v>2932</v>
      </c>
    </row>
    <row r="907" spans="1:13" hidden="1" x14ac:dyDescent="0.35">
      <c r="A907" t="s">
        <v>910</v>
      </c>
      <c r="B907" t="s">
        <v>2042</v>
      </c>
      <c r="C907" t="s">
        <v>2460</v>
      </c>
      <c r="D907" t="s">
        <v>2463</v>
      </c>
      <c r="E907" t="str">
        <f t="shared" si="28"/>
        <v>VERNIER</v>
      </c>
      <c r="F907" t="s">
        <v>2484</v>
      </c>
      <c r="G907">
        <v>7.61</v>
      </c>
      <c r="I907">
        <v>6</v>
      </c>
      <c r="J907">
        <v>7.5</v>
      </c>
      <c r="K907" s="9">
        <f t="shared" si="29"/>
        <v>45774</v>
      </c>
      <c r="L907" t="s">
        <v>2522</v>
      </c>
      <c r="M907" t="s">
        <v>2929</v>
      </c>
    </row>
    <row r="908" spans="1:13" hidden="1" x14ac:dyDescent="0.35">
      <c r="A908" t="s">
        <v>911</v>
      </c>
      <c r="B908" t="s">
        <v>2051</v>
      </c>
      <c r="C908" t="s">
        <v>2461</v>
      </c>
      <c r="D908" t="s">
        <v>2469</v>
      </c>
      <c r="E908" t="str">
        <f t="shared" si="28"/>
        <v>DORTMUND</v>
      </c>
      <c r="F908" t="s">
        <v>2483</v>
      </c>
      <c r="G908">
        <v>0.51</v>
      </c>
      <c r="H908" t="s">
        <v>2489</v>
      </c>
      <c r="I908">
        <v>0</v>
      </c>
      <c r="J908">
        <v>1</v>
      </c>
      <c r="K908" s="9">
        <f t="shared" si="29"/>
        <v>45564</v>
      </c>
      <c r="L908" t="s">
        <v>2530</v>
      </c>
      <c r="M908" t="s">
        <v>2924</v>
      </c>
    </row>
    <row r="909" spans="1:13" hidden="1" x14ac:dyDescent="0.35">
      <c r="A909" t="s">
        <v>912</v>
      </c>
      <c r="B909" t="s">
        <v>2364</v>
      </c>
      <c r="C909" t="s">
        <v>2461</v>
      </c>
      <c r="D909" t="s">
        <v>2466</v>
      </c>
      <c r="E909" t="str">
        <f t="shared" si="28"/>
        <v>EAST HANOVER</v>
      </c>
      <c r="F909" t="s">
        <v>2479</v>
      </c>
      <c r="G909">
        <v>49.17</v>
      </c>
      <c r="H909" t="s">
        <v>2486</v>
      </c>
      <c r="I909">
        <v>0</v>
      </c>
      <c r="J909">
        <v>120</v>
      </c>
      <c r="K909" s="9">
        <f t="shared" si="29"/>
        <v>45885</v>
      </c>
      <c r="L909" t="s">
        <v>2556</v>
      </c>
      <c r="M909" t="s">
        <v>2927</v>
      </c>
    </row>
    <row r="910" spans="1:13" hidden="1" x14ac:dyDescent="0.35">
      <c r="A910" t="s">
        <v>913</v>
      </c>
      <c r="B910" t="s">
        <v>2160</v>
      </c>
      <c r="C910" t="s">
        <v>2458</v>
      </c>
      <c r="D910" t="s">
        <v>2469</v>
      </c>
      <c r="E910" t="str">
        <f t="shared" si="28"/>
        <v>DORTMUND</v>
      </c>
      <c r="F910" t="s">
        <v>2479</v>
      </c>
      <c r="G910">
        <v>59.52</v>
      </c>
      <c r="H910" t="s">
        <v>2486</v>
      </c>
      <c r="I910">
        <v>0</v>
      </c>
      <c r="J910">
        <v>120</v>
      </c>
      <c r="K910" s="9">
        <f t="shared" si="29"/>
        <v>45476</v>
      </c>
      <c r="L910" t="s">
        <v>2621</v>
      </c>
      <c r="M910" t="s">
        <v>2926</v>
      </c>
    </row>
    <row r="911" spans="1:13" hidden="1" x14ac:dyDescent="0.35">
      <c r="A911" t="s">
        <v>914</v>
      </c>
      <c r="B911" t="s">
        <v>2432</v>
      </c>
      <c r="C911" t="s">
        <v>2459</v>
      </c>
      <c r="D911" t="s">
        <v>2464</v>
      </c>
      <c r="E911" t="str">
        <f t="shared" si="28"/>
        <v>EAST HANOVER</v>
      </c>
      <c r="F911" t="s">
        <v>2485</v>
      </c>
      <c r="G911">
        <v>14.28</v>
      </c>
      <c r="H911" t="s">
        <v>2490</v>
      </c>
      <c r="I911">
        <v>0</v>
      </c>
      <c r="J911">
        <v>100</v>
      </c>
      <c r="K911" s="9">
        <f t="shared" si="29"/>
        <v>45457</v>
      </c>
      <c r="L911" t="s">
        <v>2845</v>
      </c>
      <c r="M911" t="s">
        <v>2927</v>
      </c>
    </row>
    <row r="912" spans="1:13" hidden="1" x14ac:dyDescent="0.35">
      <c r="A912" t="s">
        <v>915</v>
      </c>
      <c r="B912" t="s">
        <v>2433</v>
      </c>
      <c r="C912" t="s">
        <v>2461</v>
      </c>
      <c r="D912" t="s">
        <v>2463</v>
      </c>
      <c r="E912" t="str">
        <f t="shared" si="28"/>
        <v>VERNIER</v>
      </c>
      <c r="F912" t="s">
        <v>2481</v>
      </c>
      <c r="G912">
        <v>215.34</v>
      </c>
      <c r="H912" t="s">
        <v>2488</v>
      </c>
      <c r="I912">
        <v>150</v>
      </c>
      <c r="J912">
        <v>400</v>
      </c>
      <c r="K912" s="9">
        <f t="shared" si="29"/>
        <v>45503</v>
      </c>
      <c r="L912" t="s">
        <v>2846</v>
      </c>
      <c r="M912" t="s">
        <v>2926</v>
      </c>
    </row>
    <row r="913" spans="1:13" hidden="1" x14ac:dyDescent="0.35">
      <c r="A913" t="s">
        <v>916</v>
      </c>
      <c r="B913" t="s">
        <v>2232</v>
      </c>
      <c r="C913" t="s">
        <v>2460</v>
      </c>
      <c r="D913" t="s">
        <v>2467</v>
      </c>
      <c r="E913" t="str">
        <f t="shared" si="28"/>
        <v>ASHFORD</v>
      </c>
      <c r="F913" t="s">
        <v>2479</v>
      </c>
      <c r="G913">
        <v>46.32</v>
      </c>
      <c r="H913" t="s">
        <v>2486</v>
      </c>
      <c r="I913">
        <v>0</v>
      </c>
      <c r="J913">
        <v>120</v>
      </c>
      <c r="K913" s="9">
        <f t="shared" si="29"/>
        <v>45553</v>
      </c>
      <c r="L913" t="s">
        <v>2692</v>
      </c>
      <c r="M913" t="s">
        <v>2923</v>
      </c>
    </row>
    <row r="914" spans="1:13" hidden="1" x14ac:dyDescent="0.35">
      <c r="A914" t="s">
        <v>917</v>
      </c>
      <c r="B914" t="s">
        <v>2211</v>
      </c>
      <c r="C914" t="s">
        <v>2457</v>
      </c>
      <c r="D914" t="s">
        <v>2476</v>
      </c>
      <c r="E914" t="str">
        <f t="shared" si="28"/>
        <v>BUDAPEST SITE</v>
      </c>
      <c r="F914" t="s">
        <v>2485</v>
      </c>
      <c r="G914">
        <v>-12.65</v>
      </c>
      <c r="H914" t="s">
        <v>2490</v>
      </c>
      <c r="I914">
        <v>0</v>
      </c>
      <c r="J914">
        <v>100</v>
      </c>
      <c r="K914" s="9">
        <f t="shared" si="29"/>
        <v>45540</v>
      </c>
      <c r="L914" t="s">
        <v>2618</v>
      </c>
      <c r="M914" t="s">
        <v>2930</v>
      </c>
    </row>
    <row r="915" spans="1:13" hidden="1" x14ac:dyDescent="0.35">
      <c r="A915" t="s">
        <v>918</v>
      </c>
      <c r="B915" t="s">
        <v>2026</v>
      </c>
      <c r="C915" t="s">
        <v>2461</v>
      </c>
      <c r="D915" t="s">
        <v>2465</v>
      </c>
      <c r="E915" t="str">
        <f t="shared" si="28"/>
        <v>VERNIER</v>
      </c>
      <c r="F915" t="s">
        <v>2484</v>
      </c>
      <c r="G915">
        <v>8.6999999999999993</v>
      </c>
      <c r="I915">
        <v>6</v>
      </c>
      <c r="J915">
        <v>7.5</v>
      </c>
      <c r="K915" s="9">
        <f t="shared" si="29"/>
        <v>45294</v>
      </c>
      <c r="L915" t="s">
        <v>2506</v>
      </c>
      <c r="M915" t="s">
        <v>2925</v>
      </c>
    </row>
    <row r="916" spans="1:13" hidden="1" x14ac:dyDescent="0.35">
      <c r="A916" t="s">
        <v>919</v>
      </c>
      <c r="B916" t="s">
        <v>2254</v>
      </c>
      <c r="C916" t="s">
        <v>2457</v>
      </c>
      <c r="D916" t="s">
        <v>2477</v>
      </c>
      <c r="E916" t="str">
        <f t="shared" si="28"/>
        <v>BUDAPEST</v>
      </c>
      <c r="F916" t="s">
        <v>2480</v>
      </c>
      <c r="G916">
        <v>0.95</v>
      </c>
      <c r="H916" t="s">
        <v>2487</v>
      </c>
      <c r="I916">
        <v>0.88</v>
      </c>
      <c r="J916">
        <v>0.97</v>
      </c>
      <c r="K916" s="9">
        <f t="shared" si="29"/>
        <v>45774</v>
      </c>
      <c r="L916" t="s">
        <v>2522</v>
      </c>
      <c r="M916" t="s">
        <v>2923</v>
      </c>
    </row>
    <row r="917" spans="1:13" hidden="1" x14ac:dyDescent="0.35">
      <c r="A917" t="s">
        <v>920</v>
      </c>
      <c r="B917" t="s">
        <v>2061</v>
      </c>
      <c r="C917" t="s">
        <v>2457</v>
      </c>
      <c r="D917" t="s">
        <v>2471</v>
      </c>
      <c r="E917" t="str">
        <f t="shared" si="28"/>
        <v>BUDAPEST</v>
      </c>
      <c r="F917" t="s">
        <v>2484</v>
      </c>
      <c r="G917">
        <v>6.54</v>
      </c>
      <c r="I917">
        <v>6</v>
      </c>
      <c r="J917">
        <v>7.5</v>
      </c>
      <c r="K917" s="9">
        <f t="shared" si="29"/>
        <v>45831</v>
      </c>
      <c r="L917" t="s">
        <v>2847</v>
      </c>
      <c r="M917" t="s">
        <v>2924</v>
      </c>
    </row>
    <row r="918" spans="1:13" x14ac:dyDescent="0.35">
      <c r="A918" t="s">
        <v>921</v>
      </c>
      <c r="B918" t="s">
        <v>2073</v>
      </c>
      <c r="C918" t="s">
        <v>2457</v>
      </c>
      <c r="D918" t="s">
        <v>2469</v>
      </c>
      <c r="E918" t="str">
        <f t="shared" si="28"/>
        <v>DORTMUND</v>
      </c>
      <c r="F918" t="s">
        <v>2482</v>
      </c>
      <c r="H918" t="s">
        <v>2489</v>
      </c>
      <c r="I918">
        <v>97</v>
      </c>
      <c r="J918">
        <v>100</v>
      </c>
      <c r="K918" s="9">
        <f t="shared" si="29"/>
        <v>45638</v>
      </c>
      <c r="L918" t="s">
        <v>2552</v>
      </c>
      <c r="M918" t="s">
        <v>2929</v>
      </c>
    </row>
    <row r="919" spans="1:13" hidden="1" x14ac:dyDescent="0.35">
      <c r="A919" t="s">
        <v>922</v>
      </c>
      <c r="B919" t="s">
        <v>2397</v>
      </c>
      <c r="C919" t="s">
        <v>2459</v>
      </c>
      <c r="D919" t="s">
        <v>2476</v>
      </c>
      <c r="E919" t="str">
        <f t="shared" si="28"/>
        <v>BUDAPEST SITE</v>
      </c>
      <c r="F919" t="s">
        <v>2485</v>
      </c>
      <c r="G919">
        <v>46.05</v>
      </c>
      <c r="H919" t="s">
        <v>2490</v>
      </c>
      <c r="I919">
        <v>0</v>
      </c>
      <c r="J919">
        <v>100</v>
      </c>
      <c r="K919" s="9">
        <f t="shared" si="29"/>
        <v>45436</v>
      </c>
      <c r="L919" t="s">
        <v>2812</v>
      </c>
      <c r="M919" t="s">
        <v>2928</v>
      </c>
    </row>
    <row r="920" spans="1:13" hidden="1" x14ac:dyDescent="0.35">
      <c r="A920" t="s">
        <v>923</v>
      </c>
      <c r="B920" t="s">
        <v>2417</v>
      </c>
      <c r="C920" t="s">
        <v>2459</v>
      </c>
      <c r="D920" t="s">
        <v>2467</v>
      </c>
      <c r="E920" t="str">
        <f t="shared" si="28"/>
        <v>ASHFORD</v>
      </c>
      <c r="F920" t="s">
        <v>2482</v>
      </c>
      <c r="G920">
        <v>98.38</v>
      </c>
      <c r="H920" t="s">
        <v>2489</v>
      </c>
      <c r="I920">
        <v>97</v>
      </c>
      <c r="J920">
        <v>100</v>
      </c>
      <c r="K920" s="9">
        <f t="shared" si="29"/>
        <v>45969</v>
      </c>
      <c r="L920" t="s">
        <v>2519</v>
      </c>
      <c r="M920" t="s">
        <v>2931</v>
      </c>
    </row>
    <row r="921" spans="1:13" hidden="1" x14ac:dyDescent="0.35">
      <c r="A921" t="s">
        <v>924</v>
      </c>
      <c r="B921" t="s">
        <v>2275</v>
      </c>
      <c r="C921" t="s">
        <v>2458</v>
      </c>
      <c r="D921" t="s">
        <v>2472</v>
      </c>
      <c r="E921" t="str">
        <f t="shared" si="28"/>
        <v>VERNIER</v>
      </c>
      <c r="F921" t="s">
        <v>2481</v>
      </c>
      <c r="G921">
        <v>279.11</v>
      </c>
      <c r="H921" t="s">
        <v>2488</v>
      </c>
      <c r="I921">
        <v>150</v>
      </c>
      <c r="J921">
        <v>400</v>
      </c>
      <c r="K921" s="9">
        <f t="shared" si="29"/>
        <v>45513</v>
      </c>
      <c r="L921" t="s">
        <v>2723</v>
      </c>
      <c r="M921" t="s">
        <v>2931</v>
      </c>
    </row>
    <row r="922" spans="1:13" hidden="1" x14ac:dyDescent="0.35">
      <c r="A922" t="s">
        <v>925</v>
      </c>
      <c r="B922" t="s">
        <v>2228</v>
      </c>
      <c r="C922" t="s">
        <v>2458</v>
      </c>
      <c r="D922" t="s">
        <v>2466</v>
      </c>
      <c r="E922" t="str">
        <f t="shared" si="28"/>
        <v>EAST HANOVER</v>
      </c>
      <c r="F922" t="s">
        <v>2480</v>
      </c>
      <c r="G922">
        <v>0.98</v>
      </c>
      <c r="H922" t="s">
        <v>2487</v>
      </c>
      <c r="I922">
        <v>0.88</v>
      </c>
      <c r="J922">
        <v>0.97</v>
      </c>
      <c r="K922" s="9">
        <f t="shared" si="29"/>
        <v>45813</v>
      </c>
      <c r="L922" t="s">
        <v>2690</v>
      </c>
      <c r="M922" t="s">
        <v>2925</v>
      </c>
    </row>
    <row r="923" spans="1:13" hidden="1" x14ac:dyDescent="0.35">
      <c r="A923" t="s">
        <v>926</v>
      </c>
      <c r="B923" t="s">
        <v>2219</v>
      </c>
      <c r="C923" t="s">
        <v>2460</v>
      </c>
      <c r="D923" t="s">
        <v>2470</v>
      </c>
      <c r="E923" t="str">
        <f t="shared" si="28"/>
        <v>E. HANOVER</v>
      </c>
      <c r="F923" t="s">
        <v>2479</v>
      </c>
      <c r="G923">
        <v>47.91</v>
      </c>
      <c r="H923" t="s">
        <v>2486</v>
      </c>
      <c r="I923">
        <v>0</v>
      </c>
      <c r="J923">
        <v>120</v>
      </c>
      <c r="K923" s="9">
        <f t="shared" si="29"/>
        <v>45626</v>
      </c>
      <c r="L923" t="s">
        <v>2686</v>
      </c>
      <c r="M923" t="s">
        <v>2930</v>
      </c>
    </row>
    <row r="924" spans="1:13" hidden="1" x14ac:dyDescent="0.35">
      <c r="A924" t="s">
        <v>927</v>
      </c>
      <c r="B924" t="s">
        <v>2208</v>
      </c>
      <c r="C924" t="s">
        <v>2460</v>
      </c>
      <c r="D924" t="s">
        <v>2462</v>
      </c>
      <c r="E924" t="str">
        <f t="shared" si="28"/>
        <v>ASHFORD UK</v>
      </c>
      <c r="F924" t="s">
        <v>2481</v>
      </c>
      <c r="G924">
        <v>165.05</v>
      </c>
      <c r="H924" t="s">
        <v>2488</v>
      </c>
      <c r="I924">
        <v>150</v>
      </c>
      <c r="J924">
        <v>400</v>
      </c>
      <c r="K924" s="9">
        <f t="shared" si="29"/>
        <v>45505</v>
      </c>
      <c r="L924" t="s">
        <v>2676</v>
      </c>
      <c r="M924" t="s">
        <v>2931</v>
      </c>
    </row>
    <row r="925" spans="1:13" hidden="1" x14ac:dyDescent="0.35">
      <c r="A925" t="s">
        <v>928</v>
      </c>
      <c r="B925" t="s">
        <v>2329</v>
      </c>
      <c r="C925" t="s">
        <v>2459</v>
      </c>
      <c r="D925" t="s">
        <v>2469</v>
      </c>
      <c r="E925" t="str">
        <f t="shared" si="28"/>
        <v>DORTMUND</v>
      </c>
      <c r="F925" t="s">
        <v>2479</v>
      </c>
      <c r="G925">
        <v>61.28</v>
      </c>
      <c r="H925" t="s">
        <v>2486</v>
      </c>
      <c r="I925">
        <v>0</v>
      </c>
      <c r="J925">
        <v>120</v>
      </c>
      <c r="K925" s="9">
        <f t="shared" si="29"/>
        <v>45849</v>
      </c>
      <c r="L925" t="s">
        <v>2759</v>
      </c>
      <c r="M925" t="s">
        <v>2932</v>
      </c>
    </row>
    <row r="926" spans="1:13" hidden="1" x14ac:dyDescent="0.35">
      <c r="A926" t="s">
        <v>929</v>
      </c>
      <c r="B926" t="s">
        <v>2242</v>
      </c>
      <c r="C926" t="s">
        <v>2460</v>
      </c>
      <c r="D926" t="s">
        <v>2477</v>
      </c>
      <c r="E926" t="str">
        <f t="shared" si="28"/>
        <v>BUDAPEST</v>
      </c>
      <c r="F926" t="s">
        <v>2480</v>
      </c>
      <c r="G926">
        <v>0.91</v>
      </c>
      <c r="H926" t="s">
        <v>2487</v>
      </c>
      <c r="I926">
        <v>0.88</v>
      </c>
      <c r="J926">
        <v>0.97</v>
      </c>
      <c r="K926" s="9">
        <f t="shared" si="29"/>
        <v>45704</v>
      </c>
      <c r="L926" t="s">
        <v>2669</v>
      </c>
      <c r="M926" t="s">
        <v>2931</v>
      </c>
    </row>
    <row r="927" spans="1:13" hidden="1" x14ac:dyDescent="0.35">
      <c r="A927" t="s">
        <v>930</v>
      </c>
      <c r="B927" t="s">
        <v>2228</v>
      </c>
      <c r="C927" t="s">
        <v>2458</v>
      </c>
      <c r="D927" t="s">
        <v>2470</v>
      </c>
      <c r="E927" t="str">
        <f t="shared" si="28"/>
        <v>E. HANOVER</v>
      </c>
      <c r="F927" t="s">
        <v>2485</v>
      </c>
      <c r="G927">
        <v>14.64</v>
      </c>
      <c r="H927" t="s">
        <v>2490</v>
      </c>
      <c r="I927">
        <v>0</v>
      </c>
      <c r="J927">
        <v>100</v>
      </c>
      <c r="K927" s="9">
        <f t="shared" si="29"/>
        <v>45813</v>
      </c>
      <c r="L927" t="s">
        <v>2690</v>
      </c>
      <c r="M927" t="s">
        <v>2927</v>
      </c>
    </row>
    <row r="928" spans="1:13" hidden="1" x14ac:dyDescent="0.35">
      <c r="A928" t="s">
        <v>931</v>
      </c>
      <c r="B928" t="s">
        <v>2392</v>
      </c>
      <c r="C928" t="s">
        <v>2461</v>
      </c>
      <c r="D928" t="s">
        <v>2475</v>
      </c>
      <c r="E928" t="str">
        <f t="shared" si="28"/>
        <v>ASHFORD</v>
      </c>
      <c r="F928" t="s">
        <v>2479</v>
      </c>
      <c r="G928">
        <v>32.29</v>
      </c>
      <c r="H928" t="s">
        <v>2486</v>
      </c>
      <c r="I928">
        <v>0</v>
      </c>
      <c r="J928">
        <v>120</v>
      </c>
      <c r="K928" s="9">
        <f t="shared" si="29"/>
        <v>45923</v>
      </c>
      <c r="L928" t="s">
        <v>2809</v>
      </c>
      <c r="M928" t="s">
        <v>2931</v>
      </c>
    </row>
    <row r="929" spans="1:13" hidden="1" x14ac:dyDescent="0.35">
      <c r="A929" t="s">
        <v>932</v>
      </c>
      <c r="B929" t="s">
        <v>2176</v>
      </c>
      <c r="C929" t="s">
        <v>2461</v>
      </c>
      <c r="D929" t="s">
        <v>2473</v>
      </c>
      <c r="E929" t="str">
        <f t="shared" si="28"/>
        <v>DORTMUND</v>
      </c>
      <c r="F929" t="s">
        <v>2480</v>
      </c>
      <c r="G929">
        <v>0.91</v>
      </c>
      <c r="H929" t="s">
        <v>2487</v>
      </c>
      <c r="I929">
        <v>0.88</v>
      </c>
      <c r="J929">
        <v>0.97</v>
      </c>
      <c r="K929" s="9">
        <f t="shared" si="29"/>
        <v>45312</v>
      </c>
      <c r="L929" t="s">
        <v>2648</v>
      </c>
      <c r="M929" t="s">
        <v>2923</v>
      </c>
    </row>
    <row r="930" spans="1:13" hidden="1" x14ac:dyDescent="0.35">
      <c r="A930" t="s">
        <v>933</v>
      </c>
      <c r="B930" t="s">
        <v>2219</v>
      </c>
      <c r="C930" t="s">
        <v>2460</v>
      </c>
      <c r="D930" t="s">
        <v>2464</v>
      </c>
      <c r="E930" t="str">
        <f t="shared" si="28"/>
        <v>EAST HANOVER</v>
      </c>
      <c r="F930" t="s">
        <v>2480</v>
      </c>
      <c r="G930">
        <v>0.94</v>
      </c>
      <c r="H930" t="s">
        <v>2487</v>
      </c>
      <c r="I930">
        <v>0.88</v>
      </c>
      <c r="J930">
        <v>0.97</v>
      </c>
      <c r="K930" s="9">
        <f t="shared" si="29"/>
        <v>45626</v>
      </c>
      <c r="L930" t="s">
        <v>2686</v>
      </c>
      <c r="M930" t="s">
        <v>2932</v>
      </c>
    </row>
    <row r="931" spans="1:13" hidden="1" x14ac:dyDescent="0.35">
      <c r="A931" t="s">
        <v>934</v>
      </c>
      <c r="B931" t="s">
        <v>2349</v>
      </c>
      <c r="C931" t="s">
        <v>2461</v>
      </c>
      <c r="D931" t="s">
        <v>2464</v>
      </c>
      <c r="E931" t="str">
        <f t="shared" si="28"/>
        <v>EAST HANOVER</v>
      </c>
      <c r="F931" t="s">
        <v>2481</v>
      </c>
      <c r="G931">
        <v>284.89999999999998</v>
      </c>
      <c r="H931" t="s">
        <v>2488</v>
      </c>
      <c r="I931">
        <v>150</v>
      </c>
      <c r="J931">
        <v>400</v>
      </c>
      <c r="K931" s="9">
        <f t="shared" si="29"/>
        <v>45451</v>
      </c>
      <c r="L931" t="s">
        <v>2848</v>
      </c>
      <c r="M931" t="s">
        <v>2932</v>
      </c>
    </row>
    <row r="932" spans="1:13" hidden="1" x14ac:dyDescent="0.35">
      <c r="A932" t="s">
        <v>935</v>
      </c>
      <c r="B932" t="s">
        <v>2199</v>
      </c>
      <c r="C932" t="s">
        <v>2460</v>
      </c>
      <c r="D932" t="s">
        <v>2467</v>
      </c>
      <c r="E932" t="str">
        <f t="shared" si="28"/>
        <v>ASHFORD</v>
      </c>
      <c r="F932" t="s">
        <v>2482</v>
      </c>
      <c r="G932">
        <v>98.45</v>
      </c>
      <c r="H932" t="s">
        <v>2489</v>
      </c>
      <c r="I932">
        <v>97</v>
      </c>
      <c r="J932">
        <v>100</v>
      </c>
      <c r="K932" s="9">
        <f t="shared" si="29"/>
        <v>45413</v>
      </c>
      <c r="L932" t="s">
        <v>2578</v>
      </c>
      <c r="M932" t="s">
        <v>2928</v>
      </c>
    </row>
    <row r="933" spans="1:13" hidden="1" x14ac:dyDescent="0.35">
      <c r="A933" t="s">
        <v>936</v>
      </c>
      <c r="B933" t="s">
        <v>2304</v>
      </c>
      <c r="C933" t="s">
        <v>2460</v>
      </c>
      <c r="D933" t="s">
        <v>2464</v>
      </c>
      <c r="E933" t="str">
        <f t="shared" si="28"/>
        <v>EAST HANOVER</v>
      </c>
      <c r="F933" t="s">
        <v>2484</v>
      </c>
      <c r="G933">
        <v>6.27</v>
      </c>
      <c r="I933">
        <v>6</v>
      </c>
      <c r="J933">
        <v>7.5</v>
      </c>
      <c r="K933" s="9">
        <f t="shared" si="29"/>
        <v>45398</v>
      </c>
      <c r="L933" t="s">
        <v>2529</v>
      </c>
      <c r="M933" t="s">
        <v>2929</v>
      </c>
    </row>
    <row r="934" spans="1:13" hidden="1" x14ac:dyDescent="0.35">
      <c r="A934" t="s">
        <v>937</v>
      </c>
      <c r="B934" t="s">
        <v>2221</v>
      </c>
      <c r="C934" t="s">
        <v>2458</v>
      </c>
      <c r="D934" t="s">
        <v>2474</v>
      </c>
      <c r="E934" t="str">
        <f t="shared" si="28"/>
        <v>DORTMUND DE</v>
      </c>
      <c r="F934" t="s">
        <v>2483</v>
      </c>
      <c r="G934">
        <v>0.43</v>
      </c>
      <c r="H934" t="s">
        <v>2489</v>
      </c>
      <c r="I934">
        <v>0</v>
      </c>
      <c r="J934">
        <v>1</v>
      </c>
      <c r="K934" s="9">
        <f t="shared" si="29"/>
        <v>45520</v>
      </c>
      <c r="L934" t="s">
        <v>2649</v>
      </c>
      <c r="M934" t="s">
        <v>2926</v>
      </c>
    </row>
    <row r="935" spans="1:13" hidden="1" x14ac:dyDescent="0.35">
      <c r="A935" t="s">
        <v>938</v>
      </c>
      <c r="B935" t="s">
        <v>2228</v>
      </c>
      <c r="C935" t="s">
        <v>2458</v>
      </c>
      <c r="D935" t="s">
        <v>2466</v>
      </c>
      <c r="E935" t="str">
        <f t="shared" si="28"/>
        <v>EAST HANOVER</v>
      </c>
      <c r="F935" t="s">
        <v>2479</v>
      </c>
      <c r="G935">
        <v>36.479999999999997</v>
      </c>
      <c r="H935" t="s">
        <v>2486</v>
      </c>
      <c r="I935">
        <v>0</v>
      </c>
      <c r="J935">
        <v>120</v>
      </c>
      <c r="K935" s="9">
        <f t="shared" si="29"/>
        <v>45813</v>
      </c>
      <c r="L935" t="s">
        <v>2690</v>
      </c>
      <c r="M935" t="s">
        <v>2924</v>
      </c>
    </row>
    <row r="936" spans="1:13" hidden="1" x14ac:dyDescent="0.35">
      <c r="A936" t="s">
        <v>939</v>
      </c>
      <c r="B936" t="s">
        <v>2225</v>
      </c>
      <c r="C936" t="s">
        <v>2458</v>
      </c>
      <c r="D936" t="s">
        <v>2472</v>
      </c>
      <c r="E936" t="str">
        <f t="shared" si="28"/>
        <v>VERNIER</v>
      </c>
      <c r="F936" t="s">
        <v>2479</v>
      </c>
      <c r="G936">
        <v>41.01</v>
      </c>
      <c r="H936" t="s">
        <v>2486</v>
      </c>
      <c r="I936">
        <v>0</v>
      </c>
      <c r="J936">
        <v>120</v>
      </c>
      <c r="K936" s="9">
        <f t="shared" si="29"/>
        <v>45516</v>
      </c>
      <c r="L936" t="s">
        <v>2689</v>
      </c>
      <c r="M936" t="s">
        <v>2932</v>
      </c>
    </row>
    <row r="937" spans="1:13" hidden="1" x14ac:dyDescent="0.35">
      <c r="A937" t="s">
        <v>940</v>
      </c>
      <c r="B937" t="s">
        <v>2211</v>
      </c>
      <c r="C937" t="s">
        <v>2457</v>
      </c>
      <c r="D937" t="s">
        <v>2478</v>
      </c>
      <c r="E937" t="str">
        <f t="shared" si="28"/>
        <v>BUD</v>
      </c>
      <c r="F937" t="s">
        <v>2483</v>
      </c>
      <c r="G937">
        <v>0.02</v>
      </c>
      <c r="H937" t="s">
        <v>2489</v>
      </c>
      <c r="I937">
        <v>0</v>
      </c>
      <c r="J937">
        <v>1</v>
      </c>
      <c r="K937" s="9">
        <f t="shared" si="29"/>
        <v>45540</v>
      </c>
      <c r="L937" t="s">
        <v>2618</v>
      </c>
      <c r="M937" t="s">
        <v>2929</v>
      </c>
    </row>
    <row r="938" spans="1:13" hidden="1" x14ac:dyDescent="0.35">
      <c r="A938" t="s">
        <v>941</v>
      </c>
      <c r="B938" t="s">
        <v>2166</v>
      </c>
      <c r="C938" t="s">
        <v>2459</v>
      </c>
      <c r="D938" t="s">
        <v>2469</v>
      </c>
      <c r="E938" t="str">
        <f t="shared" si="28"/>
        <v>DORTMUND</v>
      </c>
      <c r="F938" t="s">
        <v>2482</v>
      </c>
      <c r="G938">
        <v>98.9</v>
      </c>
      <c r="H938" t="s">
        <v>2489</v>
      </c>
      <c r="I938">
        <v>97</v>
      </c>
      <c r="J938">
        <v>100</v>
      </c>
      <c r="K938" s="9">
        <f t="shared" si="29"/>
        <v>45970</v>
      </c>
      <c r="L938" t="s">
        <v>2639</v>
      </c>
      <c r="M938" t="s">
        <v>2931</v>
      </c>
    </row>
    <row r="939" spans="1:13" hidden="1" x14ac:dyDescent="0.35">
      <c r="A939" t="s">
        <v>942</v>
      </c>
      <c r="B939" t="s">
        <v>2308</v>
      </c>
      <c r="C939" t="s">
        <v>2457</v>
      </c>
      <c r="D939" t="s">
        <v>2471</v>
      </c>
      <c r="E939" t="str">
        <f t="shared" si="28"/>
        <v>BUDAPEST</v>
      </c>
      <c r="F939" t="s">
        <v>2481</v>
      </c>
      <c r="G939">
        <v>249.31</v>
      </c>
      <c r="H939" t="s">
        <v>2488</v>
      </c>
      <c r="I939">
        <v>150</v>
      </c>
      <c r="J939">
        <v>400</v>
      </c>
      <c r="K939" s="9">
        <f t="shared" si="29"/>
        <v>45797</v>
      </c>
      <c r="L939" t="s">
        <v>2744</v>
      </c>
      <c r="M939" t="s">
        <v>2932</v>
      </c>
    </row>
    <row r="940" spans="1:13" hidden="1" x14ac:dyDescent="0.35">
      <c r="A940" t="s">
        <v>943</v>
      </c>
      <c r="B940" t="s">
        <v>2354</v>
      </c>
      <c r="C940" t="s">
        <v>2458</v>
      </c>
      <c r="D940" t="s">
        <v>2478</v>
      </c>
      <c r="E940" t="str">
        <f t="shared" si="28"/>
        <v>BUD</v>
      </c>
      <c r="F940" t="s">
        <v>2485</v>
      </c>
      <c r="G940">
        <v>66.73</v>
      </c>
      <c r="H940" t="s">
        <v>2490</v>
      </c>
      <c r="I940">
        <v>0</v>
      </c>
      <c r="J940">
        <v>100</v>
      </c>
      <c r="K940" s="9">
        <f t="shared" si="29"/>
        <v>45587</v>
      </c>
      <c r="L940" t="s">
        <v>2725</v>
      </c>
      <c r="M940" t="s">
        <v>2930</v>
      </c>
    </row>
    <row r="941" spans="1:13" hidden="1" x14ac:dyDescent="0.35">
      <c r="A941" t="s">
        <v>944</v>
      </c>
      <c r="B941" t="s">
        <v>2025</v>
      </c>
      <c r="C941" t="s">
        <v>2458</v>
      </c>
      <c r="D941" t="s">
        <v>2464</v>
      </c>
      <c r="E941" t="str">
        <f t="shared" si="28"/>
        <v>EAST HANOVER</v>
      </c>
      <c r="F941" t="s">
        <v>2480</v>
      </c>
      <c r="G941">
        <v>0.87</v>
      </c>
      <c r="H941" t="s">
        <v>2487</v>
      </c>
      <c r="I941">
        <v>0.88</v>
      </c>
      <c r="J941">
        <v>0.97</v>
      </c>
      <c r="K941" s="9">
        <f t="shared" si="29"/>
        <v>45351</v>
      </c>
      <c r="L941" t="s">
        <v>2505</v>
      </c>
      <c r="M941" t="s">
        <v>2924</v>
      </c>
    </row>
    <row r="942" spans="1:13" hidden="1" x14ac:dyDescent="0.35">
      <c r="A942" t="s">
        <v>945</v>
      </c>
      <c r="B942" t="s">
        <v>2434</v>
      </c>
      <c r="C942" t="s">
        <v>2461</v>
      </c>
      <c r="D942" t="s">
        <v>2463</v>
      </c>
      <c r="E942" t="str">
        <f t="shared" si="28"/>
        <v>VERNIER</v>
      </c>
      <c r="F942" t="s">
        <v>2481</v>
      </c>
      <c r="G942">
        <v>232.07</v>
      </c>
      <c r="H942" t="s">
        <v>2488</v>
      </c>
      <c r="I942">
        <v>150</v>
      </c>
      <c r="J942">
        <v>400</v>
      </c>
      <c r="K942" s="9">
        <f t="shared" si="29"/>
        <v>45506</v>
      </c>
      <c r="L942" t="s">
        <v>2849</v>
      </c>
      <c r="M942" t="s">
        <v>2928</v>
      </c>
    </row>
    <row r="943" spans="1:13" hidden="1" x14ac:dyDescent="0.35">
      <c r="A943" t="s">
        <v>946</v>
      </c>
      <c r="B943" t="s">
        <v>2164</v>
      </c>
      <c r="C943" t="s">
        <v>2460</v>
      </c>
      <c r="D943" t="s">
        <v>2467</v>
      </c>
      <c r="E943" t="str">
        <f t="shared" si="28"/>
        <v>ASHFORD</v>
      </c>
      <c r="F943" t="s">
        <v>2481</v>
      </c>
      <c r="G943">
        <v>202.3</v>
      </c>
      <c r="H943" t="s">
        <v>2488</v>
      </c>
      <c r="I943">
        <v>150</v>
      </c>
      <c r="J943">
        <v>400</v>
      </c>
      <c r="K943" s="9">
        <f t="shared" si="29"/>
        <v>45912</v>
      </c>
      <c r="L943" t="s">
        <v>2637</v>
      </c>
      <c r="M943" t="s">
        <v>2924</v>
      </c>
    </row>
    <row r="944" spans="1:13" hidden="1" x14ac:dyDescent="0.35">
      <c r="A944" t="s">
        <v>947</v>
      </c>
      <c r="B944" t="s">
        <v>2089</v>
      </c>
      <c r="C944" t="s">
        <v>2460</v>
      </c>
      <c r="D944" t="s">
        <v>2476</v>
      </c>
      <c r="E944" t="str">
        <f t="shared" si="28"/>
        <v>BUDAPEST SITE</v>
      </c>
      <c r="F944" t="s">
        <v>2482</v>
      </c>
      <c r="G944">
        <v>98.61</v>
      </c>
      <c r="H944" t="s">
        <v>2489</v>
      </c>
      <c r="I944">
        <v>97</v>
      </c>
      <c r="J944">
        <v>100</v>
      </c>
      <c r="K944" s="9">
        <f t="shared" si="29"/>
        <v>45789</v>
      </c>
      <c r="L944" t="s">
        <v>2567</v>
      </c>
      <c r="M944" t="s">
        <v>2923</v>
      </c>
    </row>
    <row r="945" spans="1:13" hidden="1" x14ac:dyDescent="0.35">
      <c r="A945" t="s">
        <v>948</v>
      </c>
      <c r="B945" t="s">
        <v>2389</v>
      </c>
      <c r="C945" t="s">
        <v>2460</v>
      </c>
      <c r="D945" t="s">
        <v>2474</v>
      </c>
      <c r="E945" t="str">
        <f t="shared" si="28"/>
        <v>DORTMUND DE</v>
      </c>
      <c r="F945" t="s">
        <v>2481</v>
      </c>
      <c r="G945">
        <v>150</v>
      </c>
      <c r="H945" t="s">
        <v>2488</v>
      </c>
      <c r="I945">
        <v>150</v>
      </c>
      <c r="J945">
        <v>400</v>
      </c>
      <c r="K945" s="9">
        <f t="shared" si="29"/>
        <v>45546</v>
      </c>
      <c r="L945" t="s">
        <v>2806</v>
      </c>
      <c r="M945" t="s">
        <v>2930</v>
      </c>
    </row>
    <row r="946" spans="1:13" hidden="1" x14ac:dyDescent="0.35">
      <c r="A946" t="s">
        <v>949</v>
      </c>
      <c r="B946" t="s">
        <v>2093</v>
      </c>
      <c r="C946" t="s">
        <v>2459</v>
      </c>
      <c r="D946" t="s">
        <v>2464</v>
      </c>
      <c r="E946" t="str">
        <f t="shared" si="28"/>
        <v>EAST HANOVER</v>
      </c>
      <c r="F946" t="s">
        <v>2479</v>
      </c>
      <c r="G946">
        <v>-60</v>
      </c>
      <c r="H946" t="s">
        <v>2486</v>
      </c>
      <c r="I946">
        <v>0</v>
      </c>
      <c r="J946">
        <v>120</v>
      </c>
      <c r="K946" s="9">
        <f t="shared" si="29"/>
        <v>45542</v>
      </c>
      <c r="L946" t="s">
        <v>2571</v>
      </c>
      <c r="M946" t="s">
        <v>2932</v>
      </c>
    </row>
    <row r="947" spans="1:13" hidden="1" x14ac:dyDescent="0.35">
      <c r="A947" t="s">
        <v>950</v>
      </c>
      <c r="B947" t="s">
        <v>2045</v>
      </c>
      <c r="C947" t="s">
        <v>2457</v>
      </c>
      <c r="D947" t="s">
        <v>2477</v>
      </c>
      <c r="E947" t="str">
        <f t="shared" si="28"/>
        <v>BUDAPEST</v>
      </c>
      <c r="F947" t="s">
        <v>2480</v>
      </c>
      <c r="G947">
        <v>0.9</v>
      </c>
      <c r="H947" t="s">
        <v>2487</v>
      </c>
      <c r="I947">
        <v>0.88</v>
      </c>
      <c r="J947">
        <v>0.97</v>
      </c>
      <c r="K947" s="9">
        <f t="shared" si="29"/>
        <v>45655</v>
      </c>
      <c r="L947" t="s">
        <v>2500</v>
      </c>
      <c r="M947" t="s">
        <v>2929</v>
      </c>
    </row>
    <row r="948" spans="1:13" hidden="1" x14ac:dyDescent="0.35">
      <c r="A948" t="s">
        <v>951</v>
      </c>
      <c r="B948" t="s">
        <v>2102</v>
      </c>
      <c r="C948" t="s">
        <v>2461</v>
      </c>
      <c r="D948" t="s">
        <v>2463</v>
      </c>
      <c r="E948" t="str">
        <f t="shared" si="28"/>
        <v>VERNIER</v>
      </c>
      <c r="F948" t="s">
        <v>2485</v>
      </c>
      <c r="G948">
        <v>4.17</v>
      </c>
      <c r="H948" t="s">
        <v>2490</v>
      </c>
      <c r="I948">
        <v>0</v>
      </c>
      <c r="J948">
        <v>100</v>
      </c>
      <c r="K948" s="9">
        <f t="shared" si="29"/>
        <v>45959</v>
      </c>
      <c r="L948" t="s">
        <v>2580</v>
      </c>
      <c r="M948" t="s">
        <v>2924</v>
      </c>
    </row>
    <row r="949" spans="1:13" hidden="1" x14ac:dyDescent="0.35">
      <c r="A949" t="s">
        <v>952</v>
      </c>
      <c r="B949" t="s">
        <v>2125</v>
      </c>
      <c r="C949" t="s">
        <v>2460</v>
      </c>
      <c r="D949" t="s">
        <v>2477</v>
      </c>
      <c r="E949" t="str">
        <f t="shared" si="28"/>
        <v>BUDAPEST</v>
      </c>
      <c r="F949" t="s">
        <v>2480</v>
      </c>
      <c r="G949">
        <v>0.91</v>
      </c>
      <c r="H949" t="s">
        <v>2487</v>
      </c>
      <c r="I949">
        <v>0.88</v>
      </c>
      <c r="J949">
        <v>0.97</v>
      </c>
      <c r="K949" s="9">
        <f t="shared" si="29"/>
        <v>45544</v>
      </c>
      <c r="L949" t="s">
        <v>2551</v>
      </c>
      <c r="M949" t="s">
        <v>2923</v>
      </c>
    </row>
    <row r="950" spans="1:13" hidden="1" x14ac:dyDescent="0.35">
      <c r="A950" t="s">
        <v>953</v>
      </c>
      <c r="B950" t="s">
        <v>2435</v>
      </c>
      <c r="C950" t="s">
        <v>2460</v>
      </c>
      <c r="D950" t="s">
        <v>2462</v>
      </c>
      <c r="E950" t="str">
        <f t="shared" si="28"/>
        <v>ASHFORD UK</v>
      </c>
      <c r="F950" t="s">
        <v>2483</v>
      </c>
      <c r="G950">
        <v>0.36</v>
      </c>
      <c r="H950" t="s">
        <v>2489</v>
      </c>
      <c r="I950">
        <v>0</v>
      </c>
      <c r="J950">
        <v>1</v>
      </c>
      <c r="K950" s="9">
        <f t="shared" si="29"/>
        <v>45806</v>
      </c>
      <c r="L950" t="s">
        <v>2850</v>
      </c>
      <c r="M950" t="s">
        <v>2926</v>
      </c>
    </row>
    <row r="951" spans="1:13" hidden="1" x14ac:dyDescent="0.35">
      <c r="A951" t="s">
        <v>954</v>
      </c>
      <c r="B951" t="s">
        <v>2309</v>
      </c>
      <c r="C951" t="s">
        <v>2457</v>
      </c>
      <c r="D951" t="s">
        <v>2476</v>
      </c>
      <c r="E951" t="str">
        <f t="shared" si="28"/>
        <v>BUDAPEST SITE</v>
      </c>
      <c r="F951" t="s">
        <v>2484</v>
      </c>
      <c r="G951">
        <v>6.73</v>
      </c>
      <c r="I951">
        <v>6</v>
      </c>
      <c r="J951">
        <v>7.5</v>
      </c>
      <c r="K951" s="9">
        <f t="shared" si="29"/>
        <v>45826</v>
      </c>
      <c r="L951" t="s">
        <v>2575</v>
      </c>
      <c r="M951" t="s">
        <v>2926</v>
      </c>
    </row>
    <row r="952" spans="1:13" hidden="1" x14ac:dyDescent="0.35">
      <c r="A952" t="s">
        <v>955</v>
      </c>
      <c r="B952" t="s">
        <v>2272</v>
      </c>
      <c r="C952" t="s">
        <v>2459</v>
      </c>
      <c r="D952" t="s">
        <v>2475</v>
      </c>
      <c r="E952" t="str">
        <f t="shared" si="28"/>
        <v>ASHFORD</v>
      </c>
      <c r="F952" t="s">
        <v>2479</v>
      </c>
      <c r="G952">
        <v>50.13</v>
      </c>
      <c r="H952" t="s">
        <v>2486</v>
      </c>
      <c r="I952">
        <v>0</v>
      </c>
      <c r="J952">
        <v>120</v>
      </c>
      <c r="K952" s="9">
        <f t="shared" si="29"/>
        <v>45680</v>
      </c>
      <c r="L952" t="s">
        <v>2851</v>
      </c>
      <c r="M952" t="s">
        <v>2926</v>
      </c>
    </row>
    <row r="953" spans="1:13" hidden="1" x14ac:dyDescent="0.35">
      <c r="A953" t="s">
        <v>956</v>
      </c>
      <c r="B953" t="s">
        <v>2317</v>
      </c>
      <c r="C953" t="s">
        <v>2457</v>
      </c>
      <c r="D953" t="s">
        <v>2466</v>
      </c>
      <c r="E953" t="str">
        <f t="shared" si="28"/>
        <v>EAST HANOVER</v>
      </c>
      <c r="F953" t="s">
        <v>2485</v>
      </c>
      <c r="G953">
        <v>175</v>
      </c>
      <c r="H953" t="s">
        <v>2490</v>
      </c>
      <c r="I953">
        <v>0</v>
      </c>
      <c r="J953">
        <v>100</v>
      </c>
      <c r="K953" s="9">
        <f t="shared" si="29"/>
        <v>45786</v>
      </c>
      <c r="L953" t="s">
        <v>2749</v>
      </c>
      <c r="M953" t="s">
        <v>2931</v>
      </c>
    </row>
    <row r="954" spans="1:13" hidden="1" x14ac:dyDescent="0.35">
      <c r="A954" t="s">
        <v>957</v>
      </c>
      <c r="B954" t="s">
        <v>2016</v>
      </c>
      <c r="C954" t="s">
        <v>2458</v>
      </c>
      <c r="D954" t="s">
        <v>2467</v>
      </c>
      <c r="E954" t="str">
        <f t="shared" si="28"/>
        <v>ASHFORD</v>
      </c>
      <c r="F954" t="s">
        <v>2480</v>
      </c>
      <c r="G954">
        <v>0.93</v>
      </c>
      <c r="H954" t="s">
        <v>2487</v>
      </c>
      <c r="I954">
        <v>0.88</v>
      </c>
      <c r="J954">
        <v>0.97</v>
      </c>
      <c r="K954" s="9">
        <f t="shared" si="29"/>
        <v>45446</v>
      </c>
      <c r="L954" t="s">
        <v>2496</v>
      </c>
      <c r="M954" t="s">
        <v>2925</v>
      </c>
    </row>
    <row r="955" spans="1:13" hidden="1" x14ac:dyDescent="0.35">
      <c r="A955" t="s">
        <v>958</v>
      </c>
      <c r="B955" t="s">
        <v>2016</v>
      </c>
      <c r="C955" t="s">
        <v>2458</v>
      </c>
      <c r="D955" t="s">
        <v>2475</v>
      </c>
      <c r="E955" t="str">
        <f t="shared" si="28"/>
        <v>ASHFORD</v>
      </c>
      <c r="F955" t="s">
        <v>2484</v>
      </c>
      <c r="G955">
        <v>6.8</v>
      </c>
      <c r="I955">
        <v>6</v>
      </c>
      <c r="J955">
        <v>7.5</v>
      </c>
      <c r="K955" s="9">
        <f t="shared" si="29"/>
        <v>45446</v>
      </c>
      <c r="L955" t="s">
        <v>2496</v>
      </c>
      <c r="M955" t="s">
        <v>2926</v>
      </c>
    </row>
    <row r="956" spans="1:13" hidden="1" x14ac:dyDescent="0.35">
      <c r="A956" t="s">
        <v>959</v>
      </c>
      <c r="B956" t="s">
        <v>2242</v>
      </c>
      <c r="C956" t="s">
        <v>2460</v>
      </c>
      <c r="D956" t="s">
        <v>2471</v>
      </c>
      <c r="E956" t="str">
        <f t="shared" si="28"/>
        <v>BUDAPEST</v>
      </c>
      <c r="F956" t="s">
        <v>2483</v>
      </c>
      <c r="G956">
        <v>0.24</v>
      </c>
      <c r="H956" t="s">
        <v>2489</v>
      </c>
      <c r="I956">
        <v>0</v>
      </c>
      <c r="J956">
        <v>1</v>
      </c>
      <c r="K956" s="9">
        <f t="shared" si="29"/>
        <v>45704</v>
      </c>
      <c r="L956" t="s">
        <v>2669</v>
      </c>
      <c r="M956" t="s">
        <v>2923</v>
      </c>
    </row>
    <row r="957" spans="1:13" hidden="1" x14ac:dyDescent="0.35">
      <c r="A957" t="s">
        <v>960</v>
      </c>
      <c r="B957" t="s">
        <v>2021</v>
      </c>
      <c r="C957" t="s">
        <v>2457</v>
      </c>
      <c r="D957" t="s">
        <v>2466</v>
      </c>
      <c r="E957" t="str">
        <f t="shared" si="28"/>
        <v>EAST HANOVER</v>
      </c>
      <c r="F957" t="s">
        <v>2481</v>
      </c>
      <c r="G957">
        <v>269.06</v>
      </c>
      <c r="H957" t="s">
        <v>2488</v>
      </c>
      <c r="I957">
        <v>150</v>
      </c>
      <c r="J957">
        <v>400</v>
      </c>
      <c r="K957" s="9">
        <f t="shared" si="29"/>
        <v>45577</v>
      </c>
      <c r="L957" t="s">
        <v>2501</v>
      </c>
      <c r="M957" t="s">
        <v>2925</v>
      </c>
    </row>
    <row r="958" spans="1:13" hidden="1" x14ac:dyDescent="0.35">
      <c r="A958" t="s">
        <v>961</v>
      </c>
      <c r="B958" t="s">
        <v>2148</v>
      </c>
      <c r="C958" t="s">
        <v>2460</v>
      </c>
      <c r="D958" t="s">
        <v>2465</v>
      </c>
      <c r="E958" t="str">
        <f t="shared" si="28"/>
        <v>VERNIER</v>
      </c>
      <c r="F958" t="s">
        <v>2481</v>
      </c>
      <c r="G958">
        <v>30</v>
      </c>
      <c r="H958" t="s">
        <v>2488</v>
      </c>
      <c r="I958">
        <v>150</v>
      </c>
      <c r="J958">
        <v>400</v>
      </c>
      <c r="K958" s="9">
        <f t="shared" si="29"/>
        <v>45840</v>
      </c>
      <c r="L958" t="s">
        <v>2623</v>
      </c>
      <c r="M958" t="s">
        <v>2924</v>
      </c>
    </row>
    <row r="959" spans="1:13" hidden="1" x14ac:dyDescent="0.35">
      <c r="A959" t="s">
        <v>962</v>
      </c>
      <c r="B959" t="s">
        <v>2147</v>
      </c>
      <c r="C959" t="s">
        <v>2458</v>
      </c>
      <c r="D959" t="s">
        <v>2472</v>
      </c>
      <c r="E959" t="str">
        <f t="shared" si="28"/>
        <v>VERNIER</v>
      </c>
      <c r="F959" t="s">
        <v>2479</v>
      </c>
      <c r="G959">
        <v>59.21</v>
      </c>
      <c r="H959" t="s">
        <v>2486</v>
      </c>
      <c r="I959">
        <v>0</v>
      </c>
      <c r="J959">
        <v>120</v>
      </c>
      <c r="K959" s="9">
        <f t="shared" si="29"/>
        <v>45371</v>
      </c>
      <c r="L959" t="s">
        <v>2622</v>
      </c>
      <c r="M959" t="s">
        <v>2931</v>
      </c>
    </row>
    <row r="960" spans="1:13" hidden="1" x14ac:dyDescent="0.35">
      <c r="A960" t="s">
        <v>963</v>
      </c>
      <c r="B960" t="s">
        <v>2100</v>
      </c>
      <c r="C960" t="s">
        <v>2461</v>
      </c>
      <c r="D960" t="s">
        <v>2476</v>
      </c>
      <c r="E960" t="str">
        <f t="shared" si="28"/>
        <v>BUDAPEST SITE</v>
      </c>
      <c r="F960" t="s">
        <v>2485</v>
      </c>
      <c r="G960">
        <v>15.58</v>
      </c>
      <c r="H960" t="s">
        <v>2490</v>
      </c>
      <c r="I960">
        <v>0</v>
      </c>
      <c r="J960">
        <v>100</v>
      </c>
      <c r="K960" s="9">
        <f t="shared" si="29"/>
        <v>45413</v>
      </c>
      <c r="L960" t="s">
        <v>2578</v>
      </c>
      <c r="M960" t="s">
        <v>2926</v>
      </c>
    </row>
    <row r="961" spans="1:13" hidden="1" x14ac:dyDescent="0.35">
      <c r="A961" t="s">
        <v>964</v>
      </c>
      <c r="B961" t="s">
        <v>2184</v>
      </c>
      <c r="C961" t="s">
        <v>2461</v>
      </c>
      <c r="D961" t="s">
        <v>2462</v>
      </c>
      <c r="E961" t="str">
        <f t="shared" si="28"/>
        <v>ASHFORD UK</v>
      </c>
      <c r="F961" t="s">
        <v>2485</v>
      </c>
      <c r="G961">
        <v>59.38</v>
      </c>
      <c r="H961" t="s">
        <v>2490</v>
      </c>
      <c r="I961">
        <v>0</v>
      </c>
      <c r="J961">
        <v>100</v>
      </c>
      <c r="K961" s="9">
        <f t="shared" si="29"/>
        <v>45662</v>
      </c>
      <c r="L961" t="s">
        <v>2656</v>
      </c>
      <c r="M961" t="s">
        <v>2926</v>
      </c>
    </row>
    <row r="962" spans="1:13" hidden="1" x14ac:dyDescent="0.35">
      <c r="A962" t="s">
        <v>965</v>
      </c>
      <c r="B962" t="s">
        <v>2382</v>
      </c>
      <c r="C962" t="s">
        <v>2459</v>
      </c>
      <c r="D962" t="s">
        <v>2466</v>
      </c>
      <c r="E962" t="str">
        <f t="shared" si="28"/>
        <v>EAST HANOVER</v>
      </c>
      <c r="F962" t="s">
        <v>2483</v>
      </c>
      <c r="G962">
        <v>0.36</v>
      </c>
      <c r="H962" t="s">
        <v>2489</v>
      </c>
      <c r="I962">
        <v>0</v>
      </c>
      <c r="J962">
        <v>1</v>
      </c>
      <c r="K962" s="9">
        <f t="shared" si="29"/>
        <v>45831</v>
      </c>
      <c r="L962" t="s">
        <v>2540</v>
      </c>
      <c r="M962" t="s">
        <v>2926</v>
      </c>
    </row>
    <row r="963" spans="1:13" hidden="1" x14ac:dyDescent="0.35">
      <c r="A963" t="s">
        <v>966</v>
      </c>
      <c r="B963" t="s">
        <v>2356</v>
      </c>
      <c r="C963" t="s">
        <v>2458</v>
      </c>
      <c r="D963" t="s">
        <v>2464</v>
      </c>
      <c r="E963" t="str">
        <f t="shared" ref="E963:E1026" si="30">UPPER(D963)</f>
        <v>EAST HANOVER</v>
      </c>
      <c r="F963" t="s">
        <v>2480</v>
      </c>
      <c r="G963">
        <v>0.94</v>
      </c>
      <c r="H963" t="s">
        <v>2487</v>
      </c>
      <c r="I963">
        <v>0.88</v>
      </c>
      <c r="J963">
        <v>0.97</v>
      </c>
      <c r="K963" s="9">
        <f t="shared" ref="K963:K1026" si="31">IF(L963="","",
IF(MID(L963,5,1)="-",
DATE(LEFT(L963,4),MID(L963,6,2),RIGHT(L963,2)),
DATE(RIGHT(L963,4),MID(L963,4,2),LEFT(L963,2))
))</f>
        <v>45765</v>
      </c>
      <c r="L963" t="s">
        <v>2779</v>
      </c>
      <c r="M963" t="s">
        <v>2929</v>
      </c>
    </row>
    <row r="964" spans="1:13" hidden="1" x14ac:dyDescent="0.35">
      <c r="A964" t="s">
        <v>967</v>
      </c>
      <c r="B964" t="s">
        <v>2436</v>
      </c>
      <c r="C964" t="s">
        <v>2461</v>
      </c>
      <c r="D964" t="s">
        <v>2475</v>
      </c>
      <c r="E964" t="str">
        <f t="shared" si="30"/>
        <v>ASHFORD</v>
      </c>
      <c r="F964" t="s">
        <v>2479</v>
      </c>
      <c r="G964">
        <v>39.64</v>
      </c>
      <c r="H964" t="s">
        <v>2486</v>
      </c>
      <c r="I964">
        <v>0</v>
      </c>
      <c r="J964">
        <v>120</v>
      </c>
      <c r="K964" s="9">
        <f t="shared" si="31"/>
        <v>45332</v>
      </c>
      <c r="L964" t="s">
        <v>2852</v>
      </c>
      <c r="M964" t="s">
        <v>2932</v>
      </c>
    </row>
    <row r="965" spans="1:13" hidden="1" x14ac:dyDescent="0.35">
      <c r="A965" t="s">
        <v>968</v>
      </c>
      <c r="B965" t="s">
        <v>2200</v>
      </c>
      <c r="C965" t="s">
        <v>2459</v>
      </c>
      <c r="D965" t="s">
        <v>2468</v>
      </c>
      <c r="E965" t="str">
        <f t="shared" si="30"/>
        <v>VERNIER CH</v>
      </c>
      <c r="F965" t="s">
        <v>2482</v>
      </c>
      <c r="G965">
        <v>98.26</v>
      </c>
      <c r="H965" t="s">
        <v>2489</v>
      </c>
      <c r="I965">
        <v>97</v>
      </c>
      <c r="J965">
        <v>100</v>
      </c>
      <c r="K965" s="9">
        <f t="shared" si="31"/>
        <v>45499</v>
      </c>
      <c r="L965" t="s">
        <v>2853</v>
      </c>
      <c r="M965" t="s">
        <v>2927</v>
      </c>
    </row>
    <row r="966" spans="1:13" hidden="1" x14ac:dyDescent="0.35">
      <c r="A966" t="s">
        <v>969</v>
      </c>
      <c r="B966" t="s">
        <v>2200</v>
      </c>
      <c r="C966" t="s">
        <v>2459</v>
      </c>
      <c r="D966" t="s">
        <v>2465</v>
      </c>
      <c r="E966" t="str">
        <f t="shared" si="30"/>
        <v>VERNIER</v>
      </c>
      <c r="F966" t="s">
        <v>2481</v>
      </c>
      <c r="G966">
        <v>255.53</v>
      </c>
      <c r="H966" t="s">
        <v>2488</v>
      </c>
      <c r="I966">
        <v>150</v>
      </c>
      <c r="J966">
        <v>400</v>
      </c>
      <c r="K966" s="9">
        <f t="shared" si="31"/>
        <v>45499</v>
      </c>
      <c r="L966" t="s">
        <v>2853</v>
      </c>
      <c r="M966" t="s">
        <v>2926</v>
      </c>
    </row>
    <row r="967" spans="1:13" hidden="1" x14ac:dyDescent="0.35">
      <c r="A967" t="s">
        <v>970</v>
      </c>
      <c r="B967" t="s">
        <v>2381</v>
      </c>
      <c r="C967" t="s">
        <v>2457</v>
      </c>
      <c r="D967" t="s">
        <v>2463</v>
      </c>
      <c r="E967" t="str">
        <f t="shared" si="30"/>
        <v>VERNIER</v>
      </c>
      <c r="F967" t="s">
        <v>2485</v>
      </c>
      <c r="G967">
        <v>12.73</v>
      </c>
      <c r="H967" t="s">
        <v>2490</v>
      </c>
      <c r="I967">
        <v>0</v>
      </c>
      <c r="J967">
        <v>100</v>
      </c>
      <c r="K967" s="9">
        <f t="shared" si="31"/>
        <v>45355</v>
      </c>
      <c r="L967" t="s">
        <v>2854</v>
      </c>
      <c r="M967" t="s">
        <v>2924</v>
      </c>
    </row>
    <row r="968" spans="1:13" hidden="1" x14ac:dyDescent="0.35">
      <c r="A968" t="s">
        <v>971</v>
      </c>
      <c r="B968" t="s">
        <v>2253</v>
      </c>
      <c r="C968" t="s">
        <v>2461</v>
      </c>
      <c r="D968" t="s">
        <v>2473</v>
      </c>
      <c r="E968" t="str">
        <f t="shared" si="30"/>
        <v>DORTMUND</v>
      </c>
      <c r="F968" t="s">
        <v>2480</v>
      </c>
      <c r="G968">
        <v>0.93</v>
      </c>
      <c r="H968" t="s">
        <v>2487</v>
      </c>
      <c r="I968">
        <v>0.88</v>
      </c>
      <c r="J968">
        <v>0.97</v>
      </c>
      <c r="K968" s="9">
        <f t="shared" si="31"/>
        <v>45388</v>
      </c>
      <c r="L968" t="s">
        <v>2583</v>
      </c>
      <c r="M968" t="s">
        <v>2925</v>
      </c>
    </row>
    <row r="969" spans="1:13" hidden="1" x14ac:dyDescent="0.35">
      <c r="A969" t="s">
        <v>972</v>
      </c>
      <c r="B969" t="s">
        <v>2384</v>
      </c>
      <c r="C969" t="s">
        <v>2460</v>
      </c>
      <c r="D969" t="s">
        <v>2477</v>
      </c>
      <c r="E969" t="str">
        <f t="shared" si="30"/>
        <v>BUDAPEST</v>
      </c>
      <c r="F969" t="s">
        <v>2479</v>
      </c>
      <c r="G969">
        <v>69.010000000000005</v>
      </c>
      <c r="H969" t="s">
        <v>2486</v>
      </c>
      <c r="I969">
        <v>0</v>
      </c>
      <c r="J969">
        <v>120</v>
      </c>
      <c r="K969" s="9">
        <f t="shared" si="31"/>
        <v>45554</v>
      </c>
      <c r="L969" t="s">
        <v>2801</v>
      </c>
      <c r="M969" t="s">
        <v>2924</v>
      </c>
    </row>
    <row r="970" spans="1:13" hidden="1" x14ac:dyDescent="0.35">
      <c r="A970" t="s">
        <v>973</v>
      </c>
      <c r="B970" t="s">
        <v>2190</v>
      </c>
      <c r="C970" t="s">
        <v>2458</v>
      </c>
      <c r="D970" t="s">
        <v>2466</v>
      </c>
      <c r="E970" t="str">
        <f t="shared" si="30"/>
        <v>EAST HANOVER</v>
      </c>
      <c r="F970" t="s">
        <v>2479</v>
      </c>
      <c r="G970">
        <v>43.87</v>
      </c>
      <c r="H970" t="s">
        <v>2486</v>
      </c>
      <c r="I970">
        <v>0</v>
      </c>
      <c r="J970">
        <v>120</v>
      </c>
      <c r="K970" s="9">
        <f t="shared" si="31"/>
        <v>45428</v>
      </c>
      <c r="L970" t="s">
        <v>2662</v>
      </c>
      <c r="M970" t="s">
        <v>2923</v>
      </c>
    </row>
    <row r="971" spans="1:13" hidden="1" x14ac:dyDescent="0.35">
      <c r="A971" t="s">
        <v>974</v>
      </c>
      <c r="B971" t="s">
        <v>2299</v>
      </c>
      <c r="C971" t="s">
        <v>2459</v>
      </c>
      <c r="D971" t="s">
        <v>2462</v>
      </c>
      <c r="E971" t="str">
        <f t="shared" si="30"/>
        <v>ASHFORD UK</v>
      </c>
      <c r="F971" t="s">
        <v>2484</v>
      </c>
      <c r="G971">
        <v>7.55</v>
      </c>
      <c r="I971">
        <v>6</v>
      </c>
      <c r="J971">
        <v>7.5</v>
      </c>
      <c r="K971" s="9">
        <f t="shared" si="31"/>
        <v>45508</v>
      </c>
      <c r="L971" t="s">
        <v>2739</v>
      </c>
      <c r="M971" t="s">
        <v>2929</v>
      </c>
    </row>
    <row r="972" spans="1:13" hidden="1" x14ac:dyDescent="0.35">
      <c r="A972" t="s">
        <v>975</v>
      </c>
      <c r="B972" t="s">
        <v>2437</v>
      </c>
      <c r="C972" t="s">
        <v>2457</v>
      </c>
      <c r="D972" t="s">
        <v>2474</v>
      </c>
      <c r="E972" t="str">
        <f t="shared" si="30"/>
        <v>DORTMUND DE</v>
      </c>
      <c r="F972" t="s">
        <v>2485</v>
      </c>
      <c r="G972">
        <v>-28.37</v>
      </c>
      <c r="H972" t="s">
        <v>2490</v>
      </c>
      <c r="I972">
        <v>0</v>
      </c>
      <c r="J972">
        <v>100</v>
      </c>
      <c r="K972" s="9">
        <f t="shared" si="31"/>
        <v>45366</v>
      </c>
      <c r="L972" t="s">
        <v>2855</v>
      </c>
      <c r="M972" t="s">
        <v>2930</v>
      </c>
    </row>
    <row r="973" spans="1:13" hidden="1" x14ac:dyDescent="0.35">
      <c r="A973" t="s">
        <v>976</v>
      </c>
      <c r="B973" t="s">
        <v>2109</v>
      </c>
      <c r="C973" t="s">
        <v>2461</v>
      </c>
      <c r="D973" t="s">
        <v>2478</v>
      </c>
      <c r="E973" t="str">
        <f t="shared" si="30"/>
        <v>BUD</v>
      </c>
      <c r="F973" t="s">
        <v>2479</v>
      </c>
      <c r="G973">
        <v>37.51</v>
      </c>
      <c r="H973" t="s">
        <v>2486</v>
      </c>
      <c r="I973">
        <v>0</v>
      </c>
      <c r="J973">
        <v>120</v>
      </c>
      <c r="K973" s="9">
        <f t="shared" si="31"/>
        <v>45596</v>
      </c>
      <c r="L973" t="s">
        <v>2586</v>
      </c>
      <c r="M973" t="s">
        <v>2932</v>
      </c>
    </row>
    <row r="974" spans="1:13" hidden="1" x14ac:dyDescent="0.35">
      <c r="A974" t="s">
        <v>977</v>
      </c>
      <c r="B974" t="s">
        <v>2277</v>
      </c>
      <c r="C974" t="s">
        <v>2457</v>
      </c>
      <c r="D974" t="s">
        <v>2478</v>
      </c>
      <c r="E974" t="str">
        <f t="shared" si="30"/>
        <v>BUD</v>
      </c>
      <c r="F974" t="s">
        <v>2485</v>
      </c>
      <c r="G974">
        <v>4.7699999999999996</v>
      </c>
      <c r="H974" t="s">
        <v>2490</v>
      </c>
      <c r="I974">
        <v>0</v>
      </c>
      <c r="J974">
        <v>100</v>
      </c>
      <c r="K974" s="9">
        <f t="shared" si="31"/>
        <v>45587</v>
      </c>
      <c r="L974" t="s">
        <v>2725</v>
      </c>
      <c r="M974" t="s">
        <v>2929</v>
      </c>
    </row>
    <row r="975" spans="1:13" hidden="1" x14ac:dyDescent="0.35">
      <c r="A975" t="s">
        <v>978</v>
      </c>
      <c r="B975" t="s">
        <v>2438</v>
      </c>
      <c r="C975" t="s">
        <v>2457</v>
      </c>
      <c r="D975" t="s">
        <v>2469</v>
      </c>
      <c r="E975" t="str">
        <f t="shared" si="30"/>
        <v>DORTMUND</v>
      </c>
      <c r="F975" t="s">
        <v>2482</v>
      </c>
      <c r="G975">
        <v>98.52</v>
      </c>
      <c r="H975" t="s">
        <v>2489</v>
      </c>
      <c r="I975">
        <v>97</v>
      </c>
      <c r="J975">
        <v>100</v>
      </c>
      <c r="K975" s="9">
        <f t="shared" si="31"/>
        <v>45681</v>
      </c>
      <c r="L975" t="s">
        <v>2654</v>
      </c>
      <c r="M975" t="s">
        <v>2925</v>
      </c>
    </row>
    <row r="976" spans="1:13" hidden="1" x14ac:dyDescent="0.35">
      <c r="A976" t="s">
        <v>979</v>
      </c>
      <c r="B976" t="s">
        <v>2386</v>
      </c>
      <c r="C976" t="s">
        <v>2459</v>
      </c>
      <c r="D976" t="s">
        <v>2470</v>
      </c>
      <c r="E976" t="str">
        <f t="shared" si="30"/>
        <v>E. HANOVER</v>
      </c>
      <c r="F976" t="s">
        <v>2479</v>
      </c>
      <c r="G976">
        <v>16.7</v>
      </c>
      <c r="H976" t="s">
        <v>2486</v>
      </c>
      <c r="I976">
        <v>0</v>
      </c>
      <c r="J976">
        <v>120</v>
      </c>
      <c r="K976" s="9">
        <f t="shared" si="31"/>
        <v>45609</v>
      </c>
      <c r="L976" t="s">
        <v>2646</v>
      </c>
      <c r="M976" t="s">
        <v>2925</v>
      </c>
    </row>
    <row r="977" spans="1:13" hidden="1" x14ac:dyDescent="0.35">
      <c r="A977" t="s">
        <v>980</v>
      </c>
      <c r="B977" t="s">
        <v>2323</v>
      </c>
      <c r="C977" t="s">
        <v>2461</v>
      </c>
      <c r="D977" t="s">
        <v>2471</v>
      </c>
      <c r="E977" t="str">
        <f t="shared" si="30"/>
        <v>BUDAPEST</v>
      </c>
      <c r="F977" t="s">
        <v>2485</v>
      </c>
      <c r="G977">
        <v>9.7100000000000009</v>
      </c>
      <c r="H977" t="s">
        <v>2490</v>
      </c>
      <c r="I977">
        <v>0</v>
      </c>
      <c r="J977">
        <v>100</v>
      </c>
      <c r="K977" s="9">
        <f t="shared" si="31"/>
        <v>45571</v>
      </c>
      <c r="L977" t="s">
        <v>2754</v>
      </c>
      <c r="M977" t="s">
        <v>2932</v>
      </c>
    </row>
    <row r="978" spans="1:13" hidden="1" x14ac:dyDescent="0.35">
      <c r="A978" t="s">
        <v>981</v>
      </c>
      <c r="B978" t="s">
        <v>2246</v>
      </c>
      <c r="C978" t="s">
        <v>2460</v>
      </c>
      <c r="D978" t="s">
        <v>2463</v>
      </c>
      <c r="E978" t="str">
        <f t="shared" si="30"/>
        <v>VERNIER</v>
      </c>
      <c r="F978" t="s">
        <v>2481</v>
      </c>
      <c r="G978">
        <v>283.70999999999998</v>
      </c>
      <c r="H978" t="s">
        <v>2488</v>
      </c>
      <c r="I978">
        <v>150</v>
      </c>
      <c r="J978">
        <v>400</v>
      </c>
      <c r="K978" s="9">
        <f t="shared" si="31"/>
        <v>45884</v>
      </c>
      <c r="L978" t="s">
        <v>2542</v>
      </c>
      <c r="M978" t="s">
        <v>2925</v>
      </c>
    </row>
    <row r="979" spans="1:13" hidden="1" x14ac:dyDescent="0.35">
      <c r="A979" t="s">
        <v>982</v>
      </c>
      <c r="B979" t="s">
        <v>2144</v>
      </c>
      <c r="C979" t="s">
        <v>2461</v>
      </c>
      <c r="D979" t="s">
        <v>2464</v>
      </c>
      <c r="E979" t="str">
        <f t="shared" si="30"/>
        <v>EAST HANOVER</v>
      </c>
      <c r="F979" t="s">
        <v>2485</v>
      </c>
      <c r="G979">
        <v>-40.49</v>
      </c>
      <c r="H979" t="s">
        <v>2490</v>
      </c>
      <c r="I979">
        <v>0</v>
      </c>
      <c r="J979">
        <v>100</v>
      </c>
      <c r="K979" s="9">
        <f t="shared" si="31"/>
        <v>45635</v>
      </c>
      <c r="L979" t="s">
        <v>2619</v>
      </c>
      <c r="M979" t="s">
        <v>2925</v>
      </c>
    </row>
    <row r="980" spans="1:13" hidden="1" x14ac:dyDescent="0.35">
      <c r="A980" t="s">
        <v>983</v>
      </c>
      <c r="B980" t="s">
        <v>2237</v>
      </c>
      <c r="C980" t="s">
        <v>2458</v>
      </c>
      <c r="D980" t="s">
        <v>2468</v>
      </c>
      <c r="E980" t="str">
        <f t="shared" si="30"/>
        <v>VERNIER CH</v>
      </c>
      <c r="F980" t="s">
        <v>2485</v>
      </c>
      <c r="G980">
        <v>21.46</v>
      </c>
      <c r="H980" t="s">
        <v>2490</v>
      </c>
      <c r="I980">
        <v>0</v>
      </c>
      <c r="J980">
        <v>100</v>
      </c>
      <c r="K980" s="9">
        <f t="shared" si="31"/>
        <v>45697</v>
      </c>
      <c r="L980" t="s">
        <v>2694</v>
      </c>
      <c r="M980" t="s">
        <v>2923</v>
      </c>
    </row>
    <row r="981" spans="1:13" hidden="1" x14ac:dyDescent="0.35">
      <c r="A981" t="s">
        <v>984</v>
      </c>
      <c r="B981" t="s">
        <v>2422</v>
      </c>
      <c r="C981" t="s">
        <v>2461</v>
      </c>
      <c r="D981" t="s">
        <v>2469</v>
      </c>
      <c r="E981" t="str">
        <f t="shared" si="30"/>
        <v>DORTMUND</v>
      </c>
      <c r="F981" t="s">
        <v>2484</v>
      </c>
      <c r="G981">
        <v>8.0500000000000007</v>
      </c>
      <c r="I981">
        <v>6</v>
      </c>
      <c r="J981">
        <v>7.5</v>
      </c>
      <c r="K981" s="9">
        <f t="shared" si="31"/>
        <v>45539</v>
      </c>
      <c r="L981" t="s">
        <v>2834</v>
      </c>
      <c r="M981" t="s">
        <v>2924</v>
      </c>
    </row>
    <row r="982" spans="1:13" hidden="1" x14ac:dyDescent="0.35">
      <c r="A982" t="s">
        <v>985</v>
      </c>
      <c r="B982" t="s">
        <v>2088</v>
      </c>
      <c r="C982" t="s">
        <v>2461</v>
      </c>
      <c r="D982" t="s">
        <v>2471</v>
      </c>
      <c r="E982" t="str">
        <f t="shared" si="30"/>
        <v>BUDAPEST</v>
      </c>
      <c r="F982" t="s">
        <v>2482</v>
      </c>
      <c r="G982">
        <v>97.58</v>
      </c>
      <c r="H982" t="s">
        <v>2489</v>
      </c>
      <c r="I982">
        <v>97</v>
      </c>
      <c r="J982">
        <v>100</v>
      </c>
      <c r="K982" s="9">
        <f t="shared" si="31"/>
        <v>45973</v>
      </c>
      <c r="L982" t="s">
        <v>2566</v>
      </c>
      <c r="M982" t="s">
        <v>2924</v>
      </c>
    </row>
    <row r="983" spans="1:13" hidden="1" x14ac:dyDescent="0.35">
      <c r="A983" t="s">
        <v>986</v>
      </c>
      <c r="B983" t="s">
        <v>2297</v>
      </c>
      <c r="C983" t="s">
        <v>2458</v>
      </c>
      <c r="D983" t="s">
        <v>2464</v>
      </c>
      <c r="E983" t="str">
        <f t="shared" si="30"/>
        <v>EAST HANOVER</v>
      </c>
      <c r="F983" t="s">
        <v>2481</v>
      </c>
      <c r="G983">
        <v>232.04</v>
      </c>
      <c r="H983" t="s">
        <v>2488</v>
      </c>
      <c r="I983">
        <v>150</v>
      </c>
      <c r="J983">
        <v>400</v>
      </c>
      <c r="K983" s="9">
        <f t="shared" si="31"/>
        <v>45800</v>
      </c>
      <c r="L983" t="s">
        <v>2737</v>
      </c>
      <c r="M983" t="s">
        <v>2928</v>
      </c>
    </row>
    <row r="984" spans="1:13" hidden="1" x14ac:dyDescent="0.35">
      <c r="A984" t="s">
        <v>987</v>
      </c>
      <c r="B984" t="s">
        <v>2302</v>
      </c>
      <c r="C984" t="s">
        <v>2460</v>
      </c>
      <c r="D984" t="s">
        <v>2462</v>
      </c>
      <c r="E984" t="str">
        <f t="shared" si="30"/>
        <v>ASHFORD UK</v>
      </c>
      <c r="F984" t="s">
        <v>2485</v>
      </c>
      <c r="G984">
        <v>-11.56</v>
      </c>
      <c r="H984" t="s">
        <v>2490</v>
      </c>
      <c r="I984">
        <v>0</v>
      </c>
      <c r="J984">
        <v>100</v>
      </c>
      <c r="K984" s="9">
        <f t="shared" si="31"/>
        <v>45776</v>
      </c>
      <c r="L984" t="s">
        <v>2740</v>
      </c>
      <c r="M984" t="s">
        <v>2924</v>
      </c>
    </row>
    <row r="985" spans="1:13" hidden="1" x14ac:dyDescent="0.35">
      <c r="A985" t="s">
        <v>988</v>
      </c>
      <c r="B985" t="s">
        <v>2112</v>
      </c>
      <c r="C985" t="s">
        <v>2457</v>
      </c>
      <c r="D985" t="s">
        <v>2469</v>
      </c>
      <c r="E985" t="str">
        <f t="shared" si="30"/>
        <v>DORTMUND</v>
      </c>
      <c r="F985" t="s">
        <v>2485</v>
      </c>
      <c r="G985">
        <v>33.770000000000003</v>
      </c>
      <c r="H985" t="s">
        <v>2490</v>
      </c>
      <c r="I985">
        <v>0</v>
      </c>
      <c r="J985">
        <v>100</v>
      </c>
      <c r="K985" s="9">
        <f t="shared" si="31"/>
        <v>45993</v>
      </c>
      <c r="L985" t="s">
        <v>2588</v>
      </c>
      <c r="M985" t="s">
        <v>2927</v>
      </c>
    </row>
    <row r="986" spans="1:13" hidden="1" x14ac:dyDescent="0.35">
      <c r="A986" t="s">
        <v>989</v>
      </c>
      <c r="B986" t="s">
        <v>2094</v>
      </c>
      <c r="C986" t="s">
        <v>2460</v>
      </c>
      <c r="D986" t="s">
        <v>2475</v>
      </c>
      <c r="E986" t="str">
        <f t="shared" si="30"/>
        <v>ASHFORD</v>
      </c>
      <c r="F986" t="s">
        <v>2485</v>
      </c>
      <c r="G986">
        <v>-13.7</v>
      </c>
      <c r="H986" t="s">
        <v>2490</v>
      </c>
      <c r="I986">
        <v>0</v>
      </c>
      <c r="J986">
        <v>100</v>
      </c>
      <c r="K986" s="9">
        <f t="shared" si="31"/>
        <v>45316</v>
      </c>
      <c r="L986" t="s">
        <v>2572</v>
      </c>
      <c r="M986" t="s">
        <v>2929</v>
      </c>
    </row>
    <row r="987" spans="1:13" hidden="1" x14ac:dyDescent="0.35">
      <c r="A987" t="s">
        <v>990</v>
      </c>
      <c r="B987" t="s">
        <v>2056</v>
      </c>
      <c r="C987" t="s">
        <v>2459</v>
      </c>
      <c r="D987" t="s">
        <v>2477</v>
      </c>
      <c r="E987" t="str">
        <f t="shared" si="30"/>
        <v>BUDAPEST</v>
      </c>
      <c r="F987" t="s">
        <v>2479</v>
      </c>
      <c r="G987">
        <v>49.96</v>
      </c>
      <c r="H987" t="s">
        <v>2486</v>
      </c>
      <c r="I987">
        <v>0</v>
      </c>
      <c r="J987">
        <v>120</v>
      </c>
      <c r="K987" s="9">
        <f t="shared" si="31"/>
        <v>45997</v>
      </c>
      <c r="L987" t="s">
        <v>2535</v>
      </c>
      <c r="M987" t="s">
        <v>2930</v>
      </c>
    </row>
    <row r="988" spans="1:13" hidden="1" x14ac:dyDescent="0.35">
      <c r="A988" t="s">
        <v>991</v>
      </c>
      <c r="B988" t="s">
        <v>2438</v>
      </c>
      <c r="C988" t="s">
        <v>2457</v>
      </c>
      <c r="D988" t="s">
        <v>2469</v>
      </c>
      <c r="E988" t="str">
        <f t="shared" si="30"/>
        <v>DORTMUND</v>
      </c>
      <c r="F988" t="s">
        <v>2480</v>
      </c>
      <c r="G988">
        <v>0.91</v>
      </c>
      <c r="H988" t="s">
        <v>2487</v>
      </c>
      <c r="I988">
        <v>0.88</v>
      </c>
      <c r="J988">
        <v>0.97</v>
      </c>
      <c r="K988" s="9">
        <f t="shared" si="31"/>
        <v>45681</v>
      </c>
      <c r="L988" t="s">
        <v>2856</v>
      </c>
      <c r="M988" t="s">
        <v>2931</v>
      </c>
    </row>
    <row r="989" spans="1:13" hidden="1" x14ac:dyDescent="0.35">
      <c r="A989" t="s">
        <v>992</v>
      </c>
      <c r="B989" t="s">
        <v>2141</v>
      </c>
      <c r="C989" t="s">
        <v>2458</v>
      </c>
      <c r="D989" t="s">
        <v>2468</v>
      </c>
      <c r="E989" t="str">
        <f t="shared" si="30"/>
        <v>VERNIER CH</v>
      </c>
      <c r="F989" t="s">
        <v>2481</v>
      </c>
      <c r="G989">
        <v>221.08</v>
      </c>
      <c r="H989" t="s">
        <v>2488</v>
      </c>
      <c r="I989">
        <v>150</v>
      </c>
      <c r="J989">
        <v>400</v>
      </c>
      <c r="K989" s="9">
        <f t="shared" si="31"/>
        <v>45936</v>
      </c>
      <c r="L989" t="s">
        <v>2857</v>
      </c>
      <c r="M989" t="s">
        <v>2926</v>
      </c>
    </row>
    <row r="990" spans="1:13" hidden="1" x14ac:dyDescent="0.35">
      <c r="A990" t="s">
        <v>993</v>
      </c>
      <c r="B990" t="s">
        <v>2372</v>
      </c>
      <c r="C990" t="s">
        <v>2461</v>
      </c>
      <c r="D990" t="s">
        <v>2475</v>
      </c>
      <c r="E990" t="str">
        <f t="shared" si="30"/>
        <v>ASHFORD</v>
      </c>
      <c r="F990" t="s">
        <v>2479</v>
      </c>
      <c r="G990">
        <v>70.099999999999994</v>
      </c>
      <c r="H990" t="s">
        <v>2486</v>
      </c>
      <c r="I990">
        <v>0</v>
      </c>
      <c r="J990">
        <v>120</v>
      </c>
      <c r="K990" s="9">
        <f t="shared" si="31"/>
        <v>45704</v>
      </c>
      <c r="L990" t="s">
        <v>2669</v>
      </c>
      <c r="M990" t="s">
        <v>2924</v>
      </c>
    </row>
    <row r="991" spans="1:13" hidden="1" x14ac:dyDescent="0.35">
      <c r="A991" t="s">
        <v>994</v>
      </c>
      <c r="B991" t="s">
        <v>2202</v>
      </c>
      <c r="C991" t="s">
        <v>2460</v>
      </c>
      <c r="D991" t="s">
        <v>2467</v>
      </c>
      <c r="E991" t="str">
        <f t="shared" si="30"/>
        <v>ASHFORD</v>
      </c>
      <c r="F991" t="s">
        <v>2484</v>
      </c>
      <c r="G991">
        <v>6.32</v>
      </c>
      <c r="I991">
        <v>6</v>
      </c>
      <c r="J991">
        <v>7.5</v>
      </c>
      <c r="K991" s="9">
        <f t="shared" si="31"/>
        <v>45393</v>
      </c>
      <c r="L991" t="s">
        <v>2632</v>
      </c>
      <c r="M991" t="s">
        <v>2929</v>
      </c>
    </row>
    <row r="992" spans="1:13" hidden="1" x14ac:dyDescent="0.35">
      <c r="A992" t="s">
        <v>995</v>
      </c>
      <c r="B992" t="s">
        <v>2106</v>
      </c>
      <c r="C992" t="s">
        <v>2461</v>
      </c>
      <c r="D992" t="s">
        <v>2468</v>
      </c>
      <c r="E992" t="str">
        <f t="shared" si="30"/>
        <v>VERNIER CH</v>
      </c>
      <c r="F992" t="s">
        <v>2479</v>
      </c>
      <c r="G992">
        <v>55.76</v>
      </c>
      <c r="H992" t="s">
        <v>2486</v>
      </c>
      <c r="I992">
        <v>0</v>
      </c>
      <c r="J992">
        <v>120</v>
      </c>
      <c r="K992" s="9">
        <f t="shared" si="31"/>
        <v>45388</v>
      </c>
      <c r="L992" t="s">
        <v>2583</v>
      </c>
      <c r="M992" t="s">
        <v>2924</v>
      </c>
    </row>
    <row r="993" spans="1:13" hidden="1" x14ac:dyDescent="0.35">
      <c r="A993" t="s">
        <v>996</v>
      </c>
      <c r="B993" t="s">
        <v>2394</v>
      </c>
      <c r="C993" t="s">
        <v>2460</v>
      </c>
      <c r="D993" t="s">
        <v>2465</v>
      </c>
      <c r="E993" t="str">
        <f t="shared" si="30"/>
        <v>VERNIER</v>
      </c>
      <c r="F993" t="s">
        <v>2479</v>
      </c>
      <c r="G993">
        <v>13.55</v>
      </c>
      <c r="H993" t="s">
        <v>2486</v>
      </c>
      <c r="I993">
        <v>0</v>
      </c>
      <c r="J993">
        <v>120</v>
      </c>
      <c r="K993" s="9">
        <f t="shared" si="31"/>
        <v>45499</v>
      </c>
      <c r="L993" t="s">
        <v>2671</v>
      </c>
      <c r="M993" t="s">
        <v>2928</v>
      </c>
    </row>
    <row r="994" spans="1:13" hidden="1" x14ac:dyDescent="0.35">
      <c r="A994" t="s">
        <v>997</v>
      </c>
      <c r="B994" t="s">
        <v>2037</v>
      </c>
      <c r="C994" t="s">
        <v>2461</v>
      </c>
      <c r="D994" t="s">
        <v>2477</v>
      </c>
      <c r="E994" t="str">
        <f t="shared" si="30"/>
        <v>BUDAPEST</v>
      </c>
      <c r="F994" t="s">
        <v>2482</v>
      </c>
      <c r="G994">
        <v>98.76</v>
      </c>
      <c r="H994" t="s">
        <v>2489</v>
      </c>
      <c r="I994">
        <v>97</v>
      </c>
      <c r="J994">
        <v>100</v>
      </c>
      <c r="K994" s="9">
        <f t="shared" si="31"/>
        <v>45643</v>
      </c>
      <c r="L994" t="s">
        <v>2517</v>
      </c>
      <c r="M994" t="s">
        <v>2932</v>
      </c>
    </row>
    <row r="995" spans="1:13" hidden="1" x14ac:dyDescent="0.35">
      <c r="A995" t="s">
        <v>998</v>
      </c>
      <c r="B995" t="s">
        <v>2130</v>
      </c>
      <c r="C995" t="s">
        <v>2457</v>
      </c>
      <c r="D995" t="s">
        <v>2466</v>
      </c>
      <c r="E995" t="str">
        <f t="shared" si="30"/>
        <v>EAST HANOVER</v>
      </c>
      <c r="F995" t="s">
        <v>2479</v>
      </c>
      <c r="G995">
        <v>58.01</v>
      </c>
      <c r="H995" t="s">
        <v>2486</v>
      </c>
      <c r="I995">
        <v>0</v>
      </c>
      <c r="J995">
        <v>120</v>
      </c>
      <c r="K995" s="9">
        <f t="shared" si="31"/>
        <v>45943</v>
      </c>
      <c r="L995" t="s">
        <v>2606</v>
      </c>
      <c r="M995" t="s">
        <v>2923</v>
      </c>
    </row>
    <row r="996" spans="1:13" hidden="1" x14ac:dyDescent="0.35">
      <c r="A996" t="s">
        <v>999</v>
      </c>
      <c r="B996" t="s">
        <v>2255</v>
      </c>
      <c r="C996" t="s">
        <v>2457</v>
      </c>
      <c r="D996" t="s">
        <v>2475</v>
      </c>
      <c r="E996" t="str">
        <f t="shared" si="30"/>
        <v>ASHFORD</v>
      </c>
      <c r="F996" t="s">
        <v>2481</v>
      </c>
      <c r="G996">
        <v>283.77999999999997</v>
      </c>
      <c r="H996" t="s">
        <v>2488</v>
      </c>
      <c r="I996">
        <v>150</v>
      </c>
      <c r="J996">
        <v>400</v>
      </c>
      <c r="K996" s="9">
        <f t="shared" si="31"/>
        <v>45451</v>
      </c>
      <c r="L996" t="s">
        <v>2706</v>
      </c>
      <c r="M996" t="s">
        <v>2928</v>
      </c>
    </row>
    <row r="997" spans="1:13" hidden="1" x14ac:dyDescent="0.35">
      <c r="A997" t="s">
        <v>1000</v>
      </c>
      <c r="B997" t="s">
        <v>2210</v>
      </c>
      <c r="C997" t="s">
        <v>2457</v>
      </c>
      <c r="D997" t="s">
        <v>2477</v>
      </c>
      <c r="E997" t="str">
        <f t="shared" si="30"/>
        <v>BUDAPEST</v>
      </c>
      <c r="F997" t="s">
        <v>2485</v>
      </c>
      <c r="G997">
        <v>15.01</v>
      </c>
      <c r="H997" t="s">
        <v>2490</v>
      </c>
      <c r="I997">
        <v>0</v>
      </c>
      <c r="J997">
        <v>100</v>
      </c>
      <c r="K997" s="9">
        <f t="shared" si="31"/>
        <v>45960</v>
      </c>
      <c r="L997" t="s">
        <v>2678</v>
      </c>
      <c r="M997" t="s">
        <v>2931</v>
      </c>
    </row>
    <row r="998" spans="1:13" hidden="1" x14ac:dyDescent="0.35">
      <c r="A998" t="s">
        <v>1001</v>
      </c>
      <c r="B998" t="s">
        <v>2355</v>
      </c>
      <c r="C998" t="s">
        <v>2457</v>
      </c>
      <c r="D998" t="s">
        <v>2476</v>
      </c>
      <c r="E998" t="str">
        <f t="shared" si="30"/>
        <v>BUDAPEST SITE</v>
      </c>
      <c r="F998" t="s">
        <v>2482</v>
      </c>
      <c r="G998">
        <v>99.15</v>
      </c>
      <c r="H998" t="s">
        <v>2489</v>
      </c>
      <c r="I998">
        <v>97</v>
      </c>
      <c r="J998">
        <v>100</v>
      </c>
      <c r="K998" s="9">
        <f t="shared" si="31"/>
        <v>45598</v>
      </c>
      <c r="L998" t="s">
        <v>2778</v>
      </c>
      <c r="M998" t="s">
        <v>2928</v>
      </c>
    </row>
    <row r="999" spans="1:13" hidden="1" x14ac:dyDescent="0.35">
      <c r="A999" t="s">
        <v>1002</v>
      </c>
      <c r="B999" t="s">
        <v>2203</v>
      </c>
      <c r="C999" t="s">
        <v>2458</v>
      </c>
      <c r="D999" t="s">
        <v>2469</v>
      </c>
      <c r="E999" t="str">
        <f t="shared" si="30"/>
        <v>DORTMUND</v>
      </c>
      <c r="F999" t="s">
        <v>2483</v>
      </c>
      <c r="G999">
        <v>0.39</v>
      </c>
      <c r="H999" t="s">
        <v>2489</v>
      </c>
      <c r="I999">
        <v>0</v>
      </c>
      <c r="J999">
        <v>1</v>
      </c>
      <c r="K999" s="9">
        <f t="shared" si="31"/>
        <v>45911</v>
      </c>
      <c r="L999" t="s">
        <v>2673</v>
      </c>
      <c r="M999" t="s">
        <v>2923</v>
      </c>
    </row>
    <row r="1000" spans="1:13" hidden="1" x14ac:dyDescent="0.35">
      <c r="A1000" t="s">
        <v>1003</v>
      </c>
      <c r="B1000" t="s">
        <v>2210</v>
      </c>
      <c r="C1000" t="s">
        <v>2457</v>
      </c>
      <c r="D1000" t="s">
        <v>2477</v>
      </c>
      <c r="E1000" t="str">
        <f t="shared" si="30"/>
        <v>BUDAPEST</v>
      </c>
      <c r="F1000" t="s">
        <v>2482</v>
      </c>
      <c r="G1000">
        <v>99.16</v>
      </c>
      <c r="H1000" t="s">
        <v>2489</v>
      </c>
      <c r="I1000">
        <v>97</v>
      </c>
      <c r="J1000">
        <v>100</v>
      </c>
      <c r="K1000" s="9">
        <f t="shared" si="31"/>
        <v>45960</v>
      </c>
      <c r="L1000" t="s">
        <v>2678</v>
      </c>
      <c r="M1000" t="s">
        <v>2929</v>
      </c>
    </row>
    <row r="1001" spans="1:13" hidden="1" x14ac:dyDescent="0.35">
      <c r="A1001" t="s">
        <v>1004</v>
      </c>
      <c r="B1001" t="s">
        <v>2299</v>
      </c>
      <c r="C1001" t="s">
        <v>2459</v>
      </c>
      <c r="D1001" t="s">
        <v>2467</v>
      </c>
      <c r="E1001" t="str">
        <f t="shared" si="30"/>
        <v>ASHFORD</v>
      </c>
      <c r="F1001" t="s">
        <v>2479</v>
      </c>
      <c r="G1001">
        <v>55.59</v>
      </c>
      <c r="H1001" t="s">
        <v>2486</v>
      </c>
      <c r="I1001">
        <v>0</v>
      </c>
      <c r="J1001">
        <v>120</v>
      </c>
      <c r="K1001" s="9">
        <f t="shared" si="31"/>
        <v>45508</v>
      </c>
      <c r="L1001" t="s">
        <v>2739</v>
      </c>
      <c r="M1001" t="s">
        <v>2925</v>
      </c>
    </row>
    <row r="1002" spans="1:13" hidden="1" x14ac:dyDescent="0.35">
      <c r="A1002" t="s">
        <v>1005</v>
      </c>
      <c r="B1002" t="s">
        <v>2388</v>
      </c>
      <c r="C1002" t="s">
        <v>2457</v>
      </c>
      <c r="D1002" t="s">
        <v>2464</v>
      </c>
      <c r="E1002" t="str">
        <f t="shared" si="30"/>
        <v>EAST HANOVER</v>
      </c>
      <c r="F1002" t="s">
        <v>2482</v>
      </c>
      <c r="G1002">
        <v>98.32</v>
      </c>
      <c r="H1002" t="s">
        <v>2489</v>
      </c>
      <c r="I1002">
        <v>97</v>
      </c>
      <c r="J1002">
        <v>100</v>
      </c>
      <c r="K1002" s="9">
        <f t="shared" si="31"/>
        <v>45336</v>
      </c>
      <c r="L1002" t="s">
        <v>2805</v>
      </c>
      <c r="M1002" t="s">
        <v>2928</v>
      </c>
    </row>
    <row r="1003" spans="1:13" hidden="1" x14ac:dyDescent="0.35">
      <c r="A1003" t="s">
        <v>1006</v>
      </c>
      <c r="B1003" t="s">
        <v>2404</v>
      </c>
      <c r="C1003" t="s">
        <v>2458</v>
      </c>
      <c r="D1003" t="s">
        <v>2473</v>
      </c>
      <c r="E1003" t="str">
        <f t="shared" si="30"/>
        <v>DORTMUND</v>
      </c>
      <c r="F1003" t="s">
        <v>2481</v>
      </c>
      <c r="G1003">
        <v>339.36</v>
      </c>
      <c r="H1003" t="s">
        <v>2488</v>
      </c>
      <c r="I1003">
        <v>150</v>
      </c>
      <c r="J1003">
        <v>400</v>
      </c>
      <c r="K1003" s="9">
        <f t="shared" si="31"/>
        <v>45368</v>
      </c>
      <c r="L1003" t="s">
        <v>2684</v>
      </c>
      <c r="M1003" t="s">
        <v>2923</v>
      </c>
    </row>
    <row r="1004" spans="1:13" hidden="1" x14ac:dyDescent="0.35">
      <c r="A1004" t="s">
        <v>1007</v>
      </c>
      <c r="B1004" t="s">
        <v>2154</v>
      </c>
      <c r="C1004" t="s">
        <v>2461</v>
      </c>
      <c r="D1004" t="s">
        <v>2477</v>
      </c>
      <c r="E1004" t="str">
        <f t="shared" si="30"/>
        <v>BUDAPEST</v>
      </c>
      <c r="F1004" t="s">
        <v>2484</v>
      </c>
      <c r="G1004">
        <v>8.6999999999999993</v>
      </c>
      <c r="I1004">
        <v>6</v>
      </c>
      <c r="J1004">
        <v>7.5</v>
      </c>
      <c r="K1004" s="9">
        <f t="shared" si="31"/>
        <v>45349</v>
      </c>
      <c r="L1004" t="s">
        <v>2629</v>
      </c>
      <c r="M1004" t="s">
        <v>2929</v>
      </c>
    </row>
    <row r="1005" spans="1:13" hidden="1" x14ac:dyDescent="0.35">
      <c r="A1005" t="s">
        <v>1008</v>
      </c>
      <c r="B1005" t="s">
        <v>2365</v>
      </c>
      <c r="C1005" t="s">
        <v>2459</v>
      </c>
      <c r="D1005" t="s">
        <v>2477</v>
      </c>
      <c r="E1005" t="str">
        <f t="shared" si="30"/>
        <v>BUDAPEST</v>
      </c>
      <c r="F1005" t="s">
        <v>2482</v>
      </c>
      <c r="G1005">
        <v>97.8</v>
      </c>
      <c r="H1005" t="s">
        <v>2489</v>
      </c>
      <c r="I1005">
        <v>97</v>
      </c>
      <c r="J1005">
        <v>100</v>
      </c>
      <c r="K1005" s="9">
        <f t="shared" si="31"/>
        <v>45344</v>
      </c>
      <c r="L1005" t="s">
        <v>2705</v>
      </c>
      <c r="M1005" t="s">
        <v>2931</v>
      </c>
    </row>
    <row r="1006" spans="1:13" hidden="1" x14ac:dyDescent="0.35">
      <c r="A1006" t="s">
        <v>1009</v>
      </c>
      <c r="B1006" t="s">
        <v>2352</v>
      </c>
      <c r="C1006" t="s">
        <v>2457</v>
      </c>
      <c r="D1006" t="s">
        <v>2474</v>
      </c>
      <c r="E1006" t="str">
        <f t="shared" si="30"/>
        <v>DORTMUND DE</v>
      </c>
      <c r="F1006" t="s">
        <v>2479</v>
      </c>
      <c r="G1006">
        <v>43.81</v>
      </c>
      <c r="H1006" t="s">
        <v>2486</v>
      </c>
      <c r="I1006">
        <v>0</v>
      </c>
      <c r="J1006">
        <v>120</v>
      </c>
      <c r="K1006" s="9">
        <f t="shared" si="31"/>
        <v>45416</v>
      </c>
      <c r="L1006" t="s">
        <v>2553</v>
      </c>
      <c r="M1006" t="s">
        <v>2924</v>
      </c>
    </row>
    <row r="1007" spans="1:13" hidden="1" x14ac:dyDescent="0.35">
      <c r="A1007" t="s">
        <v>1010</v>
      </c>
      <c r="B1007" t="s">
        <v>2439</v>
      </c>
      <c r="C1007" t="s">
        <v>2458</v>
      </c>
      <c r="D1007" t="s">
        <v>2462</v>
      </c>
      <c r="E1007" t="str">
        <f t="shared" si="30"/>
        <v>ASHFORD UK</v>
      </c>
      <c r="F1007" t="s">
        <v>2482</v>
      </c>
      <c r="G1007">
        <v>100.07</v>
      </c>
      <c r="H1007" t="s">
        <v>2489</v>
      </c>
      <c r="I1007">
        <v>97</v>
      </c>
      <c r="J1007">
        <v>100</v>
      </c>
      <c r="K1007" s="9">
        <f t="shared" si="31"/>
        <v>45549</v>
      </c>
      <c r="L1007" t="s">
        <v>2858</v>
      </c>
      <c r="M1007" t="s">
        <v>2928</v>
      </c>
    </row>
    <row r="1008" spans="1:13" hidden="1" x14ac:dyDescent="0.35">
      <c r="A1008" t="s">
        <v>1011</v>
      </c>
      <c r="B1008" t="s">
        <v>2244</v>
      </c>
      <c r="C1008" t="s">
        <v>2458</v>
      </c>
      <c r="D1008" t="s">
        <v>2466</v>
      </c>
      <c r="E1008" t="str">
        <f t="shared" si="30"/>
        <v>EAST HANOVER</v>
      </c>
      <c r="F1008" t="s">
        <v>2479</v>
      </c>
      <c r="G1008">
        <v>56.21</v>
      </c>
      <c r="H1008" t="s">
        <v>2486</v>
      </c>
      <c r="I1008">
        <v>0</v>
      </c>
      <c r="J1008">
        <v>120</v>
      </c>
      <c r="K1008" s="9">
        <f t="shared" si="31"/>
        <v>45821</v>
      </c>
      <c r="L1008" t="s">
        <v>2859</v>
      </c>
      <c r="M1008" t="s">
        <v>2924</v>
      </c>
    </row>
    <row r="1009" spans="1:13" hidden="1" x14ac:dyDescent="0.35">
      <c r="A1009" t="s">
        <v>1012</v>
      </c>
      <c r="B1009" t="s">
        <v>2396</v>
      </c>
      <c r="C1009" t="s">
        <v>2461</v>
      </c>
      <c r="D1009" t="s">
        <v>2478</v>
      </c>
      <c r="E1009" t="str">
        <f t="shared" si="30"/>
        <v>BUD</v>
      </c>
      <c r="F1009" t="s">
        <v>2485</v>
      </c>
      <c r="G1009">
        <v>30.53</v>
      </c>
      <c r="H1009" t="s">
        <v>2490</v>
      </c>
      <c r="I1009">
        <v>0</v>
      </c>
      <c r="J1009">
        <v>100</v>
      </c>
      <c r="K1009" s="9">
        <f t="shared" si="31"/>
        <v>45767</v>
      </c>
      <c r="L1009" t="s">
        <v>2811</v>
      </c>
      <c r="M1009" t="s">
        <v>2927</v>
      </c>
    </row>
    <row r="1010" spans="1:13" hidden="1" x14ac:dyDescent="0.35">
      <c r="A1010" t="s">
        <v>1013</v>
      </c>
      <c r="B1010" t="s">
        <v>2122</v>
      </c>
      <c r="C1010" t="s">
        <v>2457</v>
      </c>
      <c r="D1010" t="s">
        <v>2470</v>
      </c>
      <c r="E1010" t="str">
        <f t="shared" si="30"/>
        <v>E. HANOVER</v>
      </c>
      <c r="F1010" t="s">
        <v>2480</v>
      </c>
      <c r="G1010">
        <v>1.06</v>
      </c>
      <c r="H1010" t="s">
        <v>2487</v>
      </c>
      <c r="I1010">
        <v>0.88</v>
      </c>
      <c r="J1010">
        <v>0.97</v>
      </c>
      <c r="K1010" s="9">
        <f t="shared" si="31"/>
        <v>45671</v>
      </c>
      <c r="L1010" t="s">
        <v>2598</v>
      </c>
      <c r="M1010" t="s">
        <v>2931</v>
      </c>
    </row>
    <row r="1011" spans="1:13" hidden="1" x14ac:dyDescent="0.35">
      <c r="A1011" t="s">
        <v>1014</v>
      </c>
      <c r="B1011" t="s">
        <v>2039</v>
      </c>
      <c r="C1011" t="s">
        <v>2458</v>
      </c>
      <c r="D1011" t="s">
        <v>2477</v>
      </c>
      <c r="E1011" t="str">
        <f t="shared" si="30"/>
        <v>BUDAPEST</v>
      </c>
      <c r="F1011" t="s">
        <v>2484</v>
      </c>
      <c r="G1011">
        <v>5.98</v>
      </c>
      <c r="I1011">
        <v>6</v>
      </c>
      <c r="J1011">
        <v>7.5</v>
      </c>
      <c r="K1011" s="9">
        <f t="shared" si="31"/>
        <v>45969</v>
      </c>
      <c r="L1011" t="s">
        <v>2519</v>
      </c>
      <c r="M1011" t="s">
        <v>2925</v>
      </c>
    </row>
    <row r="1012" spans="1:13" hidden="1" x14ac:dyDescent="0.35">
      <c r="A1012" t="s">
        <v>1015</v>
      </c>
      <c r="B1012" t="s">
        <v>2207</v>
      </c>
      <c r="C1012" t="s">
        <v>2460</v>
      </c>
      <c r="D1012" t="s">
        <v>2477</v>
      </c>
      <c r="E1012" t="str">
        <f t="shared" si="30"/>
        <v>BUDAPEST</v>
      </c>
      <c r="F1012" t="s">
        <v>2484</v>
      </c>
      <c r="G1012">
        <v>7.49</v>
      </c>
      <c r="I1012">
        <v>6</v>
      </c>
      <c r="J1012">
        <v>7.5</v>
      </c>
      <c r="K1012" s="9">
        <f t="shared" si="31"/>
        <v>45736</v>
      </c>
      <c r="L1012" t="s">
        <v>2675</v>
      </c>
      <c r="M1012" t="s">
        <v>2923</v>
      </c>
    </row>
    <row r="1013" spans="1:13" hidden="1" x14ac:dyDescent="0.35">
      <c r="A1013" t="s">
        <v>1016</v>
      </c>
      <c r="B1013" t="s">
        <v>2260</v>
      </c>
      <c r="C1013" t="s">
        <v>2461</v>
      </c>
      <c r="D1013" t="s">
        <v>2476</v>
      </c>
      <c r="E1013" t="str">
        <f t="shared" si="30"/>
        <v>BUDAPEST SITE</v>
      </c>
      <c r="F1013" t="s">
        <v>2480</v>
      </c>
      <c r="G1013">
        <v>0.92</v>
      </c>
      <c r="H1013" t="s">
        <v>2487</v>
      </c>
      <c r="I1013">
        <v>0.88</v>
      </c>
      <c r="J1013">
        <v>0.97</v>
      </c>
      <c r="K1013" s="9">
        <f t="shared" si="31"/>
        <v>45623</v>
      </c>
      <c r="L1013" t="s">
        <v>2712</v>
      </c>
      <c r="M1013" t="s">
        <v>2924</v>
      </c>
    </row>
    <row r="1014" spans="1:13" hidden="1" x14ac:dyDescent="0.35">
      <c r="A1014" t="s">
        <v>1017</v>
      </c>
      <c r="B1014" t="s">
        <v>2294</v>
      </c>
      <c r="C1014" t="s">
        <v>2460</v>
      </c>
      <c r="D1014" t="s">
        <v>2471</v>
      </c>
      <c r="E1014" t="str">
        <f t="shared" si="30"/>
        <v>BUDAPEST</v>
      </c>
      <c r="F1014" t="s">
        <v>2481</v>
      </c>
      <c r="G1014">
        <v>229.34</v>
      </c>
      <c r="H1014" t="s">
        <v>2488</v>
      </c>
      <c r="I1014">
        <v>150</v>
      </c>
      <c r="J1014">
        <v>400</v>
      </c>
      <c r="K1014" s="9">
        <f t="shared" si="31"/>
        <v>45560</v>
      </c>
      <c r="L1014" t="s">
        <v>2735</v>
      </c>
      <c r="M1014" t="s">
        <v>2930</v>
      </c>
    </row>
    <row r="1015" spans="1:13" hidden="1" x14ac:dyDescent="0.35">
      <c r="A1015" t="s">
        <v>1018</v>
      </c>
      <c r="B1015" t="s">
        <v>2330</v>
      </c>
      <c r="C1015" t="s">
        <v>2461</v>
      </c>
      <c r="D1015" t="s">
        <v>2464</v>
      </c>
      <c r="E1015" t="str">
        <f t="shared" si="30"/>
        <v>EAST HANOVER</v>
      </c>
      <c r="F1015" t="s">
        <v>2479</v>
      </c>
      <c r="G1015">
        <v>62.86</v>
      </c>
      <c r="H1015" t="s">
        <v>2486</v>
      </c>
      <c r="I1015">
        <v>0</v>
      </c>
      <c r="J1015">
        <v>120</v>
      </c>
      <c r="K1015" s="9">
        <f t="shared" si="31"/>
        <v>45600</v>
      </c>
      <c r="L1015" t="s">
        <v>2762</v>
      </c>
      <c r="M1015" t="s">
        <v>2923</v>
      </c>
    </row>
    <row r="1016" spans="1:13" hidden="1" x14ac:dyDescent="0.35">
      <c r="A1016" t="s">
        <v>1019</v>
      </c>
      <c r="B1016" t="s">
        <v>2186</v>
      </c>
      <c r="C1016" t="s">
        <v>2457</v>
      </c>
      <c r="D1016" t="s">
        <v>2477</v>
      </c>
      <c r="E1016" t="str">
        <f t="shared" si="30"/>
        <v>BUDAPEST</v>
      </c>
      <c r="F1016" t="s">
        <v>2485</v>
      </c>
      <c r="G1016">
        <v>45.99</v>
      </c>
      <c r="H1016" t="s">
        <v>2490</v>
      </c>
      <c r="I1016">
        <v>0</v>
      </c>
      <c r="J1016">
        <v>100</v>
      </c>
      <c r="K1016" s="9">
        <f t="shared" si="31"/>
        <v>45579</v>
      </c>
      <c r="L1016" t="s">
        <v>2708</v>
      </c>
      <c r="M1016" t="s">
        <v>2928</v>
      </c>
    </row>
    <row r="1017" spans="1:13" hidden="1" x14ac:dyDescent="0.35">
      <c r="A1017" t="s">
        <v>1020</v>
      </c>
      <c r="B1017" t="s">
        <v>2047</v>
      </c>
      <c r="C1017" t="s">
        <v>2460</v>
      </c>
      <c r="D1017" t="s">
        <v>2471</v>
      </c>
      <c r="E1017" t="str">
        <f t="shared" si="30"/>
        <v>BUDAPEST</v>
      </c>
      <c r="F1017" t="s">
        <v>2482</v>
      </c>
      <c r="G1017">
        <v>99.3</v>
      </c>
      <c r="H1017" t="s">
        <v>2489</v>
      </c>
      <c r="I1017">
        <v>97</v>
      </c>
      <c r="J1017">
        <v>100</v>
      </c>
      <c r="K1017" s="9">
        <f t="shared" si="31"/>
        <v>45543</v>
      </c>
      <c r="L1017" t="s">
        <v>2526</v>
      </c>
      <c r="M1017" t="s">
        <v>2930</v>
      </c>
    </row>
    <row r="1018" spans="1:13" hidden="1" x14ac:dyDescent="0.35">
      <c r="A1018" t="s">
        <v>1021</v>
      </c>
      <c r="B1018" t="s">
        <v>2017</v>
      </c>
      <c r="C1018" t="s">
        <v>2458</v>
      </c>
      <c r="D1018" t="s">
        <v>2463</v>
      </c>
      <c r="E1018" t="str">
        <f t="shared" si="30"/>
        <v>VERNIER</v>
      </c>
      <c r="F1018" t="s">
        <v>2479</v>
      </c>
      <c r="G1018">
        <v>24.09</v>
      </c>
      <c r="H1018" t="s">
        <v>2486</v>
      </c>
      <c r="I1018">
        <v>0</v>
      </c>
      <c r="J1018">
        <v>120</v>
      </c>
      <c r="K1018" s="9">
        <f t="shared" si="31"/>
        <v>46008</v>
      </c>
      <c r="L1018" t="s">
        <v>2497</v>
      </c>
      <c r="M1018" t="s">
        <v>2931</v>
      </c>
    </row>
    <row r="1019" spans="1:13" hidden="1" x14ac:dyDescent="0.35">
      <c r="A1019" t="s">
        <v>1022</v>
      </c>
      <c r="B1019" t="s">
        <v>2086</v>
      </c>
      <c r="C1019" t="s">
        <v>2459</v>
      </c>
      <c r="D1019" t="s">
        <v>2462</v>
      </c>
      <c r="E1019" t="str">
        <f t="shared" si="30"/>
        <v>ASHFORD UK</v>
      </c>
      <c r="F1019" t="s">
        <v>2480</v>
      </c>
      <c r="G1019">
        <v>0.96</v>
      </c>
      <c r="H1019" t="s">
        <v>2487</v>
      </c>
      <c r="I1019">
        <v>0.88</v>
      </c>
      <c r="J1019">
        <v>0.97</v>
      </c>
      <c r="K1019" s="9">
        <f t="shared" si="31"/>
        <v>45668</v>
      </c>
      <c r="L1019" t="s">
        <v>2564</v>
      </c>
      <c r="M1019" t="s">
        <v>2924</v>
      </c>
    </row>
    <row r="1020" spans="1:13" hidden="1" x14ac:dyDescent="0.35">
      <c r="A1020" t="s">
        <v>1023</v>
      </c>
      <c r="B1020" t="s">
        <v>2417</v>
      </c>
      <c r="C1020" t="s">
        <v>2459</v>
      </c>
      <c r="D1020" t="s">
        <v>2462</v>
      </c>
      <c r="E1020" t="str">
        <f t="shared" si="30"/>
        <v>ASHFORD UK</v>
      </c>
      <c r="F1020" t="s">
        <v>2484</v>
      </c>
      <c r="G1020">
        <v>6.24</v>
      </c>
      <c r="I1020">
        <v>6</v>
      </c>
      <c r="J1020">
        <v>7.5</v>
      </c>
      <c r="K1020" s="9">
        <f t="shared" si="31"/>
        <v>45969</v>
      </c>
      <c r="L1020" t="s">
        <v>2519</v>
      </c>
      <c r="M1020" t="s">
        <v>2924</v>
      </c>
    </row>
    <row r="1021" spans="1:13" hidden="1" x14ac:dyDescent="0.35">
      <c r="A1021" t="s">
        <v>1024</v>
      </c>
      <c r="B1021" t="s">
        <v>2033</v>
      </c>
      <c r="C1021" t="s">
        <v>2459</v>
      </c>
      <c r="D1021" t="s">
        <v>2466</v>
      </c>
      <c r="E1021" t="str">
        <f t="shared" si="30"/>
        <v>EAST HANOVER</v>
      </c>
      <c r="F1021" t="s">
        <v>2481</v>
      </c>
      <c r="G1021">
        <v>257.23</v>
      </c>
      <c r="H1021" t="s">
        <v>2488</v>
      </c>
      <c r="I1021">
        <v>150</v>
      </c>
      <c r="J1021">
        <v>400</v>
      </c>
      <c r="K1021" s="9">
        <f t="shared" si="31"/>
        <v>45330</v>
      </c>
      <c r="L1021" t="s">
        <v>2513</v>
      </c>
      <c r="M1021" t="s">
        <v>2930</v>
      </c>
    </row>
    <row r="1022" spans="1:13" hidden="1" x14ac:dyDescent="0.35">
      <c r="A1022" t="s">
        <v>1025</v>
      </c>
      <c r="B1022" t="s">
        <v>2388</v>
      </c>
      <c r="C1022" t="s">
        <v>2457</v>
      </c>
      <c r="D1022" t="s">
        <v>2470</v>
      </c>
      <c r="E1022" t="str">
        <f t="shared" si="30"/>
        <v>E. HANOVER</v>
      </c>
      <c r="F1022" t="s">
        <v>2484</v>
      </c>
      <c r="G1022">
        <v>6.5</v>
      </c>
      <c r="I1022">
        <v>6</v>
      </c>
      <c r="J1022">
        <v>7.5</v>
      </c>
      <c r="K1022" s="9">
        <f t="shared" si="31"/>
        <v>45336</v>
      </c>
      <c r="L1022" t="s">
        <v>2805</v>
      </c>
      <c r="M1022" t="s">
        <v>2931</v>
      </c>
    </row>
    <row r="1023" spans="1:13" hidden="1" x14ac:dyDescent="0.35">
      <c r="A1023" t="s">
        <v>1026</v>
      </c>
      <c r="B1023" t="s">
        <v>2101</v>
      </c>
      <c r="C1023" t="s">
        <v>2458</v>
      </c>
      <c r="D1023" t="s">
        <v>2469</v>
      </c>
      <c r="E1023" t="str">
        <f t="shared" si="30"/>
        <v>DORTMUND</v>
      </c>
      <c r="F1023" t="s">
        <v>2483</v>
      </c>
      <c r="G1023">
        <v>0.41</v>
      </c>
      <c r="H1023" t="s">
        <v>2489</v>
      </c>
      <c r="I1023">
        <v>0</v>
      </c>
      <c r="J1023">
        <v>1</v>
      </c>
      <c r="K1023" s="9">
        <f t="shared" si="31"/>
        <v>46013</v>
      </c>
      <c r="L1023" t="s">
        <v>2579</v>
      </c>
      <c r="M1023" t="s">
        <v>2925</v>
      </c>
    </row>
    <row r="1024" spans="1:13" hidden="1" x14ac:dyDescent="0.35">
      <c r="A1024" t="s">
        <v>1027</v>
      </c>
      <c r="B1024" t="s">
        <v>2120</v>
      </c>
      <c r="C1024" t="s">
        <v>2459</v>
      </c>
      <c r="D1024" t="s">
        <v>2463</v>
      </c>
      <c r="E1024" t="str">
        <f t="shared" si="30"/>
        <v>VERNIER</v>
      </c>
      <c r="F1024" t="s">
        <v>2484</v>
      </c>
      <c r="G1024">
        <v>7.51</v>
      </c>
      <c r="I1024">
        <v>6</v>
      </c>
      <c r="J1024">
        <v>7.5</v>
      </c>
      <c r="K1024" s="9">
        <f t="shared" si="31"/>
        <v>45393</v>
      </c>
      <c r="L1024" t="s">
        <v>2632</v>
      </c>
      <c r="M1024" t="s">
        <v>2932</v>
      </c>
    </row>
    <row r="1025" spans="1:13" hidden="1" x14ac:dyDescent="0.35">
      <c r="A1025" t="s">
        <v>1028</v>
      </c>
      <c r="B1025" t="s">
        <v>2323</v>
      </c>
      <c r="C1025" t="s">
        <v>2461</v>
      </c>
      <c r="D1025" t="s">
        <v>2476</v>
      </c>
      <c r="E1025" t="str">
        <f t="shared" si="30"/>
        <v>BUDAPEST SITE</v>
      </c>
      <c r="F1025" t="s">
        <v>2483</v>
      </c>
      <c r="G1025">
        <v>0.27</v>
      </c>
      <c r="H1025" t="s">
        <v>2489</v>
      </c>
      <c r="I1025">
        <v>0</v>
      </c>
      <c r="J1025">
        <v>1</v>
      </c>
      <c r="K1025" s="9">
        <f t="shared" si="31"/>
        <v>45571</v>
      </c>
      <c r="L1025" t="s">
        <v>2754</v>
      </c>
      <c r="M1025" t="s">
        <v>2925</v>
      </c>
    </row>
    <row r="1026" spans="1:13" hidden="1" x14ac:dyDescent="0.35">
      <c r="A1026" t="s">
        <v>1029</v>
      </c>
      <c r="B1026" t="s">
        <v>2051</v>
      </c>
      <c r="C1026" t="s">
        <v>2461</v>
      </c>
      <c r="D1026" t="s">
        <v>2474</v>
      </c>
      <c r="E1026" t="str">
        <f t="shared" si="30"/>
        <v>DORTMUND DE</v>
      </c>
      <c r="F1026" t="s">
        <v>2480</v>
      </c>
      <c r="G1026">
        <v>0.86</v>
      </c>
      <c r="H1026" t="s">
        <v>2487</v>
      </c>
      <c r="I1026">
        <v>0.88</v>
      </c>
      <c r="J1026">
        <v>0.97</v>
      </c>
      <c r="K1026" s="9">
        <f t="shared" si="31"/>
        <v>45564</v>
      </c>
      <c r="L1026" t="s">
        <v>2860</v>
      </c>
      <c r="M1026" t="s">
        <v>2924</v>
      </c>
    </row>
    <row r="1027" spans="1:13" hidden="1" x14ac:dyDescent="0.35">
      <c r="A1027" t="s">
        <v>1030</v>
      </c>
      <c r="B1027" t="s">
        <v>2193</v>
      </c>
      <c r="C1027" t="s">
        <v>2460</v>
      </c>
      <c r="D1027" t="s">
        <v>2475</v>
      </c>
      <c r="E1027" t="str">
        <f t="shared" ref="E1027:E1090" si="32">UPPER(D1027)</f>
        <v>ASHFORD</v>
      </c>
      <c r="F1027" t="s">
        <v>2485</v>
      </c>
      <c r="G1027">
        <v>15.54</v>
      </c>
      <c r="H1027" t="s">
        <v>2490</v>
      </c>
      <c r="I1027">
        <v>0</v>
      </c>
      <c r="J1027">
        <v>100</v>
      </c>
      <c r="K1027" s="9">
        <f t="shared" ref="K1027:K1090" si="33">IF(L1027="","",
IF(MID(L1027,5,1)="-",
DATE(LEFT(L1027,4),MID(L1027,6,2),RIGHT(L1027,2)),
DATE(RIGHT(L1027,4),MID(L1027,4,2),LEFT(L1027,2))
))</f>
        <v>45552</v>
      </c>
      <c r="L1027" t="s">
        <v>2664</v>
      </c>
      <c r="M1027" t="s">
        <v>2929</v>
      </c>
    </row>
    <row r="1028" spans="1:13" hidden="1" x14ac:dyDescent="0.35">
      <c r="A1028" t="s">
        <v>1031</v>
      </c>
      <c r="B1028" t="s">
        <v>2234</v>
      </c>
      <c r="C1028" t="s">
        <v>2457</v>
      </c>
      <c r="D1028" t="s">
        <v>2471</v>
      </c>
      <c r="E1028" t="str">
        <f t="shared" si="32"/>
        <v>BUDAPEST</v>
      </c>
      <c r="F1028" t="s">
        <v>2484</v>
      </c>
      <c r="G1028">
        <v>6.5</v>
      </c>
      <c r="I1028">
        <v>6</v>
      </c>
      <c r="J1028">
        <v>7.5</v>
      </c>
      <c r="K1028" s="9">
        <f t="shared" si="33"/>
        <v>45774</v>
      </c>
      <c r="L1028" t="s">
        <v>2522</v>
      </c>
      <c r="M1028" t="s">
        <v>2929</v>
      </c>
    </row>
    <row r="1029" spans="1:13" hidden="1" x14ac:dyDescent="0.35">
      <c r="A1029" t="s">
        <v>339</v>
      </c>
      <c r="B1029" t="s">
        <v>2146</v>
      </c>
      <c r="C1029" t="s">
        <v>2459</v>
      </c>
      <c r="D1029" t="s">
        <v>2471</v>
      </c>
      <c r="E1029" t="str">
        <f t="shared" si="32"/>
        <v>BUDAPEST</v>
      </c>
      <c r="F1029" t="s">
        <v>2480</v>
      </c>
      <c r="G1029">
        <v>0.9</v>
      </c>
      <c r="H1029" t="s">
        <v>2487</v>
      </c>
      <c r="I1029">
        <v>0.88</v>
      </c>
      <c r="J1029">
        <v>0.97</v>
      </c>
      <c r="K1029" s="9">
        <f t="shared" si="33"/>
        <v>45476</v>
      </c>
      <c r="L1029" t="s">
        <v>2621</v>
      </c>
      <c r="M1029" t="s">
        <v>2924</v>
      </c>
    </row>
    <row r="1030" spans="1:13" hidden="1" x14ac:dyDescent="0.35">
      <c r="A1030" t="s">
        <v>1032</v>
      </c>
      <c r="B1030" t="s">
        <v>2123</v>
      </c>
      <c r="C1030" t="s">
        <v>2457</v>
      </c>
      <c r="D1030" t="s">
        <v>2469</v>
      </c>
      <c r="E1030" t="str">
        <f t="shared" si="32"/>
        <v>DORTMUND</v>
      </c>
      <c r="F1030" t="s">
        <v>2482</v>
      </c>
      <c r="G1030">
        <v>98.24</v>
      </c>
      <c r="H1030" t="s">
        <v>2489</v>
      </c>
      <c r="I1030">
        <v>97</v>
      </c>
      <c r="J1030">
        <v>100</v>
      </c>
      <c r="K1030" s="9">
        <f t="shared" si="33"/>
        <v>45974</v>
      </c>
      <c r="L1030" t="s">
        <v>2599</v>
      </c>
      <c r="M1030" t="s">
        <v>2927</v>
      </c>
    </row>
    <row r="1031" spans="1:13" hidden="1" x14ac:dyDescent="0.35">
      <c r="A1031" t="s">
        <v>1033</v>
      </c>
      <c r="B1031" t="s">
        <v>2222</v>
      </c>
      <c r="C1031" t="s">
        <v>2459</v>
      </c>
      <c r="D1031" t="s">
        <v>2467</v>
      </c>
      <c r="E1031" t="str">
        <f t="shared" si="32"/>
        <v>ASHFORD</v>
      </c>
      <c r="F1031" t="s">
        <v>2482</v>
      </c>
      <c r="G1031">
        <v>99.26</v>
      </c>
      <c r="H1031" t="s">
        <v>2489</v>
      </c>
      <c r="I1031">
        <v>97</v>
      </c>
      <c r="J1031">
        <v>100</v>
      </c>
      <c r="K1031" s="9">
        <f t="shared" si="33"/>
        <v>45317</v>
      </c>
      <c r="L1031" t="s">
        <v>2687</v>
      </c>
      <c r="M1031" t="s">
        <v>2929</v>
      </c>
    </row>
    <row r="1032" spans="1:13" hidden="1" x14ac:dyDescent="0.35">
      <c r="A1032" t="s">
        <v>1034</v>
      </c>
      <c r="B1032" t="s">
        <v>2402</v>
      </c>
      <c r="C1032" t="s">
        <v>2461</v>
      </c>
      <c r="D1032" t="s">
        <v>2464</v>
      </c>
      <c r="E1032" t="str">
        <f t="shared" si="32"/>
        <v>EAST HANOVER</v>
      </c>
      <c r="F1032" t="s">
        <v>2479</v>
      </c>
      <c r="G1032">
        <v>52.45</v>
      </c>
      <c r="H1032" t="s">
        <v>2486</v>
      </c>
      <c r="I1032">
        <v>0</v>
      </c>
      <c r="J1032">
        <v>120</v>
      </c>
      <c r="K1032" s="9">
        <f t="shared" si="33"/>
        <v>45479</v>
      </c>
      <c r="L1032" t="s">
        <v>2818</v>
      </c>
      <c r="M1032" t="s">
        <v>2929</v>
      </c>
    </row>
    <row r="1033" spans="1:13" hidden="1" x14ac:dyDescent="0.35">
      <c r="A1033" t="s">
        <v>1035</v>
      </c>
      <c r="B1033" t="s">
        <v>2340</v>
      </c>
      <c r="C1033" t="s">
        <v>2460</v>
      </c>
      <c r="D1033" t="s">
        <v>2465</v>
      </c>
      <c r="E1033" t="str">
        <f t="shared" si="32"/>
        <v>VERNIER</v>
      </c>
      <c r="F1033" t="s">
        <v>2482</v>
      </c>
      <c r="G1033">
        <v>98.04</v>
      </c>
      <c r="H1033" t="s">
        <v>2489</v>
      </c>
      <c r="I1033">
        <v>97</v>
      </c>
      <c r="J1033">
        <v>100</v>
      </c>
      <c r="K1033" s="9">
        <f t="shared" si="33"/>
        <v>45890</v>
      </c>
      <c r="L1033" t="s">
        <v>2769</v>
      </c>
      <c r="M1033" t="s">
        <v>2931</v>
      </c>
    </row>
    <row r="1034" spans="1:13" hidden="1" x14ac:dyDescent="0.35">
      <c r="A1034" t="s">
        <v>1036</v>
      </c>
      <c r="B1034" t="s">
        <v>2329</v>
      </c>
      <c r="C1034" t="s">
        <v>2459</v>
      </c>
      <c r="D1034" t="s">
        <v>2474</v>
      </c>
      <c r="E1034" t="str">
        <f t="shared" si="32"/>
        <v>DORTMUND DE</v>
      </c>
      <c r="F1034" t="s">
        <v>2482</v>
      </c>
      <c r="G1034">
        <v>99.39</v>
      </c>
      <c r="H1034" t="s">
        <v>2489</v>
      </c>
      <c r="I1034">
        <v>97</v>
      </c>
      <c r="J1034">
        <v>100</v>
      </c>
      <c r="K1034" s="9">
        <f t="shared" si="33"/>
        <v>45849</v>
      </c>
      <c r="L1034" t="s">
        <v>2759</v>
      </c>
      <c r="M1034" t="s">
        <v>2927</v>
      </c>
    </row>
    <row r="1035" spans="1:13" hidden="1" x14ac:dyDescent="0.35">
      <c r="A1035" t="s">
        <v>1037</v>
      </c>
      <c r="B1035" t="s">
        <v>2439</v>
      </c>
      <c r="C1035" t="s">
        <v>2458</v>
      </c>
      <c r="D1035" t="s">
        <v>2467</v>
      </c>
      <c r="E1035" t="str">
        <f t="shared" si="32"/>
        <v>ASHFORD</v>
      </c>
      <c r="F1035" t="s">
        <v>2480</v>
      </c>
      <c r="G1035">
        <v>0.91</v>
      </c>
      <c r="H1035" t="s">
        <v>2487</v>
      </c>
      <c r="I1035">
        <v>0.88</v>
      </c>
      <c r="J1035">
        <v>0.97</v>
      </c>
      <c r="K1035" s="9">
        <f t="shared" si="33"/>
        <v>45549</v>
      </c>
      <c r="L1035" t="s">
        <v>2858</v>
      </c>
      <c r="M1035" t="s">
        <v>2924</v>
      </c>
    </row>
    <row r="1036" spans="1:13" hidden="1" x14ac:dyDescent="0.35">
      <c r="A1036" t="s">
        <v>1038</v>
      </c>
      <c r="B1036" t="s">
        <v>2294</v>
      </c>
      <c r="C1036" t="s">
        <v>2460</v>
      </c>
      <c r="D1036" t="s">
        <v>2476</v>
      </c>
      <c r="E1036" t="str">
        <f t="shared" si="32"/>
        <v>BUDAPEST SITE</v>
      </c>
      <c r="F1036" t="s">
        <v>2485</v>
      </c>
      <c r="G1036">
        <v>13.67</v>
      </c>
      <c r="H1036" t="s">
        <v>2490</v>
      </c>
      <c r="I1036">
        <v>0</v>
      </c>
      <c r="J1036">
        <v>100</v>
      </c>
      <c r="K1036" s="9">
        <f t="shared" si="33"/>
        <v>45560</v>
      </c>
      <c r="L1036" t="s">
        <v>2735</v>
      </c>
      <c r="M1036" t="s">
        <v>2925</v>
      </c>
    </row>
    <row r="1037" spans="1:13" hidden="1" x14ac:dyDescent="0.35">
      <c r="A1037" t="s">
        <v>1039</v>
      </c>
      <c r="B1037" t="s">
        <v>2059</v>
      </c>
      <c r="C1037" t="s">
        <v>2459</v>
      </c>
      <c r="D1037" t="s">
        <v>2465</v>
      </c>
      <c r="E1037" t="str">
        <f t="shared" si="32"/>
        <v>VERNIER</v>
      </c>
      <c r="F1037" t="s">
        <v>2483</v>
      </c>
      <c r="G1037">
        <v>0.4</v>
      </c>
      <c r="H1037" t="s">
        <v>2489</v>
      </c>
      <c r="I1037">
        <v>0</v>
      </c>
      <c r="J1037">
        <v>1</v>
      </c>
      <c r="K1037" s="9">
        <f t="shared" si="33"/>
        <v>45743</v>
      </c>
      <c r="L1037" t="s">
        <v>2861</v>
      </c>
      <c r="M1037" t="s">
        <v>2932</v>
      </c>
    </row>
    <row r="1038" spans="1:13" hidden="1" x14ac:dyDescent="0.35">
      <c r="A1038" t="s">
        <v>1040</v>
      </c>
      <c r="B1038" t="s">
        <v>2289</v>
      </c>
      <c r="C1038" t="s">
        <v>2457</v>
      </c>
      <c r="D1038" t="s">
        <v>2471</v>
      </c>
      <c r="E1038" t="str">
        <f t="shared" si="32"/>
        <v>BUDAPEST</v>
      </c>
      <c r="F1038" t="s">
        <v>2482</v>
      </c>
      <c r="G1038">
        <v>98.97</v>
      </c>
      <c r="H1038" t="s">
        <v>2489</v>
      </c>
      <c r="I1038">
        <v>97</v>
      </c>
      <c r="J1038">
        <v>100</v>
      </c>
      <c r="K1038" s="9">
        <f t="shared" si="33"/>
        <v>45326</v>
      </c>
      <c r="L1038" t="s">
        <v>2732</v>
      </c>
      <c r="M1038" t="s">
        <v>2928</v>
      </c>
    </row>
    <row r="1039" spans="1:13" hidden="1" x14ac:dyDescent="0.35">
      <c r="A1039" t="s">
        <v>1041</v>
      </c>
      <c r="B1039" t="s">
        <v>2082</v>
      </c>
      <c r="C1039" t="s">
        <v>2461</v>
      </c>
      <c r="D1039" t="s">
        <v>2462</v>
      </c>
      <c r="E1039" t="str">
        <f t="shared" si="32"/>
        <v>ASHFORD UK</v>
      </c>
      <c r="F1039" t="s">
        <v>2479</v>
      </c>
      <c r="G1039">
        <v>60.28</v>
      </c>
      <c r="H1039" t="s">
        <v>2486</v>
      </c>
      <c r="I1039">
        <v>0</v>
      </c>
      <c r="J1039">
        <v>120</v>
      </c>
      <c r="K1039" s="9">
        <f t="shared" si="33"/>
        <v>45392</v>
      </c>
      <c r="L1039" t="s">
        <v>2561</v>
      </c>
      <c r="M1039" t="s">
        <v>2931</v>
      </c>
    </row>
    <row r="1040" spans="1:13" hidden="1" x14ac:dyDescent="0.35">
      <c r="A1040" t="s">
        <v>1042</v>
      </c>
      <c r="B1040" t="s">
        <v>2264</v>
      </c>
      <c r="C1040" t="s">
        <v>2459</v>
      </c>
      <c r="D1040" t="s">
        <v>2474</v>
      </c>
      <c r="E1040" t="str">
        <f t="shared" si="32"/>
        <v>DORTMUND DE</v>
      </c>
      <c r="F1040" t="s">
        <v>2483</v>
      </c>
      <c r="G1040">
        <v>0.4</v>
      </c>
      <c r="H1040" t="s">
        <v>2489</v>
      </c>
      <c r="I1040">
        <v>0</v>
      </c>
      <c r="J1040">
        <v>1</v>
      </c>
      <c r="K1040" s="9">
        <f t="shared" si="33"/>
        <v>45795</v>
      </c>
      <c r="L1040" t="s">
        <v>2862</v>
      </c>
      <c r="M1040" t="s">
        <v>2929</v>
      </c>
    </row>
    <row r="1041" spans="1:13" hidden="1" x14ac:dyDescent="0.35">
      <c r="A1041" t="s">
        <v>1043</v>
      </c>
      <c r="B1041" t="s">
        <v>2048</v>
      </c>
      <c r="C1041" t="s">
        <v>2458</v>
      </c>
      <c r="D1041" t="s">
        <v>2473</v>
      </c>
      <c r="E1041" t="str">
        <f t="shared" si="32"/>
        <v>DORTMUND</v>
      </c>
      <c r="F1041" t="s">
        <v>2485</v>
      </c>
      <c r="G1041">
        <v>-4.54</v>
      </c>
      <c r="H1041" t="s">
        <v>2490</v>
      </c>
      <c r="I1041">
        <v>0</v>
      </c>
      <c r="J1041">
        <v>100</v>
      </c>
      <c r="K1041" s="9">
        <f t="shared" si="33"/>
        <v>45845</v>
      </c>
      <c r="L1041" t="s">
        <v>2527</v>
      </c>
      <c r="M1041" t="s">
        <v>2932</v>
      </c>
    </row>
    <row r="1042" spans="1:13" hidden="1" x14ac:dyDescent="0.35">
      <c r="A1042" t="s">
        <v>1044</v>
      </c>
      <c r="B1042" t="s">
        <v>2271</v>
      </c>
      <c r="C1042" t="s">
        <v>2459</v>
      </c>
      <c r="D1042" t="s">
        <v>2477</v>
      </c>
      <c r="E1042" t="str">
        <f t="shared" si="32"/>
        <v>BUDAPEST</v>
      </c>
      <c r="F1042" t="s">
        <v>2479</v>
      </c>
      <c r="G1042">
        <v>32.020000000000003</v>
      </c>
      <c r="H1042" t="s">
        <v>2486</v>
      </c>
      <c r="I1042">
        <v>0</v>
      </c>
      <c r="J1042">
        <v>120</v>
      </c>
      <c r="K1042" s="9">
        <f t="shared" si="33"/>
        <v>45583</v>
      </c>
      <c r="L1042" t="s">
        <v>2719</v>
      </c>
      <c r="M1042" t="s">
        <v>2925</v>
      </c>
    </row>
    <row r="1043" spans="1:13" hidden="1" x14ac:dyDescent="0.35">
      <c r="A1043" t="s">
        <v>1045</v>
      </c>
      <c r="B1043" t="s">
        <v>2111</v>
      </c>
      <c r="C1043" t="s">
        <v>2461</v>
      </c>
      <c r="D1043" t="s">
        <v>2465</v>
      </c>
      <c r="E1043" t="str">
        <f t="shared" si="32"/>
        <v>VERNIER</v>
      </c>
      <c r="F1043" t="s">
        <v>2482</v>
      </c>
      <c r="G1043">
        <v>98.55</v>
      </c>
      <c r="H1043" t="s">
        <v>2489</v>
      </c>
      <c r="I1043">
        <v>97</v>
      </c>
      <c r="J1043">
        <v>100</v>
      </c>
      <c r="K1043" s="9">
        <f t="shared" si="33"/>
        <v>45547</v>
      </c>
      <c r="L1043" t="s">
        <v>2587</v>
      </c>
      <c r="M1043" t="s">
        <v>2932</v>
      </c>
    </row>
    <row r="1044" spans="1:13" hidden="1" x14ac:dyDescent="0.35">
      <c r="A1044" t="s">
        <v>1046</v>
      </c>
      <c r="B1044" t="s">
        <v>2037</v>
      </c>
      <c r="C1044" t="s">
        <v>2461</v>
      </c>
      <c r="D1044" t="s">
        <v>2478</v>
      </c>
      <c r="E1044" t="str">
        <f t="shared" si="32"/>
        <v>BUD</v>
      </c>
      <c r="F1044" t="s">
        <v>2485</v>
      </c>
      <c r="G1044">
        <v>64.34</v>
      </c>
      <c r="H1044" t="s">
        <v>2490</v>
      </c>
      <c r="I1044">
        <v>0</v>
      </c>
      <c r="J1044">
        <v>100</v>
      </c>
      <c r="K1044" s="9">
        <f t="shared" si="33"/>
        <v>45643</v>
      </c>
      <c r="L1044" t="s">
        <v>2517</v>
      </c>
      <c r="M1044" t="s">
        <v>2932</v>
      </c>
    </row>
    <row r="1045" spans="1:13" hidden="1" x14ac:dyDescent="0.35">
      <c r="A1045" t="s">
        <v>1047</v>
      </c>
      <c r="B1045" t="s">
        <v>2254</v>
      </c>
      <c r="C1045" t="s">
        <v>2457</v>
      </c>
      <c r="D1045" t="s">
        <v>2477</v>
      </c>
      <c r="E1045" t="str">
        <f t="shared" si="32"/>
        <v>BUDAPEST</v>
      </c>
      <c r="F1045" t="s">
        <v>2481</v>
      </c>
      <c r="G1045">
        <v>254.35</v>
      </c>
      <c r="H1045" t="s">
        <v>2488</v>
      </c>
      <c r="I1045">
        <v>150</v>
      </c>
      <c r="J1045">
        <v>400</v>
      </c>
      <c r="K1045" s="9">
        <f t="shared" si="33"/>
        <v>45774</v>
      </c>
      <c r="L1045" t="s">
        <v>2863</v>
      </c>
      <c r="M1045" t="s">
        <v>2927</v>
      </c>
    </row>
    <row r="1046" spans="1:13" hidden="1" x14ac:dyDescent="0.35">
      <c r="A1046" t="s">
        <v>1048</v>
      </c>
      <c r="B1046" t="s">
        <v>2332</v>
      </c>
      <c r="C1046" t="s">
        <v>2461</v>
      </c>
      <c r="D1046" t="s">
        <v>2467</v>
      </c>
      <c r="E1046" t="str">
        <f t="shared" si="32"/>
        <v>ASHFORD</v>
      </c>
      <c r="F1046" t="s">
        <v>2483</v>
      </c>
      <c r="G1046">
        <v>0.56999999999999995</v>
      </c>
      <c r="H1046" t="s">
        <v>2489</v>
      </c>
      <c r="I1046">
        <v>0</v>
      </c>
      <c r="J1046">
        <v>1</v>
      </c>
      <c r="K1046" s="9">
        <f t="shared" si="33"/>
        <v>45649</v>
      </c>
      <c r="L1046" t="s">
        <v>2821</v>
      </c>
      <c r="M1046" t="s">
        <v>2932</v>
      </c>
    </row>
    <row r="1047" spans="1:13" hidden="1" x14ac:dyDescent="0.35">
      <c r="A1047" t="s">
        <v>1049</v>
      </c>
      <c r="B1047" t="s">
        <v>2169</v>
      </c>
      <c r="C1047" t="s">
        <v>2458</v>
      </c>
      <c r="D1047" t="s">
        <v>2463</v>
      </c>
      <c r="E1047" t="str">
        <f t="shared" si="32"/>
        <v>VERNIER</v>
      </c>
      <c r="F1047" t="s">
        <v>2483</v>
      </c>
      <c r="G1047">
        <v>0.36</v>
      </c>
      <c r="H1047" t="s">
        <v>2489</v>
      </c>
      <c r="I1047">
        <v>0</v>
      </c>
      <c r="J1047">
        <v>1</v>
      </c>
      <c r="K1047" s="9">
        <f t="shared" si="33"/>
        <v>45571</v>
      </c>
      <c r="L1047" t="s">
        <v>2754</v>
      </c>
      <c r="M1047" t="s">
        <v>2923</v>
      </c>
    </row>
    <row r="1048" spans="1:13" hidden="1" x14ac:dyDescent="0.35">
      <c r="A1048" t="s">
        <v>1050</v>
      </c>
      <c r="B1048" t="s">
        <v>2172</v>
      </c>
      <c r="C1048" t="s">
        <v>2459</v>
      </c>
      <c r="D1048" t="s">
        <v>2473</v>
      </c>
      <c r="E1048" t="str">
        <f t="shared" si="32"/>
        <v>DORTMUND</v>
      </c>
      <c r="F1048" t="s">
        <v>2483</v>
      </c>
      <c r="G1048">
        <v>0.46</v>
      </c>
      <c r="H1048" t="s">
        <v>2489</v>
      </c>
      <c r="I1048">
        <v>0</v>
      </c>
      <c r="J1048">
        <v>1</v>
      </c>
      <c r="K1048" s="9">
        <f t="shared" si="33"/>
        <v>45453</v>
      </c>
      <c r="L1048" t="s">
        <v>2645</v>
      </c>
      <c r="M1048" t="s">
        <v>2923</v>
      </c>
    </row>
    <row r="1049" spans="1:13" hidden="1" x14ac:dyDescent="0.35">
      <c r="A1049" t="s">
        <v>1051</v>
      </c>
      <c r="B1049" t="s">
        <v>2197</v>
      </c>
      <c r="C1049" t="s">
        <v>2459</v>
      </c>
      <c r="D1049" t="s">
        <v>2464</v>
      </c>
      <c r="E1049" t="str">
        <f t="shared" si="32"/>
        <v>EAST HANOVER</v>
      </c>
      <c r="F1049" t="s">
        <v>2483</v>
      </c>
      <c r="G1049">
        <v>0.35</v>
      </c>
      <c r="H1049" t="s">
        <v>2489</v>
      </c>
      <c r="I1049">
        <v>0</v>
      </c>
      <c r="J1049">
        <v>1</v>
      </c>
      <c r="K1049" s="9">
        <f t="shared" si="33"/>
        <v>45854</v>
      </c>
      <c r="L1049" t="s">
        <v>2667</v>
      </c>
      <c r="M1049" t="s">
        <v>2930</v>
      </c>
    </row>
    <row r="1050" spans="1:13" hidden="1" x14ac:dyDescent="0.35">
      <c r="A1050" t="s">
        <v>1052</v>
      </c>
      <c r="B1050" t="s">
        <v>2216</v>
      </c>
      <c r="C1050" t="s">
        <v>2458</v>
      </c>
      <c r="D1050" t="s">
        <v>2473</v>
      </c>
      <c r="E1050" t="str">
        <f t="shared" si="32"/>
        <v>DORTMUND</v>
      </c>
      <c r="F1050" t="s">
        <v>2485</v>
      </c>
      <c r="G1050">
        <v>28.97</v>
      </c>
      <c r="H1050" t="s">
        <v>2490</v>
      </c>
      <c r="I1050">
        <v>0</v>
      </c>
      <c r="J1050">
        <v>100</v>
      </c>
      <c r="K1050" s="9">
        <f t="shared" si="33"/>
        <v>45873</v>
      </c>
      <c r="L1050" t="s">
        <v>2683</v>
      </c>
      <c r="M1050" t="s">
        <v>2932</v>
      </c>
    </row>
    <row r="1051" spans="1:13" hidden="1" x14ac:dyDescent="0.35">
      <c r="A1051" t="s">
        <v>1053</v>
      </c>
      <c r="B1051" t="s">
        <v>2112</v>
      </c>
      <c r="C1051" t="s">
        <v>2457</v>
      </c>
      <c r="D1051" t="s">
        <v>2469</v>
      </c>
      <c r="E1051" t="str">
        <f t="shared" si="32"/>
        <v>DORTMUND</v>
      </c>
      <c r="F1051" t="s">
        <v>2480</v>
      </c>
      <c r="G1051">
        <v>0.92</v>
      </c>
      <c r="H1051" t="s">
        <v>2487</v>
      </c>
      <c r="I1051">
        <v>0.88</v>
      </c>
      <c r="J1051">
        <v>0.97</v>
      </c>
      <c r="K1051" s="9">
        <f t="shared" si="33"/>
        <v>45993</v>
      </c>
      <c r="L1051" t="s">
        <v>2588</v>
      </c>
      <c r="M1051" t="s">
        <v>2924</v>
      </c>
    </row>
    <row r="1052" spans="1:13" hidden="1" x14ac:dyDescent="0.35">
      <c r="A1052" t="s">
        <v>1054</v>
      </c>
      <c r="B1052" t="s">
        <v>2377</v>
      </c>
      <c r="C1052" t="s">
        <v>2460</v>
      </c>
      <c r="D1052" t="s">
        <v>2472</v>
      </c>
      <c r="E1052" t="str">
        <f t="shared" si="32"/>
        <v>VERNIER</v>
      </c>
      <c r="F1052" t="s">
        <v>2484</v>
      </c>
      <c r="G1052">
        <v>6.65</v>
      </c>
      <c r="I1052">
        <v>6</v>
      </c>
      <c r="J1052">
        <v>7.5</v>
      </c>
      <c r="K1052" s="9">
        <f t="shared" si="33"/>
        <v>45398</v>
      </c>
      <c r="L1052" t="s">
        <v>2529</v>
      </c>
      <c r="M1052" t="s">
        <v>2931</v>
      </c>
    </row>
    <row r="1053" spans="1:13" hidden="1" x14ac:dyDescent="0.35">
      <c r="A1053" t="s">
        <v>1055</v>
      </c>
      <c r="B1053" t="s">
        <v>2351</v>
      </c>
      <c r="C1053" t="s">
        <v>2459</v>
      </c>
      <c r="D1053" t="s">
        <v>2463</v>
      </c>
      <c r="E1053" t="str">
        <f t="shared" si="32"/>
        <v>VERNIER</v>
      </c>
      <c r="F1053" t="s">
        <v>2484</v>
      </c>
      <c r="G1053">
        <v>6.67</v>
      </c>
      <c r="I1053">
        <v>6</v>
      </c>
      <c r="J1053">
        <v>7.5</v>
      </c>
      <c r="K1053" s="9">
        <f t="shared" si="33"/>
        <v>45984</v>
      </c>
      <c r="L1053" t="s">
        <v>2864</v>
      </c>
      <c r="M1053" t="s">
        <v>2924</v>
      </c>
    </row>
    <row r="1054" spans="1:13" hidden="1" x14ac:dyDescent="0.35">
      <c r="A1054" t="s">
        <v>1056</v>
      </c>
      <c r="B1054" t="s">
        <v>2163</v>
      </c>
      <c r="C1054" t="s">
        <v>2460</v>
      </c>
      <c r="D1054" t="s">
        <v>2470</v>
      </c>
      <c r="E1054" t="str">
        <f t="shared" si="32"/>
        <v>E. HANOVER</v>
      </c>
      <c r="F1054" t="s">
        <v>2484</v>
      </c>
      <c r="G1054">
        <v>6.9</v>
      </c>
      <c r="I1054">
        <v>6</v>
      </c>
      <c r="J1054">
        <v>7.5</v>
      </c>
      <c r="K1054" s="9">
        <f t="shared" si="33"/>
        <v>45698</v>
      </c>
      <c r="L1054" t="s">
        <v>2636</v>
      </c>
      <c r="M1054" t="s">
        <v>2930</v>
      </c>
    </row>
    <row r="1055" spans="1:13" hidden="1" x14ac:dyDescent="0.35">
      <c r="A1055" t="s">
        <v>1057</v>
      </c>
      <c r="B1055" t="s">
        <v>2440</v>
      </c>
      <c r="C1055" t="s">
        <v>2460</v>
      </c>
      <c r="D1055" t="s">
        <v>2476</v>
      </c>
      <c r="E1055" t="str">
        <f t="shared" si="32"/>
        <v>BUDAPEST SITE</v>
      </c>
      <c r="F1055" t="s">
        <v>2479</v>
      </c>
      <c r="G1055">
        <v>43.86</v>
      </c>
      <c r="H1055" t="s">
        <v>2486</v>
      </c>
      <c r="I1055">
        <v>0</v>
      </c>
      <c r="J1055">
        <v>120</v>
      </c>
      <c r="K1055" s="9">
        <f t="shared" si="33"/>
        <v>45606</v>
      </c>
      <c r="L1055" t="s">
        <v>2865</v>
      </c>
      <c r="M1055" t="s">
        <v>2929</v>
      </c>
    </row>
    <row r="1056" spans="1:13" hidden="1" x14ac:dyDescent="0.35">
      <c r="A1056" t="s">
        <v>1058</v>
      </c>
      <c r="B1056" t="s">
        <v>2441</v>
      </c>
      <c r="C1056" t="s">
        <v>2461</v>
      </c>
      <c r="D1056" t="s">
        <v>2466</v>
      </c>
      <c r="E1056" t="str">
        <f t="shared" si="32"/>
        <v>EAST HANOVER</v>
      </c>
      <c r="F1056" t="s">
        <v>2481</v>
      </c>
      <c r="G1056">
        <v>231.5</v>
      </c>
      <c r="H1056" t="s">
        <v>2488</v>
      </c>
      <c r="I1056">
        <v>150</v>
      </c>
      <c r="J1056">
        <v>400</v>
      </c>
      <c r="K1056" s="9">
        <f t="shared" si="33"/>
        <v>45870</v>
      </c>
      <c r="L1056" t="s">
        <v>2813</v>
      </c>
      <c r="M1056" t="s">
        <v>2928</v>
      </c>
    </row>
    <row r="1057" spans="1:13" hidden="1" x14ac:dyDescent="0.35">
      <c r="A1057" t="s">
        <v>1059</v>
      </c>
      <c r="B1057" t="s">
        <v>2442</v>
      </c>
      <c r="C1057" t="s">
        <v>2458</v>
      </c>
      <c r="D1057" t="s">
        <v>2465</v>
      </c>
      <c r="E1057" t="str">
        <f t="shared" si="32"/>
        <v>VERNIER</v>
      </c>
      <c r="F1057" t="s">
        <v>2479</v>
      </c>
      <c r="G1057">
        <v>74.31</v>
      </c>
      <c r="H1057" t="s">
        <v>2486</v>
      </c>
      <c r="I1057">
        <v>0</v>
      </c>
      <c r="J1057">
        <v>120</v>
      </c>
      <c r="K1057" s="9">
        <f t="shared" si="33"/>
        <v>45385</v>
      </c>
      <c r="L1057" t="s">
        <v>2574</v>
      </c>
      <c r="M1057" t="s">
        <v>2927</v>
      </c>
    </row>
    <row r="1058" spans="1:13" hidden="1" x14ac:dyDescent="0.35">
      <c r="A1058" t="s">
        <v>1060</v>
      </c>
      <c r="B1058" t="s">
        <v>2091</v>
      </c>
      <c r="C1058" t="s">
        <v>2460</v>
      </c>
      <c r="D1058" t="s">
        <v>2468</v>
      </c>
      <c r="E1058" t="str">
        <f t="shared" si="32"/>
        <v>VERNIER CH</v>
      </c>
      <c r="F1058" t="s">
        <v>2483</v>
      </c>
      <c r="G1058">
        <v>0.57999999999999996</v>
      </c>
      <c r="H1058" t="s">
        <v>2489</v>
      </c>
      <c r="I1058">
        <v>0</v>
      </c>
      <c r="J1058">
        <v>1</v>
      </c>
      <c r="K1058" s="9">
        <f t="shared" si="33"/>
        <v>45517</v>
      </c>
      <c r="L1058" t="s">
        <v>2569</v>
      </c>
      <c r="M1058" t="s">
        <v>2931</v>
      </c>
    </row>
    <row r="1059" spans="1:13" hidden="1" x14ac:dyDescent="0.35">
      <c r="A1059" t="s">
        <v>1061</v>
      </c>
      <c r="B1059" t="s">
        <v>2331</v>
      </c>
      <c r="C1059" t="s">
        <v>2457</v>
      </c>
      <c r="D1059" t="s">
        <v>2478</v>
      </c>
      <c r="E1059" t="str">
        <f t="shared" si="32"/>
        <v>BUD</v>
      </c>
      <c r="F1059" t="s">
        <v>2482</v>
      </c>
      <c r="G1059">
        <v>97.88</v>
      </c>
      <c r="H1059" t="s">
        <v>2489</v>
      </c>
      <c r="I1059">
        <v>97</v>
      </c>
      <c r="J1059">
        <v>100</v>
      </c>
      <c r="K1059" s="9">
        <f t="shared" si="33"/>
        <v>46019</v>
      </c>
      <c r="L1059" t="s">
        <v>2763</v>
      </c>
      <c r="M1059" t="s">
        <v>2932</v>
      </c>
    </row>
    <row r="1060" spans="1:13" hidden="1" x14ac:dyDescent="0.35">
      <c r="A1060" t="s">
        <v>1062</v>
      </c>
      <c r="B1060" t="s">
        <v>2443</v>
      </c>
      <c r="C1060" t="s">
        <v>2460</v>
      </c>
      <c r="D1060" t="s">
        <v>2475</v>
      </c>
      <c r="E1060" t="str">
        <f t="shared" si="32"/>
        <v>ASHFORD</v>
      </c>
      <c r="F1060" t="s">
        <v>2483</v>
      </c>
      <c r="G1060">
        <v>0.47</v>
      </c>
      <c r="H1060" t="s">
        <v>2489</v>
      </c>
      <c r="I1060">
        <v>0</v>
      </c>
      <c r="J1060">
        <v>1</v>
      </c>
      <c r="K1060" s="9">
        <f t="shared" si="33"/>
        <v>45533</v>
      </c>
      <c r="L1060" t="s">
        <v>2866</v>
      </c>
      <c r="M1060" t="s">
        <v>2924</v>
      </c>
    </row>
    <row r="1061" spans="1:13" hidden="1" x14ac:dyDescent="0.35">
      <c r="A1061" t="s">
        <v>1063</v>
      </c>
      <c r="B1061" t="s">
        <v>2390</v>
      </c>
      <c r="C1061" t="s">
        <v>2459</v>
      </c>
      <c r="D1061" t="s">
        <v>2463</v>
      </c>
      <c r="E1061" t="str">
        <f t="shared" si="32"/>
        <v>VERNIER</v>
      </c>
      <c r="F1061" t="s">
        <v>2484</v>
      </c>
      <c r="G1061">
        <v>6.72</v>
      </c>
      <c r="I1061">
        <v>6</v>
      </c>
      <c r="J1061">
        <v>7.5</v>
      </c>
      <c r="K1061" s="9">
        <f t="shared" si="33"/>
        <v>45571</v>
      </c>
      <c r="L1061" t="s">
        <v>2754</v>
      </c>
      <c r="M1061" t="s">
        <v>2924</v>
      </c>
    </row>
    <row r="1062" spans="1:13" hidden="1" x14ac:dyDescent="0.35">
      <c r="A1062" t="s">
        <v>1064</v>
      </c>
      <c r="B1062" t="s">
        <v>2151</v>
      </c>
      <c r="C1062" t="s">
        <v>2458</v>
      </c>
      <c r="D1062" t="s">
        <v>2470</v>
      </c>
      <c r="E1062" t="str">
        <f t="shared" si="32"/>
        <v>E. HANOVER</v>
      </c>
      <c r="F1062" t="s">
        <v>2479</v>
      </c>
      <c r="G1062">
        <v>41.29</v>
      </c>
      <c r="H1062" t="s">
        <v>2486</v>
      </c>
      <c r="I1062">
        <v>0</v>
      </c>
      <c r="J1062">
        <v>120</v>
      </c>
      <c r="K1062" s="9">
        <f t="shared" si="33"/>
        <v>45334</v>
      </c>
      <c r="L1062" t="s">
        <v>2626</v>
      </c>
      <c r="M1062" t="s">
        <v>2932</v>
      </c>
    </row>
    <row r="1063" spans="1:13" hidden="1" x14ac:dyDescent="0.35">
      <c r="A1063" t="s">
        <v>1065</v>
      </c>
      <c r="B1063" t="s">
        <v>2353</v>
      </c>
      <c r="C1063" t="s">
        <v>2461</v>
      </c>
      <c r="D1063" t="s">
        <v>2474</v>
      </c>
      <c r="E1063" t="str">
        <f t="shared" si="32"/>
        <v>DORTMUND DE</v>
      </c>
      <c r="F1063" t="s">
        <v>2485</v>
      </c>
      <c r="G1063">
        <v>15.71</v>
      </c>
      <c r="H1063" t="s">
        <v>2490</v>
      </c>
      <c r="I1063">
        <v>0</v>
      </c>
      <c r="J1063">
        <v>100</v>
      </c>
      <c r="K1063" s="9">
        <f t="shared" si="33"/>
        <v>45610</v>
      </c>
      <c r="L1063" t="s">
        <v>2560</v>
      </c>
      <c r="M1063" t="s">
        <v>2932</v>
      </c>
    </row>
    <row r="1064" spans="1:13" hidden="1" x14ac:dyDescent="0.35">
      <c r="A1064" t="s">
        <v>1066</v>
      </c>
      <c r="B1064" t="s">
        <v>2423</v>
      </c>
      <c r="C1064" t="s">
        <v>2461</v>
      </c>
      <c r="D1064" t="s">
        <v>2470</v>
      </c>
      <c r="E1064" t="str">
        <f t="shared" si="32"/>
        <v>E. HANOVER</v>
      </c>
      <c r="F1064" t="s">
        <v>2482</v>
      </c>
      <c r="G1064">
        <v>98.73</v>
      </c>
      <c r="H1064" t="s">
        <v>2489</v>
      </c>
      <c r="I1064">
        <v>97</v>
      </c>
      <c r="J1064">
        <v>100</v>
      </c>
      <c r="K1064" s="9">
        <f t="shared" si="33"/>
        <v>45916</v>
      </c>
      <c r="L1064" t="s">
        <v>2624</v>
      </c>
      <c r="M1064" t="s">
        <v>2927</v>
      </c>
    </row>
    <row r="1065" spans="1:13" hidden="1" x14ac:dyDescent="0.35">
      <c r="A1065" t="s">
        <v>1067</v>
      </c>
      <c r="B1065" t="s">
        <v>2090</v>
      </c>
      <c r="C1065" t="s">
        <v>2457</v>
      </c>
      <c r="D1065" t="s">
        <v>2467</v>
      </c>
      <c r="E1065" t="str">
        <f t="shared" si="32"/>
        <v>ASHFORD</v>
      </c>
      <c r="F1065" t="s">
        <v>2482</v>
      </c>
      <c r="G1065">
        <v>98.77</v>
      </c>
      <c r="H1065" t="s">
        <v>2489</v>
      </c>
      <c r="I1065">
        <v>97</v>
      </c>
      <c r="J1065">
        <v>100</v>
      </c>
      <c r="K1065" s="9">
        <f t="shared" si="33"/>
        <v>45534</v>
      </c>
      <c r="L1065" t="s">
        <v>2568</v>
      </c>
      <c r="M1065" t="s">
        <v>2923</v>
      </c>
    </row>
    <row r="1066" spans="1:13" hidden="1" x14ac:dyDescent="0.35">
      <c r="A1066" t="s">
        <v>1068</v>
      </c>
      <c r="B1066" t="s">
        <v>2239</v>
      </c>
      <c r="C1066" t="s">
        <v>2459</v>
      </c>
      <c r="D1066" t="s">
        <v>2472</v>
      </c>
      <c r="E1066" t="str">
        <f t="shared" si="32"/>
        <v>VERNIER</v>
      </c>
      <c r="F1066" t="s">
        <v>2482</v>
      </c>
      <c r="G1066">
        <v>99.48</v>
      </c>
      <c r="H1066" t="s">
        <v>2489</v>
      </c>
      <c r="I1066">
        <v>97</v>
      </c>
      <c r="J1066">
        <v>100</v>
      </c>
      <c r="K1066" s="9">
        <f t="shared" si="33"/>
        <v>45340</v>
      </c>
      <c r="L1066" t="s">
        <v>2695</v>
      </c>
      <c r="M1066" t="s">
        <v>2931</v>
      </c>
    </row>
    <row r="1067" spans="1:13" hidden="1" x14ac:dyDescent="0.35">
      <c r="A1067" t="s">
        <v>1069</v>
      </c>
      <c r="B1067" t="s">
        <v>2341</v>
      </c>
      <c r="C1067" t="s">
        <v>2459</v>
      </c>
      <c r="D1067" t="s">
        <v>2464</v>
      </c>
      <c r="E1067" t="str">
        <f t="shared" si="32"/>
        <v>EAST HANOVER</v>
      </c>
      <c r="F1067" t="s">
        <v>2480</v>
      </c>
      <c r="G1067">
        <v>0.95</v>
      </c>
      <c r="H1067" t="s">
        <v>2487</v>
      </c>
      <c r="I1067">
        <v>0.88</v>
      </c>
      <c r="J1067">
        <v>0.97</v>
      </c>
      <c r="K1067" s="9">
        <f t="shared" si="33"/>
        <v>45812</v>
      </c>
      <c r="L1067" t="s">
        <v>2770</v>
      </c>
      <c r="M1067" t="s">
        <v>2923</v>
      </c>
    </row>
    <row r="1068" spans="1:13" hidden="1" x14ac:dyDescent="0.35">
      <c r="A1068" t="s">
        <v>1070</v>
      </c>
      <c r="B1068" t="s">
        <v>2144</v>
      </c>
      <c r="C1068" t="s">
        <v>2461</v>
      </c>
      <c r="D1068" t="s">
        <v>2466</v>
      </c>
      <c r="E1068" t="str">
        <f t="shared" si="32"/>
        <v>EAST HANOVER</v>
      </c>
      <c r="F1068" t="s">
        <v>2481</v>
      </c>
      <c r="G1068">
        <v>339.38</v>
      </c>
      <c r="H1068" t="s">
        <v>2488</v>
      </c>
      <c r="I1068">
        <v>150</v>
      </c>
      <c r="J1068">
        <v>400</v>
      </c>
      <c r="K1068" s="9">
        <f t="shared" si="33"/>
        <v>45635</v>
      </c>
      <c r="L1068" t="s">
        <v>2619</v>
      </c>
      <c r="M1068" t="s">
        <v>2932</v>
      </c>
    </row>
    <row r="1069" spans="1:13" hidden="1" x14ac:dyDescent="0.35">
      <c r="A1069" t="s">
        <v>1071</v>
      </c>
      <c r="B1069" t="s">
        <v>2152</v>
      </c>
      <c r="C1069" t="s">
        <v>2461</v>
      </c>
      <c r="D1069" t="s">
        <v>2477</v>
      </c>
      <c r="E1069" t="str">
        <f t="shared" si="32"/>
        <v>BUDAPEST</v>
      </c>
      <c r="F1069" t="s">
        <v>2483</v>
      </c>
      <c r="G1069">
        <v>0.4</v>
      </c>
      <c r="H1069" t="s">
        <v>2489</v>
      </c>
      <c r="I1069">
        <v>0</v>
      </c>
      <c r="J1069">
        <v>1</v>
      </c>
      <c r="K1069" s="9">
        <f t="shared" si="33"/>
        <v>45958</v>
      </c>
      <c r="L1069" t="s">
        <v>2627</v>
      </c>
      <c r="M1069" t="s">
        <v>2932</v>
      </c>
    </row>
    <row r="1070" spans="1:13" hidden="1" x14ac:dyDescent="0.35">
      <c r="A1070" t="s">
        <v>1072</v>
      </c>
      <c r="B1070" t="s">
        <v>2234</v>
      </c>
      <c r="C1070" t="s">
        <v>2457</v>
      </c>
      <c r="D1070" t="s">
        <v>2477</v>
      </c>
      <c r="E1070" t="str">
        <f t="shared" si="32"/>
        <v>BUDAPEST</v>
      </c>
      <c r="F1070" t="s">
        <v>2483</v>
      </c>
      <c r="G1070">
        <v>0.22</v>
      </c>
      <c r="H1070" t="s">
        <v>2489</v>
      </c>
      <c r="I1070">
        <v>0</v>
      </c>
      <c r="J1070">
        <v>1</v>
      </c>
      <c r="K1070" s="9">
        <f t="shared" si="33"/>
        <v>45774</v>
      </c>
      <c r="L1070" t="s">
        <v>2522</v>
      </c>
      <c r="M1070" t="s">
        <v>2928</v>
      </c>
    </row>
    <row r="1071" spans="1:13" hidden="1" x14ac:dyDescent="0.35">
      <c r="A1071" t="s">
        <v>1073</v>
      </c>
      <c r="B1071" t="s">
        <v>2083</v>
      </c>
      <c r="C1071" t="s">
        <v>2459</v>
      </c>
      <c r="D1071" t="s">
        <v>2475</v>
      </c>
      <c r="E1071" t="str">
        <f t="shared" si="32"/>
        <v>ASHFORD</v>
      </c>
      <c r="F1071" t="s">
        <v>2481</v>
      </c>
      <c r="G1071">
        <v>328.59</v>
      </c>
      <c r="H1071" t="s">
        <v>2488</v>
      </c>
      <c r="I1071">
        <v>150</v>
      </c>
      <c r="J1071">
        <v>400</v>
      </c>
      <c r="K1071" s="9">
        <f t="shared" si="33"/>
        <v>45979</v>
      </c>
      <c r="L1071" t="s">
        <v>2600</v>
      </c>
      <c r="M1071" t="s">
        <v>2930</v>
      </c>
    </row>
    <row r="1072" spans="1:13" hidden="1" x14ac:dyDescent="0.35">
      <c r="A1072" t="s">
        <v>1074</v>
      </c>
      <c r="B1072" t="s">
        <v>2316</v>
      </c>
      <c r="C1072" t="s">
        <v>2460</v>
      </c>
      <c r="D1072" t="s">
        <v>2469</v>
      </c>
      <c r="E1072" t="str">
        <f t="shared" si="32"/>
        <v>DORTMUND</v>
      </c>
      <c r="F1072" t="s">
        <v>2485</v>
      </c>
      <c r="G1072">
        <v>-17.079999999999998</v>
      </c>
      <c r="H1072" t="s">
        <v>2490</v>
      </c>
      <c r="I1072">
        <v>0</v>
      </c>
      <c r="J1072">
        <v>100</v>
      </c>
      <c r="K1072" s="9">
        <f t="shared" si="33"/>
        <v>45524</v>
      </c>
      <c r="L1072" t="s">
        <v>2748</v>
      </c>
      <c r="M1072" t="s">
        <v>2930</v>
      </c>
    </row>
    <row r="1073" spans="1:13" hidden="1" x14ac:dyDescent="0.35">
      <c r="A1073" t="s">
        <v>1075</v>
      </c>
      <c r="B1073" t="s">
        <v>2262</v>
      </c>
      <c r="C1073" t="s">
        <v>2459</v>
      </c>
      <c r="D1073" t="s">
        <v>2472</v>
      </c>
      <c r="E1073" t="str">
        <f t="shared" si="32"/>
        <v>VERNIER</v>
      </c>
      <c r="F1073" t="s">
        <v>2483</v>
      </c>
      <c r="G1073">
        <v>0.35</v>
      </c>
      <c r="H1073" t="s">
        <v>2489</v>
      </c>
      <c r="I1073">
        <v>0</v>
      </c>
      <c r="J1073">
        <v>1</v>
      </c>
      <c r="K1073" s="9">
        <f t="shared" si="33"/>
        <v>45659</v>
      </c>
      <c r="L1073" t="s">
        <v>2815</v>
      </c>
      <c r="M1073" t="s">
        <v>2930</v>
      </c>
    </row>
    <row r="1074" spans="1:13" hidden="1" x14ac:dyDescent="0.35">
      <c r="A1074" t="s">
        <v>1076</v>
      </c>
      <c r="B1074" t="s">
        <v>2201</v>
      </c>
      <c r="C1074" t="s">
        <v>2460</v>
      </c>
      <c r="D1074" t="s">
        <v>2462</v>
      </c>
      <c r="E1074" t="str">
        <f t="shared" si="32"/>
        <v>ASHFORD UK</v>
      </c>
      <c r="F1074" t="s">
        <v>2482</v>
      </c>
      <c r="G1074">
        <v>98.22</v>
      </c>
      <c r="H1074" t="s">
        <v>2489</v>
      </c>
      <c r="I1074">
        <v>97</v>
      </c>
      <c r="J1074">
        <v>100</v>
      </c>
      <c r="K1074" s="9">
        <f t="shared" si="33"/>
        <v>45947</v>
      </c>
      <c r="L1074" t="s">
        <v>2672</v>
      </c>
      <c r="M1074" t="s">
        <v>2923</v>
      </c>
    </row>
    <row r="1075" spans="1:13" hidden="1" x14ac:dyDescent="0.35">
      <c r="A1075" t="s">
        <v>1077</v>
      </c>
      <c r="B1075" t="s">
        <v>2444</v>
      </c>
      <c r="C1075" t="s">
        <v>2459</v>
      </c>
      <c r="D1075" t="s">
        <v>2477</v>
      </c>
      <c r="E1075" t="str">
        <f t="shared" si="32"/>
        <v>BUDAPEST</v>
      </c>
      <c r="F1075" t="s">
        <v>2483</v>
      </c>
      <c r="G1075">
        <v>0.2</v>
      </c>
      <c r="H1075" t="s">
        <v>2489</v>
      </c>
      <c r="I1075">
        <v>0</v>
      </c>
      <c r="J1075">
        <v>1</v>
      </c>
      <c r="K1075" s="9">
        <f t="shared" si="33"/>
        <v>45946</v>
      </c>
      <c r="L1075" t="s">
        <v>2867</v>
      </c>
      <c r="M1075" t="s">
        <v>2926</v>
      </c>
    </row>
    <row r="1076" spans="1:13" hidden="1" x14ac:dyDescent="0.35">
      <c r="A1076" t="s">
        <v>1078</v>
      </c>
      <c r="B1076" t="s">
        <v>2379</v>
      </c>
      <c r="C1076" t="s">
        <v>2461</v>
      </c>
      <c r="D1076" t="s">
        <v>2471</v>
      </c>
      <c r="E1076" t="str">
        <f t="shared" si="32"/>
        <v>BUDAPEST</v>
      </c>
      <c r="F1076" t="s">
        <v>2480</v>
      </c>
      <c r="G1076">
        <v>0.95</v>
      </c>
      <c r="H1076" t="s">
        <v>2487</v>
      </c>
      <c r="I1076">
        <v>0.88</v>
      </c>
      <c r="J1076">
        <v>0.97</v>
      </c>
      <c r="K1076" s="9">
        <f t="shared" si="33"/>
        <v>45342</v>
      </c>
      <c r="L1076" t="s">
        <v>2798</v>
      </c>
      <c r="M1076" t="s">
        <v>2927</v>
      </c>
    </row>
    <row r="1077" spans="1:13" hidden="1" x14ac:dyDescent="0.35">
      <c r="A1077" t="s">
        <v>1079</v>
      </c>
      <c r="B1077" t="s">
        <v>2268</v>
      </c>
      <c r="C1077" t="s">
        <v>2459</v>
      </c>
      <c r="D1077" t="s">
        <v>2470</v>
      </c>
      <c r="E1077" t="str">
        <f t="shared" si="32"/>
        <v>E. HANOVER</v>
      </c>
      <c r="F1077" t="s">
        <v>2481</v>
      </c>
      <c r="G1077">
        <v>249.17</v>
      </c>
      <c r="H1077" t="s">
        <v>2488</v>
      </c>
      <c r="I1077">
        <v>150</v>
      </c>
      <c r="J1077">
        <v>400</v>
      </c>
      <c r="K1077" s="9">
        <f t="shared" si="33"/>
        <v>45367</v>
      </c>
      <c r="L1077" t="s">
        <v>2717</v>
      </c>
      <c r="M1077" t="s">
        <v>2926</v>
      </c>
    </row>
    <row r="1078" spans="1:13" hidden="1" x14ac:dyDescent="0.35">
      <c r="A1078" t="s">
        <v>1080</v>
      </c>
      <c r="B1078" t="s">
        <v>2399</v>
      </c>
      <c r="C1078" t="s">
        <v>2459</v>
      </c>
      <c r="D1078" t="s">
        <v>2466</v>
      </c>
      <c r="E1078" t="str">
        <f t="shared" si="32"/>
        <v>EAST HANOVER</v>
      </c>
      <c r="F1078" t="s">
        <v>2479</v>
      </c>
      <c r="G1078">
        <v>57.71</v>
      </c>
      <c r="H1078" t="s">
        <v>2486</v>
      </c>
      <c r="I1078">
        <v>0</v>
      </c>
      <c r="J1078">
        <v>120</v>
      </c>
      <c r="K1078" s="9">
        <f t="shared" si="33"/>
        <v>45669</v>
      </c>
      <c r="L1078" t="s">
        <v>2816</v>
      </c>
      <c r="M1078" t="s">
        <v>2926</v>
      </c>
    </row>
    <row r="1079" spans="1:13" hidden="1" x14ac:dyDescent="0.35">
      <c r="A1079" t="s">
        <v>1081</v>
      </c>
      <c r="B1079" t="s">
        <v>2155</v>
      </c>
      <c r="C1079" t="s">
        <v>2461</v>
      </c>
      <c r="D1079" t="s">
        <v>2474</v>
      </c>
      <c r="E1079" t="str">
        <f t="shared" si="32"/>
        <v>DORTMUND DE</v>
      </c>
      <c r="F1079" t="s">
        <v>2482</v>
      </c>
      <c r="G1079">
        <v>98.89</v>
      </c>
      <c r="H1079" t="s">
        <v>2489</v>
      </c>
      <c r="I1079">
        <v>97</v>
      </c>
      <c r="J1079">
        <v>100</v>
      </c>
      <c r="K1079" s="9">
        <f t="shared" si="33"/>
        <v>45358</v>
      </c>
      <c r="L1079" t="s">
        <v>2582</v>
      </c>
      <c r="M1079" t="s">
        <v>2928</v>
      </c>
    </row>
    <row r="1080" spans="1:13" hidden="1" x14ac:dyDescent="0.35">
      <c r="A1080" t="s">
        <v>1082</v>
      </c>
      <c r="B1080" t="s">
        <v>2394</v>
      </c>
      <c r="C1080" t="s">
        <v>2460</v>
      </c>
      <c r="D1080" t="s">
        <v>2468</v>
      </c>
      <c r="E1080" t="str">
        <f t="shared" si="32"/>
        <v>VERNIER CH</v>
      </c>
      <c r="F1080" t="s">
        <v>2483</v>
      </c>
      <c r="G1080">
        <v>0.53</v>
      </c>
      <c r="H1080" t="s">
        <v>2489</v>
      </c>
      <c r="I1080">
        <v>0</v>
      </c>
      <c r="J1080">
        <v>1</v>
      </c>
      <c r="K1080" s="9">
        <f t="shared" si="33"/>
        <v>45499</v>
      </c>
      <c r="L1080" t="s">
        <v>2671</v>
      </c>
      <c r="M1080" t="s">
        <v>2926</v>
      </c>
    </row>
    <row r="1081" spans="1:13" hidden="1" x14ac:dyDescent="0.35">
      <c r="A1081" t="s">
        <v>1083</v>
      </c>
      <c r="B1081" t="s">
        <v>2018</v>
      </c>
      <c r="C1081" t="s">
        <v>2460</v>
      </c>
      <c r="D1081" t="s">
        <v>2469</v>
      </c>
      <c r="E1081" t="str">
        <f t="shared" si="32"/>
        <v>DORTMUND</v>
      </c>
      <c r="F1081" t="s">
        <v>2479</v>
      </c>
      <c r="G1081">
        <v>61.76</v>
      </c>
      <c r="H1081" t="s">
        <v>2486</v>
      </c>
      <c r="I1081">
        <v>0</v>
      </c>
      <c r="J1081">
        <v>120</v>
      </c>
      <c r="K1081" s="9">
        <f t="shared" si="33"/>
        <v>45501</v>
      </c>
      <c r="L1081" t="s">
        <v>2498</v>
      </c>
      <c r="M1081" t="s">
        <v>2928</v>
      </c>
    </row>
    <row r="1082" spans="1:13" hidden="1" x14ac:dyDescent="0.35">
      <c r="A1082" t="s">
        <v>1084</v>
      </c>
      <c r="B1082" t="s">
        <v>2380</v>
      </c>
      <c r="C1082" t="s">
        <v>2457</v>
      </c>
      <c r="D1082" t="s">
        <v>2473</v>
      </c>
      <c r="E1082" t="str">
        <f t="shared" si="32"/>
        <v>DORTMUND</v>
      </c>
      <c r="F1082" t="s">
        <v>2482</v>
      </c>
      <c r="G1082">
        <v>98.9</v>
      </c>
      <c r="H1082" t="s">
        <v>2489</v>
      </c>
      <c r="I1082">
        <v>97</v>
      </c>
      <c r="J1082">
        <v>100</v>
      </c>
      <c r="K1082" s="9">
        <f t="shared" si="33"/>
        <v>45787</v>
      </c>
      <c r="L1082" t="s">
        <v>2868</v>
      </c>
      <c r="M1082" t="s">
        <v>2926</v>
      </c>
    </row>
    <row r="1083" spans="1:13" hidden="1" x14ac:dyDescent="0.35">
      <c r="A1083" t="s">
        <v>1085</v>
      </c>
      <c r="B1083" t="s">
        <v>2400</v>
      </c>
      <c r="C1083" t="s">
        <v>2457</v>
      </c>
      <c r="D1083" t="s">
        <v>2469</v>
      </c>
      <c r="E1083" t="str">
        <f t="shared" si="32"/>
        <v>DORTMUND</v>
      </c>
      <c r="F1083" t="s">
        <v>2485</v>
      </c>
      <c r="G1083">
        <v>-4.21</v>
      </c>
      <c r="H1083" t="s">
        <v>2490</v>
      </c>
      <c r="I1083">
        <v>0</v>
      </c>
      <c r="J1083">
        <v>100</v>
      </c>
      <c r="K1083" s="9">
        <f t="shared" si="33"/>
        <v>45810</v>
      </c>
      <c r="L1083" t="s">
        <v>2655</v>
      </c>
      <c r="M1083" t="s">
        <v>2923</v>
      </c>
    </row>
    <row r="1084" spans="1:13" hidden="1" x14ac:dyDescent="0.35">
      <c r="A1084" t="s">
        <v>1086</v>
      </c>
      <c r="B1084" t="s">
        <v>2402</v>
      </c>
      <c r="C1084" t="s">
        <v>2461</v>
      </c>
      <c r="D1084" t="s">
        <v>2466</v>
      </c>
      <c r="E1084" t="str">
        <f t="shared" si="32"/>
        <v>EAST HANOVER</v>
      </c>
      <c r="F1084" t="s">
        <v>2482</v>
      </c>
      <c r="G1084">
        <v>100.32</v>
      </c>
      <c r="H1084" t="s">
        <v>2489</v>
      </c>
      <c r="I1084">
        <v>97</v>
      </c>
      <c r="J1084">
        <v>100</v>
      </c>
      <c r="K1084" s="9">
        <f t="shared" si="33"/>
        <v>45479</v>
      </c>
      <c r="L1084" t="s">
        <v>2818</v>
      </c>
      <c r="M1084" t="s">
        <v>2927</v>
      </c>
    </row>
    <row r="1085" spans="1:13" hidden="1" x14ac:dyDescent="0.35">
      <c r="A1085" t="s">
        <v>1087</v>
      </c>
      <c r="B1085" t="s">
        <v>2440</v>
      </c>
      <c r="C1085" t="s">
        <v>2460</v>
      </c>
      <c r="D1085" t="s">
        <v>2477</v>
      </c>
      <c r="E1085" t="str">
        <f t="shared" si="32"/>
        <v>BUDAPEST</v>
      </c>
      <c r="F1085" t="s">
        <v>2483</v>
      </c>
      <c r="G1085">
        <v>0.51</v>
      </c>
      <c r="H1085" t="s">
        <v>2489</v>
      </c>
      <c r="I1085">
        <v>0</v>
      </c>
      <c r="J1085">
        <v>1</v>
      </c>
      <c r="K1085" s="9">
        <f t="shared" si="33"/>
        <v>45606</v>
      </c>
      <c r="L1085" t="s">
        <v>2865</v>
      </c>
      <c r="M1085" t="s">
        <v>2926</v>
      </c>
    </row>
    <row r="1086" spans="1:13" hidden="1" x14ac:dyDescent="0.35">
      <c r="A1086" t="s">
        <v>1088</v>
      </c>
      <c r="B1086" t="s">
        <v>2060</v>
      </c>
      <c r="C1086" t="s">
        <v>2458</v>
      </c>
      <c r="D1086" t="s">
        <v>2464</v>
      </c>
      <c r="E1086" t="str">
        <f t="shared" si="32"/>
        <v>EAST HANOVER</v>
      </c>
      <c r="F1086" t="s">
        <v>2485</v>
      </c>
      <c r="G1086">
        <v>3.22</v>
      </c>
      <c r="H1086" t="s">
        <v>2490</v>
      </c>
      <c r="I1086">
        <v>0</v>
      </c>
      <c r="J1086">
        <v>100</v>
      </c>
      <c r="K1086" s="9">
        <f t="shared" si="33"/>
        <v>45751</v>
      </c>
      <c r="L1086" t="s">
        <v>2539</v>
      </c>
      <c r="M1086" t="s">
        <v>2929</v>
      </c>
    </row>
    <row r="1087" spans="1:13" hidden="1" x14ac:dyDescent="0.35">
      <c r="A1087" t="s">
        <v>1089</v>
      </c>
      <c r="B1087" t="s">
        <v>2076</v>
      </c>
      <c r="C1087" t="s">
        <v>2458</v>
      </c>
      <c r="D1087" t="s">
        <v>2470</v>
      </c>
      <c r="E1087" t="str">
        <f t="shared" si="32"/>
        <v>E. HANOVER</v>
      </c>
      <c r="F1087" t="s">
        <v>2483</v>
      </c>
      <c r="G1087">
        <v>0.41</v>
      </c>
      <c r="H1087" t="s">
        <v>2489</v>
      </c>
      <c r="I1087">
        <v>0</v>
      </c>
      <c r="J1087">
        <v>1</v>
      </c>
      <c r="K1087" s="9">
        <f t="shared" si="33"/>
        <v>45955</v>
      </c>
      <c r="L1087" t="s">
        <v>2802</v>
      </c>
      <c r="M1087" t="s">
        <v>2926</v>
      </c>
    </row>
    <row r="1088" spans="1:13" hidden="1" x14ac:dyDescent="0.35">
      <c r="A1088" t="s">
        <v>1090</v>
      </c>
      <c r="B1088" t="s">
        <v>2103</v>
      </c>
      <c r="C1088" t="s">
        <v>2460</v>
      </c>
      <c r="D1088" t="s">
        <v>2474</v>
      </c>
      <c r="E1088" t="str">
        <f t="shared" si="32"/>
        <v>DORTMUND DE</v>
      </c>
      <c r="F1088" t="s">
        <v>2485</v>
      </c>
      <c r="G1088">
        <v>5.35</v>
      </c>
      <c r="H1088" t="s">
        <v>2490</v>
      </c>
      <c r="I1088">
        <v>0</v>
      </c>
      <c r="J1088">
        <v>100</v>
      </c>
      <c r="K1088" s="9">
        <f t="shared" si="33"/>
        <v>45573</v>
      </c>
      <c r="L1088" t="s">
        <v>2581</v>
      </c>
      <c r="M1088" t="s">
        <v>2930</v>
      </c>
    </row>
    <row r="1089" spans="1:13" hidden="1" x14ac:dyDescent="0.35">
      <c r="A1089" t="s">
        <v>1091</v>
      </c>
      <c r="B1089" t="s">
        <v>2364</v>
      </c>
      <c r="C1089" t="s">
        <v>2461</v>
      </c>
      <c r="D1089" t="s">
        <v>2464</v>
      </c>
      <c r="E1089" t="str">
        <f t="shared" si="32"/>
        <v>EAST HANOVER</v>
      </c>
      <c r="F1089" t="s">
        <v>2480</v>
      </c>
      <c r="G1089">
        <v>0.94</v>
      </c>
      <c r="H1089" t="s">
        <v>2487</v>
      </c>
      <c r="I1089">
        <v>0.88</v>
      </c>
      <c r="J1089">
        <v>0.97</v>
      </c>
      <c r="K1089" s="9">
        <f t="shared" si="33"/>
        <v>45885</v>
      </c>
      <c r="L1089" t="s">
        <v>2556</v>
      </c>
      <c r="M1089" t="s">
        <v>2930</v>
      </c>
    </row>
    <row r="1090" spans="1:13" hidden="1" x14ac:dyDescent="0.35">
      <c r="A1090" t="s">
        <v>1092</v>
      </c>
      <c r="B1090" t="s">
        <v>2322</v>
      </c>
      <c r="C1090" t="s">
        <v>2461</v>
      </c>
      <c r="D1090" t="s">
        <v>2471</v>
      </c>
      <c r="E1090" t="str">
        <f t="shared" si="32"/>
        <v>BUDAPEST</v>
      </c>
      <c r="F1090" t="s">
        <v>2485</v>
      </c>
      <c r="G1090">
        <v>33.450000000000003</v>
      </c>
      <c r="H1090" t="s">
        <v>2490</v>
      </c>
      <c r="I1090">
        <v>0</v>
      </c>
      <c r="J1090">
        <v>100</v>
      </c>
      <c r="K1090" s="9">
        <f t="shared" si="33"/>
        <v>45813</v>
      </c>
      <c r="L1090" t="s">
        <v>2690</v>
      </c>
      <c r="M1090" t="s">
        <v>2932</v>
      </c>
    </row>
    <row r="1091" spans="1:13" hidden="1" x14ac:dyDescent="0.35">
      <c r="A1091" t="s">
        <v>1093</v>
      </c>
      <c r="B1091" t="s">
        <v>2152</v>
      </c>
      <c r="C1091" t="s">
        <v>2461</v>
      </c>
      <c r="D1091" t="s">
        <v>2471</v>
      </c>
      <c r="E1091" t="str">
        <f t="shared" ref="E1091:E1154" si="34">UPPER(D1091)</f>
        <v>BUDAPEST</v>
      </c>
      <c r="F1091" t="s">
        <v>2481</v>
      </c>
      <c r="G1091">
        <v>212.29</v>
      </c>
      <c r="H1091" t="s">
        <v>2488</v>
      </c>
      <c r="I1091">
        <v>150</v>
      </c>
      <c r="J1091">
        <v>400</v>
      </c>
      <c r="K1091" s="9">
        <f t="shared" ref="K1091:K1154" si="35">IF(L1091="","",
IF(MID(L1091,5,1)="-",
DATE(LEFT(L1091,4),MID(L1091,6,2),RIGHT(L1091,2)),
DATE(RIGHT(L1091,4),MID(L1091,4,2),LEFT(L1091,2))
))</f>
        <v>45958</v>
      </c>
      <c r="L1091" t="s">
        <v>2627</v>
      </c>
      <c r="M1091" t="s">
        <v>2932</v>
      </c>
    </row>
    <row r="1092" spans="1:13" hidden="1" x14ac:dyDescent="0.35">
      <c r="A1092" t="s">
        <v>1094</v>
      </c>
      <c r="B1092" t="s">
        <v>2308</v>
      </c>
      <c r="C1092" t="s">
        <v>2457</v>
      </c>
      <c r="D1092" t="s">
        <v>2477</v>
      </c>
      <c r="E1092" t="str">
        <f t="shared" si="34"/>
        <v>BUDAPEST</v>
      </c>
      <c r="F1092" t="s">
        <v>2480</v>
      </c>
      <c r="G1092">
        <v>0.94</v>
      </c>
      <c r="H1092" t="s">
        <v>2487</v>
      </c>
      <c r="I1092">
        <v>0.88</v>
      </c>
      <c r="J1092">
        <v>0.97</v>
      </c>
      <c r="K1092" s="9">
        <f t="shared" si="35"/>
        <v>45797</v>
      </c>
      <c r="L1092" t="s">
        <v>2744</v>
      </c>
      <c r="M1092" t="s">
        <v>2927</v>
      </c>
    </row>
    <row r="1093" spans="1:13" hidden="1" x14ac:dyDescent="0.35">
      <c r="A1093" t="s">
        <v>1095</v>
      </c>
      <c r="B1093" t="s">
        <v>2245</v>
      </c>
      <c r="C1093" t="s">
        <v>2457</v>
      </c>
      <c r="D1093" t="s">
        <v>2471</v>
      </c>
      <c r="E1093" t="str">
        <f t="shared" si="34"/>
        <v>BUDAPEST</v>
      </c>
      <c r="F1093" t="s">
        <v>2485</v>
      </c>
      <c r="G1093">
        <v>13.89</v>
      </c>
      <c r="H1093" t="s">
        <v>2490</v>
      </c>
      <c r="I1093">
        <v>0</v>
      </c>
      <c r="J1093">
        <v>100</v>
      </c>
      <c r="K1093" s="9">
        <f t="shared" si="35"/>
        <v>45441</v>
      </c>
      <c r="L1093" t="s">
        <v>2699</v>
      </c>
      <c r="M1093" t="s">
        <v>2928</v>
      </c>
    </row>
    <row r="1094" spans="1:13" hidden="1" x14ac:dyDescent="0.35">
      <c r="A1094" t="s">
        <v>1096</v>
      </c>
      <c r="B1094" t="s">
        <v>2395</v>
      </c>
      <c r="C1094" t="s">
        <v>2457</v>
      </c>
      <c r="D1094" t="s">
        <v>2477</v>
      </c>
      <c r="E1094" t="str">
        <f t="shared" si="34"/>
        <v>BUDAPEST</v>
      </c>
      <c r="F1094" t="s">
        <v>2481</v>
      </c>
      <c r="G1094">
        <v>362.38</v>
      </c>
      <c r="H1094" t="s">
        <v>2488</v>
      </c>
      <c r="I1094">
        <v>150</v>
      </c>
      <c r="J1094">
        <v>400</v>
      </c>
      <c r="K1094" s="9">
        <f t="shared" si="35"/>
        <v>45737</v>
      </c>
      <c r="L1094" t="s">
        <v>2643</v>
      </c>
      <c r="M1094" t="s">
        <v>2925</v>
      </c>
    </row>
    <row r="1095" spans="1:13" hidden="1" x14ac:dyDescent="0.35">
      <c r="A1095" t="s">
        <v>1097</v>
      </c>
      <c r="B1095" t="s">
        <v>2156</v>
      </c>
      <c r="C1095" t="s">
        <v>2460</v>
      </c>
      <c r="D1095" t="s">
        <v>2463</v>
      </c>
      <c r="E1095" t="str">
        <f t="shared" si="34"/>
        <v>VERNIER</v>
      </c>
      <c r="F1095" t="s">
        <v>2480</v>
      </c>
      <c r="G1095">
        <v>0.87</v>
      </c>
      <c r="H1095" t="s">
        <v>2487</v>
      </c>
      <c r="I1095">
        <v>0.88</v>
      </c>
      <c r="J1095">
        <v>0.97</v>
      </c>
      <c r="K1095" s="9">
        <f t="shared" si="35"/>
        <v>45404</v>
      </c>
      <c r="L1095" t="s">
        <v>2630</v>
      </c>
      <c r="M1095" t="s">
        <v>2929</v>
      </c>
    </row>
    <row r="1096" spans="1:13" x14ac:dyDescent="0.35">
      <c r="A1096" t="s">
        <v>1098</v>
      </c>
      <c r="B1096" t="s">
        <v>2358</v>
      </c>
      <c r="C1096" t="s">
        <v>2458</v>
      </c>
      <c r="D1096" t="s">
        <v>2475</v>
      </c>
      <c r="E1096" t="str">
        <f t="shared" si="34"/>
        <v>ASHFORD</v>
      </c>
      <c r="F1096" t="s">
        <v>2480</v>
      </c>
      <c r="H1096" t="s">
        <v>2487</v>
      </c>
      <c r="I1096">
        <v>0.88</v>
      </c>
      <c r="J1096">
        <v>0.97</v>
      </c>
      <c r="K1096" s="9">
        <f t="shared" si="35"/>
        <v>45749</v>
      </c>
      <c r="L1096" t="s">
        <v>2780</v>
      </c>
      <c r="M1096" t="s">
        <v>2925</v>
      </c>
    </row>
    <row r="1097" spans="1:13" hidden="1" x14ac:dyDescent="0.35">
      <c r="A1097" t="s">
        <v>1099</v>
      </c>
      <c r="B1097" t="s">
        <v>2309</v>
      </c>
      <c r="C1097" t="s">
        <v>2457</v>
      </c>
      <c r="D1097" t="s">
        <v>2478</v>
      </c>
      <c r="E1097" t="str">
        <f t="shared" si="34"/>
        <v>BUD</v>
      </c>
      <c r="F1097" t="s">
        <v>2483</v>
      </c>
      <c r="G1097">
        <v>0.45</v>
      </c>
      <c r="H1097" t="s">
        <v>2489</v>
      </c>
      <c r="I1097">
        <v>0</v>
      </c>
      <c r="J1097">
        <v>1</v>
      </c>
      <c r="K1097" s="9">
        <f t="shared" si="35"/>
        <v>45826</v>
      </c>
      <c r="L1097" t="s">
        <v>2575</v>
      </c>
      <c r="M1097" t="s">
        <v>2927</v>
      </c>
    </row>
    <row r="1098" spans="1:13" hidden="1" x14ac:dyDescent="0.35">
      <c r="A1098" t="s">
        <v>1100</v>
      </c>
      <c r="B1098" t="s">
        <v>2415</v>
      </c>
      <c r="C1098" t="s">
        <v>2460</v>
      </c>
      <c r="D1098" t="s">
        <v>2465</v>
      </c>
      <c r="E1098" t="str">
        <f t="shared" si="34"/>
        <v>VERNIER</v>
      </c>
      <c r="F1098" t="s">
        <v>2484</v>
      </c>
      <c r="G1098">
        <v>6.41</v>
      </c>
      <c r="I1098">
        <v>6</v>
      </c>
      <c r="J1098">
        <v>7.5</v>
      </c>
      <c r="K1098" s="9">
        <f t="shared" si="35"/>
        <v>45618</v>
      </c>
      <c r="L1098" t="s">
        <v>2831</v>
      </c>
      <c r="M1098" t="s">
        <v>2928</v>
      </c>
    </row>
    <row r="1099" spans="1:13" hidden="1" x14ac:dyDescent="0.35">
      <c r="A1099" t="s">
        <v>1101</v>
      </c>
      <c r="B1099" t="s">
        <v>2303</v>
      </c>
      <c r="C1099" t="s">
        <v>2460</v>
      </c>
      <c r="D1099" t="s">
        <v>2470</v>
      </c>
      <c r="E1099" t="str">
        <f t="shared" si="34"/>
        <v>E. HANOVER</v>
      </c>
      <c r="F1099" t="s">
        <v>2479</v>
      </c>
      <c r="G1099">
        <v>180</v>
      </c>
      <c r="H1099" t="s">
        <v>2486</v>
      </c>
      <c r="I1099">
        <v>0</v>
      </c>
      <c r="J1099">
        <v>120</v>
      </c>
      <c r="K1099" s="9">
        <f t="shared" si="35"/>
        <v>45870</v>
      </c>
      <c r="L1099" t="s">
        <v>2813</v>
      </c>
      <c r="M1099" t="s">
        <v>2929</v>
      </c>
    </row>
    <row r="1100" spans="1:13" hidden="1" x14ac:dyDescent="0.35">
      <c r="A1100" t="s">
        <v>1102</v>
      </c>
      <c r="B1100" t="s">
        <v>2095</v>
      </c>
      <c r="C1100" t="s">
        <v>2459</v>
      </c>
      <c r="D1100" t="s">
        <v>2462</v>
      </c>
      <c r="E1100" t="str">
        <f t="shared" si="34"/>
        <v>ASHFORD UK</v>
      </c>
      <c r="F1100" t="s">
        <v>2485</v>
      </c>
      <c r="G1100">
        <v>40.9</v>
      </c>
      <c r="H1100" t="s">
        <v>2490</v>
      </c>
      <c r="I1100">
        <v>0</v>
      </c>
      <c r="J1100">
        <v>100</v>
      </c>
      <c r="K1100" s="9">
        <f t="shared" si="35"/>
        <v>45825</v>
      </c>
      <c r="L1100" t="s">
        <v>2573</v>
      </c>
      <c r="M1100" t="s">
        <v>2931</v>
      </c>
    </row>
    <row r="1101" spans="1:13" x14ac:dyDescent="0.35">
      <c r="A1101" t="s">
        <v>1103</v>
      </c>
      <c r="B1101" t="s">
        <v>2368</v>
      </c>
      <c r="C1101" t="s">
        <v>2460</v>
      </c>
      <c r="D1101" t="s">
        <v>2469</v>
      </c>
      <c r="E1101" t="str">
        <f t="shared" si="34"/>
        <v>DORTMUND</v>
      </c>
      <c r="F1101" t="s">
        <v>2480</v>
      </c>
      <c r="H1101" t="s">
        <v>2487</v>
      </c>
      <c r="I1101">
        <v>0.88</v>
      </c>
      <c r="J1101">
        <v>0.97</v>
      </c>
      <c r="K1101" s="9">
        <f t="shared" si="35"/>
        <v>45555</v>
      </c>
      <c r="L1101" t="s">
        <v>2789</v>
      </c>
      <c r="M1101" t="s">
        <v>2932</v>
      </c>
    </row>
    <row r="1102" spans="1:13" hidden="1" x14ac:dyDescent="0.35">
      <c r="A1102" t="s">
        <v>1104</v>
      </c>
      <c r="B1102" t="s">
        <v>2299</v>
      </c>
      <c r="C1102" t="s">
        <v>2459</v>
      </c>
      <c r="D1102" t="s">
        <v>2467</v>
      </c>
      <c r="E1102" t="str">
        <f t="shared" si="34"/>
        <v>ASHFORD</v>
      </c>
      <c r="F1102" t="s">
        <v>2480</v>
      </c>
      <c r="G1102">
        <v>0.91</v>
      </c>
      <c r="H1102" t="s">
        <v>2487</v>
      </c>
      <c r="I1102">
        <v>0.88</v>
      </c>
      <c r="J1102">
        <v>0.97</v>
      </c>
      <c r="K1102" s="9">
        <f t="shared" si="35"/>
        <v>45508</v>
      </c>
      <c r="L1102" t="s">
        <v>2739</v>
      </c>
      <c r="M1102" t="s">
        <v>2931</v>
      </c>
    </row>
    <row r="1103" spans="1:13" hidden="1" x14ac:dyDescent="0.35">
      <c r="A1103" t="s">
        <v>1105</v>
      </c>
      <c r="B1103" t="s">
        <v>2216</v>
      </c>
      <c r="C1103" t="s">
        <v>2458</v>
      </c>
      <c r="D1103" t="s">
        <v>2473</v>
      </c>
      <c r="E1103" t="str">
        <f t="shared" si="34"/>
        <v>DORTMUND</v>
      </c>
      <c r="F1103" t="s">
        <v>2479</v>
      </c>
      <c r="G1103">
        <v>38.69</v>
      </c>
      <c r="H1103" t="s">
        <v>2486</v>
      </c>
      <c r="I1103">
        <v>0</v>
      </c>
      <c r="J1103">
        <v>120</v>
      </c>
      <c r="K1103" s="9">
        <f t="shared" si="35"/>
        <v>45873</v>
      </c>
      <c r="L1103" t="s">
        <v>2683</v>
      </c>
      <c r="M1103" t="s">
        <v>2929</v>
      </c>
    </row>
    <row r="1104" spans="1:13" hidden="1" x14ac:dyDescent="0.35">
      <c r="A1104" t="s">
        <v>1106</v>
      </c>
      <c r="B1104" t="s">
        <v>2319</v>
      </c>
      <c r="C1104" t="s">
        <v>2458</v>
      </c>
      <c r="D1104" t="s">
        <v>2474</v>
      </c>
      <c r="E1104" t="str">
        <f t="shared" si="34"/>
        <v>DORTMUND DE</v>
      </c>
      <c r="F1104" t="s">
        <v>2484</v>
      </c>
      <c r="G1104">
        <v>6.24</v>
      </c>
      <c r="I1104">
        <v>6</v>
      </c>
      <c r="J1104">
        <v>7.5</v>
      </c>
      <c r="K1104" s="9">
        <f t="shared" si="35"/>
        <v>45477</v>
      </c>
      <c r="L1104" t="s">
        <v>2751</v>
      </c>
      <c r="M1104" t="s">
        <v>2928</v>
      </c>
    </row>
    <row r="1105" spans="1:13" hidden="1" x14ac:dyDescent="0.35">
      <c r="A1105" t="s">
        <v>1107</v>
      </c>
      <c r="B1105" t="s">
        <v>2445</v>
      </c>
      <c r="C1105" t="s">
        <v>2461</v>
      </c>
      <c r="D1105" t="s">
        <v>2464</v>
      </c>
      <c r="E1105" t="str">
        <f t="shared" si="34"/>
        <v>EAST HANOVER</v>
      </c>
      <c r="F1105" t="s">
        <v>2483</v>
      </c>
      <c r="G1105">
        <v>0.24</v>
      </c>
      <c r="H1105" t="s">
        <v>2489</v>
      </c>
      <c r="I1105">
        <v>0</v>
      </c>
      <c r="J1105">
        <v>1</v>
      </c>
      <c r="K1105" s="9">
        <f t="shared" si="35"/>
        <v>45725</v>
      </c>
      <c r="L1105" t="s">
        <v>2869</v>
      </c>
      <c r="M1105" t="s">
        <v>2925</v>
      </c>
    </row>
    <row r="1106" spans="1:13" hidden="1" x14ac:dyDescent="0.35">
      <c r="A1106" t="s">
        <v>1108</v>
      </c>
      <c r="B1106" t="s">
        <v>2342</v>
      </c>
      <c r="C1106" t="s">
        <v>2458</v>
      </c>
      <c r="D1106" t="s">
        <v>2464</v>
      </c>
      <c r="E1106" t="str">
        <f t="shared" si="34"/>
        <v>EAST HANOVER</v>
      </c>
      <c r="F1106" t="s">
        <v>2479</v>
      </c>
      <c r="G1106">
        <v>54.21</v>
      </c>
      <c r="H1106" t="s">
        <v>2486</v>
      </c>
      <c r="I1106">
        <v>0</v>
      </c>
      <c r="J1106">
        <v>120</v>
      </c>
      <c r="K1106" s="9">
        <f t="shared" si="35"/>
        <v>45686</v>
      </c>
      <c r="L1106" t="s">
        <v>2554</v>
      </c>
      <c r="M1106" t="s">
        <v>2926</v>
      </c>
    </row>
    <row r="1107" spans="1:13" hidden="1" x14ac:dyDescent="0.35">
      <c r="A1107" t="s">
        <v>1109</v>
      </c>
      <c r="B1107" t="s">
        <v>2326</v>
      </c>
      <c r="C1107" t="s">
        <v>2459</v>
      </c>
      <c r="D1107" t="s">
        <v>2475</v>
      </c>
      <c r="E1107" t="str">
        <f t="shared" si="34"/>
        <v>ASHFORD</v>
      </c>
      <c r="F1107" t="s">
        <v>2479</v>
      </c>
      <c r="G1107">
        <v>72.66</v>
      </c>
      <c r="H1107" t="s">
        <v>2486</v>
      </c>
      <c r="I1107">
        <v>0</v>
      </c>
      <c r="J1107">
        <v>120</v>
      </c>
      <c r="K1107" s="9">
        <f t="shared" si="35"/>
        <v>45676</v>
      </c>
      <c r="L1107" t="s">
        <v>2707</v>
      </c>
      <c r="M1107" t="s">
        <v>2929</v>
      </c>
    </row>
    <row r="1108" spans="1:13" hidden="1" x14ac:dyDescent="0.35">
      <c r="A1108" t="s">
        <v>1110</v>
      </c>
      <c r="B1108" t="s">
        <v>2356</v>
      </c>
      <c r="C1108" t="s">
        <v>2458</v>
      </c>
      <c r="D1108" t="s">
        <v>2470</v>
      </c>
      <c r="E1108" t="str">
        <f t="shared" si="34"/>
        <v>E. HANOVER</v>
      </c>
      <c r="F1108" t="s">
        <v>2482</v>
      </c>
      <c r="G1108">
        <v>98.04</v>
      </c>
      <c r="H1108" t="s">
        <v>2489</v>
      </c>
      <c r="I1108">
        <v>97</v>
      </c>
      <c r="J1108">
        <v>100</v>
      </c>
      <c r="K1108" s="9">
        <f t="shared" si="35"/>
        <v>45765</v>
      </c>
      <c r="L1108" t="s">
        <v>2779</v>
      </c>
      <c r="M1108" t="s">
        <v>2930</v>
      </c>
    </row>
    <row r="1109" spans="1:13" hidden="1" x14ac:dyDescent="0.35">
      <c r="A1109" t="s">
        <v>1111</v>
      </c>
      <c r="B1109" t="s">
        <v>2267</v>
      </c>
      <c r="C1109" t="s">
        <v>2460</v>
      </c>
      <c r="D1109" t="s">
        <v>2470</v>
      </c>
      <c r="E1109" t="str">
        <f t="shared" si="34"/>
        <v>E. HANOVER</v>
      </c>
      <c r="F1109" t="s">
        <v>2482</v>
      </c>
      <c r="G1109">
        <v>98.56</v>
      </c>
      <c r="H1109" t="s">
        <v>2489</v>
      </c>
      <c r="I1109">
        <v>97</v>
      </c>
      <c r="J1109">
        <v>100</v>
      </c>
      <c r="K1109" s="9">
        <f t="shared" si="35"/>
        <v>45995</v>
      </c>
      <c r="L1109" t="s">
        <v>2716</v>
      </c>
      <c r="M1109" t="s">
        <v>2930</v>
      </c>
    </row>
    <row r="1110" spans="1:13" hidden="1" x14ac:dyDescent="0.35">
      <c r="A1110" t="s">
        <v>1112</v>
      </c>
      <c r="B1110" t="s">
        <v>2032</v>
      </c>
      <c r="C1110" t="s">
        <v>2460</v>
      </c>
      <c r="D1110" t="s">
        <v>2475</v>
      </c>
      <c r="E1110" t="str">
        <f t="shared" si="34"/>
        <v>ASHFORD</v>
      </c>
      <c r="F1110" t="s">
        <v>2480</v>
      </c>
      <c r="G1110">
        <v>1.06</v>
      </c>
      <c r="H1110" t="s">
        <v>2487</v>
      </c>
      <c r="I1110">
        <v>0.88</v>
      </c>
      <c r="J1110">
        <v>0.97</v>
      </c>
      <c r="K1110" s="9">
        <f t="shared" si="35"/>
        <v>45409</v>
      </c>
      <c r="L1110" t="s">
        <v>2512</v>
      </c>
      <c r="M1110" t="s">
        <v>2929</v>
      </c>
    </row>
    <row r="1111" spans="1:13" hidden="1" x14ac:dyDescent="0.35">
      <c r="A1111" t="s">
        <v>1113</v>
      </c>
      <c r="B1111" t="s">
        <v>2268</v>
      </c>
      <c r="C1111" t="s">
        <v>2459</v>
      </c>
      <c r="D1111" t="s">
        <v>2470</v>
      </c>
      <c r="E1111" t="str">
        <f t="shared" si="34"/>
        <v>E. HANOVER</v>
      </c>
      <c r="F1111" t="s">
        <v>2485</v>
      </c>
      <c r="G1111">
        <v>-9.24</v>
      </c>
      <c r="H1111" t="s">
        <v>2490</v>
      </c>
      <c r="I1111">
        <v>0</v>
      </c>
      <c r="J1111">
        <v>100</v>
      </c>
      <c r="K1111" s="9">
        <f t="shared" si="35"/>
        <v>45367</v>
      </c>
      <c r="L1111" t="s">
        <v>2717</v>
      </c>
      <c r="M1111" t="s">
        <v>2929</v>
      </c>
    </row>
    <row r="1112" spans="1:13" hidden="1" x14ac:dyDescent="0.35">
      <c r="A1112" t="s">
        <v>1114</v>
      </c>
      <c r="B1112" t="s">
        <v>2446</v>
      </c>
      <c r="C1112" t="s">
        <v>2459</v>
      </c>
      <c r="D1112" t="s">
        <v>2468</v>
      </c>
      <c r="E1112" t="str">
        <f t="shared" si="34"/>
        <v>VERNIER CH</v>
      </c>
      <c r="F1112" t="s">
        <v>2484</v>
      </c>
      <c r="G1112">
        <v>6.71</v>
      </c>
      <c r="I1112">
        <v>6</v>
      </c>
      <c r="J1112">
        <v>7.5</v>
      </c>
      <c r="K1112" s="9">
        <f t="shared" si="35"/>
        <v>46021</v>
      </c>
      <c r="L1112" t="s">
        <v>2870</v>
      </c>
      <c r="M1112" t="s">
        <v>2927</v>
      </c>
    </row>
    <row r="1113" spans="1:13" hidden="1" x14ac:dyDescent="0.35">
      <c r="A1113" t="s">
        <v>1115</v>
      </c>
      <c r="B1113" t="s">
        <v>2362</v>
      </c>
      <c r="C1113" t="s">
        <v>2457</v>
      </c>
      <c r="D1113" t="s">
        <v>2474</v>
      </c>
      <c r="E1113" t="str">
        <f t="shared" si="34"/>
        <v>DORTMUND DE</v>
      </c>
      <c r="F1113" t="s">
        <v>2481</v>
      </c>
      <c r="G1113">
        <v>237.27</v>
      </c>
      <c r="H1113" t="s">
        <v>2488</v>
      </c>
      <c r="I1113">
        <v>150</v>
      </c>
      <c r="J1113">
        <v>400</v>
      </c>
      <c r="K1113" s="9">
        <f t="shared" si="35"/>
        <v>45320</v>
      </c>
      <c r="L1113" t="s">
        <v>2786</v>
      </c>
      <c r="M1113" t="s">
        <v>2929</v>
      </c>
    </row>
    <row r="1114" spans="1:13" hidden="1" x14ac:dyDescent="0.35">
      <c r="A1114" t="s">
        <v>1116</v>
      </c>
      <c r="B1114" t="s">
        <v>2125</v>
      </c>
      <c r="C1114" t="s">
        <v>2460</v>
      </c>
      <c r="D1114" t="s">
        <v>2478</v>
      </c>
      <c r="E1114" t="str">
        <f t="shared" si="34"/>
        <v>BUD</v>
      </c>
      <c r="F1114" t="s">
        <v>2484</v>
      </c>
      <c r="G1114">
        <v>6.06</v>
      </c>
      <c r="I1114">
        <v>6</v>
      </c>
      <c r="J1114">
        <v>7.5</v>
      </c>
      <c r="K1114" s="9">
        <f t="shared" si="35"/>
        <v>45544</v>
      </c>
      <c r="L1114" t="s">
        <v>2551</v>
      </c>
      <c r="M1114" t="s">
        <v>2929</v>
      </c>
    </row>
    <row r="1115" spans="1:13" hidden="1" x14ac:dyDescent="0.35">
      <c r="A1115" t="s">
        <v>1117</v>
      </c>
      <c r="B1115" t="s">
        <v>2238</v>
      </c>
      <c r="C1115" t="s">
        <v>2460</v>
      </c>
      <c r="D1115" t="s">
        <v>2476</v>
      </c>
      <c r="E1115" t="str">
        <f t="shared" si="34"/>
        <v>BUDAPEST SITE</v>
      </c>
      <c r="F1115" t="s">
        <v>2485</v>
      </c>
      <c r="G1115">
        <v>4.42</v>
      </c>
      <c r="H1115" t="s">
        <v>2490</v>
      </c>
      <c r="I1115">
        <v>0</v>
      </c>
      <c r="J1115">
        <v>100</v>
      </c>
      <c r="K1115" s="9">
        <f t="shared" si="35"/>
        <v>45698</v>
      </c>
      <c r="L1115" t="s">
        <v>2636</v>
      </c>
      <c r="M1115" t="s">
        <v>2927</v>
      </c>
    </row>
    <row r="1116" spans="1:13" hidden="1" x14ac:dyDescent="0.35">
      <c r="A1116" t="s">
        <v>1118</v>
      </c>
      <c r="B1116" t="s">
        <v>2444</v>
      </c>
      <c r="C1116" t="s">
        <v>2459</v>
      </c>
      <c r="D1116" t="s">
        <v>2476</v>
      </c>
      <c r="E1116" t="str">
        <f t="shared" si="34"/>
        <v>BUDAPEST SITE</v>
      </c>
      <c r="F1116" t="s">
        <v>2482</v>
      </c>
      <c r="G1116">
        <v>98.04</v>
      </c>
      <c r="H1116" t="s">
        <v>2489</v>
      </c>
      <c r="I1116">
        <v>97</v>
      </c>
      <c r="J1116">
        <v>100</v>
      </c>
      <c r="K1116" s="9">
        <f t="shared" si="35"/>
        <v>45946</v>
      </c>
      <c r="L1116" t="s">
        <v>2867</v>
      </c>
      <c r="M1116" t="s">
        <v>2923</v>
      </c>
    </row>
    <row r="1117" spans="1:13" hidden="1" x14ac:dyDescent="0.35">
      <c r="A1117" t="s">
        <v>1119</v>
      </c>
      <c r="B1117" t="s">
        <v>2397</v>
      </c>
      <c r="C1117" t="s">
        <v>2459</v>
      </c>
      <c r="D1117" t="s">
        <v>2476</v>
      </c>
      <c r="E1117" t="str">
        <f t="shared" si="34"/>
        <v>BUDAPEST SITE</v>
      </c>
      <c r="F1117" t="s">
        <v>2483</v>
      </c>
      <c r="G1117">
        <v>0.55000000000000004</v>
      </c>
      <c r="H1117" t="s">
        <v>2489</v>
      </c>
      <c r="I1117">
        <v>0</v>
      </c>
      <c r="J1117">
        <v>1</v>
      </c>
      <c r="K1117" s="9">
        <f t="shared" si="35"/>
        <v>45436</v>
      </c>
      <c r="L1117" t="s">
        <v>2812</v>
      </c>
      <c r="M1117" t="s">
        <v>2925</v>
      </c>
    </row>
    <row r="1118" spans="1:13" hidden="1" x14ac:dyDescent="0.35">
      <c r="A1118" t="s">
        <v>1120</v>
      </c>
      <c r="B1118" t="s">
        <v>2368</v>
      </c>
      <c r="C1118" t="s">
        <v>2460</v>
      </c>
      <c r="D1118" t="s">
        <v>2474</v>
      </c>
      <c r="E1118" t="str">
        <f t="shared" si="34"/>
        <v>DORTMUND DE</v>
      </c>
      <c r="F1118" t="s">
        <v>2479</v>
      </c>
      <c r="G1118">
        <v>69.989999999999995</v>
      </c>
      <c r="H1118" t="s">
        <v>2486</v>
      </c>
      <c r="I1118">
        <v>0</v>
      </c>
      <c r="J1118">
        <v>120</v>
      </c>
      <c r="K1118" s="9">
        <f t="shared" si="35"/>
        <v>45555</v>
      </c>
      <c r="L1118" t="s">
        <v>2789</v>
      </c>
      <c r="M1118" t="s">
        <v>2923</v>
      </c>
    </row>
    <row r="1119" spans="1:13" hidden="1" x14ac:dyDescent="0.35">
      <c r="A1119" t="s">
        <v>1121</v>
      </c>
      <c r="B1119" t="s">
        <v>2312</v>
      </c>
      <c r="C1119" t="s">
        <v>2461</v>
      </c>
      <c r="D1119" t="s">
        <v>2462</v>
      </c>
      <c r="E1119" t="str">
        <f t="shared" si="34"/>
        <v>ASHFORD UK</v>
      </c>
      <c r="F1119" t="s">
        <v>2480</v>
      </c>
      <c r="G1119">
        <v>0.94</v>
      </c>
      <c r="H1119" t="s">
        <v>2487</v>
      </c>
      <c r="I1119">
        <v>0.88</v>
      </c>
      <c r="J1119">
        <v>0.97</v>
      </c>
      <c r="K1119" s="9">
        <f t="shared" si="35"/>
        <v>45344</v>
      </c>
      <c r="L1119" t="s">
        <v>2705</v>
      </c>
      <c r="M1119" t="s">
        <v>2926</v>
      </c>
    </row>
    <row r="1120" spans="1:13" hidden="1" x14ac:dyDescent="0.35">
      <c r="A1120" t="s">
        <v>1122</v>
      </c>
      <c r="B1120" t="s">
        <v>2248</v>
      </c>
      <c r="C1120" t="s">
        <v>2460</v>
      </c>
      <c r="D1120" t="s">
        <v>2469</v>
      </c>
      <c r="E1120" t="str">
        <f t="shared" si="34"/>
        <v>DORTMUND</v>
      </c>
      <c r="F1120" t="s">
        <v>2479</v>
      </c>
      <c r="G1120">
        <v>56.82</v>
      </c>
      <c r="H1120" t="s">
        <v>2486</v>
      </c>
      <c r="I1120">
        <v>0</v>
      </c>
      <c r="J1120">
        <v>120</v>
      </c>
      <c r="K1120" s="9">
        <f t="shared" si="35"/>
        <v>45956</v>
      </c>
      <c r="L1120" t="s">
        <v>2701</v>
      </c>
      <c r="M1120" t="s">
        <v>2931</v>
      </c>
    </row>
    <row r="1121" spans="1:13" hidden="1" x14ac:dyDescent="0.35">
      <c r="A1121" t="s">
        <v>1123</v>
      </c>
      <c r="B1121" t="s">
        <v>2301</v>
      </c>
      <c r="C1121" t="s">
        <v>2460</v>
      </c>
      <c r="D1121" t="s">
        <v>2468</v>
      </c>
      <c r="E1121" t="str">
        <f t="shared" si="34"/>
        <v>VERNIER CH</v>
      </c>
      <c r="F1121" t="s">
        <v>2479</v>
      </c>
      <c r="G1121">
        <v>57.42</v>
      </c>
      <c r="H1121" t="s">
        <v>2486</v>
      </c>
      <c r="I1121">
        <v>0</v>
      </c>
      <c r="J1121">
        <v>120</v>
      </c>
      <c r="K1121" s="9">
        <f t="shared" si="35"/>
        <v>45595</v>
      </c>
      <c r="L1121" t="s">
        <v>2631</v>
      </c>
      <c r="M1121" t="s">
        <v>2931</v>
      </c>
    </row>
    <row r="1122" spans="1:13" hidden="1" x14ac:dyDescent="0.35">
      <c r="A1122" t="s">
        <v>1124</v>
      </c>
      <c r="B1122" t="s">
        <v>2391</v>
      </c>
      <c r="C1122" t="s">
        <v>2458</v>
      </c>
      <c r="D1122" t="s">
        <v>2467</v>
      </c>
      <c r="E1122" t="str">
        <f t="shared" si="34"/>
        <v>ASHFORD</v>
      </c>
      <c r="F1122" t="s">
        <v>2482</v>
      </c>
      <c r="G1122">
        <v>98.5</v>
      </c>
      <c r="H1122" t="s">
        <v>2489</v>
      </c>
      <c r="I1122">
        <v>97</v>
      </c>
      <c r="J1122">
        <v>100</v>
      </c>
      <c r="K1122" s="9">
        <f t="shared" si="35"/>
        <v>45743</v>
      </c>
      <c r="L1122" t="s">
        <v>2538</v>
      </c>
      <c r="M1122" t="s">
        <v>2932</v>
      </c>
    </row>
    <row r="1123" spans="1:13" hidden="1" x14ac:dyDescent="0.35">
      <c r="A1123" t="s">
        <v>1125</v>
      </c>
      <c r="B1123" t="s">
        <v>2102</v>
      </c>
      <c r="C1123" t="s">
        <v>2461</v>
      </c>
      <c r="D1123" t="s">
        <v>2465</v>
      </c>
      <c r="E1123" t="str">
        <f t="shared" si="34"/>
        <v>VERNIER</v>
      </c>
      <c r="F1123" t="s">
        <v>2479</v>
      </c>
      <c r="G1123">
        <v>39.4</v>
      </c>
      <c r="H1123" t="s">
        <v>2486</v>
      </c>
      <c r="I1123">
        <v>0</v>
      </c>
      <c r="J1123">
        <v>120</v>
      </c>
      <c r="K1123" s="9">
        <f t="shared" si="35"/>
        <v>45959</v>
      </c>
      <c r="L1123" t="s">
        <v>2580</v>
      </c>
      <c r="M1123" t="s">
        <v>2926</v>
      </c>
    </row>
    <row r="1124" spans="1:13" hidden="1" x14ac:dyDescent="0.35">
      <c r="A1124" t="s">
        <v>1126</v>
      </c>
      <c r="B1124" t="s">
        <v>2447</v>
      </c>
      <c r="C1124" t="s">
        <v>2457</v>
      </c>
      <c r="D1124" t="s">
        <v>2473</v>
      </c>
      <c r="E1124" t="str">
        <f t="shared" si="34"/>
        <v>DORTMUND</v>
      </c>
      <c r="F1124" t="s">
        <v>2483</v>
      </c>
      <c r="G1124">
        <v>0.27</v>
      </c>
      <c r="H1124" t="s">
        <v>2489</v>
      </c>
      <c r="I1124">
        <v>0</v>
      </c>
      <c r="J1124">
        <v>1</v>
      </c>
      <c r="K1124" s="9">
        <f t="shared" si="35"/>
        <v>45888</v>
      </c>
      <c r="L1124" t="s">
        <v>2871</v>
      </c>
      <c r="M1124" t="s">
        <v>2926</v>
      </c>
    </row>
    <row r="1125" spans="1:13" hidden="1" x14ac:dyDescent="0.35">
      <c r="A1125" t="s">
        <v>1127</v>
      </c>
      <c r="B1125" t="s">
        <v>2098</v>
      </c>
      <c r="C1125" t="s">
        <v>2460</v>
      </c>
      <c r="D1125" t="s">
        <v>2466</v>
      </c>
      <c r="E1125" t="str">
        <f t="shared" si="34"/>
        <v>EAST HANOVER</v>
      </c>
      <c r="F1125" t="s">
        <v>2482</v>
      </c>
      <c r="G1125">
        <v>98.5</v>
      </c>
      <c r="H1125" t="s">
        <v>2489</v>
      </c>
      <c r="I1125">
        <v>97</v>
      </c>
      <c r="J1125">
        <v>100</v>
      </c>
      <c r="K1125" s="9">
        <f t="shared" si="35"/>
        <v>45460</v>
      </c>
      <c r="L1125" t="s">
        <v>2576</v>
      </c>
      <c r="M1125" t="s">
        <v>2925</v>
      </c>
    </row>
    <row r="1126" spans="1:13" hidden="1" x14ac:dyDescent="0.35">
      <c r="A1126" t="s">
        <v>1128</v>
      </c>
      <c r="B1126" t="s">
        <v>2330</v>
      </c>
      <c r="C1126" t="s">
        <v>2461</v>
      </c>
      <c r="D1126" t="s">
        <v>2466</v>
      </c>
      <c r="E1126" t="str">
        <f t="shared" si="34"/>
        <v>EAST HANOVER</v>
      </c>
      <c r="F1126" t="s">
        <v>2480</v>
      </c>
      <c r="G1126">
        <v>0.9</v>
      </c>
      <c r="H1126" t="s">
        <v>2487</v>
      </c>
      <c r="I1126">
        <v>0.88</v>
      </c>
      <c r="J1126">
        <v>0.97</v>
      </c>
      <c r="K1126" s="9">
        <f t="shared" si="35"/>
        <v>45600</v>
      </c>
      <c r="L1126" t="s">
        <v>2762</v>
      </c>
      <c r="M1126" t="s">
        <v>2925</v>
      </c>
    </row>
    <row r="1127" spans="1:13" hidden="1" x14ac:dyDescent="0.35">
      <c r="A1127" t="s">
        <v>1129</v>
      </c>
      <c r="B1127" t="s">
        <v>2093</v>
      </c>
      <c r="C1127" t="s">
        <v>2459</v>
      </c>
      <c r="D1127" t="s">
        <v>2470</v>
      </c>
      <c r="E1127" t="str">
        <f t="shared" si="34"/>
        <v>E. HANOVER</v>
      </c>
      <c r="F1127" t="s">
        <v>2485</v>
      </c>
      <c r="G1127">
        <v>16.16</v>
      </c>
      <c r="H1127" t="s">
        <v>2490</v>
      </c>
      <c r="I1127">
        <v>0</v>
      </c>
      <c r="J1127">
        <v>100</v>
      </c>
      <c r="K1127" s="9">
        <f t="shared" si="35"/>
        <v>45542</v>
      </c>
      <c r="L1127" t="s">
        <v>2571</v>
      </c>
      <c r="M1127" t="s">
        <v>2931</v>
      </c>
    </row>
    <row r="1128" spans="1:13" hidden="1" x14ac:dyDescent="0.35">
      <c r="A1128" t="s">
        <v>1130</v>
      </c>
      <c r="B1128" t="s">
        <v>2038</v>
      </c>
      <c r="C1128" t="s">
        <v>2457</v>
      </c>
      <c r="D1128" t="s">
        <v>2464</v>
      </c>
      <c r="E1128" t="str">
        <f t="shared" si="34"/>
        <v>EAST HANOVER</v>
      </c>
      <c r="F1128" t="s">
        <v>2481</v>
      </c>
      <c r="G1128">
        <v>228.52</v>
      </c>
      <c r="H1128" t="s">
        <v>2488</v>
      </c>
      <c r="I1128">
        <v>150</v>
      </c>
      <c r="J1128">
        <v>400</v>
      </c>
      <c r="K1128" s="9">
        <f t="shared" si="35"/>
        <v>45374</v>
      </c>
      <c r="L1128" t="s">
        <v>2518</v>
      </c>
      <c r="M1128" t="s">
        <v>2931</v>
      </c>
    </row>
    <row r="1129" spans="1:13" hidden="1" x14ac:dyDescent="0.35">
      <c r="A1129" t="s">
        <v>1131</v>
      </c>
      <c r="B1129" t="s">
        <v>2440</v>
      </c>
      <c r="C1129" t="s">
        <v>2460</v>
      </c>
      <c r="D1129" t="s">
        <v>2478</v>
      </c>
      <c r="E1129" t="str">
        <f t="shared" si="34"/>
        <v>BUD</v>
      </c>
      <c r="F1129" t="s">
        <v>2480</v>
      </c>
      <c r="G1129">
        <v>0.89</v>
      </c>
      <c r="H1129" t="s">
        <v>2487</v>
      </c>
      <c r="I1129">
        <v>0.88</v>
      </c>
      <c r="J1129">
        <v>0.97</v>
      </c>
      <c r="K1129" s="9">
        <f t="shared" si="35"/>
        <v>45606</v>
      </c>
      <c r="L1129" t="s">
        <v>2865</v>
      </c>
      <c r="M1129" t="s">
        <v>2923</v>
      </c>
    </row>
    <row r="1130" spans="1:13" hidden="1" x14ac:dyDescent="0.35">
      <c r="A1130" t="s">
        <v>1132</v>
      </c>
      <c r="B1130" t="s">
        <v>2024</v>
      </c>
      <c r="C1130" t="s">
        <v>2457</v>
      </c>
      <c r="D1130" t="s">
        <v>2465</v>
      </c>
      <c r="E1130" t="str">
        <f t="shared" si="34"/>
        <v>VERNIER</v>
      </c>
      <c r="F1130" t="s">
        <v>2484</v>
      </c>
      <c r="G1130">
        <v>6.48</v>
      </c>
      <c r="I1130">
        <v>6</v>
      </c>
      <c r="J1130">
        <v>7.5</v>
      </c>
      <c r="K1130" s="9">
        <f t="shared" si="35"/>
        <v>45529</v>
      </c>
      <c r="L1130" t="s">
        <v>2504</v>
      </c>
      <c r="M1130" t="s">
        <v>2931</v>
      </c>
    </row>
    <row r="1131" spans="1:13" hidden="1" x14ac:dyDescent="0.35">
      <c r="A1131" t="s">
        <v>1133</v>
      </c>
      <c r="B1131" t="s">
        <v>2170</v>
      </c>
      <c r="C1131" t="s">
        <v>2459</v>
      </c>
      <c r="D1131" t="s">
        <v>2478</v>
      </c>
      <c r="E1131" t="str">
        <f t="shared" si="34"/>
        <v>BUD</v>
      </c>
      <c r="F1131" t="s">
        <v>2485</v>
      </c>
      <c r="G1131">
        <v>-13.49</v>
      </c>
      <c r="H1131" t="s">
        <v>2490</v>
      </c>
      <c r="I1131">
        <v>0</v>
      </c>
      <c r="J1131">
        <v>100</v>
      </c>
      <c r="K1131" s="9">
        <f t="shared" si="35"/>
        <v>45737</v>
      </c>
      <c r="L1131" t="s">
        <v>2643</v>
      </c>
      <c r="M1131" t="s">
        <v>2931</v>
      </c>
    </row>
    <row r="1132" spans="1:13" hidden="1" x14ac:dyDescent="0.35">
      <c r="A1132" t="s">
        <v>1134</v>
      </c>
      <c r="B1132" t="s">
        <v>2430</v>
      </c>
      <c r="C1132" t="s">
        <v>2458</v>
      </c>
      <c r="D1132" t="s">
        <v>2471</v>
      </c>
      <c r="E1132" t="str">
        <f t="shared" si="34"/>
        <v>BUDAPEST</v>
      </c>
      <c r="F1132" t="s">
        <v>2479</v>
      </c>
      <c r="G1132">
        <v>82.71</v>
      </c>
      <c r="H1132" t="s">
        <v>2486</v>
      </c>
      <c r="I1132">
        <v>0</v>
      </c>
      <c r="J1132">
        <v>120</v>
      </c>
      <c r="K1132" s="9">
        <f t="shared" si="35"/>
        <v>45714</v>
      </c>
      <c r="L1132" t="s">
        <v>2872</v>
      </c>
      <c r="M1132" t="s">
        <v>2923</v>
      </c>
    </row>
    <row r="1133" spans="1:13" hidden="1" x14ac:dyDescent="0.35">
      <c r="A1133" t="s">
        <v>1135</v>
      </c>
      <c r="B1133" t="s">
        <v>2247</v>
      </c>
      <c r="C1133" t="s">
        <v>2461</v>
      </c>
      <c r="D1133" t="s">
        <v>2475</v>
      </c>
      <c r="E1133" t="str">
        <f t="shared" si="34"/>
        <v>ASHFORD</v>
      </c>
      <c r="F1133" t="s">
        <v>2483</v>
      </c>
      <c r="G1133">
        <v>0.28000000000000003</v>
      </c>
      <c r="H1133" t="s">
        <v>2489</v>
      </c>
      <c r="I1133">
        <v>0</v>
      </c>
      <c r="J1133">
        <v>1</v>
      </c>
      <c r="K1133" s="9">
        <f t="shared" si="35"/>
        <v>45307</v>
      </c>
      <c r="L1133" t="s">
        <v>2873</v>
      </c>
      <c r="M1133" t="s">
        <v>2924</v>
      </c>
    </row>
    <row r="1134" spans="1:13" hidden="1" x14ac:dyDescent="0.35">
      <c r="A1134" t="s">
        <v>1136</v>
      </c>
      <c r="B1134" t="s">
        <v>2385</v>
      </c>
      <c r="C1134" t="s">
        <v>2457</v>
      </c>
      <c r="D1134" t="s">
        <v>2464</v>
      </c>
      <c r="E1134" t="str">
        <f t="shared" si="34"/>
        <v>EAST HANOVER</v>
      </c>
      <c r="F1134" t="s">
        <v>2480</v>
      </c>
      <c r="G1134">
        <v>0.91</v>
      </c>
      <c r="H1134" t="s">
        <v>2487</v>
      </c>
      <c r="I1134">
        <v>0.88</v>
      </c>
      <c r="J1134">
        <v>0.97</v>
      </c>
      <c r="K1134" s="9">
        <f t="shared" si="35"/>
        <v>45790</v>
      </c>
      <c r="L1134" t="s">
        <v>2803</v>
      </c>
      <c r="M1134" t="s">
        <v>2931</v>
      </c>
    </row>
    <row r="1135" spans="1:13" hidden="1" x14ac:dyDescent="0.35">
      <c r="A1135" t="s">
        <v>1137</v>
      </c>
      <c r="B1135" t="s">
        <v>2035</v>
      </c>
      <c r="C1135" t="s">
        <v>2461</v>
      </c>
      <c r="D1135" t="s">
        <v>2462</v>
      </c>
      <c r="E1135" t="str">
        <f t="shared" si="34"/>
        <v>ASHFORD UK</v>
      </c>
      <c r="F1135" t="s">
        <v>2481</v>
      </c>
      <c r="G1135">
        <v>269.06</v>
      </c>
      <c r="H1135" t="s">
        <v>2488</v>
      </c>
      <c r="I1135">
        <v>150</v>
      </c>
      <c r="J1135">
        <v>400</v>
      </c>
      <c r="K1135" s="9">
        <f t="shared" si="35"/>
        <v>45853</v>
      </c>
      <c r="L1135" t="s">
        <v>2515</v>
      </c>
      <c r="M1135" t="s">
        <v>2930</v>
      </c>
    </row>
    <row r="1136" spans="1:13" hidden="1" x14ac:dyDescent="0.35">
      <c r="A1136" t="s">
        <v>1138</v>
      </c>
      <c r="B1136" t="s">
        <v>2124</v>
      </c>
      <c r="C1136" t="s">
        <v>2457</v>
      </c>
      <c r="D1136" t="s">
        <v>2473</v>
      </c>
      <c r="E1136" t="str">
        <f t="shared" si="34"/>
        <v>DORTMUND</v>
      </c>
      <c r="F1136" t="s">
        <v>2480</v>
      </c>
      <c r="G1136">
        <v>0.93</v>
      </c>
      <c r="H1136" t="s">
        <v>2487</v>
      </c>
      <c r="I1136">
        <v>0.88</v>
      </c>
      <c r="J1136">
        <v>0.97</v>
      </c>
      <c r="K1136" s="9">
        <f t="shared" si="35"/>
        <v>45733</v>
      </c>
      <c r="L1136" t="s">
        <v>2601</v>
      </c>
      <c r="M1136" t="s">
        <v>2925</v>
      </c>
    </row>
    <row r="1137" spans="1:13" hidden="1" x14ac:dyDescent="0.35">
      <c r="A1137" t="s">
        <v>1139</v>
      </c>
      <c r="B1137" t="s">
        <v>2441</v>
      </c>
      <c r="C1137" t="s">
        <v>2461</v>
      </c>
      <c r="D1137" t="s">
        <v>2470</v>
      </c>
      <c r="E1137" t="str">
        <f t="shared" si="34"/>
        <v>E. HANOVER</v>
      </c>
      <c r="F1137" t="s">
        <v>2482</v>
      </c>
      <c r="G1137">
        <v>98.62</v>
      </c>
      <c r="H1137" t="s">
        <v>2489</v>
      </c>
      <c r="I1137">
        <v>97</v>
      </c>
      <c r="J1137">
        <v>100</v>
      </c>
      <c r="K1137" s="9">
        <f t="shared" si="35"/>
        <v>45870</v>
      </c>
      <c r="L1137" t="s">
        <v>2813</v>
      </c>
      <c r="M1137" t="s">
        <v>2931</v>
      </c>
    </row>
    <row r="1138" spans="1:13" hidden="1" x14ac:dyDescent="0.35">
      <c r="A1138" t="s">
        <v>1140</v>
      </c>
      <c r="B1138" t="s">
        <v>2205</v>
      </c>
      <c r="C1138" t="s">
        <v>2457</v>
      </c>
      <c r="D1138" t="s">
        <v>2465</v>
      </c>
      <c r="E1138" t="str">
        <f t="shared" si="34"/>
        <v>VERNIER</v>
      </c>
      <c r="F1138" t="s">
        <v>2484</v>
      </c>
      <c r="G1138">
        <v>7.43</v>
      </c>
      <c r="I1138">
        <v>6</v>
      </c>
      <c r="J1138">
        <v>7.5</v>
      </c>
      <c r="K1138" s="9">
        <f t="shared" si="35"/>
        <v>45661</v>
      </c>
      <c r="L1138" t="s">
        <v>2612</v>
      </c>
      <c r="M1138" t="s">
        <v>2927</v>
      </c>
    </row>
    <row r="1139" spans="1:13" hidden="1" x14ac:dyDescent="0.35">
      <c r="A1139" t="s">
        <v>1141</v>
      </c>
      <c r="B1139" t="s">
        <v>2122</v>
      </c>
      <c r="C1139" t="s">
        <v>2457</v>
      </c>
      <c r="D1139" t="s">
        <v>2466</v>
      </c>
      <c r="E1139" t="str">
        <f t="shared" si="34"/>
        <v>EAST HANOVER</v>
      </c>
      <c r="F1139" t="s">
        <v>2479</v>
      </c>
      <c r="G1139">
        <v>-60</v>
      </c>
      <c r="H1139" t="s">
        <v>2486</v>
      </c>
      <c r="I1139">
        <v>0</v>
      </c>
      <c r="J1139">
        <v>120</v>
      </c>
      <c r="K1139" s="9">
        <f t="shared" si="35"/>
        <v>45671</v>
      </c>
      <c r="L1139" t="s">
        <v>2598</v>
      </c>
      <c r="M1139" t="s">
        <v>2927</v>
      </c>
    </row>
    <row r="1140" spans="1:13" hidden="1" x14ac:dyDescent="0.35">
      <c r="A1140" t="s">
        <v>1142</v>
      </c>
      <c r="B1140" t="s">
        <v>2448</v>
      </c>
      <c r="C1140" t="s">
        <v>2461</v>
      </c>
      <c r="D1140" t="s">
        <v>2475</v>
      </c>
      <c r="E1140" t="str">
        <f t="shared" si="34"/>
        <v>ASHFORD</v>
      </c>
      <c r="F1140" t="s">
        <v>2484</v>
      </c>
      <c r="G1140">
        <v>6.85</v>
      </c>
      <c r="I1140">
        <v>6</v>
      </c>
      <c r="J1140">
        <v>7.5</v>
      </c>
      <c r="K1140" s="9">
        <f t="shared" si="35"/>
        <v>45882</v>
      </c>
      <c r="L1140" t="s">
        <v>2874</v>
      </c>
      <c r="M1140" t="s">
        <v>2923</v>
      </c>
    </row>
    <row r="1141" spans="1:13" hidden="1" x14ac:dyDescent="0.35">
      <c r="A1141" t="s">
        <v>1143</v>
      </c>
      <c r="B1141" t="s">
        <v>2355</v>
      </c>
      <c r="C1141" t="s">
        <v>2457</v>
      </c>
      <c r="D1141" t="s">
        <v>2471</v>
      </c>
      <c r="E1141" t="str">
        <f t="shared" si="34"/>
        <v>BUDAPEST</v>
      </c>
      <c r="F1141" t="s">
        <v>2484</v>
      </c>
      <c r="G1141">
        <v>6.24</v>
      </c>
      <c r="I1141">
        <v>6</v>
      </c>
      <c r="J1141">
        <v>7.5</v>
      </c>
      <c r="K1141" s="9">
        <f t="shared" si="35"/>
        <v>45598</v>
      </c>
      <c r="L1141" t="s">
        <v>2875</v>
      </c>
      <c r="M1141" t="s">
        <v>2932</v>
      </c>
    </row>
    <row r="1142" spans="1:13" hidden="1" x14ac:dyDescent="0.35">
      <c r="A1142" t="s">
        <v>1144</v>
      </c>
      <c r="B1142" t="s">
        <v>2346</v>
      </c>
      <c r="C1142" t="s">
        <v>2457</v>
      </c>
      <c r="D1142" t="s">
        <v>2463</v>
      </c>
      <c r="E1142" t="str">
        <f t="shared" si="34"/>
        <v>VERNIER</v>
      </c>
      <c r="F1142" t="s">
        <v>2479</v>
      </c>
      <c r="G1142">
        <v>56.84</v>
      </c>
      <c r="H1142" t="s">
        <v>2486</v>
      </c>
      <c r="I1142">
        <v>0</v>
      </c>
      <c r="J1142">
        <v>120</v>
      </c>
      <c r="K1142" s="9">
        <f t="shared" si="35"/>
        <v>45318</v>
      </c>
      <c r="L1142" t="s">
        <v>2773</v>
      </c>
      <c r="M1142" t="s">
        <v>2931</v>
      </c>
    </row>
    <row r="1143" spans="1:13" hidden="1" x14ac:dyDescent="0.35">
      <c r="A1143" t="s">
        <v>1145</v>
      </c>
      <c r="B1143" t="s">
        <v>2303</v>
      </c>
      <c r="C1143" t="s">
        <v>2460</v>
      </c>
      <c r="D1143" t="s">
        <v>2466</v>
      </c>
      <c r="E1143" t="str">
        <f t="shared" si="34"/>
        <v>EAST HANOVER</v>
      </c>
      <c r="F1143" t="s">
        <v>2481</v>
      </c>
      <c r="G1143">
        <v>30</v>
      </c>
      <c r="H1143" t="s">
        <v>2488</v>
      </c>
      <c r="I1143">
        <v>150</v>
      </c>
      <c r="J1143">
        <v>400</v>
      </c>
      <c r="K1143" s="9">
        <f t="shared" si="35"/>
        <v>45870</v>
      </c>
      <c r="L1143" t="s">
        <v>2813</v>
      </c>
      <c r="M1143" t="s">
        <v>2926</v>
      </c>
    </row>
    <row r="1144" spans="1:13" hidden="1" x14ac:dyDescent="0.35">
      <c r="A1144" t="s">
        <v>1146</v>
      </c>
      <c r="B1144" t="s">
        <v>2361</v>
      </c>
      <c r="C1144" t="s">
        <v>2461</v>
      </c>
      <c r="D1144" t="s">
        <v>2478</v>
      </c>
      <c r="E1144" t="str">
        <f t="shared" si="34"/>
        <v>BUD</v>
      </c>
      <c r="F1144" t="s">
        <v>2481</v>
      </c>
      <c r="G1144">
        <v>239.14</v>
      </c>
      <c r="H1144" t="s">
        <v>2488</v>
      </c>
      <c r="I1144">
        <v>150</v>
      </c>
      <c r="J1144">
        <v>400</v>
      </c>
      <c r="K1144" s="9">
        <f t="shared" si="35"/>
        <v>45779</v>
      </c>
      <c r="L1144" t="s">
        <v>2785</v>
      </c>
      <c r="M1144" t="s">
        <v>2928</v>
      </c>
    </row>
    <row r="1145" spans="1:13" hidden="1" x14ac:dyDescent="0.35">
      <c r="A1145" t="s">
        <v>1147</v>
      </c>
      <c r="B1145" t="s">
        <v>2315</v>
      </c>
      <c r="C1145" t="s">
        <v>2460</v>
      </c>
      <c r="D1145" t="s">
        <v>2472</v>
      </c>
      <c r="E1145" t="str">
        <f t="shared" si="34"/>
        <v>VERNIER</v>
      </c>
      <c r="F1145" t="s">
        <v>2480</v>
      </c>
      <c r="G1145">
        <v>0.9</v>
      </c>
      <c r="H1145" t="s">
        <v>2487</v>
      </c>
      <c r="I1145">
        <v>0.88</v>
      </c>
      <c r="J1145">
        <v>0.97</v>
      </c>
      <c r="K1145" s="9">
        <f t="shared" si="35"/>
        <v>46011</v>
      </c>
      <c r="L1145" t="s">
        <v>2747</v>
      </c>
      <c r="M1145" t="s">
        <v>2927</v>
      </c>
    </row>
    <row r="1146" spans="1:13" hidden="1" x14ac:dyDescent="0.35">
      <c r="A1146" t="s">
        <v>1148</v>
      </c>
      <c r="B1146" t="s">
        <v>2225</v>
      </c>
      <c r="C1146" t="s">
        <v>2458</v>
      </c>
      <c r="D1146" t="s">
        <v>2465</v>
      </c>
      <c r="E1146" t="str">
        <f t="shared" si="34"/>
        <v>VERNIER</v>
      </c>
      <c r="F1146" t="s">
        <v>2485</v>
      </c>
      <c r="G1146">
        <v>-10.68</v>
      </c>
      <c r="H1146" t="s">
        <v>2490</v>
      </c>
      <c r="I1146">
        <v>0</v>
      </c>
      <c r="J1146">
        <v>100</v>
      </c>
      <c r="K1146" s="9">
        <f t="shared" si="35"/>
        <v>45516</v>
      </c>
      <c r="L1146" t="s">
        <v>2689</v>
      </c>
      <c r="M1146" t="s">
        <v>2928</v>
      </c>
    </row>
    <row r="1147" spans="1:13" hidden="1" x14ac:dyDescent="0.35">
      <c r="A1147" t="s">
        <v>1149</v>
      </c>
      <c r="B1147" t="s">
        <v>2232</v>
      </c>
      <c r="C1147" t="s">
        <v>2460</v>
      </c>
      <c r="D1147" t="s">
        <v>2462</v>
      </c>
      <c r="E1147" t="str">
        <f t="shared" si="34"/>
        <v>ASHFORD UK</v>
      </c>
      <c r="F1147" t="s">
        <v>2483</v>
      </c>
      <c r="G1147">
        <v>0.34</v>
      </c>
      <c r="H1147" t="s">
        <v>2489</v>
      </c>
      <c r="I1147">
        <v>0</v>
      </c>
      <c r="J1147">
        <v>1</v>
      </c>
      <c r="K1147" s="9">
        <f t="shared" si="35"/>
        <v>45553</v>
      </c>
      <c r="L1147" t="s">
        <v>2692</v>
      </c>
      <c r="M1147" t="s">
        <v>2932</v>
      </c>
    </row>
    <row r="1148" spans="1:13" hidden="1" x14ac:dyDescent="0.35">
      <c r="A1148" t="s">
        <v>1150</v>
      </c>
      <c r="B1148" t="s">
        <v>2382</v>
      </c>
      <c r="C1148" t="s">
        <v>2459</v>
      </c>
      <c r="D1148" t="s">
        <v>2470</v>
      </c>
      <c r="E1148" t="str">
        <f t="shared" si="34"/>
        <v>E. HANOVER</v>
      </c>
      <c r="F1148" t="s">
        <v>2480</v>
      </c>
      <c r="G1148">
        <v>0.95</v>
      </c>
      <c r="H1148" t="s">
        <v>2487</v>
      </c>
      <c r="I1148">
        <v>0.88</v>
      </c>
      <c r="J1148">
        <v>0.97</v>
      </c>
      <c r="K1148" s="9">
        <f t="shared" si="35"/>
        <v>45831</v>
      </c>
      <c r="L1148" t="s">
        <v>2540</v>
      </c>
      <c r="M1148" t="s">
        <v>2924</v>
      </c>
    </row>
    <row r="1149" spans="1:13" hidden="1" x14ac:dyDescent="0.35">
      <c r="A1149" t="s">
        <v>1151</v>
      </c>
      <c r="B1149" t="s">
        <v>2162</v>
      </c>
      <c r="C1149" t="s">
        <v>2459</v>
      </c>
      <c r="D1149" t="s">
        <v>2464</v>
      </c>
      <c r="E1149" t="str">
        <f t="shared" si="34"/>
        <v>EAST HANOVER</v>
      </c>
      <c r="F1149" t="s">
        <v>2484</v>
      </c>
      <c r="G1149">
        <v>7.35</v>
      </c>
      <c r="I1149">
        <v>6</v>
      </c>
      <c r="J1149">
        <v>7.5</v>
      </c>
      <c r="K1149" s="9">
        <f t="shared" si="35"/>
        <v>45940</v>
      </c>
      <c r="L1149" t="s">
        <v>2635</v>
      </c>
      <c r="M1149" t="s">
        <v>2932</v>
      </c>
    </row>
    <row r="1150" spans="1:13" hidden="1" x14ac:dyDescent="0.35">
      <c r="A1150" t="s">
        <v>1152</v>
      </c>
      <c r="B1150" t="s">
        <v>2274</v>
      </c>
      <c r="C1150" t="s">
        <v>2458</v>
      </c>
      <c r="D1150" t="s">
        <v>2470</v>
      </c>
      <c r="E1150" t="str">
        <f t="shared" si="34"/>
        <v>E. HANOVER</v>
      </c>
      <c r="F1150" t="s">
        <v>2484</v>
      </c>
      <c r="G1150">
        <v>7.39</v>
      </c>
      <c r="I1150">
        <v>6</v>
      </c>
      <c r="J1150">
        <v>7.5</v>
      </c>
      <c r="K1150" s="9">
        <f t="shared" si="35"/>
        <v>45910</v>
      </c>
      <c r="L1150" t="s">
        <v>2876</v>
      </c>
      <c r="M1150" t="s">
        <v>2930</v>
      </c>
    </row>
    <row r="1151" spans="1:13" hidden="1" x14ac:dyDescent="0.35">
      <c r="A1151" t="s">
        <v>1153</v>
      </c>
      <c r="B1151" t="s">
        <v>2252</v>
      </c>
      <c r="C1151" t="s">
        <v>2461</v>
      </c>
      <c r="D1151" t="s">
        <v>2471</v>
      </c>
      <c r="E1151" t="str">
        <f t="shared" si="34"/>
        <v>BUDAPEST</v>
      </c>
      <c r="F1151" t="s">
        <v>2479</v>
      </c>
      <c r="G1151">
        <v>63.29</v>
      </c>
      <c r="H1151" t="s">
        <v>2486</v>
      </c>
      <c r="I1151">
        <v>0</v>
      </c>
      <c r="J1151">
        <v>120</v>
      </c>
      <c r="K1151" s="9">
        <f t="shared" si="35"/>
        <v>45344</v>
      </c>
      <c r="L1151" t="s">
        <v>2705</v>
      </c>
      <c r="M1151" t="s">
        <v>2923</v>
      </c>
    </row>
    <row r="1152" spans="1:13" hidden="1" x14ac:dyDescent="0.35">
      <c r="A1152" t="s">
        <v>1154</v>
      </c>
      <c r="B1152" t="s">
        <v>2214</v>
      </c>
      <c r="C1152" t="s">
        <v>2457</v>
      </c>
      <c r="D1152" t="s">
        <v>2475</v>
      </c>
      <c r="E1152" t="str">
        <f t="shared" si="34"/>
        <v>ASHFORD</v>
      </c>
      <c r="F1152" t="s">
        <v>2485</v>
      </c>
      <c r="G1152">
        <v>24.1</v>
      </c>
      <c r="H1152" t="s">
        <v>2490</v>
      </c>
      <c r="I1152">
        <v>0</v>
      </c>
      <c r="J1152">
        <v>100</v>
      </c>
      <c r="K1152" s="9">
        <f t="shared" si="35"/>
        <v>45791</v>
      </c>
      <c r="L1152" t="s">
        <v>2681</v>
      </c>
      <c r="M1152" t="s">
        <v>2927</v>
      </c>
    </row>
    <row r="1153" spans="1:13" hidden="1" x14ac:dyDescent="0.35">
      <c r="A1153" t="s">
        <v>1155</v>
      </c>
      <c r="B1153" t="s">
        <v>2051</v>
      </c>
      <c r="C1153" t="s">
        <v>2461</v>
      </c>
      <c r="D1153" t="s">
        <v>2474</v>
      </c>
      <c r="E1153" t="str">
        <f t="shared" si="34"/>
        <v>DORTMUND DE</v>
      </c>
      <c r="F1153" t="s">
        <v>2485</v>
      </c>
      <c r="G1153">
        <v>32.19</v>
      </c>
      <c r="H1153" t="s">
        <v>2490</v>
      </c>
      <c r="I1153">
        <v>0</v>
      </c>
      <c r="J1153">
        <v>100</v>
      </c>
      <c r="K1153" s="9">
        <f t="shared" si="35"/>
        <v>45564</v>
      </c>
      <c r="L1153" t="s">
        <v>2530</v>
      </c>
      <c r="M1153" t="s">
        <v>2930</v>
      </c>
    </row>
    <row r="1154" spans="1:13" hidden="1" x14ac:dyDescent="0.35">
      <c r="A1154" t="s">
        <v>1156</v>
      </c>
      <c r="B1154" t="s">
        <v>2126</v>
      </c>
      <c r="C1154" t="s">
        <v>2461</v>
      </c>
      <c r="D1154" t="s">
        <v>2470</v>
      </c>
      <c r="E1154" t="str">
        <f t="shared" si="34"/>
        <v>E. HANOVER</v>
      </c>
      <c r="F1154" t="s">
        <v>2480</v>
      </c>
      <c r="G1154">
        <v>0.9</v>
      </c>
      <c r="H1154" t="s">
        <v>2487</v>
      </c>
      <c r="I1154">
        <v>0.88</v>
      </c>
      <c r="J1154">
        <v>0.97</v>
      </c>
      <c r="K1154" s="9">
        <f t="shared" si="35"/>
        <v>45366</v>
      </c>
      <c r="L1154" t="s">
        <v>2855</v>
      </c>
      <c r="M1154" t="s">
        <v>2923</v>
      </c>
    </row>
    <row r="1155" spans="1:13" hidden="1" x14ac:dyDescent="0.35">
      <c r="A1155" t="s">
        <v>1157</v>
      </c>
      <c r="B1155" t="s">
        <v>2183</v>
      </c>
      <c r="C1155" t="s">
        <v>2457</v>
      </c>
      <c r="D1155" t="s">
        <v>2464</v>
      </c>
      <c r="E1155" t="str">
        <f t="shared" ref="E1155:E1218" si="36">UPPER(D1155)</f>
        <v>EAST HANOVER</v>
      </c>
      <c r="F1155" t="s">
        <v>2481</v>
      </c>
      <c r="G1155">
        <v>240.69</v>
      </c>
      <c r="H1155" t="s">
        <v>2488</v>
      </c>
      <c r="I1155">
        <v>150</v>
      </c>
      <c r="J1155">
        <v>400</v>
      </c>
      <c r="K1155" s="9">
        <f t="shared" ref="K1155:K1218" si="37">IF(L1155="","",
IF(MID(L1155,5,1)="-",
DATE(LEFT(L1155,4),MID(L1155,6,2),RIGHT(L1155,2)),
DATE(RIGHT(L1155,4),MID(L1155,4,2),LEFT(L1155,2))
))</f>
        <v>45810</v>
      </c>
      <c r="L1155" t="s">
        <v>2655</v>
      </c>
      <c r="M1155" t="s">
        <v>2926</v>
      </c>
    </row>
    <row r="1156" spans="1:13" hidden="1" x14ac:dyDescent="0.35">
      <c r="A1156" t="s">
        <v>1158</v>
      </c>
      <c r="B1156" t="s">
        <v>2071</v>
      </c>
      <c r="C1156" t="s">
        <v>2457</v>
      </c>
      <c r="D1156" t="s">
        <v>2465</v>
      </c>
      <c r="E1156" t="str">
        <f t="shared" si="36"/>
        <v>VERNIER</v>
      </c>
      <c r="F1156" t="s">
        <v>2481</v>
      </c>
      <c r="G1156">
        <v>255.93</v>
      </c>
      <c r="H1156" t="s">
        <v>2488</v>
      </c>
      <c r="I1156">
        <v>150</v>
      </c>
      <c r="J1156">
        <v>400</v>
      </c>
      <c r="K1156" s="9">
        <f t="shared" si="37"/>
        <v>45864</v>
      </c>
      <c r="L1156" t="s">
        <v>2550</v>
      </c>
      <c r="M1156" t="s">
        <v>2928</v>
      </c>
    </row>
    <row r="1157" spans="1:13" hidden="1" x14ac:dyDescent="0.35">
      <c r="A1157" t="s">
        <v>1159</v>
      </c>
      <c r="B1157" t="s">
        <v>2047</v>
      </c>
      <c r="C1157" t="s">
        <v>2460</v>
      </c>
      <c r="D1157" t="s">
        <v>2471</v>
      </c>
      <c r="E1157" t="str">
        <f t="shared" si="36"/>
        <v>BUDAPEST</v>
      </c>
      <c r="F1157" t="s">
        <v>2484</v>
      </c>
      <c r="G1157">
        <v>6.9</v>
      </c>
      <c r="I1157">
        <v>6</v>
      </c>
      <c r="J1157">
        <v>7.5</v>
      </c>
      <c r="K1157" s="9">
        <f t="shared" si="37"/>
        <v>45543</v>
      </c>
      <c r="L1157" t="s">
        <v>2526</v>
      </c>
      <c r="M1157" t="s">
        <v>2925</v>
      </c>
    </row>
    <row r="1158" spans="1:13" hidden="1" x14ac:dyDescent="0.35">
      <c r="A1158" t="s">
        <v>1160</v>
      </c>
      <c r="B1158" t="s">
        <v>2192</v>
      </c>
      <c r="C1158" t="s">
        <v>2457</v>
      </c>
      <c r="D1158" t="s">
        <v>2474</v>
      </c>
      <c r="E1158" t="str">
        <f t="shared" si="36"/>
        <v>DORTMUND DE</v>
      </c>
      <c r="F1158" t="s">
        <v>2483</v>
      </c>
      <c r="G1158">
        <v>0.41</v>
      </c>
      <c r="H1158" t="s">
        <v>2489</v>
      </c>
      <c r="I1158">
        <v>0</v>
      </c>
      <c r="J1158">
        <v>1</v>
      </c>
      <c r="K1158" s="9">
        <f t="shared" si="37"/>
        <v>45661</v>
      </c>
      <c r="L1158" t="s">
        <v>2612</v>
      </c>
      <c r="M1158" t="s">
        <v>2931</v>
      </c>
    </row>
    <row r="1159" spans="1:13" hidden="1" x14ac:dyDescent="0.35">
      <c r="A1159" t="s">
        <v>1161</v>
      </c>
      <c r="B1159" t="s">
        <v>2417</v>
      </c>
      <c r="C1159" t="s">
        <v>2459</v>
      </c>
      <c r="D1159" t="s">
        <v>2467</v>
      </c>
      <c r="E1159" t="str">
        <f t="shared" si="36"/>
        <v>ASHFORD</v>
      </c>
      <c r="F1159" t="s">
        <v>2483</v>
      </c>
      <c r="G1159">
        <v>0.52</v>
      </c>
      <c r="H1159" t="s">
        <v>2489</v>
      </c>
      <c r="I1159">
        <v>0</v>
      </c>
      <c r="J1159">
        <v>1</v>
      </c>
      <c r="K1159" s="9">
        <f t="shared" si="37"/>
        <v>45969</v>
      </c>
      <c r="L1159" t="s">
        <v>2519</v>
      </c>
      <c r="M1159" t="s">
        <v>2931</v>
      </c>
    </row>
    <row r="1160" spans="1:13" hidden="1" x14ac:dyDescent="0.35">
      <c r="A1160" t="s">
        <v>1162</v>
      </c>
      <c r="B1160" t="s">
        <v>2431</v>
      </c>
      <c r="C1160" t="s">
        <v>2460</v>
      </c>
      <c r="D1160" t="s">
        <v>2467</v>
      </c>
      <c r="E1160" t="str">
        <f t="shared" si="36"/>
        <v>ASHFORD</v>
      </c>
      <c r="F1160" t="s">
        <v>2480</v>
      </c>
      <c r="G1160">
        <v>0.89</v>
      </c>
      <c r="H1160" t="s">
        <v>2487</v>
      </c>
      <c r="I1160">
        <v>0.88</v>
      </c>
      <c r="J1160">
        <v>0.97</v>
      </c>
      <c r="K1160" s="9">
        <f t="shared" si="37"/>
        <v>45462</v>
      </c>
      <c r="L1160" t="s">
        <v>2844</v>
      </c>
      <c r="M1160" t="s">
        <v>2932</v>
      </c>
    </row>
    <row r="1161" spans="1:13" hidden="1" x14ac:dyDescent="0.35">
      <c r="A1161" t="s">
        <v>1163</v>
      </c>
      <c r="B1161" t="s">
        <v>2283</v>
      </c>
      <c r="C1161" t="s">
        <v>2461</v>
      </c>
      <c r="D1161" t="s">
        <v>2465</v>
      </c>
      <c r="E1161" t="str">
        <f t="shared" si="36"/>
        <v>VERNIER</v>
      </c>
      <c r="F1161" t="s">
        <v>2482</v>
      </c>
      <c r="G1161">
        <v>98.88</v>
      </c>
      <c r="H1161" t="s">
        <v>2489</v>
      </c>
      <c r="I1161">
        <v>97</v>
      </c>
      <c r="J1161">
        <v>100</v>
      </c>
      <c r="K1161" s="9">
        <f t="shared" si="37"/>
        <v>45487</v>
      </c>
      <c r="L1161" t="s">
        <v>2729</v>
      </c>
      <c r="M1161" t="s">
        <v>2930</v>
      </c>
    </row>
    <row r="1162" spans="1:13" hidden="1" x14ac:dyDescent="0.35">
      <c r="A1162" t="s">
        <v>1164</v>
      </c>
      <c r="B1162" t="s">
        <v>2065</v>
      </c>
      <c r="C1162" t="s">
        <v>2459</v>
      </c>
      <c r="D1162" t="s">
        <v>2464</v>
      </c>
      <c r="E1162" t="str">
        <f t="shared" si="36"/>
        <v>EAST HANOVER</v>
      </c>
      <c r="F1162" t="s">
        <v>2479</v>
      </c>
      <c r="G1162">
        <v>48.34</v>
      </c>
      <c r="H1162" t="s">
        <v>2486</v>
      </c>
      <c r="I1162">
        <v>0</v>
      </c>
      <c r="J1162">
        <v>120</v>
      </c>
      <c r="K1162" s="9">
        <f t="shared" si="37"/>
        <v>45950</v>
      </c>
      <c r="L1162" t="s">
        <v>2544</v>
      </c>
      <c r="M1162" t="s">
        <v>2932</v>
      </c>
    </row>
    <row r="1163" spans="1:13" hidden="1" x14ac:dyDescent="0.35">
      <c r="A1163" t="s">
        <v>1165</v>
      </c>
      <c r="B1163" t="s">
        <v>2216</v>
      </c>
      <c r="C1163" t="s">
        <v>2458</v>
      </c>
      <c r="D1163" t="s">
        <v>2469</v>
      </c>
      <c r="E1163" t="str">
        <f t="shared" si="36"/>
        <v>DORTMUND</v>
      </c>
      <c r="F1163" t="s">
        <v>2480</v>
      </c>
      <c r="G1163">
        <v>0.88</v>
      </c>
      <c r="H1163" t="s">
        <v>2487</v>
      </c>
      <c r="I1163">
        <v>0.88</v>
      </c>
      <c r="J1163">
        <v>0.97</v>
      </c>
      <c r="K1163" s="9">
        <f t="shared" si="37"/>
        <v>45873</v>
      </c>
      <c r="L1163" t="s">
        <v>2683</v>
      </c>
      <c r="M1163" t="s">
        <v>2925</v>
      </c>
    </row>
    <row r="1164" spans="1:13" hidden="1" x14ac:dyDescent="0.35">
      <c r="A1164" t="s">
        <v>1166</v>
      </c>
      <c r="B1164" t="s">
        <v>2205</v>
      </c>
      <c r="C1164" t="s">
        <v>2457</v>
      </c>
      <c r="D1164" t="s">
        <v>2468</v>
      </c>
      <c r="E1164" t="str">
        <f t="shared" si="36"/>
        <v>VERNIER CH</v>
      </c>
      <c r="F1164" t="s">
        <v>2481</v>
      </c>
      <c r="G1164">
        <v>203.91</v>
      </c>
      <c r="H1164" t="s">
        <v>2488</v>
      </c>
      <c r="I1164">
        <v>150</v>
      </c>
      <c r="J1164">
        <v>400</v>
      </c>
      <c r="K1164" s="9">
        <f t="shared" si="37"/>
        <v>45661</v>
      </c>
      <c r="L1164" t="s">
        <v>2612</v>
      </c>
      <c r="M1164" t="s">
        <v>2925</v>
      </c>
    </row>
    <row r="1165" spans="1:13" hidden="1" x14ac:dyDescent="0.35">
      <c r="A1165" t="s">
        <v>1167</v>
      </c>
      <c r="B1165" t="s">
        <v>2214</v>
      </c>
      <c r="C1165" t="s">
        <v>2457</v>
      </c>
      <c r="D1165" t="s">
        <v>2467</v>
      </c>
      <c r="E1165" t="str">
        <f t="shared" si="36"/>
        <v>ASHFORD</v>
      </c>
      <c r="F1165" t="s">
        <v>2484</v>
      </c>
      <c r="G1165">
        <v>6.19</v>
      </c>
      <c r="I1165">
        <v>6</v>
      </c>
      <c r="J1165">
        <v>7.5</v>
      </c>
      <c r="K1165" s="9">
        <f t="shared" si="37"/>
        <v>45791</v>
      </c>
      <c r="L1165" t="s">
        <v>2681</v>
      </c>
      <c r="M1165" t="s">
        <v>2929</v>
      </c>
    </row>
    <row r="1166" spans="1:13" hidden="1" x14ac:dyDescent="0.35">
      <c r="A1166" t="s">
        <v>1168</v>
      </c>
      <c r="B1166" t="s">
        <v>2093</v>
      </c>
      <c r="C1166" t="s">
        <v>2459</v>
      </c>
      <c r="D1166" t="s">
        <v>2464</v>
      </c>
      <c r="E1166" t="str">
        <f t="shared" si="36"/>
        <v>EAST HANOVER</v>
      </c>
      <c r="F1166" t="s">
        <v>2483</v>
      </c>
      <c r="G1166">
        <v>-0.45</v>
      </c>
      <c r="H1166" t="s">
        <v>2489</v>
      </c>
      <c r="I1166">
        <v>0</v>
      </c>
      <c r="J1166">
        <v>1</v>
      </c>
      <c r="K1166" s="9">
        <f t="shared" si="37"/>
        <v>45542</v>
      </c>
      <c r="L1166" t="s">
        <v>2571</v>
      </c>
      <c r="M1166" t="s">
        <v>2925</v>
      </c>
    </row>
    <row r="1167" spans="1:13" hidden="1" x14ac:dyDescent="0.35">
      <c r="A1167" t="s">
        <v>1169</v>
      </c>
      <c r="B1167" t="s">
        <v>2362</v>
      </c>
      <c r="C1167" t="s">
        <v>2457</v>
      </c>
      <c r="D1167" t="s">
        <v>2474</v>
      </c>
      <c r="E1167" t="str">
        <f t="shared" si="36"/>
        <v>DORTMUND DE</v>
      </c>
      <c r="F1167" t="s">
        <v>2480</v>
      </c>
      <c r="G1167">
        <v>0.95</v>
      </c>
      <c r="H1167" t="s">
        <v>2487</v>
      </c>
      <c r="I1167">
        <v>0.88</v>
      </c>
      <c r="J1167">
        <v>0.97</v>
      </c>
      <c r="K1167" s="9">
        <f t="shared" si="37"/>
        <v>45320</v>
      </c>
      <c r="L1167" t="s">
        <v>2786</v>
      </c>
      <c r="M1167" t="s">
        <v>2928</v>
      </c>
    </row>
    <row r="1168" spans="1:13" hidden="1" x14ac:dyDescent="0.35">
      <c r="A1168" t="s">
        <v>1170</v>
      </c>
      <c r="B1168" t="s">
        <v>2249</v>
      </c>
      <c r="C1168" t="s">
        <v>2461</v>
      </c>
      <c r="D1168" t="s">
        <v>2465</v>
      </c>
      <c r="E1168" t="str">
        <f t="shared" si="36"/>
        <v>VERNIER</v>
      </c>
      <c r="F1168" t="s">
        <v>2479</v>
      </c>
      <c r="G1168">
        <v>32.72</v>
      </c>
      <c r="H1168" t="s">
        <v>2486</v>
      </c>
      <c r="I1168">
        <v>0</v>
      </c>
      <c r="J1168">
        <v>120</v>
      </c>
      <c r="K1168" s="9">
        <f t="shared" si="37"/>
        <v>45987</v>
      </c>
      <c r="L1168" t="s">
        <v>2702</v>
      </c>
      <c r="M1168" t="s">
        <v>2931</v>
      </c>
    </row>
    <row r="1169" spans="1:13" hidden="1" x14ac:dyDescent="0.35">
      <c r="A1169" t="s">
        <v>1171</v>
      </c>
      <c r="B1169" t="s">
        <v>2268</v>
      </c>
      <c r="C1169" t="s">
        <v>2459</v>
      </c>
      <c r="D1169" t="s">
        <v>2466</v>
      </c>
      <c r="E1169" t="str">
        <f t="shared" si="36"/>
        <v>EAST HANOVER</v>
      </c>
      <c r="F1169" t="s">
        <v>2482</v>
      </c>
      <c r="G1169">
        <v>98.12</v>
      </c>
      <c r="H1169" t="s">
        <v>2489</v>
      </c>
      <c r="I1169">
        <v>97</v>
      </c>
      <c r="J1169">
        <v>100</v>
      </c>
      <c r="K1169" s="9">
        <f t="shared" si="37"/>
        <v>45367</v>
      </c>
      <c r="L1169" t="s">
        <v>2717</v>
      </c>
      <c r="M1169" t="s">
        <v>2931</v>
      </c>
    </row>
    <row r="1170" spans="1:13" hidden="1" x14ac:dyDescent="0.35">
      <c r="A1170" t="s">
        <v>1172</v>
      </c>
      <c r="B1170" t="s">
        <v>2262</v>
      </c>
      <c r="C1170" t="s">
        <v>2459</v>
      </c>
      <c r="D1170" t="s">
        <v>2468</v>
      </c>
      <c r="E1170" t="str">
        <f t="shared" si="36"/>
        <v>VERNIER CH</v>
      </c>
      <c r="F1170" t="s">
        <v>2481</v>
      </c>
      <c r="G1170">
        <v>30</v>
      </c>
      <c r="H1170" t="s">
        <v>2488</v>
      </c>
      <c r="I1170">
        <v>150</v>
      </c>
      <c r="J1170">
        <v>400</v>
      </c>
      <c r="K1170" s="9">
        <f t="shared" si="37"/>
        <v>45659</v>
      </c>
      <c r="L1170" t="s">
        <v>2815</v>
      </c>
      <c r="M1170" t="s">
        <v>2932</v>
      </c>
    </row>
    <row r="1171" spans="1:13" hidden="1" x14ac:dyDescent="0.35">
      <c r="A1171" t="s">
        <v>1173</v>
      </c>
      <c r="B1171" t="s">
        <v>2426</v>
      </c>
      <c r="C1171" t="s">
        <v>2461</v>
      </c>
      <c r="D1171" t="s">
        <v>2473</v>
      </c>
      <c r="E1171" t="str">
        <f t="shared" si="36"/>
        <v>DORTMUND</v>
      </c>
      <c r="F1171" t="s">
        <v>2480</v>
      </c>
      <c r="G1171">
        <v>0.94</v>
      </c>
      <c r="H1171" t="s">
        <v>2487</v>
      </c>
      <c r="I1171">
        <v>0.88</v>
      </c>
      <c r="J1171">
        <v>0.97</v>
      </c>
      <c r="K1171" s="9">
        <f t="shared" si="37"/>
        <v>45834</v>
      </c>
      <c r="L1171" t="s">
        <v>2836</v>
      </c>
      <c r="M1171" t="s">
        <v>2931</v>
      </c>
    </row>
    <row r="1172" spans="1:13" hidden="1" x14ac:dyDescent="0.35">
      <c r="A1172" t="s">
        <v>1174</v>
      </c>
      <c r="B1172" t="s">
        <v>2147</v>
      </c>
      <c r="C1172" t="s">
        <v>2458</v>
      </c>
      <c r="D1172" t="s">
        <v>2463</v>
      </c>
      <c r="E1172" t="str">
        <f t="shared" si="36"/>
        <v>VERNIER</v>
      </c>
      <c r="F1172" t="s">
        <v>2484</v>
      </c>
      <c r="G1172">
        <v>6.26</v>
      </c>
      <c r="I1172">
        <v>6</v>
      </c>
      <c r="J1172">
        <v>7.5</v>
      </c>
      <c r="K1172" s="9">
        <f t="shared" si="37"/>
        <v>45371</v>
      </c>
      <c r="L1172" t="s">
        <v>2622</v>
      </c>
      <c r="M1172" t="s">
        <v>2925</v>
      </c>
    </row>
    <row r="1173" spans="1:13" hidden="1" x14ac:dyDescent="0.35">
      <c r="A1173" t="s">
        <v>1175</v>
      </c>
      <c r="B1173" t="s">
        <v>2158</v>
      </c>
      <c r="C1173" t="s">
        <v>2459</v>
      </c>
      <c r="D1173" t="s">
        <v>2466</v>
      </c>
      <c r="E1173" t="str">
        <f t="shared" si="36"/>
        <v>EAST HANOVER</v>
      </c>
      <c r="F1173" t="s">
        <v>2483</v>
      </c>
      <c r="G1173">
        <v>0.32</v>
      </c>
      <c r="H1173" t="s">
        <v>2489</v>
      </c>
      <c r="I1173">
        <v>0</v>
      </c>
      <c r="J1173">
        <v>1</v>
      </c>
      <c r="K1173" s="9">
        <f t="shared" si="37"/>
        <v>45374</v>
      </c>
      <c r="L1173" t="s">
        <v>2518</v>
      </c>
      <c r="M1173" t="s">
        <v>2927</v>
      </c>
    </row>
    <row r="1174" spans="1:13" hidden="1" x14ac:dyDescent="0.35">
      <c r="A1174" t="s">
        <v>1176</v>
      </c>
      <c r="B1174" t="s">
        <v>2233</v>
      </c>
      <c r="C1174" t="s">
        <v>2459</v>
      </c>
      <c r="D1174" t="s">
        <v>2477</v>
      </c>
      <c r="E1174" t="str">
        <f t="shared" si="36"/>
        <v>BUDAPEST</v>
      </c>
      <c r="F1174" t="s">
        <v>2484</v>
      </c>
      <c r="G1174">
        <v>8.6999999999999993</v>
      </c>
      <c r="I1174">
        <v>6</v>
      </c>
      <c r="J1174">
        <v>7.5</v>
      </c>
      <c r="K1174" s="9">
        <f t="shared" si="37"/>
        <v>45854</v>
      </c>
      <c r="L1174" t="s">
        <v>2667</v>
      </c>
      <c r="M1174" t="s">
        <v>2924</v>
      </c>
    </row>
    <row r="1175" spans="1:13" hidden="1" x14ac:dyDescent="0.35">
      <c r="A1175" t="s">
        <v>1177</v>
      </c>
      <c r="B1175" t="s">
        <v>2420</v>
      </c>
      <c r="C1175" t="s">
        <v>2460</v>
      </c>
      <c r="D1175" t="s">
        <v>2474</v>
      </c>
      <c r="E1175" t="str">
        <f t="shared" si="36"/>
        <v>DORTMUND DE</v>
      </c>
      <c r="F1175" t="s">
        <v>2485</v>
      </c>
      <c r="G1175">
        <v>-13.48</v>
      </c>
      <c r="H1175" t="s">
        <v>2490</v>
      </c>
      <c r="I1175">
        <v>0</v>
      </c>
      <c r="J1175">
        <v>100</v>
      </c>
      <c r="K1175" s="9">
        <f t="shared" si="37"/>
        <v>45962</v>
      </c>
      <c r="L1175" t="s">
        <v>2832</v>
      </c>
      <c r="M1175" t="s">
        <v>2926</v>
      </c>
    </row>
    <row r="1176" spans="1:13" hidden="1" x14ac:dyDescent="0.35">
      <c r="A1176" t="s">
        <v>1178</v>
      </c>
      <c r="B1176" t="s">
        <v>2028</v>
      </c>
      <c r="C1176" t="s">
        <v>2459</v>
      </c>
      <c r="D1176" t="s">
        <v>2469</v>
      </c>
      <c r="E1176" t="str">
        <f t="shared" si="36"/>
        <v>DORTMUND</v>
      </c>
      <c r="F1176" t="s">
        <v>2482</v>
      </c>
      <c r="G1176">
        <v>98.12</v>
      </c>
      <c r="H1176" t="s">
        <v>2489</v>
      </c>
      <c r="I1176">
        <v>97</v>
      </c>
      <c r="J1176">
        <v>100</v>
      </c>
      <c r="K1176" s="9">
        <f t="shared" si="37"/>
        <v>45654</v>
      </c>
      <c r="L1176" t="s">
        <v>2508</v>
      </c>
      <c r="M1176" t="s">
        <v>2923</v>
      </c>
    </row>
    <row r="1177" spans="1:13" hidden="1" x14ac:dyDescent="0.35">
      <c r="A1177" t="s">
        <v>1179</v>
      </c>
      <c r="B1177" t="s">
        <v>2137</v>
      </c>
      <c r="C1177" t="s">
        <v>2460</v>
      </c>
      <c r="D1177" t="s">
        <v>2467</v>
      </c>
      <c r="E1177" t="str">
        <f t="shared" si="36"/>
        <v>ASHFORD</v>
      </c>
      <c r="F1177" t="s">
        <v>2480</v>
      </c>
      <c r="G1177">
        <v>0.97</v>
      </c>
      <c r="H1177" t="s">
        <v>2487</v>
      </c>
      <c r="I1177">
        <v>0.88</v>
      </c>
      <c r="J1177">
        <v>0.97</v>
      </c>
      <c r="K1177" s="9">
        <f t="shared" si="37"/>
        <v>45661</v>
      </c>
      <c r="L1177" t="s">
        <v>2612</v>
      </c>
      <c r="M1177" t="s">
        <v>2923</v>
      </c>
    </row>
    <row r="1178" spans="1:13" hidden="1" x14ac:dyDescent="0.35">
      <c r="A1178" t="s">
        <v>1180</v>
      </c>
      <c r="B1178" t="s">
        <v>2409</v>
      </c>
      <c r="C1178" t="s">
        <v>2459</v>
      </c>
      <c r="D1178" t="s">
        <v>2464</v>
      </c>
      <c r="E1178" t="str">
        <f t="shared" si="36"/>
        <v>EAST HANOVER</v>
      </c>
      <c r="F1178" t="s">
        <v>2480</v>
      </c>
      <c r="G1178">
        <v>0.91</v>
      </c>
      <c r="H1178" t="s">
        <v>2487</v>
      </c>
      <c r="I1178">
        <v>0.88</v>
      </c>
      <c r="J1178">
        <v>0.97</v>
      </c>
      <c r="K1178" s="9">
        <f t="shared" si="37"/>
        <v>45416</v>
      </c>
      <c r="L1178" t="s">
        <v>2553</v>
      </c>
      <c r="M1178" t="s">
        <v>2931</v>
      </c>
    </row>
    <row r="1179" spans="1:13" hidden="1" x14ac:dyDescent="0.35">
      <c r="A1179" t="s">
        <v>1181</v>
      </c>
      <c r="B1179" t="s">
        <v>2383</v>
      </c>
      <c r="C1179" t="s">
        <v>2458</v>
      </c>
      <c r="D1179" t="s">
        <v>2478</v>
      </c>
      <c r="E1179" t="str">
        <f t="shared" si="36"/>
        <v>BUD</v>
      </c>
      <c r="F1179" t="s">
        <v>2485</v>
      </c>
      <c r="G1179">
        <v>20.079999999999998</v>
      </c>
      <c r="H1179" t="s">
        <v>2490</v>
      </c>
      <c r="I1179">
        <v>0</v>
      </c>
      <c r="J1179">
        <v>100</v>
      </c>
      <c r="K1179" s="9">
        <f t="shared" si="37"/>
        <v>45347</v>
      </c>
      <c r="L1179" t="s">
        <v>2800</v>
      </c>
      <c r="M1179" t="s">
        <v>2928</v>
      </c>
    </row>
    <row r="1180" spans="1:13" hidden="1" x14ac:dyDescent="0.35">
      <c r="A1180" t="s">
        <v>1182</v>
      </c>
      <c r="B1180" t="s">
        <v>2257</v>
      </c>
      <c r="C1180" t="s">
        <v>2457</v>
      </c>
      <c r="D1180" t="s">
        <v>2474</v>
      </c>
      <c r="E1180" t="str">
        <f t="shared" si="36"/>
        <v>DORTMUND DE</v>
      </c>
      <c r="F1180" t="s">
        <v>2485</v>
      </c>
      <c r="G1180">
        <v>-0.8</v>
      </c>
      <c r="H1180" t="s">
        <v>2490</v>
      </c>
      <c r="I1180">
        <v>0</v>
      </c>
      <c r="J1180">
        <v>100</v>
      </c>
      <c r="K1180" s="9">
        <f t="shared" si="37"/>
        <v>45635</v>
      </c>
      <c r="L1180" t="s">
        <v>2619</v>
      </c>
      <c r="M1180" t="s">
        <v>2925</v>
      </c>
    </row>
    <row r="1181" spans="1:13" hidden="1" x14ac:dyDescent="0.35">
      <c r="A1181" t="s">
        <v>1183</v>
      </c>
      <c r="B1181" t="s">
        <v>2290</v>
      </c>
      <c r="C1181" t="s">
        <v>2461</v>
      </c>
      <c r="D1181" t="s">
        <v>2474</v>
      </c>
      <c r="E1181" t="str">
        <f t="shared" si="36"/>
        <v>DORTMUND DE</v>
      </c>
      <c r="F1181" t="s">
        <v>2482</v>
      </c>
      <c r="G1181">
        <v>98.73</v>
      </c>
      <c r="H1181" t="s">
        <v>2489</v>
      </c>
      <c r="I1181">
        <v>97</v>
      </c>
      <c r="J1181">
        <v>100</v>
      </c>
      <c r="K1181" s="9">
        <f t="shared" si="37"/>
        <v>45864</v>
      </c>
      <c r="L1181" t="s">
        <v>2550</v>
      </c>
      <c r="M1181" t="s">
        <v>2926</v>
      </c>
    </row>
    <row r="1182" spans="1:13" hidden="1" x14ac:dyDescent="0.35">
      <c r="A1182" t="s">
        <v>1184</v>
      </c>
      <c r="B1182" t="s">
        <v>2412</v>
      </c>
      <c r="C1182" t="s">
        <v>2461</v>
      </c>
      <c r="D1182" t="s">
        <v>2468</v>
      </c>
      <c r="E1182" t="str">
        <f t="shared" si="36"/>
        <v>VERNIER CH</v>
      </c>
      <c r="F1182" t="s">
        <v>2483</v>
      </c>
      <c r="G1182">
        <v>0.51</v>
      </c>
      <c r="H1182" t="s">
        <v>2489</v>
      </c>
      <c r="I1182">
        <v>0</v>
      </c>
      <c r="J1182">
        <v>1</v>
      </c>
      <c r="K1182" s="9">
        <f t="shared" si="37"/>
        <v>45937</v>
      </c>
      <c r="L1182" t="s">
        <v>2829</v>
      </c>
      <c r="M1182" t="s">
        <v>2927</v>
      </c>
    </row>
    <row r="1183" spans="1:13" hidden="1" x14ac:dyDescent="0.35">
      <c r="A1183" t="s">
        <v>1185</v>
      </c>
      <c r="B1183" t="s">
        <v>2310</v>
      </c>
      <c r="C1183" t="s">
        <v>2461</v>
      </c>
      <c r="D1183" t="s">
        <v>2470</v>
      </c>
      <c r="E1183" t="str">
        <f t="shared" si="36"/>
        <v>E. HANOVER</v>
      </c>
      <c r="F1183" t="s">
        <v>2483</v>
      </c>
      <c r="G1183">
        <v>0.13</v>
      </c>
      <c r="H1183" t="s">
        <v>2489</v>
      </c>
      <c r="I1183">
        <v>0</v>
      </c>
      <c r="J1183">
        <v>1</v>
      </c>
      <c r="K1183" s="9">
        <f t="shared" si="37"/>
        <v>45390</v>
      </c>
      <c r="L1183" t="s">
        <v>2877</v>
      </c>
      <c r="M1183" t="s">
        <v>2927</v>
      </c>
    </row>
    <row r="1184" spans="1:13" hidden="1" x14ac:dyDescent="0.35">
      <c r="A1184" t="s">
        <v>1186</v>
      </c>
      <c r="B1184" t="s">
        <v>2381</v>
      </c>
      <c r="C1184" t="s">
        <v>2457</v>
      </c>
      <c r="D1184" t="s">
        <v>2468</v>
      </c>
      <c r="E1184" t="str">
        <f t="shared" si="36"/>
        <v>VERNIER CH</v>
      </c>
      <c r="F1184" t="s">
        <v>2480</v>
      </c>
      <c r="G1184">
        <v>0.94</v>
      </c>
      <c r="H1184" t="s">
        <v>2487</v>
      </c>
      <c r="I1184">
        <v>0.88</v>
      </c>
      <c r="J1184">
        <v>0.97</v>
      </c>
      <c r="K1184" s="9">
        <f t="shared" si="37"/>
        <v>45355</v>
      </c>
      <c r="L1184" t="s">
        <v>2799</v>
      </c>
      <c r="M1184" t="s">
        <v>2924</v>
      </c>
    </row>
    <row r="1185" spans="1:13" hidden="1" x14ac:dyDescent="0.35">
      <c r="A1185" t="s">
        <v>1187</v>
      </c>
      <c r="B1185" t="s">
        <v>2093</v>
      </c>
      <c r="C1185" t="s">
        <v>2459</v>
      </c>
      <c r="D1185" t="s">
        <v>2470</v>
      </c>
      <c r="E1185" t="str">
        <f t="shared" si="36"/>
        <v>E. HANOVER</v>
      </c>
      <c r="F1185" t="s">
        <v>2480</v>
      </c>
      <c r="G1185">
        <v>0.96</v>
      </c>
      <c r="H1185" t="s">
        <v>2487</v>
      </c>
      <c r="I1185">
        <v>0.88</v>
      </c>
      <c r="J1185">
        <v>0.97</v>
      </c>
      <c r="K1185" s="9">
        <f t="shared" si="37"/>
        <v>45542</v>
      </c>
      <c r="L1185" t="s">
        <v>2571</v>
      </c>
      <c r="M1185" t="s">
        <v>2932</v>
      </c>
    </row>
    <row r="1186" spans="1:13" hidden="1" x14ac:dyDescent="0.35">
      <c r="A1186" t="s">
        <v>1188</v>
      </c>
      <c r="B1186" t="s">
        <v>2162</v>
      </c>
      <c r="C1186" t="s">
        <v>2459</v>
      </c>
      <c r="D1186" t="s">
        <v>2466</v>
      </c>
      <c r="E1186" t="str">
        <f t="shared" si="36"/>
        <v>EAST HANOVER</v>
      </c>
      <c r="F1186" t="s">
        <v>2479</v>
      </c>
      <c r="G1186">
        <v>37.39</v>
      </c>
      <c r="H1186" t="s">
        <v>2486</v>
      </c>
      <c r="I1186">
        <v>0</v>
      </c>
      <c r="J1186">
        <v>120</v>
      </c>
      <c r="K1186" s="9">
        <f t="shared" si="37"/>
        <v>45940</v>
      </c>
      <c r="L1186" t="s">
        <v>2635</v>
      </c>
      <c r="M1186" t="s">
        <v>2924</v>
      </c>
    </row>
    <row r="1187" spans="1:13" hidden="1" x14ac:dyDescent="0.35">
      <c r="A1187" t="s">
        <v>1189</v>
      </c>
      <c r="B1187" t="s">
        <v>2116</v>
      </c>
      <c r="C1187" t="s">
        <v>2461</v>
      </c>
      <c r="D1187" t="s">
        <v>2473</v>
      </c>
      <c r="E1187" t="str">
        <f t="shared" si="36"/>
        <v>DORTMUND</v>
      </c>
      <c r="F1187" t="s">
        <v>2484</v>
      </c>
      <c r="G1187">
        <v>7.27</v>
      </c>
      <c r="I1187">
        <v>6</v>
      </c>
      <c r="J1187">
        <v>7.5</v>
      </c>
      <c r="K1187" s="9">
        <f t="shared" si="37"/>
        <v>45376</v>
      </c>
      <c r="L1187" t="s">
        <v>2878</v>
      </c>
      <c r="M1187" t="s">
        <v>2928</v>
      </c>
    </row>
    <row r="1188" spans="1:13" hidden="1" x14ac:dyDescent="0.35">
      <c r="A1188" t="s">
        <v>1190</v>
      </c>
      <c r="B1188" t="s">
        <v>2344</v>
      </c>
      <c r="C1188" t="s">
        <v>2461</v>
      </c>
      <c r="D1188" t="s">
        <v>2468</v>
      </c>
      <c r="E1188" t="str">
        <f t="shared" si="36"/>
        <v>VERNIER CH</v>
      </c>
      <c r="F1188" t="s">
        <v>2483</v>
      </c>
      <c r="G1188">
        <v>0.39</v>
      </c>
      <c r="H1188" t="s">
        <v>2489</v>
      </c>
      <c r="I1188">
        <v>0</v>
      </c>
      <c r="J1188">
        <v>1</v>
      </c>
      <c r="K1188" s="9">
        <f t="shared" si="37"/>
        <v>45458</v>
      </c>
      <c r="L1188" t="s">
        <v>2750</v>
      </c>
      <c r="M1188" t="s">
        <v>2925</v>
      </c>
    </row>
    <row r="1189" spans="1:13" hidden="1" x14ac:dyDescent="0.35">
      <c r="A1189" t="s">
        <v>1191</v>
      </c>
      <c r="B1189" t="s">
        <v>2059</v>
      </c>
      <c r="C1189" t="s">
        <v>2459</v>
      </c>
      <c r="D1189" t="s">
        <v>2468</v>
      </c>
      <c r="E1189" t="str">
        <f t="shared" si="36"/>
        <v>VERNIER CH</v>
      </c>
      <c r="F1189" t="s">
        <v>2479</v>
      </c>
      <c r="G1189">
        <v>54.37</v>
      </c>
      <c r="H1189" t="s">
        <v>2486</v>
      </c>
      <c r="I1189">
        <v>0</v>
      </c>
      <c r="J1189">
        <v>120</v>
      </c>
      <c r="K1189" s="9">
        <f t="shared" si="37"/>
        <v>45743</v>
      </c>
      <c r="L1189" t="s">
        <v>2538</v>
      </c>
      <c r="M1189" t="s">
        <v>2924</v>
      </c>
    </row>
    <row r="1190" spans="1:13" hidden="1" x14ac:dyDescent="0.35">
      <c r="A1190" t="s">
        <v>1192</v>
      </c>
      <c r="B1190" t="s">
        <v>2438</v>
      </c>
      <c r="C1190" t="s">
        <v>2457</v>
      </c>
      <c r="D1190" t="s">
        <v>2469</v>
      </c>
      <c r="E1190" t="str">
        <f t="shared" si="36"/>
        <v>DORTMUND</v>
      </c>
      <c r="F1190" t="s">
        <v>2485</v>
      </c>
      <c r="G1190">
        <v>31.23</v>
      </c>
      <c r="H1190" t="s">
        <v>2490</v>
      </c>
      <c r="I1190">
        <v>0</v>
      </c>
      <c r="J1190">
        <v>100</v>
      </c>
      <c r="K1190" s="9">
        <f t="shared" si="37"/>
        <v>45681</v>
      </c>
      <c r="L1190" t="s">
        <v>2654</v>
      </c>
      <c r="M1190" t="s">
        <v>2929</v>
      </c>
    </row>
    <row r="1191" spans="1:13" hidden="1" x14ac:dyDescent="0.35">
      <c r="A1191" t="s">
        <v>1193</v>
      </c>
      <c r="B1191" t="s">
        <v>2271</v>
      </c>
      <c r="C1191" t="s">
        <v>2459</v>
      </c>
      <c r="D1191" t="s">
        <v>2478</v>
      </c>
      <c r="E1191" t="str">
        <f t="shared" si="36"/>
        <v>BUD</v>
      </c>
      <c r="F1191" t="s">
        <v>2481</v>
      </c>
      <c r="G1191">
        <v>264.08</v>
      </c>
      <c r="H1191" t="s">
        <v>2488</v>
      </c>
      <c r="I1191">
        <v>150</v>
      </c>
      <c r="J1191">
        <v>400</v>
      </c>
      <c r="K1191" s="9">
        <f t="shared" si="37"/>
        <v>45583</v>
      </c>
      <c r="L1191" t="s">
        <v>2719</v>
      </c>
      <c r="M1191" t="s">
        <v>2930</v>
      </c>
    </row>
    <row r="1192" spans="1:13" hidden="1" x14ac:dyDescent="0.35">
      <c r="A1192" t="s">
        <v>1194</v>
      </c>
      <c r="B1192" t="s">
        <v>2248</v>
      </c>
      <c r="C1192" t="s">
        <v>2460</v>
      </c>
      <c r="D1192" t="s">
        <v>2474</v>
      </c>
      <c r="E1192" t="str">
        <f t="shared" si="36"/>
        <v>DORTMUND DE</v>
      </c>
      <c r="F1192" t="s">
        <v>2485</v>
      </c>
      <c r="G1192">
        <v>12.65</v>
      </c>
      <c r="H1192" t="s">
        <v>2490</v>
      </c>
      <c r="I1192">
        <v>0</v>
      </c>
      <c r="J1192">
        <v>100</v>
      </c>
      <c r="K1192" s="9">
        <f t="shared" si="37"/>
        <v>45956</v>
      </c>
      <c r="L1192" t="s">
        <v>2701</v>
      </c>
      <c r="M1192" t="s">
        <v>2923</v>
      </c>
    </row>
    <row r="1193" spans="1:13" hidden="1" x14ac:dyDescent="0.35">
      <c r="A1193" t="s">
        <v>1195</v>
      </c>
      <c r="B1193" t="s">
        <v>2276</v>
      </c>
      <c r="C1193" t="s">
        <v>2457</v>
      </c>
      <c r="D1193" t="s">
        <v>2471</v>
      </c>
      <c r="E1193" t="str">
        <f t="shared" si="36"/>
        <v>BUDAPEST</v>
      </c>
      <c r="F1193" t="s">
        <v>2482</v>
      </c>
      <c r="G1193">
        <v>98.57</v>
      </c>
      <c r="H1193" t="s">
        <v>2489</v>
      </c>
      <c r="I1193">
        <v>97</v>
      </c>
      <c r="J1193">
        <v>100</v>
      </c>
      <c r="K1193" s="9">
        <f t="shared" si="37"/>
        <v>45685</v>
      </c>
      <c r="L1193" t="s">
        <v>2724</v>
      </c>
      <c r="M1193" t="s">
        <v>2931</v>
      </c>
    </row>
    <row r="1194" spans="1:13" hidden="1" x14ac:dyDescent="0.35">
      <c r="A1194" t="s">
        <v>1196</v>
      </c>
      <c r="B1194" t="s">
        <v>2095</v>
      </c>
      <c r="C1194" t="s">
        <v>2459</v>
      </c>
      <c r="D1194" t="s">
        <v>2467</v>
      </c>
      <c r="E1194" t="str">
        <f t="shared" si="36"/>
        <v>ASHFORD</v>
      </c>
      <c r="F1194" t="s">
        <v>2483</v>
      </c>
      <c r="G1194">
        <v>0.53</v>
      </c>
      <c r="H1194" t="s">
        <v>2489</v>
      </c>
      <c r="I1194">
        <v>0</v>
      </c>
      <c r="J1194">
        <v>1</v>
      </c>
      <c r="K1194" s="9">
        <f t="shared" si="37"/>
        <v>45825</v>
      </c>
      <c r="L1194" t="s">
        <v>2573</v>
      </c>
      <c r="M1194" t="s">
        <v>2925</v>
      </c>
    </row>
    <row r="1195" spans="1:13" hidden="1" x14ac:dyDescent="0.35">
      <c r="A1195" t="s">
        <v>1197</v>
      </c>
      <c r="B1195" t="s">
        <v>2442</v>
      </c>
      <c r="C1195" t="s">
        <v>2458</v>
      </c>
      <c r="D1195" t="s">
        <v>2465</v>
      </c>
      <c r="E1195" t="str">
        <f t="shared" si="36"/>
        <v>VERNIER</v>
      </c>
      <c r="F1195" t="s">
        <v>2483</v>
      </c>
      <c r="G1195">
        <v>0.35</v>
      </c>
      <c r="H1195" t="s">
        <v>2489</v>
      </c>
      <c r="I1195">
        <v>0</v>
      </c>
      <c r="J1195">
        <v>1</v>
      </c>
      <c r="K1195" s="9">
        <f t="shared" si="37"/>
        <v>45385</v>
      </c>
      <c r="L1195" t="s">
        <v>2574</v>
      </c>
      <c r="M1195" t="s">
        <v>2929</v>
      </c>
    </row>
    <row r="1196" spans="1:13" hidden="1" x14ac:dyDescent="0.35">
      <c r="A1196" t="s">
        <v>1198</v>
      </c>
      <c r="B1196" t="s">
        <v>2156</v>
      </c>
      <c r="C1196" t="s">
        <v>2460</v>
      </c>
      <c r="D1196" t="s">
        <v>2463</v>
      </c>
      <c r="E1196" t="str">
        <f t="shared" si="36"/>
        <v>VERNIER</v>
      </c>
      <c r="F1196" t="s">
        <v>2481</v>
      </c>
      <c r="G1196">
        <v>264.24</v>
      </c>
      <c r="H1196" t="s">
        <v>2488</v>
      </c>
      <c r="I1196">
        <v>150</v>
      </c>
      <c r="J1196">
        <v>400</v>
      </c>
      <c r="K1196" s="9">
        <f t="shared" si="37"/>
        <v>45404</v>
      </c>
      <c r="L1196" t="s">
        <v>2630</v>
      </c>
      <c r="M1196" t="s">
        <v>2930</v>
      </c>
    </row>
    <row r="1197" spans="1:13" hidden="1" x14ac:dyDescent="0.35">
      <c r="A1197" t="s">
        <v>1199</v>
      </c>
      <c r="B1197" t="s">
        <v>2181</v>
      </c>
      <c r="C1197" t="s">
        <v>2459</v>
      </c>
      <c r="D1197" t="s">
        <v>2472</v>
      </c>
      <c r="E1197" t="str">
        <f t="shared" si="36"/>
        <v>VERNIER</v>
      </c>
      <c r="F1197" t="s">
        <v>2482</v>
      </c>
      <c r="G1197">
        <v>97.64</v>
      </c>
      <c r="H1197" t="s">
        <v>2489</v>
      </c>
      <c r="I1197">
        <v>97</v>
      </c>
      <c r="J1197">
        <v>100</v>
      </c>
      <c r="K1197" s="9">
        <f t="shared" si="37"/>
        <v>45500</v>
      </c>
      <c r="L1197" t="s">
        <v>2653</v>
      </c>
      <c r="M1197" t="s">
        <v>2928</v>
      </c>
    </row>
    <row r="1198" spans="1:13" hidden="1" x14ac:dyDescent="0.35">
      <c r="A1198" t="s">
        <v>1200</v>
      </c>
      <c r="B1198" t="s">
        <v>2105</v>
      </c>
      <c r="C1198" t="s">
        <v>2457</v>
      </c>
      <c r="D1198" t="s">
        <v>2475</v>
      </c>
      <c r="E1198" t="str">
        <f t="shared" si="36"/>
        <v>ASHFORD</v>
      </c>
      <c r="F1198" t="s">
        <v>2481</v>
      </c>
      <c r="G1198">
        <v>302.99</v>
      </c>
      <c r="H1198" t="s">
        <v>2488</v>
      </c>
      <c r="I1198">
        <v>150</v>
      </c>
      <c r="J1198">
        <v>400</v>
      </c>
      <c r="K1198" s="9">
        <f t="shared" si="37"/>
        <v>45358</v>
      </c>
      <c r="L1198" t="s">
        <v>2582</v>
      </c>
      <c r="M1198" t="s">
        <v>2932</v>
      </c>
    </row>
    <row r="1199" spans="1:13" hidden="1" x14ac:dyDescent="0.35">
      <c r="A1199" t="s">
        <v>1201</v>
      </c>
      <c r="B1199" t="s">
        <v>2318</v>
      </c>
      <c r="C1199" t="s">
        <v>2461</v>
      </c>
      <c r="D1199" t="s">
        <v>2477</v>
      </c>
      <c r="E1199" t="str">
        <f t="shared" si="36"/>
        <v>BUDAPEST</v>
      </c>
      <c r="F1199" t="s">
        <v>2483</v>
      </c>
      <c r="G1199">
        <v>0.25</v>
      </c>
      <c r="H1199" t="s">
        <v>2489</v>
      </c>
      <c r="I1199">
        <v>0</v>
      </c>
      <c r="J1199">
        <v>1</v>
      </c>
      <c r="K1199" s="9">
        <f t="shared" si="37"/>
        <v>45458</v>
      </c>
      <c r="L1199" t="s">
        <v>2750</v>
      </c>
      <c r="M1199" t="s">
        <v>2926</v>
      </c>
    </row>
    <row r="1200" spans="1:13" hidden="1" x14ac:dyDescent="0.35">
      <c r="A1200" t="s">
        <v>1202</v>
      </c>
      <c r="B1200" t="s">
        <v>2449</v>
      </c>
      <c r="C1200" t="s">
        <v>2460</v>
      </c>
      <c r="D1200" t="s">
        <v>2471</v>
      </c>
      <c r="E1200" t="str">
        <f t="shared" si="36"/>
        <v>BUDAPEST</v>
      </c>
      <c r="F1200" t="s">
        <v>2481</v>
      </c>
      <c r="G1200">
        <v>246.16</v>
      </c>
      <c r="H1200" t="s">
        <v>2488</v>
      </c>
      <c r="I1200">
        <v>150</v>
      </c>
      <c r="J1200">
        <v>400</v>
      </c>
      <c r="K1200" s="9">
        <f t="shared" si="37"/>
        <v>45526</v>
      </c>
      <c r="L1200" t="s">
        <v>2879</v>
      </c>
      <c r="M1200" t="s">
        <v>2932</v>
      </c>
    </row>
    <row r="1201" spans="1:13" hidden="1" x14ac:dyDescent="0.35">
      <c r="A1201" t="s">
        <v>1203</v>
      </c>
      <c r="B1201" t="s">
        <v>2298</v>
      </c>
      <c r="C1201" t="s">
        <v>2458</v>
      </c>
      <c r="D1201" t="s">
        <v>2473</v>
      </c>
      <c r="E1201" t="str">
        <f t="shared" si="36"/>
        <v>DORTMUND</v>
      </c>
      <c r="F1201" t="s">
        <v>2484</v>
      </c>
      <c r="G1201">
        <v>6.49</v>
      </c>
      <c r="I1201">
        <v>6</v>
      </c>
      <c r="J1201">
        <v>7.5</v>
      </c>
      <c r="K1201" s="9">
        <f t="shared" si="37"/>
        <v>45323</v>
      </c>
      <c r="L1201" t="s">
        <v>2738</v>
      </c>
      <c r="M1201" t="s">
        <v>2925</v>
      </c>
    </row>
    <row r="1202" spans="1:13" hidden="1" x14ac:dyDescent="0.35">
      <c r="A1202" t="s">
        <v>1204</v>
      </c>
      <c r="B1202" t="s">
        <v>2121</v>
      </c>
      <c r="C1202" t="s">
        <v>2457</v>
      </c>
      <c r="D1202" t="s">
        <v>2464</v>
      </c>
      <c r="E1202" t="str">
        <f t="shared" si="36"/>
        <v>EAST HANOVER</v>
      </c>
      <c r="F1202" t="s">
        <v>2480</v>
      </c>
      <c r="G1202">
        <v>0.82</v>
      </c>
      <c r="H1202" t="s">
        <v>2487</v>
      </c>
      <c r="I1202">
        <v>0.88</v>
      </c>
      <c r="J1202">
        <v>0.97</v>
      </c>
      <c r="K1202" s="9">
        <f t="shared" si="37"/>
        <v>45690</v>
      </c>
      <c r="L1202" t="s">
        <v>2597</v>
      </c>
      <c r="M1202" t="s">
        <v>2924</v>
      </c>
    </row>
    <row r="1203" spans="1:13" hidden="1" x14ac:dyDescent="0.35">
      <c r="A1203" t="s">
        <v>1205</v>
      </c>
      <c r="B1203" t="s">
        <v>2072</v>
      </c>
      <c r="C1203" t="s">
        <v>2460</v>
      </c>
      <c r="D1203" t="s">
        <v>2469</v>
      </c>
      <c r="E1203" t="str">
        <f t="shared" si="36"/>
        <v>DORTMUND</v>
      </c>
      <c r="F1203" t="s">
        <v>2483</v>
      </c>
      <c r="G1203">
        <v>0.41</v>
      </c>
      <c r="H1203" t="s">
        <v>2489</v>
      </c>
      <c r="I1203">
        <v>0</v>
      </c>
      <c r="J1203">
        <v>1</v>
      </c>
      <c r="K1203" s="9">
        <f t="shared" si="37"/>
        <v>45544</v>
      </c>
      <c r="L1203" t="s">
        <v>2551</v>
      </c>
      <c r="M1203" t="s">
        <v>2932</v>
      </c>
    </row>
    <row r="1204" spans="1:13" hidden="1" x14ac:dyDescent="0.35">
      <c r="A1204" t="s">
        <v>1206</v>
      </c>
      <c r="B1204" t="s">
        <v>2392</v>
      </c>
      <c r="C1204" t="s">
        <v>2461</v>
      </c>
      <c r="D1204" t="s">
        <v>2475</v>
      </c>
      <c r="E1204" t="str">
        <f t="shared" si="36"/>
        <v>ASHFORD</v>
      </c>
      <c r="F1204" t="s">
        <v>2483</v>
      </c>
      <c r="G1204">
        <v>0.53</v>
      </c>
      <c r="H1204" t="s">
        <v>2489</v>
      </c>
      <c r="I1204">
        <v>0</v>
      </c>
      <c r="J1204">
        <v>1</v>
      </c>
      <c r="K1204" s="9">
        <f t="shared" si="37"/>
        <v>45923</v>
      </c>
      <c r="L1204" t="s">
        <v>2809</v>
      </c>
      <c r="M1204" t="s">
        <v>2931</v>
      </c>
    </row>
    <row r="1205" spans="1:13" hidden="1" x14ac:dyDescent="0.35">
      <c r="A1205" t="s">
        <v>1207</v>
      </c>
      <c r="B1205" t="s">
        <v>2327</v>
      </c>
      <c r="C1205" t="s">
        <v>2458</v>
      </c>
      <c r="D1205" t="s">
        <v>2478</v>
      </c>
      <c r="E1205" t="str">
        <f t="shared" si="36"/>
        <v>BUD</v>
      </c>
      <c r="F1205" t="s">
        <v>2484</v>
      </c>
      <c r="G1205">
        <v>6.95</v>
      </c>
      <c r="I1205">
        <v>6</v>
      </c>
      <c r="J1205">
        <v>7.5</v>
      </c>
      <c r="K1205" s="9">
        <f t="shared" si="37"/>
        <v>45699</v>
      </c>
      <c r="L1205" t="s">
        <v>2756</v>
      </c>
      <c r="M1205" t="s">
        <v>2931</v>
      </c>
    </row>
    <row r="1206" spans="1:13" hidden="1" x14ac:dyDescent="0.35">
      <c r="A1206" t="s">
        <v>1208</v>
      </c>
      <c r="B1206" t="s">
        <v>2295</v>
      </c>
      <c r="C1206" t="s">
        <v>2459</v>
      </c>
      <c r="D1206" t="s">
        <v>2468</v>
      </c>
      <c r="E1206" t="str">
        <f t="shared" si="36"/>
        <v>VERNIER CH</v>
      </c>
      <c r="F1206" t="s">
        <v>2480</v>
      </c>
      <c r="G1206">
        <v>0.94</v>
      </c>
      <c r="H1206" t="s">
        <v>2487</v>
      </c>
      <c r="I1206">
        <v>0.88</v>
      </c>
      <c r="J1206">
        <v>0.97</v>
      </c>
      <c r="K1206" s="9">
        <f t="shared" si="37"/>
        <v>45977</v>
      </c>
      <c r="L1206" t="s">
        <v>2736</v>
      </c>
      <c r="M1206" t="s">
        <v>2928</v>
      </c>
    </row>
    <row r="1207" spans="1:13" hidden="1" x14ac:dyDescent="0.35">
      <c r="A1207" t="s">
        <v>1209</v>
      </c>
      <c r="B1207" t="s">
        <v>2341</v>
      </c>
      <c r="C1207" t="s">
        <v>2459</v>
      </c>
      <c r="D1207" t="s">
        <v>2466</v>
      </c>
      <c r="E1207" t="str">
        <f t="shared" si="36"/>
        <v>EAST HANOVER</v>
      </c>
      <c r="F1207" t="s">
        <v>2479</v>
      </c>
      <c r="G1207">
        <v>33.590000000000003</v>
      </c>
      <c r="H1207" t="s">
        <v>2486</v>
      </c>
      <c r="I1207">
        <v>0</v>
      </c>
      <c r="J1207">
        <v>120</v>
      </c>
      <c r="K1207" s="9">
        <f t="shared" si="37"/>
        <v>45812</v>
      </c>
      <c r="L1207" t="s">
        <v>2770</v>
      </c>
      <c r="M1207" t="s">
        <v>2927</v>
      </c>
    </row>
    <row r="1208" spans="1:13" hidden="1" x14ac:dyDescent="0.35">
      <c r="A1208" t="s">
        <v>1210</v>
      </c>
      <c r="B1208" t="s">
        <v>2218</v>
      </c>
      <c r="C1208" t="s">
        <v>2457</v>
      </c>
      <c r="D1208" t="s">
        <v>2469</v>
      </c>
      <c r="E1208" t="str">
        <f t="shared" si="36"/>
        <v>DORTMUND</v>
      </c>
      <c r="F1208" t="s">
        <v>2481</v>
      </c>
      <c r="G1208">
        <v>212.79</v>
      </c>
      <c r="H1208" t="s">
        <v>2488</v>
      </c>
      <c r="I1208">
        <v>150</v>
      </c>
      <c r="J1208">
        <v>400</v>
      </c>
      <c r="K1208" s="9">
        <f t="shared" si="37"/>
        <v>45621</v>
      </c>
      <c r="L1208" t="s">
        <v>2685</v>
      </c>
      <c r="M1208" t="s">
        <v>2927</v>
      </c>
    </row>
    <row r="1209" spans="1:13" hidden="1" x14ac:dyDescent="0.35">
      <c r="A1209" t="s">
        <v>1211</v>
      </c>
      <c r="B1209" t="s">
        <v>2351</v>
      </c>
      <c r="C1209" t="s">
        <v>2459</v>
      </c>
      <c r="D1209" t="s">
        <v>2463</v>
      </c>
      <c r="E1209" t="str">
        <f t="shared" si="36"/>
        <v>VERNIER</v>
      </c>
      <c r="F1209" t="s">
        <v>2479</v>
      </c>
      <c r="G1209">
        <v>78.48</v>
      </c>
      <c r="H1209" t="s">
        <v>2486</v>
      </c>
      <c r="I1209">
        <v>0</v>
      </c>
      <c r="J1209">
        <v>120</v>
      </c>
      <c r="K1209" s="9">
        <f t="shared" si="37"/>
        <v>45984</v>
      </c>
      <c r="L1209" t="s">
        <v>2777</v>
      </c>
      <c r="M1209" t="s">
        <v>2923</v>
      </c>
    </row>
    <row r="1210" spans="1:13" hidden="1" x14ac:dyDescent="0.35">
      <c r="A1210" t="s">
        <v>1212</v>
      </c>
      <c r="B1210" t="s">
        <v>2089</v>
      </c>
      <c r="C1210" t="s">
        <v>2460</v>
      </c>
      <c r="D1210" t="s">
        <v>2478</v>
      </c>
      <c r="E1210" t="str">
        <f t="shared" si="36"/>
        <v>BUD</v>
      </c>
      <c r="F1210" t="s">
        <v>2485</v>
      </c>
      <c r="G1210">
        <v>12.43</v>
      </c>
      <c r="H1210" t="s">
        <v>2490</v>
      </c>
      <c r="I1210">
        <v>0</v>
      </c>
      <c r="J1210">
        <v>100</v>
      </c>
      <c r="K1210" s="9">
        <f t="shared" si="37"/>
        <v>45789</v>
      </c>
      <c r="L1210" t="s">
        <v>2567</v>
      </c>
      <c r="M1210" t="s">
        <v>2930</v>
      </c>
    </row>
    <row r="1211" spans="1:13" hidden="1" x14ac:dyDescent="0.35">
      <c r="A1211" t="s">
        <v>1213</v>
      </c>
      <c r="B1211" t="s">
        <v>2156</v>
      </c>
      <c r="C1211" t="s">
        <v>2460</v>
      </c>
      <c r="D1211" t="s">
        <v>2463</v>
      </c>
      <c r="E1211" t="str">
        <f t="shared" si="36"/>
        <v>VERNIER</v>
      </c>
      <c r="F1211" t="s">
        <v>2483</v>
      </c>
      <c r="G1211">
        <v>0.42</v>
      </c>
      <c r="H1211" t="s">
        <v>2489</v>
      </c>
      <c r="I1211">
        <v>0</v>
      </c>
      <c r="J1211">
        <v>1</v>
      </c>
      <c r="K1211" s="9">
        <f t="shared" si="37"/>
        <v>45404</v>
      </c>
      <c r="L1211" t="s">
        <v>2630</v>
      </c>
      <c r="M1211" t="s">
        <v>2924</v>
      </c>
    </row>
    <row r="1212" spans="1:13" hidden="1" x14ac:dyDescent="0.35">
      <c r="A1212" t="s">
        <v>1214</v>
      </c>
      <c r="B1212" t="s">
        <v>2185</v>
      </c>
      <c r="C1212" t="s">
        <v>2461</v>
      </c>
      <c r="D1212" t="s">
        <v>2470</v>
      </c>
      <c r="E1212" t="str">
        <f t="shared" si="36"/>
        <v>E. HANOVER</v>
      </c>
      <c r="F1212" t="s">
        <v>2481</v>
      </c>
      <c r="G1212">
        <v>217.76</v>
      </c>
      <c r="H1212" t="s">
        <v>2488</v>
      </c>
      <c r="I1212">
        <v>150</v>
      </c>
      <c r="J1212">
        <v>400</v>
      </c>
      <c r="K1212" s="9">
        <f t="shared" si="37"/>
        <v>45830</v>
      </c>
      <c r="L1212" t="s">
        <v>2657</v>
      </c>
      <c r="M1212" t="s">
        <v>2924</v>
      </c>
    </row>
    <row r="1213" spans="1:13" hidden="1" x14ac:dyDescent="0.35">
      <c r="A1213" t="s">
        <v>1215</v>
      </c>
      <c r="B1213" t="s">
        <v>2406</v>
      </c>
      <c r="C1213" t="s">
        <v>2459</v>
      </c>
      <c r="D1213" t="s">
        <v>2468</v>
      </c>
      <c r="E1213" t="str">
        <f t="shared" si="36"/>
        <v>VERNIER CH</v>
      </c>
      <c r="F1213" t="s">
        <v>2485</v>
      </c>
      <c r="G1213">
        <v>15.67</v>
      </c>
      <c r="H1213" t="s">
        <v>2490</v>
      </c>
      <c r="I1213">
        <v>0</v>
      </c>
      <c r="J1213">
        <v>100</v>
      </c>
      <c r="K1213" s="9">
        <f t="shared" si="37"/>
        <v>45345</v>
      </c>
      <c r="L1213" t="s">
        <v>2589</v>
      </c>
      <c r="M1213" t="s">
        <v>2927</v>
      </c>
    </row>
    <row r="1214" spans="1:13" hidden="1" x14ac:dyDescent="0.35">
      <c r="A1214" t="s">
        <v>1216</v>
      </c>
      <c r="B1214" t="s">
        <v>2225</v>
      </c>
      <c r="C1214" t="s">
        <v>2458</v>
      </c>
      <c r="D1214" t="s">
        <v>2468</v>
      </c>
      <c r="E1214" t="str">
        <f t="shared" si="36"/>
        <v>VERNIER CH</v>
      </c>
      <c r="F1214" t="s">
        <v>2480</v>
      </c>
      <c r="G1214">
        <v>0.94</v>
      </c>
      <c r="H1214" t="s">
        <v>2487</v>
      </c>
      <c r="I1214">
        <v>0.88</v>
      </c>
      <c r="J1214">
        <v>0.97</v>
      </c>
      <c r="K1214" s="9">
        <f t="shared" si="37"/>
        <v>45516</v>
      </c>
      <c r="L1214" t="s">
        <v>2689</v>
      </c>
      <c r="M1214" t="s">
        <v>2932</v>
      </c>
    </row>
    <row r="1215" spans="1:13" hidden="1" x14ac:dyDescent="0.35">
      <c r="A1215" t="s">
        <v>1217</v>
      </c>
      <c r="B1215" t="s">
        <v>2026</v>
      </c>
      <c r="C1215" t="s">
        <v>2461</v>
      </c>
      <c r="D1215" t="s">
        <v>2468</v>
      </c>
      <c r="E1215" t="str">
        <f t="shared" si="36"/>
        <v>VERNIER CH</v>
      </c>
      <c r="F1215" t="s">
        <v>2481</v>
      </c>
      <c r="G1215">
        <v>520</v>
      </c>
      <c r="H1215" t="s">
        <v>2488</v>
      </c>
      <c r="I1215">
        <v>150</v>
      </c>
      <c r="J1215">
        <v>400</v>
      </c>
      <c r="K1215" s="9">
        <f t="shared" si="37"/>
        <v>45294</v>
      </c>
      <c r="L1215" t="s">
        <v>2506</v>
      </c>
      <c r="M1215" t="s">
        <v>2924</v>
      </c>
    </row>
    <row r="1216" spans="1:13" hidden="1" x14ac:dyDescent="0.35">
      <c r="A1216" t="s">
        <v>1218</v>
      </c>
      <c r="B1216" t="s">
        <v>2341</v>
      </c>
      <c r="C1216" t="s">
        <v>2459</v>
      </c>
      <c r="D1216" t="s">
        <v>2464</v>
      </c>
      <c r="E1216" t="str">
        <f t="shared" si="36"/>
        <v>EAST HANOVER</v>
      </c>
      <c r="F1216" t="s">
        <v>2485</v>
      </c>
      <c r="G1216">
        <v>-2.33</v>
      </c>
      <c r="H1216" t="s">
        <v>2490</v>
      </c>
      <c r="I1216">
        <v>0</v>
      </c>
      <c r="J1216">
        <v>100</v>
      </c>
      <c r="K1216" s="9">
        <f t="shared" si="37"/>
        <v>45812</v>
      </c>
      <c r="L1216" t="s">
        <v>2770</v>
      </c>
      <c r="M1216" t="s">
        <v>2930</v>
      </c>
    </row>
    <row r="1217" spans="1:13" hidden="1" x14ac:dyDescent="0.35">
      <c r="A1217" t="s">
        <v>1219</v>
      </c>
      <c r="B1217" t="s">
        <v>2315</v>
      </c>
      <c r="C1217" t="s">
        <v>2460</v>
      </c>
      <c r="D1217" t="s">
        <v>2468</v>
      </c>
      <c r="E1217" t="str">
        <f t="shared" si="36"/>
        <v>VERNIER CH</v>
      </c>
      <c r="F1217" t="s">
        <v>2484</v>
      </c>
      <c r="G1217">
        <v>7.24</v>
      </c>
      <c r="I1217">
        <v>6</v>
      </c>
      <c r="J1217">
        <v>7.5</v>
      </c>
      <c r="K1217" s="9">
        <f t="shared" si="37"/>
        <v>46011</v>
      </c>
      <c r="L1217" t="s">
        <v>2747</v>
      </c>
      <c r="M1217" t="s">
        <v>2932</v>
      </c>
    </row>
    <row r="1218" spans="1:13" hidden="1" x14ac:dyDescent="0.35">
      <c r="A1218" t="s">
        <v>1220</v>
      </c>
      <c r="B1218" t="s">
        <v>2065</v>
      </c>
      <c r="C1218" t="s">
        <v>2459</v>
      </c>
      <c r="D1218" t="s">
        <v>2464</v>
      </c>
      <c r="E1218" t="str">
        <f t="shared" si="36"/>
        <v>EAST HANOVER</v>
      </c>
      <c r="F1218" t="s">
        <v>2480</v>
      </c>
      <c r="G1218">
        <v>0.96</v>
      </c>
      <c r="H1218" t="s">
        <v>2487</v>
      </c>
      <c r="I1218">
        <v>0.88</v>
      </c>
      <c r="J1218">
        <v>0.97</v>
      </c>
      <c r="K1218" s="9">
        <f t="shared" si="37"/>
        <v>45950</v>
      </c>
      <c r="L1218" t="s">
        <v>2544</v>
      </c>
      <c r="M1218" t="s">
        <v>2923</v>
      </c>
    </row>
    <row r="1219" spans="1:13" hidden="1" x14ac:dyDescent="0.35">
      <c r="A1219" t="s">
        <v>1221</v>
      </c>
      <c r="B1219" t="s">
        <v>2450</v>
      </c>
      <c r="C1219" t="s">
        <v>2458</v>
      </c>
      <c r="D1219" t="s">
        <v>2471</v>
      </c>
      <c r="E1219" t="str">
        <f t="shared" ref="E1219:E1282" si="38">UPPER(D1219)</f>
        <v>BUDAPEST</v>
      </c>
      <c r="F1219" t="s">
        <v>2482</v>
      </c>
      <c r="G1219">
        <v>98.53</v>
      </c>
      <c r="H1219" t="s">
        <v>2489</v>
      </c>
      <c r="I1219">
        <v>97</v>
      </c>
      <c r="J1219">
        <v>100</v>
      </c>
      <c r="K1219" s="9">
        <f t="shared" ref="K1219:K1282" si="39">IF(L1219="","",
IF(MID(L1219,5,1)="-",
DATE(LEFT(L1219,4),MID(L1219,6,2),RIGHT(L1219,2)),
DATE(RIGHT(L1219,4),MID(L1219,4,2),LEFT(L1219,2))
))</f>
        <v>45352</v>
      </c>
      <c r="L1219" t="s">
        <v>2880</v>
      </c>
      <c r="M1219" t="s">
        <v>2927</v>
      </c>
    </row>
    <row r="1220" spans="1:13" hidden="1" x14ac:dyDescent="0.35">
      <c r="A1220" t="s">
        <v>1222</v>
      </c>
      <c r="B1220" t="s">
        <v>2317</v>
      </c>
      <c r="C1220" t="s">
        <v>2457</v>
      </c>
      <c r="D1220" t="s">
        <v>2466</v>
      </c>
      <c r="E1220" t="str">
        <f t="shared" si="38"/>
        <v>EAST HANOVER</v>
      </c>
      <c r="F1220" t="s">
        <v>2479</v>
      </c>
      <c r="G1220">
        <v>45.89</v>
      </c>
      <c r="H1220" t="s">
        <v>2486</v>
      </c>
      <c r="I1220">
        <v>0</v>
      </c>
      <c r="J1220">
        <v>120</v>
      </c>
      <c r="K1220" s="9">
        <f t="shared" si="39"/>
        <v>45786</v>
      </c>
      <c r="L1220" t="s">
        <v>2749</v>
      </c>
      <c r="M1220" t="s">
        <v>2925</v>
      </c>
    </row>
    <row r="1221" spans="1:13" hidden="1" x14ac:dyDescent="0.35">
      <c r="A1221" t="s">
        <v>1223</v>
      </c>
      <c r="B1221" t="s">
        <v>2074</v>
      </c>
      <c r="C1221" t="s">
        <v>2457</v>
      </c>
      <c r="D1221" t="s">
        <v>2462</v>
      </c>
      <c r="E1221" t="str">
        <f t="shared" si="38"/>
        <v>ASHFORD UK</v>
      </c>
      <c r="F1221" t="s">
        <v>2479</v>
      </c>
      <c r="G1221">
        <v>59.63</v>
      </c>
      <c r="H1221" t="s">
        <v>2486</v>
      </c>
      <c r="I1221">
        <v>0</v>
      </c>
      <c r="J1221">
        <v>120</v>
      </c>
      <c r="K1221" s="9">
        <f t="shared" si="39"/>
        <v>45416</v>
      </c>
      <c r="L1221" t="s">
        <v>2553</v>
      </c>
      <c r="M1221" t="s">
        <v>2931</v>
      </c>
    </row>
    <row r="1222" spans="1:13" hidden="1" x14ac:dyDescent="0.35">
      <c r="A1222" t="s">
        <v>1224</v>
      </c>
      <c r="B1222" t="s">
        <v>2133</v>
      </c>
      <c r="C1222" t="s">
        <v>2457</v>
      </c>
      <c r="D1222" t="s">
        <v>2465</v>
      </c>
      <c r="E1222" t="str">
        <f t="shared" si="38"/>
        <v>VERNIER</v>
      </c>
      <c r="F1222" t="s">
        <v>2485</v>
      </c>
      <c r="G1222">
        <v>20.5</v>
      </c>
      <c r="H1222" t="s">
        <v>2490</v>
      </c>
      <c r="I1222">
        <v>0</v>
      </c>
      <c r="J1222">
        <v>100</v>
      </c>
      <c r="K1222" s="9">
        <f t="shared" si="39"/>
        <v>45805</v>
      </c>
      <c r="L1222" t="s">
        <v>2609</v>
      </c>
      <c r="M1222" t="s">
        <v>2931</v>
      </c>
    </row>
    <row r="1223" spans="1:13" hidden="1" x14ac:dyDescent="0.35">
      <c r="A1223" t="s">
        <v>1225</v>
      </c>
      <c r="B1223" t="s">
        <v>2399</v>
      </c>
      <c r="C1223" t="s">
        <v>2459</v>
      </c>
      <c r="D1223" t="s">
        <v>2464</v>
      </c>
      <c r="E1223" t="str">
        <f t="shared" si="38"/>
        <v>EAST HANOVER</v>
      </c>
      <c r="F1223" t="s">
        <v>2480</v>
      </c>
      <c r="G1223">
        <v>0.91</v>
      </c>
      <c r="H1223" t="s">
        <v>2487</v>
      </c>
      <c r="I1223">
        <v>0.88</v>
      </c>
      <c r="J1223">
        <v>0.97</v>
      </c>
      <c r="K1223" s="9">
        <f t="shared" si="39"/>
        <v>45669</v>
      </c>
      <c r="L1223" t="s">
        <v>2816</v>
      </c>
      <c r="M1223" t="s">
        <v>2925</v>
      </c>
    </row>
    <row r="1224" spans="1:13" hidden="1" x14ac:dyDescent="0.35">
      <c r="A1224" t="s">
        <v>1226</v>
      </c>
      <c r="B1224" t="s">
        <v>2407</v>
      </c>
      <c r="C1224" t="s">
        <v>2461</v>
      </c>
      <c r="D1224" t="s">
        <v>2464</v>
      </c>
      <c r="E1224" t="str">
        <f t="shared" si="38"/>
        <v>EAST HANOVER</v>
      </c>
      <c r="F1224" t="s">
        <v>2482</v>
      </c>
      <c r="G1224">
        <v>98.19</v>
      </c>
      <c r="H1224" t="s">
        <v>2489</v>
      </c>
      <c r="I1224">
        <v>97</v>
      </c>
      <c r="J1224">
        <v>100</v>
      </c>
      <c r="K1224" s="9">
        <f t="shared" si="39"/>
        <v>45527</v>
      </c>
      <c r="L1224" t="s">
        <v>2824</v>
      </c>
      <c r="M1224" t="s">
        <v>2928</v>
      </c>
    </row>
    <row r="1225" spans="1:13" hidden="1" x14ac:dyDescent="0.35">
      <c r="A1225" t="s">
        <v>1227</v>
      </c>
      <c r="B1225" t="s">
        <v>2058</v>
      </c>
      <c r="C1225" t="s">
        <v>2460</v>
      </c>
      <c r="D1225" t="s">
        <v>2476</v>
      </c>
      <c r="E1225" t="str">
        <f t="shared" si="38"/>
        <v>BUDAPEST SITE</v>
      </c>
      <c r="F1225" t="s">
        <v>2479</v>
      </c>
      <c r="G1225">
        <v>54.57</v>
      </c>
      <c r="H1225" t="s">
        <v>2486</v>
      </c>
      <c r="I1225">
        <v>0</v>
      </c>
      <c r="J1225">
        <v>120</v>
      </c>
      <c r="K1225" s="9">
        <f t="shared" si="39"/>
        <v>45695</v>
      </c>
      <c r="L1225" t="s">
        <v>2537</v>
      </c>
      <c r="M1225" t="s">
        <v>2927</v>
      </c>
    </row>
    <row r="1226" spans="1:13" hidden="1" x14ac:dyDescent="0.35">
      <c r="A1226" t="s">
        <v>1228</v>
      </c>
      <c r="B1226" t="s">
        <v>2442</v>
      </c>
      <c r="C1226" t="s">
        <v>2458</v>
      </c>
      <c r="D1226" t="s">
        <v>2465</v>
      </c>
      <c r="E1226" t="str">
        <f t="shared" si="38"/>
        <v>VERNIER</v>
      </c>
      <c r="F1226" t="s">
        <v>2480</v>
      </c>
      <c r="G1226">
        <v>0.95</v>
      </c>
      <c r="H1226" t="s">
        <v>2487</v>
      </c>
      <c r="I1226">
        <v>0.88</v>
      </c>
      <c r="J1226">
        <v>0.97</v>
      </c>
      <c r="K1226" s="9">
        <f t="shared" si="39"/>
        <v>45385</v>
      </c>
      <c r="L1226" t="s">
        <v>2574</v>
      </c>
      <c r="M1226" t="s">
        <v>2925</v>
      </c>
    </row>
    <row r="1227" spans="1:13" hidden="1" x14ac:dyDescent="0.35">
      <c r="A1227" t="s">
        <v>1229</v>
      </c>
      <c r="B1227" t="s">
        <v>2428</v>
      </c>
      <c r="C1227" t="s">
        <v>2458</v>
      </c>
      <c r="D1227" t="s">
        <v>2468</v>
      </c>
      <c r="E1227" t="str">
        <f t="shared" si="38"/>
        <v>VERNIER CH</v>
      </c>
      <c r="F1227" t="s">
        <v>2485</v>
      </c>
      <c r="G1227">
        <v>-1.0900000000000001</v>
      </c>
      <c r="H1227" t="s">
        <v>2490</v>
      </c>
      <c r="I1227">
        <v>0</v>
      </c>
      <c r="J1227">
        <v>100</v>
      </c>
      <c r="K1227" s="9">
        <f t="shared" si="39"/>
        <v>45343</v>
      </c>
      <c r="L1227" t="s">
        <v>2838</v>
      </c>
      <c r="M1227" t="s">
        <v>2924</v>
      </c>
    </row>
    <row r="1228" spans="1:13" hidden="1" x14ac:dyDescent="0.35">
      <c r="A1228" t="s">
        <v>1230</v>
      </c>
      <c r="B1228" t="s">
        <v>2321</v>
      </c>
      <c r="C1228" t="s">
        <v>2457</v>
      </c>
      <c r="D1228" t="s">
        <v>2478</v>
      </c>
      <c r="E1228" t="str">
        <f t="shared" si="38"/>
        <v>BUD</v>
      </c>
      <c r="F1228" t="s">
        <v>2485</v>
      </c>
      <c r="G1228">
        <v>39.770000000000003</v>
      </c>
      <c r="H1228" t="s">
        <v>2490</v>
      </c>
      <c r="I1228">
        <v>0</v>
      </c>
      <c r="J1228">
        <v>100</v>
      </c>
      <c r="K1228" s="9">
        <f t="shared" si="39"/>
        <v>45491</v>
      </c>
      <c r="L1228" t="s">
        <v>2753</v>
      </c>
      <c r="M1228" t="s">
        <v>2925</v>
      </c>
    </row>
    <row r="1229" spans="1:13" hidden="1" x14ac:dyDescent="0.35">
      <c r="A1229" t="s">
        <v>1231</v>
      </c>
      <c r="B1229" t="s">
        <v>2397</v>
      </c>
      <c r="C1229" t="s">
        <v>2459</v>
      </c>
      <c r="D1229" t="s">
        <v>2471</v>
      </c>
      <c r="E1229" t="str">
        <f t="shared" si="38"/>
        <v>BUDAPEST</v>
      </c>
      <c r="F1229" t="s">
        <v>2481</v>
      </c>
      <c r="G1229">
        <v>248.56</v>
      </c>
      <c r="H1229" t="s">
        <v>2488</v>
      </c>
      <c r="I1229">
        <v>150</v>
      </c>
      <c r="J1229">
        <v>400</v>
      </c>
      <c r="K1229" s="9">
        <f t="shared" si="39"/>
        <v>45436</v>
      </c>
      <c r="L1229" t="s">
        <v>2812</v>
      </c>
      <c r="M1229" t="s">
        <v>2926</v>
      </c>
    </row>
    <row r="1230" spans="1:13" hidden="1" x14ac:dyDescent="0.35">
      <c r="A1230" t="s">
        <v>1232</v>
      </c>
      <c r="B1230" t="s">
        <v>2157</v>
      </c>
      <c r="C1230" t="s">
        <v>2458</v>
      </c>
      <c r="D1230" t="s">
        <v>2471</v>
      </c>
      <c r="E1230" t="str">
        <f t="shared" si="38"/>
        <v>BUDAPEST</v>
      </c>
      <c r="F1230" t="s">
        <v>2483</v>
      </c>
      <c r="G1230">
        <v>0.18</v>
      </c>
      <c r="H1230" t="s">
        <v>2489</v>
      </c>
      <c r="I1230">
        <v>0</v>
      </c>
      <c r="J1230">
        <v>1</v>
      </c>
      <c r="K1230" s="9">
        <f t="shared" si="39"/>
        <v>45595</v>
      </c>
      <c r="L1230" t="s">
        <v>2631</v>
      </c>
      <c r="M1230" t="s">
        <v>2929</v>
      </c>
    </row>
    <row r="1231" spans="1:13" hidden="1" x14ac:dyDescent="0.35">
      <c r="A1231" t="s">
        <v>1233</v>
      </c>
      <c r="B1231" t="s">
        <v>2298</v>
      </c>
      <c r="C1231" t="s">
        <v>2458</v>
      </c>
      <c r="D1231" t="s">
        <v>2473</v>
      </c>
      <c r="E1231" t="str">
        <f t="shared" si="38"/>
        <v>DORTMUND</v>
      </c>
      <c r="F1231" t="s">
        <v>2483</v>
      </c>
      <c r="G1231">
        <v>0.46</v>
      </c>
      <c r="H1231" t="s">
        <v>2489</v>
      </c>
      <c r="I1231">
        <v>0</v>
      </c>
      <c r="J1231">
        <v>1</v>
      </c>
      <c r="K1231" s="9">
        <f t="shared" si="39"/>
        <v>45323</v>
      </c>
      <c r="L1231" t="s">
        <v>2738</v>
      </c>
      <c r="M1231" t="s">
        <v>2926</v>
      </c>
    </row>
    <row r="1232" spans="1:13" hidden="1" x14ac:dyDescent="0.35">
      <c r="A1232" t="s">
        <v>1234</v>
      </c>
      <c r="B1232" t="s">
        <v>2348</v>
      </c>
      <c r="C1232" t="s">
        <v>2459</v>
      </c>
      <c r="D1232" t="s">
        <v>2462</v>
      </c>
      <c r="E1232" t="str">
        <f t="shared" si="38"/>
        <v>ASHFORD UK</v>
      </c>
      <c r="F1232" t="s">
        <v>2479</v>
      </c>
      <c r="G1232">
        <v>-60</v>
      </c>
      <c r="H1232" t="s">
        <v>2486</v>
      </c>
      <c r="I1232">
        <v>0</v>
      </c>
      <c r="J1232">
        <v>120</v>
      </c>
      <c r="K1232" s="9">
        <f t="shared" si="39"/>
        <v>45461</v>
      </c>
      <c r="L1232" t="s">
        <v>2531</v>
      </c>
      <c r="M1232" t="s">
        <v>2924</v>
      </c>
    </row>
    <row r="1233" spans="1:13" hidden="1" x14ac:dyDescent="0.35">
      <c r="A1233" t="s">
        <v>1235</v>
      </c>
      <c r="B1233" t="s">
        <v>2281</v>
      </c>
      <c r="C1233" t="s">
        <v>2458</v>
      </c>
      <c r="D1233" t="s">
        <v>2470</v>
      </c>
      <c r="E1233" t="str">
        <f t="shared" si="38"/>
        <v>E. HANOVER</v>
      </c>
      <c r="F1233" t="s">
        <v>2479</v>
      </c>
      <c r="G1233">
        <v>64.819999999999993</v>
      </c>
      <c r="H1233" t="s">
        <v>2486</v>
      </c>
      <c r="I1233">
        <v>0</v>
      </c>
      <c r="J1233">
        <v>120</v>
      </c>
      <c r="K1233" s="9">
        <f t="shared" si="39"/>
        <v>45759</v>
      </c>
      <c r="L1233" t="s">
        <v>2728</v>
      </c>
      <c r="M1233" t="s">
        <v>2924</v>
      </c>
    </row>
    <row r="1234" spans="1:13" hidden="1" x14ac:dyDescent="0.35">
      <c r="A1234" t="s">
        <v>1236</v>
      </c>
      <c r="B1234" t="s">
        <v>2040</v>
      </c>
      <c r="C1234" t="s">
        <v>2460</v>
      </c>
      <c r="D1234" t="s">
        <v>2469</v>
      </c>
      <c r="E1234" t="str">
        <f t="shared" si="38"/>
        <v>DORTMUND</v>
      </c>
      <c r="F1234" t="s">
        <v>2482</v>
      </c>
      <c r="G1234">
        <v>99.34</v>
      </c>
      <c r="H1234" t="s">
        <v>2489</v>
      </c>
      <c r="I1234">
        <v>97</v>
      </c>
      <c r="J1234">
        <v>100</v>
      </c>
      <c r="K1234" s="9">
        <f t="shared" si="39"/>
        <v>45386</v>
      </c>
      <c r="L1234" t="s">
        <v>2520</v>
      </c>
      <c r="M1234" t="s">
        <v>2929</v>
      </c>
    </row>
    <row r="1235" spans="1:13" hidden="1" x14ac:dyDescent="0.35">
      <c r="A1235" t="s">
        <v>1237</v>
      </c>
      <c r="B1235" t="s">
        <v>2199</v>
      </c>
      <c r="C1235" t="s">
        <v>2460</v>
      </c>
      <c r="D1235" t="s">
        <v>2462</v>
      </c>
      <c r="E1235" t="str">
        <f t="shared" si="38"/>
        <v>ASHFORD UK</v>
      </c>
      <c r="F1235" t="s">
        <v>2481</v>
      </c>
      <c r="G1235">
        <v>260.73</v>
      </c>
      <c r="H1235" t="s">
        <v>2488</v>
      </c>
      <c r="I1235">
        <v>150</v>
      </c>
      <c r="J1235">
        <v>400</v>
      </c>
      <c r="K1235" s="9">
        <f t="shared" si="39"/>
        <v>45413</v>
      </c>
      <c r="L1235" t="s">
        <v>2578</v>
      </c>
      <c r="M1235" t="s">
        <v>2929</v>
      </c>
    </row>
    <row r="1236" spans="1:13" hidden="1" x14ac:dyDescent="0.35">
      <c r="A1236" t="s">
        <v>1238</v>
      </c>
      <c r="B1236" t="s">
        <v>2321</v>
      </c>
      <c r="C1236" t="s">
        <v>2457</v>
      </c>
      <c r="D1236" t="s">
        <v>2477</v>
      </c>
      <c r="E1236" t="str">
        <f t="shared" si="38"/>
        <v>BUDAPEST</v>
      </c>
      <c r="F1236" t="s">
        <v>2479</v>
      </c>
      <c r="G1236">
        <v>9.76</v>
      </c>
      <c r="H1236" t="s">
        <v>2486</v>
      </c>
      <c r="I1236">
        <v>0</v>
      </c>
      <c r="J1236">
        <v>120</v>
      </c>
      <c r="K1236" s="9">
        <f t="shared" si="39"/>
        <v>45491</v>
      </c>
      <c r="L1236" t="s">
        <v>2753</v>
      </c>
      <c r="M1236" t="s">
        <v>2923</v>
      </c>
    </row>
    <row r="1237" spans="1:13" hidden="1" x14ac:dyDescent="0.35">
      <c r="A1237" t="s">
        <v>1239</v>
      </c>
      <c r="B1237" t="s">
        <v>2365</v>
      </c>
      <c r="C1237" t="s">
        <v>2459</v>
      </c>
      <c r="D1237" t="s">
        <v>2471</v>
      </c>
      <c r="E1237" t="str">
        <f t="shared" si="38"/>
        <v>BUDAPEST</v>
      </c>
      <c r="F1237" t="s">
        <v>2480</v>
      </c>
      <c r="G1237">
        <v>0.91</v>
      </c>
      <c r="H1237" t="s">
        <v>2487</v>
      </c>
      <c r="I1237">
        <v>0.88</v>
      </c>
      <c r="J1237">
        <v>0.97</v>
      </c>
      <c r="K1237" s="9">
        <f t="shared" si="39"/>
        <v>45344</v>
      </c>
      <c r="L1237" t="s">
        <v>2705</v>
      </c>
      <c r="M1237" t="s">
        <v>2927</v>
      </c>
    </row>
    <row r="1238" spans="1:13" hidden="1" x14ac:dyDescent="0.35">
      <c r="A1238" t="s">
        <v>1240</v>
      </c>
      <c r="B1238" t="s">
        <v>2378</v>
      </c>
      <c r="C1238" t="s">
        <v>2457</v>
      </c>
      <c r="D1238" t="s">
        <v>2466</v>
      </c>
      <c r="E1238" t="str">
        <f t="shared" si="38"/>
        <v>EAST HANOVER</v>
      </c>
      <c r="F1238" t="s">
        <v>2481</v>
      </c>
      <c r="G1238">
        <v>241.79</v>
      </c>
      <c r="H1238" t="s">
        <v>2488</v>
      </c>
      <c r="I1238">
        <v>150</v>
      </c>
      <c r="J1238">
        <v>400</v>
      </c>
      <c r="K1238" s="9">
        <f t="shared" si="39"/>
        <v>45394</v>
      </c>
      <c r="L1238" t="s">
        <v>2797</v>
      </c>
      <c r="M1238" t="s">
        <v>2931</v>
      </c>
    </row>
    <row r="1239" spans="1:13" hidden="1" x14ac:dyDescent="0.35">
      <c r="A1239" t="s">
        <v>1241</v>
      </c>
      <c r="B1239" t="s">
        <v>2403</v>
      </c>
      <c r="C1239" t="s">
        <v>2460</v>
      </c>
      <c r="D1239" t="s">
        <v>2464</v>
      </c>
      <c r="E1239" t="str">
        <f t="shared" si="38"/>
        <v>EAST HANOVER</v>
      </c>
      <c r="F1239" t="s">
        <v>2482</v>
      </c>
      <c r="G1239">
        <v>98.56</v>
      </c>
      <c r="H1239" t="s">
        <v>2489</v>
      </c>
      <c r="I1239">
        <v>97</v>
      </c>
      <c r="J1239">
        <v>100</v>
      </c>
      <c r="K1239" s="9">
        <f t="shared" si="39"/>
        <v>45567</v>
      </c>
      <c r="L1239" t="s">
        <v>2820</v>
      </c>
      <c r="M1239" t="s">
        <v>2929</v>
      </c>
    </row>
    <row r="1240" spans="1:13" hidden="1" x14ac:dyDescent="0.35">
      <c r="A1240" t="s">
        <v>1242</v>
      </c>
      <c r="B1240" t="s">
        <v>2142</v>
      </c>
      <c r="C1240" t="s">
        <v>2458</v>
      </c>
      <c r="D1240" t="s">
        <v>2470</v>
      </c>
      <c r="E1240" t="str">
        <f t="shared" si="38"/>
        <v>E. HANOVER</v>
      </c>
      <c r="F1240" t="s">
        <v>2479</v>
      </c>
      <c r="G1240">
        <v>44.37</v>
      </c>
      <c r="H1240" t="s">
        <v>2486</v>
      </c>
      <c r="I1240">
        <v>0</v>
      </c>
      <c r="J1240">
        <v>120</v>
      </c>
      <c r="K1240" s="9">
        <f t="shared" si="39"/>
        <v>45942</v>
      </c>
      <c r="L1240" t="s">
        <v>2617</v>
      </c>
      <c r="M1240" t="s">
        <v>2926</v>
      </c>
    </row>
    <row r="1241" spans="1:13" hidden="1" x14ac:dyDescent="0.35">
      <c r="A1241" t="s">
        <v>1243</v>
      </c>
      <c r="B1241" t="s">
        <v>2347</v>
      </c>
      <c r="C1241" t="s">
        <v>2460</v>
      </c>
      <c r="D1241" t="s">
        <v>2474</v>
      </c>
      <c r="E1241" t="str">
        <f t="shared" si="38"/>
        <v>DORTMUND DE</v>
      </c>
      <c r="F1241" t="s">
        <v>2485</v>
      </c>
      <c r="G1241">
        <v>25.28</v>
      </c>
      <c r="H1241" t="s">
        <v>2490</v>
      </c>
      <c r="I1241">
        <v>0</v>
      </c>
      <c r="J1241">
        <v>100</v>
      </c>
      <c r="K1241" s="9">
        <f t="shared" si="39"/>
        <v>45401</v>
      </c>
      <c r="L1241" t="s">
        <v>2774</v>
      </c>
      <c r="M1241" t="s">
        <v>2924</v>
      </c>
    </row>
    <row r="1242" spans="1:13" hidden="1" x14ac:dyDescent="0.35">
      <c r="A1242" t="s">
        <v>1244</v>
      </c>
      <c r="B1242" t="s">
        <v>2369</v>
      </c>
      <c r="C1242" t="s">
        <v>2458</v>
      </c>
      <c r="D1242" t="s">
        <v>2475</v>
      </c>
      <c r="E1242" t="str">
        <f t="shared" si="38"/>
        <v>ASHFORD</v>
      </c>
      <c r="F1242" t="s">
        <v>2483</v>
      </c>
      <c r="G1242">
        <v>0.33</v>
      </c>
      <c r="H1242" t="s">
        <v>2489</v>
      </c>
      <c r="I1242">
        <v>0</v>
      </c>
      <c r="J1242">
        <v>1</v>
      </c>
      <c r="K1242" s="9">
        <f t="shared" si="39"/>
        <v>46003</v>
      </c>
      <c r="L1242" t="s">
        <v>2790</v>
      </c>
      <c r="M1242" t="s">
        <v>2924</v>
      </c>
    </row>
    <row r="1243" spans="1:13" hidden="1" x14ac:dyDescent="0.35">
      <c r="A1243" t="s">
        <v>1245</v>
      </c>
      <c r="B1243" t="s">
        <v>2198</v>
      </c>
      <c r="C1243" t="s">
        <v>2459</v>
      </c>
      <c r="D1243" t="s">
        <v>2470</v>
      </c>
      <c r="E1243" t="str">
        <f t="shared" si="38"/>
        <v>E. HANOVER</v>
      </c>
      <c r="F1243" t="s">
        <v>2480</v>
      </c>
      <c r="G1243">
        <v>0.92</v>
      </c>
      <c r="H1243" t="s">
        <v>2487</v>
      </c>
      <c r="I1243">
        <v>0.88</v>
      </c>
      <c r="J1243">
        <v>0.97</v>
      </c>
      <c r="K1243" s="9">
        <f t="shared" si="39"/>
        <v>45704</v>
      </c>
      <c r="L1243" t="s">
        <v>2669</v>
      </c>
      <c r="M1243" t="s">
        <v>2925</v>
      </c>
    </row>
    <row r="1244" spans="1:13" x14ac:dyDescent="0.35">
      <c r="A1244" t="s">
        <v>1246</v>
      </c>
      <c r="B1244" t="s">
        <v>2095</v>
      </c>
      <c r="C1244" t="s">
        <v>2459</v>
      </c>
      <c r="D1244" t="s">
        <v>2475</v>
      </c>
      <c r="E1244" t="str">
        <f t="shared" si="38"/>
        <v>ASHFORD</v>
      </c>
      <c r="F1244" t="s">
        <v>2479</v>
      </c>
      <c r="H1244" t="s">
        <v>2486</v>
      </c>
      <c r="I1244">
        <v>0</v>
      </c>
      <c r="J1244">
        <v>120</v>
      </c>
      <c r="K1244" s="9">
        <f t="shared" si="39"/>
        <v>45825</v>
      </c>
      <c r="L1244" t="s">
        <v>2573</v>
      </c>
      <c r="M1244" t="s">
        <v>2925</v>
      </c>
    </row>
    <row r="1245" spans="1:13" hidden="1" x14ac:dyDescent="0.35">
      <c r="A1245" t="s">
        <v>1247</v>
      </c>
      <c r="B1245" t="s">
        <v>2450</v>
      </c>
      <c r="C1245" t="s">
        <v>2458</v>
      </c>
      <c r="D1245" t="s">
        <v>2476</v>
      </c>
      <c r="E1245" t="str">
        <f t="shared" si="38"/>
        <v>BUDAPEST SITE</v>
      </c>
      <c r="F1245" t="s">
        <v>2480</v>
      </c>
      <c r="G1245">
        <v>0.9</v>
      </c>
      <c r="H1245" t="s">
        <v>2487</v>
      </c>
      <c r="I1245">
        <v>0.88</v>
      </c>
      <c r="J1245">
        <v>0.97</v>
      </c>
      <c r="K1245" s="9">
        <f t="shared" si="39"/>
        <v>45352</v>
      </c>
      <c r="L1245" t="s">
        <v>2880</v>
      </c>
      <c r="M1245" t="s">
        <v>2930</v>
      </c>
    </row>
    <row r="1246" spans="1:13" hidden="1" x14ac:dyDescent="0.35">
      <c r="A1246" t="s">
        <v>1248</v>
      </c>
      <c r="B1246" t="s">
        <v>2416</v>
      </c>
      <c r="C1246" t="s">
        <v>2458</v>
      </c>
      <c r="D1246" t="s">
        <v>2464</v>
      </c>
      <c r="E1246" t="str">
        <f t="shared" si="38"/>
        <v>EAST HANOVER</v>
      </c>
      <c r="F1246" t="s">
        <v>2480</v>
      </c>
      <c r="G1246">
        <v>0.88</v>
      </c>
      <c r="H1246" t="s">
        <v>2487</v>
      </c>
      <c r="I1246">
        <v>0.88</v>
      </c>
      <c r="J1246">
        <v>0.97</v>
      </c>
      <c r="K1246" s="9">
        <f t="shared" si="39"/>
        <v>46003</v>
      </c>
      <c r="L1246" t="s">
        <v>2790</v>
      </c>
      <c r="M1246" t="s">
        <v>2930</v>
      </c>
    </row>
    <row r="1247" spans="1:13" hidden="1" x14ac:dyDescent="0.35">
      <c r="A1247" t="s">
        <v>1249</v>
      </c>
      <c r="B1247" t="s">
        <v>2144</v>
      </c>
      <c r="C1247" t="s">
        <v>2461</v>
      </c>
      <c r="D1247" t="s">
        <v>2464</v>
      </c>
      <c r="E1247" t="str">
        <f t="shared" si="38"/>
        <v>EAST HANOVER</v>
      </c>
      <c r="F1247" t="s">
        <v>2482</v>
      </c>
      <c r="G1247">
        <v>98.8</v>
      </c>
      <c r="H1247" t="s">
        <v>2489</v>
      </c>
      <c r="I1247">
        <v>97</v>
      </c>
      <c r="J1247">
        <v>100</v>
      </c>
      <c r="K1247" s="9">
        <f t="shared" si="39"/>
        <v>45635</v>
      </c>
      <c r="L1247" t="s">
        <v>2619</v>
      </c>
      <c r="M1247" t="s">
        <v>2924</v>
      </c>
    </row>
    <row r="1248" spans="1:13" hidden="1" x14ac:dyDescent="0.35">
      <c r="A1248" t="s">
        <v>1250</v>
      </c>
      <c r="B1248" t="s">
        <v>2428</v>
      </c>
      <c r="C1248" t="s">
        <v>2458</v>
      </c>
      <c r="D1248" t="s">
        <v>2463</v>
      </c>
      <c r="E1248" t="str">
        <f t="shared" si="38"/>
        <v>VERNIER</v>
      </c>
      <c r="F1248" t="s">
        <v>2481</v>
      </c>
      <c r="G1248">
        <v>273.81</v>
      </c>
      <c r="H1248" t="s">
        <v>2488</v>
      </c>
      <c r="I1248">
        <v>150</v>
      </c>
      <c r="J1248">
        <v>400</v>
      </c>
      <c r="K1248" s="9">
        <f t="shared" si="39"/>
        <v>45343</v>
      </c>
      <c r="L1248" t="s">
        <v>2838</v>
      </c>
      <c r="M1248" t="s">
        <v>2931</v>
      </c>
    </row>
    <row r="1249" spans="1:13" hidden="1" x14ac:dyDescent="0.35">
      <c r="A1249" t="s">
        <v>1251</v>
      </c>
      <c r="B1249" t="s">
        <v>2446</v>
      </c>
      <c r="C1249" t="s">
        <v>2459</v>
      </c>
      <c r="D1249" t="s">
        <v>2468</v>
      </c>
      <c r="E1249" t="str">
        <f t="shared" si="38"/>
        <v>VERNIER CH</v>
      </c>
      <c r="F1249" t="s">
        <v>2483</v>
      </c>
      <c r="G1249">
        <v>0.56999999999999995</v>
      </c>
      <c r="H1249" t="s">
        <v>2489</v>
      </c>
      <c r="I1249">
        <v>0</v>
      </c>
      <c r="J1249">
        <v>1</v>
      </c>
      <c r="K1249" s="9">
        <f t="shared" si="39"/>
        <v>46021</v>
      </c>
      <c r="L1249" t="s">
        <v>2870</v>
      </c>
      <c r="M1249" t="s">
        <v>2923</v>
      </c>
    </row>
    <row r="1250" spans="1:13" hidden="1" x14ac:dyDescent="0.35">
      <c r="A1250" t="s">
        <v>1252</v>
      </c>
      <c r="B1250" t="s">
        <v>2151</v>
      </c>
      <c r="C1250" t="s">
        <v>2458</v>
      </c>
      <c r="D1250" t="s">
        <v>2466</v>
      </c>
      <c r="E1250" t="str">
        <f t="shared" si="38"/>
        <v>EAST HANOVER</v>
      </c>
      <c r="F1250" t="s">
        <v>2480</v>
      </c>
      <c r="G1250">
        <v>0.95</v>
      </c>
      <c r="H1250" t="s">
        <v>2487</v>
      </c>
      <c r="I1250">
        <v>0.88</v>
      </c>
      <c r="J1250">
        <v>0.97</v>
      </c>
      <c r="K1250" s="9">
        <f t="shared" si="39"/>
        <v>45334</v>
      </c>
      <c r="L1250" t="s">
        <v>2626</v>
      </c>
      <c r="M1250" t="s">
        <v>2929</v>
      </c>
    </row>
    <row r="1251" spans="1:13" hidden="1" x14ac:dyDescent="0.35">
      <c r="A1251" t="s">
        <v>1253</v>
      </c>
      <c r="B1251" t="s">
        <v>2021</v>
      </c>
      <c r="C1251" t="s">
        <v>2457</v>
      </c>
      <c r="D1251" t="s">
        <v>2466</v>
      </c>
      <c r="E1251" t="str">
        <f t="shared" si="38"/>
        <v>EAST HANOVER</v>
      </c>
      <c r="F1251" t="s">
        <v>2479</v>
      </c>
      <c r="G1251">
        <v>20.09</v>
      </c>
      <c r="H1251" t="s">
        <v>2486</v>
      </c>
      <c r="I1251">
        <v>0</v>
      </c>
      <c r="J1251">
        <v>120</v>
      </c>
      <c r="K1251" s="9">
        <f t="shared" si="39"/>
        <v>45577</v>
      </c>
      <c r="L1251" t="s">
        <v>2501</v>
      </c>
      <c r="M1251" t="s">
        <v>2924</v>
      </c>
    </row>
    <row r="1252" spans="1:13" hidden="1" x14ac:dyDescent="0.35">
      <c r="A1252" t="s">
        <v>1254</v>
      </c>
      <c r="B1252" t="s">
        <v>2329</v>
      </c>
      <c r="C1252" t="s">
        <v>2459</v>
      </c>
      <c r="D1252" t="s">
        <v>2473</v>
      </c>
      <c r="E1252" t="str">
        <f t="shared" si="38"/>
        <v>DORTMUND</v>
      </c>
      <c r="F1252" t="s">
        <v>2483</v>
      </c>
      <c r="G1252">
        <v>0.41</v>
      </c>
      <c r="H1252" t="s">
        <v>2489</v>
      </c>
      <c r="I1252">
        <v>0</v>
      </c>
      <c r="J1252">
        <v>1</v>
      </c>
      <c r="K1252" s="9">
        <f t="shared" si="39"/>
        <v>45849</v>
      </c>
      <c r="L1252" t="s">
        <v>2759</v>
      </c>
      <c r="M1252" t="s">
        <v>2924</v>
      </c>
    </row>
    <row r="1253" spans="1:13" hidden="1" x14ac:dyDescent="0.35">
      <c r="A1253" t="s">
        <v>1255</v>
      </c>
      <c r="B1253" t="s">
        <v>2430</v>
      </c>
      <c r="C1253" t="s">
        <v>2458</v>
      </c>
      <c r="D1253" t="s">
        <v>2478</v>
      </c>
      <c r="E1253" t="str">
        <f t="shared" si="38"/>
        <v>BUD</v>
      </c>
      <c r="F1253" t="s">
        <v>2483</v>
      </c>
      <c r="G1253">
        <v>0.32</v>
      </c>
      <c r="H1253" t="s">
        <v>2489</v>
      </c>
      <c r="I1253">
        <v>0</v>
      </c>
      <c r="J1253">
        <v>1</v>
      </c>
      <c r="K1253" s="9">
        <f t="shared" si="39"/>
        <v>45714</v>
      </c>
      <c r="L1253" t="s">
        <v>2841</v>
      </c>
      <c r="M1253" t="s">
        <v>2931</v>
      </c>
    </row>
    <row r="1254" spans="1:13" hidden="1" x14ac:dyDescent="0.35">
      <c r="A1254" t="s">
        <v>1256</v>
      </c>
      <c r="B1254" t="s">
        <v>2094</v>
      </c>
      <c r="C1254" t="s">
        <v>2460</v>
      </c>
      <c r="D1254" t="s">
        <v>2462</v>
      </c>
      <c r="E1254" t="str">
        <f t="shared" si="38"/>
        <v>ASHFORD UK</v>
      </c>
      <c r="F1254" t="s">
        <v>2479</v>
      </c>
      <c r="G1254">
        <v>50.23</v>
      </c>
      <c r="H1254" t="s">
        <v>2486</v>
      </c>
      <c r="I1254">
        <v>0</v>
      </c>
      <c r="J1254">
        <v>120</v>
      </c>
      <c r="K1254" s="9">
        <f t="shared" si="39"/>
        <v>45316</v>
      </c>
      <c r="L1254" t="s">
        <v>2572</v>
      </c>
      <c r="M1254" t="s">
        <v>2928</v>
      </c>
    </row>
    <row r="1255" spans="1:13" hidden="1" x14ac:dyDescent="0.35">
      <c r="A1255" t="s">
        <v>1257</v>
      </c>
      <c r="B1255" t="s">
        <v>2340</v>
      </c>
      <c r="C1255" t="s">
        <v>2460</v>
      </c>
      <c r="D1255" t="s">
        <v>2468</v>
      </c>
      <c r="E1255" t="str">
        <f t="shared" si="38"/>
        <v>VERNIER CH</v>
      </c>
      <c r="F1255" t="s">
        <v>2484</v>
      </c>
      <c r="G1255">
        <v>6.25</v>
      </c>
      <c r="I1255">
        <v>6</v>
      </c>
      <c r="J1255">
        <v>7.5</v>
      </c>
      <c r="K1255" s="9">
        <f t="shared" si="39"/>
        <v>45890</v>
      </c>
      <c r="L1255" t="s">
        <v>2881</v>
      </c>
      <c r="M1255" t="s">
        <v>2929</v>
      </c>
    </row>
    <row r="1256" spans="1:13" hidden="1" x14ac:dyDescent="0.35">
      <c r="A1256" t="s">
        <v>1258</v>
      </c>
      <c r="B1256" t="s">
        <v>2259</v>
      </c>
      <c r="C1256" t="s">
        <v>2457</v>
      </c>
      <c r="D1256" t="s">
        <v>2468</v>
      </c>
      <c r="E1256" t="str">
        <f t="shared" si="38"/>
        <v>VERNIER CH</v>
      </c>
      <c r="F1256" t="s">
        <v>2482</v>
      </c>
      <c r="G1256">
        <v>96.78</v>
      </c>
      <c r="H1256" t="s">
        <v>2489</v>
      </c>
      <c r="I1256">
        <v>97</v>
      </c>
      <c r="J1256">
        <v>100</v>
      </c>
      <c r="K1256" s="9">
        <f t="shared" si="39"/>
        <v>45863</v>
      </c>
      <c r="L1256" t="s">
        <v>2711</v>
      </c>
      <c r="M1256" t="s">
        <v>2931</v>
      </c>
    </row>
    <row r="1257" spans="1:13" hidden="1" x14ac:dyDescent="0.35">
      <c r="A1257" t="s">
        <v>1259</v>
      </c>
      <c r="B1257" t="s">
        <v>2081</v>
      </c>
      <c r="C1257" t="s">
        <v>2458</v>
      </c>
      <c r="D1257" t="s">
        <v>2469</v>
      </c>
      <c r="E1257" t="str">
        <f t="shared" si="38"/>
        <v>DORTMUND</v>
      </c>
      <c r="F1257" t="s">
        <v>2484</v>
      </c>
      <c r="G1257">
        <v>6.51</v>
      </c>
      <c r="I1257">
        <v>6</v>
      </c>
      <c r="J1257">
        <v>7.5</v>
      </c>
      <c r="K1257" s="9">
        <f t="shared" si="39"/>
        <v>45610</v>
      </c>
      <c r="L1257" t="s">
        <v>2560</v>
      </c>
      <c r="M1257" t="s">
        <v>2930</v>
      </c>
    </row>
    <row r="1258" spans="1:13" hidden="1" x14ac:dyDescent="0.35">
      <c r="A1258" t="s">
        <v>1260</v>
      </c>
      <c r="B1258" t="s">
        <v>2383</v>
      </c>
      <c r="C1258" t="s">
        <v>2458</v>
      </c>
      <c r="D1258" t="s">
        <v>2476</v>
      </c>
      <c r="E1258" t="str">
        <f t="shared" si="38"/>
        <v>BUDAPEST SITE</v>
      </c>
      <c r="F1258" t="s">
        <v>2483</v>
      </c>
      <c r="G1258">
        <v>0.39</v>
      </c>
      <c r="H1258" t="s">
        <v>2489</v>
      </c>
      <c r="I1258">
        <v>0</v>
      </c>
      <c r="J1258">
        <v>1</v>
      </c>
      <c r="K1258" s="9">
        <f t="shared" si="39"/>
        <v>45347</v>
      </c>
      <c r="L1258" t="s">
        <v>2800</v>
      </c>
      <c r="M1258" t="s">
        <v>2927</v>
      </c>
    </row>
    <row r="1259" spans="1:13" hidden="1" x14ac:dyDescent="0.35">
      <c r="A1259" t="s">
        <v>1261</v>
      </c>
      <c r="B1259" t="s">
        <v>2388</v>
      </c>
      <c r="C1259" t="s">
        <v>2457</v>
      </c>
      <c r="D1259" t="s">
        <v>2464</v>
      </c>
      <c r="E1259" t="str">
        <f t="shared" si="38"/>
        <v>EAST HANOVER</v>
      </c>
      <c r="F1259" t="s">
        <v>2480</v>
      </c>
      <c r="G1259">
        <v>0.84</v>
      </c>
      <c r="H1259" t="s">
        <v>2487</v>
      </c>
      <c r="I1259">
        <v>0.88</v>
      </c>
      <c r="J1259">
        <v>0.97</v>
      </c>
      <c r="K1259" s="9">
        <f t="shared" si="39"/>
        <v>45336</v>
      </c>
      <c r="L1259" t="s">
        <v>2805</v>
      </c>
      <c r="M1259" t="s">
        <v>2930</v>
      </c>
    </row>
    <row r="1260" spans="1:13" hidden="1" x14ac:dyDescent="0.35">
      <c r="A1260" t="s">
        <v>1262</v>
      </c>
      <c r="B1260" t="s">
        <v>2329</v>
      </c>
      <c r="C1260" t="s">
        <v>2459</v>
      </c>
      <c r="D1260" t="s">
        <v>2473</v>
      </c>
      <c r="E1260" t="str">
        <f t="shared" si="38"/>
        <v>DORTMUND</v>
      </c>
      <c r="F1260" t="s">
        <v>2481</v>
      </c>
      <c r="G1260">
        <v>309.26</v>
      </c>
      <c r="H1260" t="s">
        <v>2488</v>
      </c>
      <c r="I1260">
        <v>150</v>
      </c>
      <c r="J1260">
        <v>400</v>
      </c>
      <c r="K1260" s="9">
        <f t="shared" si="39"/>
        <v>45849</v>
      </c>
      <c r="L1260" t="s">
        <v>2759</v>
      </c>
      <c r="M1260" t="s">
        <v>2929</v>
      </c>
    </row>
    <row r="1261" spans="1:13" hidden="1" x14ac:dyDescent="0.35">
      <c r="A1261" t="s">
        <v>1263</v>
      </c>
      <c r="B1261" t="s">
        <v>2244</v>
      </c>
      <c r="C1261" t="s">
        <v>2458</v>
      </c>
      <c r="D1261" t="s">
        <v>2470</v>
      </c>
      <c r="E1261" t="str">
        <f t="shared" si="38"/>
        <v>E. HANOVER</v>
      </c>
      <c r="F1261" t="s">
        <v>2481</v>
      </c>
      <c r="G1261">
        <v>216.19</v>
      </c>
      <c r="H1261" t="s">
        <v>2488</v>
      </c>
      <c r="I1261">
        <v>150</v>
      </c>
      <c r="J1261">
        <v>400</v>
      </c>
      <c r="K1261" s="9">
        <f t="shared" si="39"/>
        <v>45821</v>
      </c>
      <c r="L1261" t="s">
        <v>2698</v>
      </c>
      <c r="M1261" t="s">
        <v>2926</v>
      </c>
    </row>
    <row r="1262" spans="1:13" hidden="1" x14ac:dyDescent="0.35">
      <c r="A1262" t="s">
        <v>1264</v>
      </c>
      <c r="B1262" t="s">
        <v>2204</v>
      </c>
      <c r="C1262" t="s">
        <v>2460</v>
      </c>
      <c r="D1262" t="s">
        <v>2472</v>
      </c>
      <c r="E1262" t="str">
        <f t="shared" si="38"/>
        <v>VERNIER</v>
      </c>
      <c r="F1262" t="s">
        <v>2483</v>
      </c>
      <c r="G1262">
        <v>0.35</v>
      </c>
      <c r="H1262" t="s">
        <v>2489</v>
      </c>
      <c r="I1262">
        <v>0</v>
      </c>
      <c r="J1262">
        <v>1</v>
      </c>
      <c r="K1262" s="9">
        <f t="shared" si="39"/>
        <v>45445</v>
      </c>
      <c r="L1262" t="s">
        <v>2628</v>
      </c>
      <c r="M1262" t="s">
        <v>2929</v>
      </c>
    </row>
    <row r="1263" spans="1:13" hidden="1" x14ac:dyDescent="0.35">
      <c r="A1263" t="s">
        <v>1265</v>
      </c>
      <c r="B1263" t="s">
        <v>2124</v>
      </c>
      <c r="C1263" t="s">
        <v>2457</v>
      </c>
      <c r="D1263" t="s">
        <v>2469</v>
      </c>
      <c r="E1263" t="str">
        <f t="shared" si="38"/>
        <v>DORTMUND</v>
      </c>
      <c r="F1263" t="s">
        <v>2481</v>
      </c>
      <c r="G1263">
        <v>314.48</v>
      </c>
      <c r="H1263" t="s">
        <v>2488</v>
      </c>
      <c r="I1263">
        <v>150</v>
      </c>
      <c r="J1263">
        <v>400</v>
      </c>
      <c r="K1263" s="9">
        <f t="shared" si="39"/>
        <v>45733</v>
      </c>
      <c r="L1263" t="s">
        <v>2601</v>
      </c>
      <c r="M1263" t="s">
        <v>2928</v>
      </c>
    </row>
    <row r="1264" spans="1:13" hidden="1" x14ac:dyDescent="0.35">
      <c r="A1264" t="s">
        <v>1266</v>
      </c>
      <c r="B1264" t="s">
        <v>2127</v>
      </c>
      <c r="C1264" t="s">
        <v>2459</v>
      </c>
      <c r="D1264" t="s">
        <v>2465</v>
      </c>
      <c r="E1264" t="str">
        <f t="shared" si="38"/>
        <v>VERNIER</v>
      </c>
      <c r="F1264" t="s">
        <v>2480</v>
      </c>
      <c r="G1264">
        <v>0.9</v>
      </c>
      <c r="H1264" t="s">
        <v>2487</v>
      </c>
      <c r="I1264">
        <v>0.88</v>
      </c>
      <c r="J1264">
        <v>0.97</v>
      </c>
      <c r="K1264" s="9">
        <f t="shared" si="39"/>
        <v>45788</v>
      </c>
      <c r="L1264" t="s">
        <v>2603</v>
      </c>
      <c r="M1264" t="s">
        <v>2925</v>
      </c>
    </row>
    <row r="1265" spans="1:13" hidden="1" x14ac:dyDescent="0.35">
      <c r="A1265" t="s">
        <v>1267</v>
      </c>
      <c r="B1265" t="s">
        <v>2185</v>
      </c>
      <c r="C1265" t="s">
        <v>2461</v>
      </c>
      <c r="D1265" t="s">
        <v>2464</v>
      </c>
      <c r="E1265" t="str">
        <f t="shared" si="38"/>
        <v>EAST HANOVER</v>
      </c>
      <c r="F1265" t="s">
        <v>2480</v>
      </c>
      <c r="G1265">
        <v>0.91</v>
      </c>
      <c r="H1265" t="s">
        <v>2487</v>
      </c>
      <c r="I1265">
        <v>0.88</v>
      </c>
      <c r="J1265">
        <v>0.97</v>
      </c>
      <c r="K1265" s="9">
        <f t="shared" si="39"/>
        <v>45830</v>
      </c>
      <c r="L1265" t="s">
        <v>2657</v>
      </c>
      <c r="M1265" t="s">
        <v>2926</v>
      </c>
    </row>
    <row r="1266" spans="1:13" hidden="1" x14ac:dyDescent="0.35">
      <c r="A1266" t="s">
        <v>1268</v>
      </c>
      <c r="B1266" t="s">
        <v>2352</v>
      </c>
      <c r="C1266" t="s">
        <v>2457</v>
      </c>
      <c r="D1266" t="s">
        <v>2473</v>
      </c>
      <c r="E1266" t="str">
        <f t="shared" si="38"/>
        <v>DORTMUND</v>
      </c>
      <c r="F1266" t="s">
        <v>2481</v>
      </c>
      <c r="G1266">
        <v>182.3</v>
      </c>
      <c r="H1266" t="s">
        <v>2488</v>
      </c>
      <c r="I1266">
        <v>150</v>
      </c>
      <c r="J1266">
        <v>400</v>
      </c>
      <c r="K1266" s="9">
        <f t="shared" si="39"/>
        <v>45416</v>
      </c>
      <c r="L1266" t="s">
        <v>2553</v>
      </c>
      <c r="M1266" t="s">
        <v>2929</v>
      </c>
    </row>
    <row r="1267" spans="1:13" hidden="1" x14ac:dyDescent="0.35">
      <c r="A1267" t="s">
        <v>1269</v>
      </c>
      <c r="B1267" t="s">
        <v>2451</v>
      </c>
      <c r="C1267" t="s">
        <v>2459</v>
      </c>
      <c r="D1267" t="s">
        <v>2477</v>
      </c>
      <c r="E1267" t="str">
        <f t="shared" si="38"/>
        <v>BUDAPEST</v>
      </c>
      <c r="F1267" t="s">
        <v>2482</v>
      </c>
      <c r="G1267">
        <v>98.96</v>
      </c>
      <c r="H1267" t="s">
        <v>2489</v>
      </c>
      <c r="I1267">
        <v>97</v>
      </c>
      <c r="J1267">
        <v>100</v>
      </c>
      <c r="K1267" s="9">
        <f t="shared" si="39"/>
        <v>45735</v>
      </c>
      <c r="L1267" t="s">
        <v>2882</v>
      </c>
      <c r="M1267" t="s">
        <v>2929</v>
      </c>
    </row>
    <row r="1268" spans="1:13" hidden="1" x14ac:dyDescent="0.35">
      <c r="A1268" t="s">
        <v>1270</v>
      </c>
      <c r="B1268" t="s">
        <v>2287</v>
      </c>
      <c r="C1268" t="s">
        <v>2460</v>
      </c>
      <c r="D1268" t="s">
        <v>2463</v>
      </c>
      <c r="E1268" t="str">
        <f t="shared" si="38"/>
        <v>VERNIER</v>
      </c>
      <c r="F1268" t="s">
        <v>2483</v>
      </c>
      <c r="G1268">
        <v>0.31</v>
      </c>
      <c r="H1268" t="s">
        <v>2489</v>
      </c>
      <c r="I1268">
        <v>0</v>
      </c>
      <c r="J1268">
        <v>1</v>
      </c>
      <c r="K1268" s="9">
        <f t="shared" si="39"/>
        <v>45448</v>
      </c>
      <c r="L1268" t="s">
        <v>2730</v>
      </c>
      <c r="M1268" t="s">
        <v>2925</v>
      </c>
    </row>
    <row r="1269" spans="1:13" hidden="1" x14ac:dyDescent="0.35">
      <c r="A1269" t="s">
        <v>1271</v>
      </c>
      <c r="B1269" t="s">
        <v>2198</v>
      </c>
      <c r="C1269" t="s">
        <v>2459</v>
      </c>
      <c r="D1269" t="s">
        <v>2466</v>
      </c>
      <c r="E1269" t="str">
        <f t="shared" si="38"/>
        <v>EAST HANOVER</v>
      </c>
      <c r="F1269" t="s">
        <v>2479</v>
      </c>
      <c r="G1269">
        <v>51.97</v>
      </c>
      <c r="H1269" t="s">
        <v>2486</v>
      </c>
      <c r="I1269">
        <v>0</v>
      </c>
      <c r="J1269">
        <v>120</v>
      </c>
      <c r="K1269" s="9">
        <f t="shared" si="39"/>
        <v>45704</v>
      </c>
      <c r="L1269" t="s">
        <v>2669</v>
      </c>
      <c r="M1269" t="s">
        <v>2928</v>
      </c>
    </row>
    <row r="1270" spans="1:13" hidden="1" x14ac:dyDescent="0.35">
      <c r="A1270" t="s">
        <v>1272</v>
      </c>
      <c r="B1270" t="s">
        <v>2436</v>
      </c>
      <c r="C1270" t="s">
        <v>2461</v>
      </c>
      <c r="D1270" t="s">
        <v>2475</v>
      </c>
      <c r="E1270" t="str">
        <f t="shared" si="38"/>
        <v>ASHFORD</v>
      </c>
      <c r="F1270" t="s">
        <v>2480</v>
      </c>
      <c r="G1270">
        <v>0.87</v>
      </c>
      <c r="H1270" t="s">
        <v>2487</v>
      </c>
      <c r="I1270">
        <v>0.88</v>
      </c>
      <c r="J1270">
        <v>0.97</v>
      </c>
      <c r="K1270" s="9">
        <f t="shared" si="39"/>
        <v>45332</v>
      </c>
      <c r="L1270" t="s">
        <v>2852</v>
      </c>
      <c r="M1270" t="s">
        <v>2932</v>
      </c>
    </row>
    <row r="1271" spans="1:13" hidden="1" x14ac:dyDescent="0.35">
      <c r="A1271" t="s">
        <v>1273</v>
      </c>
      <c r="B1271" t="s">
        <v>2222</v>
      </c>
      <c r="C1271" t="s">
        <v>2459</v>
      </c>
      <c r="D1271" t="s">
        <v>2462</v>
      </c>
      <c r="E1271" t="str">
        <f t="shared" si="38"/>
        <v>ASHFORD UK</v>
      </c>
      <c r="F1271" t="s">
        <v>2485</v>
      </c>
      <c r="G1271">
        <v>29.13</v>
      </c>
      <c r="H1271" t="s">
        <v>2490</v>
      </c>
      <c r="I1271">
        <v>0</v>
      </c>
      <c r="J1271">
        <v>100</v>
      </c>
      <c r="K1271" s="9">
        <f t="shared" si="39"/>
        <v>45317</v>
      </c>
      <c r="L1271" t="s">
        <v>2687</v>
      </c>
      <c r="M1271" t="s">
        <v>2923</v>
      </c>
    </row>
    <row r="1272" spans="1:13" hidden="1" x14ac:dyDescent="0.35">
      <c r="A1272" t="s">
        <v>1274</v>
      </c>
      <c r="B1272" t="s">
        <v>2359</v>
      </c>
      <c r="C1272" t="s">
        <v>2458</v>
      </c>
      <c r="D1272" t="s">
        <v>2466</v>
      </c>
      <c r="E1272" t="str">
        <f t="shared" si="38"/>
        <v>EAST HANOVER</v>
      </c>
      <c r="F1272" t="s">
        <v>2482</v>
      </c>
      <c r="G1272">
        <v>98.7</v>
      </c>
      <c r="H1272" t="s">
        <v>2489</v>
      </c>
      <c r="I1272">
        <v>97</v>
      </c>
      <c r="J1272">
        <v>100</v>
      </c>
      <c r="K1272" s="9">
        <f t="shared" si="39"/>
        <v>45574</v>
      </c>
      <c r="L1272" t="s">
        <v>2781</v>
      </c>
      <c r="M1272" t="s">
        <v>2923</v>
      </c>
    </row>
    <row r="1273" spans="1:13" hidden="1" x14ac:dyDescent="0.35">
      <c r="A1273" t="s">
        <v>1275</v>
      </c>
      <c r="B1273" t="s">
        <v>2393</v>
      </c>
      <c r="C1273" t="s">
        <v>2460</v>
      </c>
      <c r="D1273" t="s">
        <v>2463</v>
      </c>
      <c r="E1273" t="str">
        <f t="shared" si="38"/>
        <v>VERNIER</v>
      </c>
      <c r="F1273" t="s">
        <v>2482</v>
      </c>
      <c r="G1273">
        <v>98.02</v>
      </c>
      <c r="H1273" t="s">
        <v>2489</v>
      </c>
      <c r="I1273">
        <v>97</v>
      </c>
      <c r="J1273">
        <v>100</v>
      </c>
      <c r="K1273" s="9">
        <f t="shared" si="39"/>
        <v>45942</v>
      </c>
      <c r="L1273" t="s">
        <v>2617</v>
      </c>
      <c r="M1273" t="s">
        <v>2924</v>
      </c>
    </row>
    <row r="1274" spans="1:13" hidden="1" x14ac:dyDescent="0.35">
      <c r="A1274" t="s">
        <v>1276</v>
      </c>
      <c r="B1274" t="s">
        <v>2303</v>
      </c>
      <c r="C1274" t="s">
        <v>2460</v>
      </c>
      <c r="D1274" t="s">
        <v>2464</v>
      </c>
      <c r="E1274" t="str">
        <f t="shared" si="38"/>
        <v>EAST HANOVER</v>
      </c>
      <c r="F1274" t="s">
        <v>2483</v>
      </c>
      <c r="G1274">
        <v>1.45</v>
      </c>
      <c r="H1274" t="s">
        <v>2489</v>
      </c>
      <c r="I1274">
        <v>0</v>
      </c>
      <c r="J1274">
        <v>1</v>
      </c>
      <c r="K1274" s="9">
        <f t="shared" si="39"/>
        <v>45870</v>
      </c>
      <c r="L1274" t="s">
        <v>2813</v>
      </c>
      <c r="M1274" t="s">
        <v>2931</v>
      </c>
    </row>
    <row r="1275" spans="1:13" hidden="1" x14ac:dyDescent="0.35">
      <c r="A1275" t="s">
        <v>1277</v>
      </c>
      <c r="B1275" t="s">
        <v>2166</v>
      </c>
      <c r="C1275" t="s">
        <v>2459</v>
      </c>
      <c r="D1275" t="s">
        <v>2474</v>
      </c>
      <c r="E1275" t="str">
        <f t="shared" si="38"/>
        <v>DORTMUND DE</v>
      </c>
      <c r="F1275" t="s">
        <v>2484</v>
      </c>
      <c r="G1275">
        <v>6.4</v>
      </c>
      <c r="I1275">
        <v>6</v>
      </c>
      <c r="J1275">
        <v>7.5</v>
      </c>
      <c r="K1275" s="9">
        <f t="shared" si="39"/>
        <v>45970</v>
      </c>
      <c r="L1275" t="s">
        <v>2639</v>
      </c>
      <c r="M1275" t="s">
        <v>2930</v>
      </c>
    </row>
    <row r="1276" spans="1:13" hidden="1" x14ac:dyDescent="0.35">
      <c r="A1276" t="s">
        <v>1278</v>
      </c>
      <c r="B1276" t="s">
        <v>2275</v>
      </c>
      <c r="C1276" t="s">
        <v>2458</v>
      </c>
      <c r="D1276" t="s">
        <v>2468</v>
      </c>
      <c r="E1276" t="str">
        <f t="shared" si="38"/>
        <v>VERNIER CH</v>
      </c>
      <c r="F1276" t="s">
        <v>2483</v>
      </c>
      <c r="G1276">
        <v>0.12</v>
      </c>
      <c r="H1276" t="s">
        <v>2489</v>
      </c>
      <c r="I1276">
        <v>0</v>
      </c>
      <c r="J1276">
        <v>1</v>
      </c>
      <c r="K1276" s="9">
        <f t="shared" si="39"/>
        <v>45513</v>
      </c>
      <c r="L1276" t="s">
        <v>2723</v>
      </c>
      <c r="M1276" t="s">
        <v>2931</v>
      </c>
    </row>
    <row r="1277" spans="1:13" hidden="1" x14ac:dyDescent="0.35">
      <c r="A1277" t="s">
        <v>1279</v>
      </c>
      <c r="B1277" t="s">
        <v>2244</v>
      </c>
      <c r="C1277" t="s">
        <v>2458</v>
      </c>
      <c r="D1277" t="s">
        <v>2466</v>
      </c>
      <c r="E1277" t="str">
        <f t="shared" si="38"/>
        <v>EAST HANOVER</v>
      </c>
      <c r="F1277" t="s">
        <v>2484</v>
      </c>
      <c r="G1277">
        <v>7.16</v>
      </c>
      <c r="I1277">
        <v>6</v>
      </c>
      <c r="J1277">
        <v>7.5</v>
      </c>
      <c r="K1277" s="9">
        <f t="shared" si="39"/>
        <v>45821</v>
      </c>
      <c r="L1277" t="s">
        <v>2698</v>
      </c>
      <c r="M1277" t="s">
        <v>2926</v>
      </c>
    </row>
    <row r="1278" spans="1:13" hidden="1" x14ac:dyDescent="0.35">
      <c r="A1278" t="s">
        <v>1280</v>
      </c>
      <c r="B1278" t="s">
        <v>2040</v>
      </c>
      <c r="C1278" t="s">
        <v>2460</v>
      </c>
      <c r="D1278" t="s">
        <v>2474</v>
      </c>
      <c r="E1278" t="str">
        <f t="shared" si="38"/>
        <v>DORTMUND DE</v>
      </c>
      <c r="F1278" t="s">
        <v>2485</v>
      </c>
      <c r="G1278">
        <v>-11.41</v>
      </c>
      <c r="H1278" t="s">
        <v>2490</v>
      </c>
      <c r="I1278">
        <v>0</v>
      </c>
      <c r="J1278">
        <v>100</v>
      </c>
      <c r="K1278" s="9">
        <f t="shared" si="39"/>
        <v>45386</v>
      </c>
      <c r="L1278" t="s">
        <v>2520</v>
      </c>
      <c r="M1278" t="s">
        <v>2923</v>
      </c>
    </row>
    <row r="1279" spans="1:13" hidden="1" x14ac:dyDescent="0.35">
      <c r="A1279" t="s">
        <v>1281</v>
      </c>
      <c r="B1279" t="s">
        <v>2259</v>
      </c>
      <c r="C1279" t="s">
        <v>2457</v>
      </c>
      <c r="D1279" t="s">
        <v>2465</v>
      </c>
      <c r="E1279" t="str">
        <f t="shared" si="38"/>
        <v>VERNIER</v>
      </c>
      <c r="F1279" t="s">
        <v>2479</v>
      </c>
      <c r="G1279">
        <v>24.36</v>
      </c>
      <c r="H1279" t="s">
        <v>2486</v>
      </c>
      <c r="I1279">
        <v>0</v>
      </c>
      <c r="J1279">
        <v>120</v>
      </c>
      <c r="K1279" s="9">
        <f t="shared" si="39"/>
        <v>45863</v>
      </c>
      <c r="L1279" t="s">
        <v>2711</v>
      </c>
      <c r="M1279" t="s">
        <v>2928</v>
      </c>
    </row>
    <row r="1280" spans="1:13" hidden="1" x14ac:dyDescent="0.35">
      <c r="A1280" t="s">
        <v>1282</v>
      </c>
      <c r="B1280" t="s">
        <v>2265</v>
      </c>
      <c r="C1280" t="s">
        <v>2460</v>
      </c>
      <c r="D1280" t="s">
        <v>2476</v>
      </c>
      <c r="E1280" t="str">
        <f t="shared" si="38"/>
        <v>BUDAPEST SITE</v>
      </c>
      <c r="F1280" t="s">
        <v>2481</v>
      </c>
      <c r="G1280">
        <v>182.71</v>
      </c>
      <c r="H1280" t="s">
        <v>2488</v>
      </c>
      <c r="I1280">
        <v>150</v>
      </c>
      <c r="J1280">
        <v>400</v>
      </c>
      <c r="K1280" s="9">
        <f t="shared" si="39"/>
        <v>45521</v>
      </c>
      <c r="L1280" t="s">
        <v>2715</v>
      </c>
      <c r="M1280" t="s">
        <v>2930</v>
      </c>
    </row>
    <row r="1281" spans="1:13" hidden="1" x14ac:dyDescent="0.35">
      <c r="A1281" t="s">
        <v>1283</v>
      </c>
      <c r="B1281" t="s">
        <v>2310</v>
      </c>
      <c r="C1281" t="s">
        <v>2461</v>
      </c>
      <c r="D1281" t="s">
        <v>2466</v>
      </c>
      <c r="E1281" t="str">
        <f t="shared" si="38"/>
        <v>EAST HANOVER</v>
      </c>
      <c r="F1281" t="s">
        <v>2480</v>
      </c>
      <c r="G1281">
        <v>0.95</v>
      </c>
      <c r="H1281" t="s">
        <v>2487</v>
      </c>
      <c r="I1281">
        <v>0.88</v>
      </c>
      <c r="J1281">
        <v>0.97</v>
      </c>
      <c r="K1281" s="9">
        <f t="shared" si="39"/>
        <v>45390</v>
      </c>
      <c r="L1281" t="s">
        <v>2877</v>
      </c>
      <c r="M1281" t="s">
        <v>2926</v>
      </c>
    </row>
    <row r="1282" spans="1:13" hidden="1" x14ac:dyDescent="0.35">
      <c r="A1282" t="s">
        <v>1284</v>
      </c>
      <c r="B1282" t="s">
        <v>2053</v>
      </c>
      <c r="C1282" t="s">
        <v>2460</v>
      </c>
      <c r="D1282" t="s">
        <v>2464</v>
      </c>
      <c r="E1282" t="str">
        <f t="shared" si="38"/>
        <v>EAST HANOVER</v>
      </c>
      <c r="F1282" t="s">
        <v>2485</v>
      </c>
      <c r="G1282">
        <v>18.02</v>
      </c>
      <c r="H1282" t="s">
        <v>2490</v>
      </c>
      <c r="I1282">
        <v>0</v>
      </c>
      <c r="J1282">
        <v>100</v>
      </c>
      <c r="K1282" s="9">
        <f t="shared" si="39"/>
        <v>45703</v>
      </c>
      <c r="L1282" t="s">
        <v>2532</v>
      </c>
      <c r="M1282" t="s">
        <v>2925</v>
      </c>
    </row>
    <row r="1283" spans="1:13" hidden="1" x14ac:dyDescent="0.35">
      <c r="A1283" t="s">
        <v>1285</v>
      </c>
      <c r="B1283" t="s">
        <v>2193</v>
      </c>
      <c r="C1283" t="s">
        <v>2460</v>
      </c>
      <c r="D1283" t="s">
        <v>2462</v>
      </c>
      <c r="E1283" t="str">
        <f t="shared" ref="E1283:E1346" si="40">UPPER(D1283)</f>
        <v>ASHFORD UK</v>
      </c>
      <c r="F1283" t="s">
        <v>2482</v>
      </c>
      <c r="G1283">
        <v>98.92</v>
      </c>
      <c r="H1283" t="s">
        <v>2489</v>
      </c>
      <c r="I1283">
        <v>97</v>
      </c>
      <c r="J1283">
        <v>100</v>
      </c>
      <c r="K1283" s="9">
        <f t="shared" ref="K1283:K1346" si="41">IF(L1283="","",
IF(MID(L1283,5,1)="-",
DATE(LEFT(L1283,4),MID(L1283,6,2),RIGHT(L1283,2)),
DATE(RIGHT(L1283,4),MID(L1283,4,2),LEFT(L1283,2))
))</f>
        <v>45552</v>
      </c>
      <c r="L1283" t="s">
        <v>2664</v>
      </c>
      <c r="M1283" t="s">
        <v>2932</v>
      </c>
    </row>
    <row r="1284" spans="1:13" hidden="1" x14ac:dyDescent="0.35">
      <c r="A1284" t="s">
        <v>1286</v>
      </c>
      <c r="B1284" t="s">
        <v>2358</v>
      </c>
      <c r="C1284" t="s">
        <v>2458</v>
      </c>
      <c r="D1284" t="s">
        <v>2462</v>
      </c>
      <c r="E1284" t="str">
        <f t="shared" si="40"/>
        <v>ASHFORD UK</v>
      </c>
      <c r="F1284" t="s">
        <v>2479</v>
      </c>
      <c r="G1284">
        <v>69.010000000000005</v>
      </c>
      <c r="H1284" t="s">
        <v>2486</v>
      </c>
      <c r="I1284">
        <v>0</v>
      </c>
      <c r="J1284">
        <v>120</v>
      </c>
      <c r="K1284" s="9">
        <f t="shared" si="41"/>
        <v>45749</v>
      </c>
      <c r="L1284" t="s">
        <v>2780</v>
      </c>
      <c r="M1284" t="s">
        <v>2925</v>
      </c>
    </row>
    <row r="1285" spans="1:13" hidden="1" x14ac:dyDescent="0.35">
      <c r="A1285" t="s">
        <v>1287</v>
      </c>
      <c r="B1285" t="s">
        <v>2016</v>
      </c>
      <c r="C1285" t="s">
        <v>2458</v>
      </c>
      <c r="D1285" t="s">
        <v>2462</v>
      </c>
      <c r="E1285" t="str">
        <f t="shared" si="40"/>
        <v>ASHFORD UK</v>
      </c>
      <c r="F1285" t="s">
        <v>2483</v>
      </c>
      <c r="G1285">
        <v>0.38</v>
      </c>
      <c r="H1285" t="s">
        <v>2489</v>
      </c>
      <c r="I1285">
        <v>0</v>
      </c>
      <c r="J1285">
        <v>1</v>
      </c>
      <c r="K1285" s="9">
        <f t="shared" si="41"/>
        <v>45446</v>
      </c>
      <c r="L1285" t="s">
        <v>2496</v>
      </c>
      <c r="M1285" t="s">
        <v>2931</v>
      </c>
    </row>
    <row r="1286" spans="1:13" hidden="1" x14ac:dyDescent="0.35">
      <c r="A1286" t="s">
        <v>1288</v>
      </c>
      <c r="B1286" t="s">
        <v>2236</v>
      </c>
      <c r="C1286" t="s">
        <v>2457</v>
      </c>
      <c r="D1286" t="s">
        <v>2471</v>
      </c>
      <c r="E1286" t="str">
        <f t="shared" si="40"/>
        <v>BUDAPEST</v>
      </c>
      <c r="F1286" t="s">
        <v>2482</v>
      </c>
      <c r="G1286">
        <v>98.35</v>
      </c>
      <c r="H1286" t="s">
        <v>2489</v>
      </c>
      <c r="I1286">
        <v>97</v>
      </c>
      <c r="J1286">
        <v>100</v>
      </c>
      <c r="K1286" s="9">
        <f t="shared" si="41"/>
        <v>45536</v>
      </c>
      <c r="L1286" t="s">
        <v>2693</v>
      </c>
      <c r="M1286" t="s">
        <v>2923</v>
      </c>
    </row>
    <row r="1287" spans="1:13" hidden="1" x14ac:dyDescent="0.35">
      <c r="A1287" t="s">
        <v>1289</v>
      </c>
      <c r="B1287" t="s">
        <v>2231</v>
      </c>
      <c r="C1287" t="s">
        <v>2461</v>
      </c>
      <c r="D1287" t="s">
        <v>2471</v>
      </c>
      <c r="E1287" t="str">
        <f t="shared" si="40"/>
        <v>BUDAPEST</v>
      </c>
      <c r="F1287" t="s">
        <v>2482</v>
      </c>
      <c r="G1287">
        <v>97.73</v>
      </c>
      <c r="H1287" t="s">
        <v>2489</v>
      </c>
      <c r="I1287">
        <v>97</v>
      </c>
      <c r="J1287">
        <v>100</v>
      </c>
      <c r="K1287" s="9">
        <f t="shared" si="41"/>
        <v>45294</v>
      </c>
      <c r="L1287" t="s">
        <v>2506</v>
      </c>
      <c r="M1287" t="s">
        <v>2931</v>
      </c>
    </row>
    <row r="1288" spans="1:13" hidden="1" x14ac:dyDescent="0.35">
      <c r="A1288" t="s">
        <v>1290</v>
      </c>
      <c r="B1288" t="s">
        <v>2037</v>
      </c>
      <c r="C1288" t="s">
        <v>2461</v>
      </c>
      <c r="D1288" t="s">
        <v>2478</v>
      </c>
      <c r="E1288" t="str">
        <f t="shared" si="40"/>
        <v>BUD</v>
      </c>
      <c r="F1288" t="s">
        <v>2483</v>
      </c>
      <c r="G1288">
        <v>0.28000000000000003</v>
      </c>
      <c r="H1288" t="s">
        <v>2489</v>
      </c>
      <c r="I1288">
        <v>0</v>
      </c>
      <c r="J1288">
        <v>1</v>
      </c>
      <c r="K1288" s="9">
        <f t="shared" si="41"/>
        <v>45643</v>
      </c>
      <c r="L1288" t="s">
        <v>2517</v>
      </c>
      <c r="M1288" t="s">
        <v>2932</v>
      </c>
    </row>
    <row r="1289" spans="1:13" hidden="1" x14ac:dyDescent="0.35">
      <c r="A1289" t="s">
        <v>1291</v>
      </c>
      <c r="B1289" t="s">
        <v>2396</v>
      </c>
      <c r="C1289" t="s">
        <v>2461</v>
      </c>
      <c r="D1289" t="s">
        <v>2478</v>
      </c>
      <c r="E1289" t="str">
        <f t="shared" si="40"/>
        <v>BUD</v>
      </c>
      <c r="F1289" t="s">
        <v>2480</v>
      </c>
      <c r="G1289">
        <v>0.94</v>
      </c>
      <c r="H1289" t="s">
        <v>2487</v>
      </c>
      <c r="I1289">
        <v>0.88</v>
      </c>
      <c r="J1289">
        <v>0.97</v>
      </c>
      <c r="K1289" s="9">
        <f t="shared" si="41"/>
        <v>45767</v>
      </c>
      <c r="L1289" t="s">
        <v>2811</v>
      </c>
      <c r="M1289" t="s">
        <v>2927</v>
      </c>
    </row>
    <row r="1290" spans="1:13" hidden="1" x14ac:dyDescent="0.35">
      <c r="A1290" t="s">
        <v>1292</v>
      </c>
      <c r="B1290" t="s">
        <v>2170</v>
      </c>
      <c r="C1290" t="s">
        <v>2459</v>
      </c>
      <c r="D1290" t="s">
        <v>2471</v>
      </c>
      <c r="E1290" t="str">
        <f t="shared" si="40"/>
        <v>BUDAPEST</v>
      </c>
      <c r="F1290" t="s">
        <v>2479</v>
      </c>
      <c r="G1290">
        <v>51.36</v>
      </c>
      <c r="H1290" t="s">
        <v>2486</v>
      </c>
      <c r="I1290">
        <v>0</v>
      </c>
      <c r="J1290">
        <v>120</v>
      </c>
      <c r="K1290" s="9">
        <f t="shared" si="41"/>
        <v>45737</v>
      </c>
      <c r="L1290" t="s">
        <v>2643</v>
      </c>
      <c r="M1290" t="s">
        <v>2925</v>
      </c>
    </row>
    <row r="1291" spans="1:13" hidden="1" x14ac:dyDescent="0.35">
      <c r="A1291" t="s">
        <v>1293</v>
      </c>
      <c r="B1291" t="s">
        <v>2300</v>
      </c>
      <c r="C1291" t="s">
        <v>2459</v>
      </c>
      <c r="D1291" t="s">
        <v>2468</v>
      </c>
      <c r="E1291" t="str">
        <f t="shared" si="40"/>
        <v>VERNIER CH</v>
      </c>
      <c r="F1291" t="s">
        <v>2484</v>
      </c>
      <c r="G1291">
        <v>6.47</v>
      </c>
      <c r="I1291">
        <v>6</v>
      </c>
      <c r="J1291">
        <v>7.5</v>
      </c>
      <c r="K1291" s="9">
        <f t="shared" si="41"/>
        <v>45595</v>
      </c>
      <c r="L1291" t="s">
        <v>2631</v>
      </c>
      <c r="M1291" t="s">
        <v>2926</v>
      </c>
    </row>
    <row r="1292" spans="1:13" hidden="1" x14ac:dyDescent="0.35">
      <c r="A1292" t="s">
        <v>1294</v>
      </c>
      <c r="B1292" t="s">
        <v>2094</v>
      </c>
      <c r="C1292" t="s">
        <v>2460</v>
      </c>
      <c r="D1292" t="s">
        <v>2467</v>
      </c>
      <c r="E1292" t="str">
        <f t="shared" si="40"/>
        <v>ASHFORD</v>
      </c>
      <c r="F1292" t="s">
        <v>2483</v>
      </c>
      <c r="G1292">
        <v>0.27</v>
      </c>
      <c r="H1292" t="s">
        <v>2489</v>
      </c>
      <c r="I1292">
        <v>0</v>
      </c>
      <c r="J1292">
        <v>1</v>
      </c>
      <c r="K1292" s="9">
        <f t="shared" si="41"/>
        <v>45316</v>
      </c>
      <c r="L1292" t="s">
        <v>2572</v>
      </c>
      <c r="M1292" t="s">
        <v>2932</v>
      </c>
    </row>
    <row r="1293" spans="1:13" hidden="1" x14ac:dyDescent="0.35">
      <c r="A1293" t="s">
        <v>1295</v>
      </c>
      <c r="B1293" t="s">
        <v>2143</v>
      </c>
      <c r="C1293" t="s">
        <v>2460</v>
      </c>
      <c r="D1293" t="s">
        <v>2473</v>
      </c>
      <c r="E1293" t="str">
        <f t="shared" si="40"/>
        <v>DORTMUND</v>
      </c>
      <c r="F1293" t="s">
        <v>2484</v>
      </c>
      <c r="G1293">
        <v>6.76</v>
      </c>
      <c r="I1293">
        <v>6</v>
      </c>
      <c r="J1293">
        <v>7.5</v>
      </c>
      <c r="K1293" s="9">
        <f t="shared" si="41"/>
        <v>45540</v>
      </c>
      <c r="L1293" t="s">
        <v>2618</v>
      </c>
      <c r="M1293" t="s">
        <v>2927</v>
      </c>
    </row>
    <row r="1294" spans="1:13" hidden="1" x14ac:dyDescent="0.35">
      <c r="A1294" t="s">
        <v>1296</v>
      </c>
      <c r="B1294" t="s">
        <v>2173</v>
      </c>
      <c r="C1294" t="s">
        <v>2460</v>
      </c>
      <c r="D1294" t="s">
        <v>2466</v>
      </c>
      <c r="E1294" t="str">
        <f t="shared" si="40"/>
        <v>EAST HANOVER</v>
      </c>
      <c r="F1294" t="s">
        <v>2481</v>
      </c>
      <c r="G1294">
        <v>323.45</v>
      </c>
      <c r="H1294" t="s">
        <v>2488</v>
      </c>
      <c r="I1294">
        <v>150</v>
      </c>
      <c r="J1294">
        <v>400</v>
      </c>
      <c r="K1294" s="9">
        <f t="shared" si="41"/>
        <v>45609</v>
      </c>
      <c r="L1294" t="s">
        <v>2646</v>
      </c>
      <c r="M1294" t="s">
        <v>2926</v>
      </c>
    </row>
    <row r="1295" spans="1:13" hidden="1" x14ac:dyDescent="0.35">
      <c r="A1295" t="s">
        <v>860</v>
      </c>
      <c r="B1295" t="s">
        <v>2425</v>
      </c>
      <c r="C1295" t="s">
        <v>2461</v>
      </c>
      <c r="D1295" t="s">
        <v>2464</v>
      </c>
      <c r="E1295" t="str">
        <f t="shared" si="40"/>
        <v>EAST HANOVER</v>
      </c>
      <c r="F1295" t="s">
        <v>2480</v>
      </c>
      <c r="G1295">
        <v>0.92</v>
      </c>
      <c r="H1295" t="s">
        <v>2487</v>
      </c>
      <c r="I1295">
        <v>0.88</v>
      </c>
      <c r="J1295">
        <v>0.97</v>
      </c>
      <c r="K1295" s="9">
        <f t="shared" si="41"/>
        <v>45556</v>
      </c>
      <c r="L1295" t="s">
        <v>2835</v>
      </c>
      <c r="M1295" t="s">
        <v>2929</v>
      </c>
    </row>
    <row r="1296" spans="1:13" hidden="1" x14ac:dyDescent="0.35">
      <c r="A1296" t="s">
        <v>1297</v>
      </c>
      <c r="B1296" t="s">
        <v>2452</v>
      </c>
      <c r="C1296" t="s">
        <v>2461</v>
      </c>
      <c r="D1296" t="s">
        <v>2473</v>
      </c>
      <c r="E1296" t="str">
        <f t="shared" si="40"/>
        <v>DORTMUND</v>
      </c>
      <c r="F1296" t="s">
        <v>2479</v>
      </c>
      <c r="G1296">
        <v>35.04</v>
      </c>
      <c r="H1296" t="s">
        <v>2486</v>
      </c>
      <c r="I1296">
        <v>0</v>
      </c>
      <c r="J1296">
        <v>120</v>
      </c>
      <c r="K1296" s="9">
        <f t="shared" si="41"/>
        <v>45452</v>
      </c>
      <c r="L1296" t="s">
        <v>2883</v>
      </c>
      <c r="M1296" t="s">
        <v>2932</v>
      </c>
    </row>
    <row r="1297" spans="1:13" hidden="1" x14ac:dyDescent="0.35">
      <c r="A1297" t="s">
        <v>1298</v>
      </c>
      <c r="B1297" t="s">
        <v>2153</v>
      </c>
      <c r="C1297" t="s">
        <v>2461</v>
      </c>
      <c r="D1297" t="s">
        <v>2477</v>
      </c>
      <c r="E1297" t="str">
        <f t="shared" si="40"/>
        <v>BUDAPEST</v>
      </c>
      <c r="F1297" t="s">
        <v>2482</v>
      </c>
      <c r="G1297">
        <v>98.39</v>
      </c>
      <c r="H1297" t="s">
        <v>2489</v>
      </c>
      <c r="I1297">
        <v>97</v>
      </c>
      <c r="J1297">
        <v>100</v>
      </c>
      <c r="K1297" s="9">
        <f t="shared" si="41"/>
        <v>45445</v>
      </c>
      <c r="L1297" t="s">
        <v>2628</v>
      </c>
      <c r="M1297" t="s">
        <v>2926</v>
      </c>
    </row>
    <row r="1298" spans="1:13" hidden="1" x14ac:dyDescent="0.35">
      <c r="A1298" t="s">
        <v>1299</v>
      </c>
      <c r="B1298" t="s">
        <v>2448</v>
      </c>
      <c r="C1298" t="s">
        <v>2461</v>
      </c>
      <c r="D1298" t="s">
        <v>2467</v>
      </c>
      <c r="E1298" t="str">
        <f t="shared" si="40"/>
        <v>ASHFORD</v>
      </c>
      <c r="F1298" t="s">
        <v>2479</v>
      </c>
      <c r="G1298">
        <v>17.45</v>
      </c>
      <c r="H1298" t="s">
        <v>2486</v>
      </c>
      <c r="I1298">
        <v>0</v>
      </c>
      <c r="J1298">
        <v>120</v>
      </c>
      <c r="K1298" s="9">
        <f t="shared" si="41"/>
        <v>45882</v>
      </c>
      <c r="L1298" t="s">
        <v>2874</v>
      </c>
      <c r="M1298" t="s">
        <v>2927</v>
      </c>
    </row>
    <row r="1299" spans="1:13" hidden="1" x14ac:dyDescent="0.35">
      <c r="A1299" t="s">
        <v>1300</v>
      </c>
      <c r="B1299" t="s">
        <v>2380</v>
      </c>
      <c r="C1299" t="s">
        <v>2457</v>
      </c>
      <c r="D1299" t="s">
        <v>2474</v>
      </c>
      <c r="E1299" t="str">
        <f t="shared" si="40"/>
        <v>DORTMUND DE</v>
      </c>
      <c r="F1299" t="s">
        <v>2481</v>
      </c>
      <c r="G1299">
        <v>168.49</v>
      </c>
      <c r="H1299" t="s">
        <v>2488</v>
      </c>
      <c r="I1299">
        <v>150</v>
      </c>
      <c r="J1299">
        <v>400</v>
      </c>
      <c r="K1299" s="9">
        <f t="shared" si="41"/>
        <v>45787</v>
      </c>
      <c r="L1299" t="s">
        <v>2868</v>
      </c>
      <c r="M1299" t="s">
        <v>2931</v>
      </c>
    </row>
    <row r="1300" spans="1:13" hidden="1" x14ac:dyDescent="0.35">
      <c r="A1300" t="s">
        <v>1301</v>
      </c>
      <c r="B1300" t="s">
        <v>2180</v>
      </c>
      <c r="C1300" t="s">
        <v>2461</v>
      </c>
      <c r="D1300" t="s">
        <v>2470</v>
      </c>
      <c r="E1300" t="str">
        <f t="shared" si="40"/>
        <v>E. HANOVER</v>
      </c>
      <c r="F1300" t="s">
        <v>2484</v>
      </c>
      <c r="G1300">
        <v>6.39</v>
      </c>
      <c r="I1300">
        <v>6</v>
      </c>
      <c r="J1300">
        <v>7.5</v>
      </c>
      <c r="K1300" s="9">
        <f t="shared" si="41"/>
        <v>45649</v>
      </c>
      <c r="L1300" t="s">
        <v>2652</v>
      </c>
      <c r="M1300" t="s">
        <v>2928</v>
      </c>
    </row>
    <row r="1301" spans="1:13" hidden="1" x14ac:dyDescent="0.35">
      <c r="A1301" t="s">
        <v>1302</v>
      </c>
      <c r="B1301" t="s">
        <v>2180</v>
      </c>
      <c r="C1301" t="s">
        <v>2461</v>
      </c>
      <c r="D1301" t="s">
        <v>2464</v>
      </c>
      <c r="E1301" t="str">
        <f t="shared" si="40"/>
        <v>EAST HANOVER</v>
      </c>
      <c r="F1301" t="s">
        <v>2485</v>
      </c>
      <c r="G1301">
        <v>5.09</v>
      </c>
      <c r="H1301" t="s">
        <v>2490</v>
      </c>
      <c r="I1301">
        <v>0</v>
      </c>
      <c r="J1301">
        <v>100</v>
      </c>
      <c r="K1301" s="9">
        <f t="shared" si="41"/>
        <v>45649</v>
      </c>
      <c r="L1301" t="s">
        <v>2652</v>
      </c>
      <c r="M1301" t="s">
        <v>2929</v>
      </c>
    </row>
    <row r="1302" spans="1:13" hidden="1" x14ac:dyDescent="0.35">
      <c r="A1302" t="s">
        <v>1303</v>
      </c>
      <c r="B1302" t="s">
        <v>2193</v>
      </c>
      <c r="C1302" t="s">
        <v>2460</v>
      </c>
      <c r="D1302" t="s">
        <v>2475</v>
      </c>
      <c r="E1302" t="str">
        <f t="shared" si="40"/>
        <v>ASHFORD</v>
      </c>
      <c r="F1302" t="s">
        <v>2481</v>
      </c>
      <c r="G1302">
        <v>280.36</v>
      </c>
      <c r="H1302" t="s">
        <v>2488</v>
      </c>
      <c r="I1302">
        <v>150</v>
      </c>
      <c r="J1302">
        <v>400</v>
      </c>
      <c r="K1302" s="9">
        <f t="shared" si="41"/>
        <v>45552</v>
      </c>
      <c r="L1302" t="s">
        <v>2664</v>
      </c>
      <c r="M1302" t="s">
        <v>2930</v>
      </c>
    </row>
    <row r="1303" spans="1:13" hidden="1" x14ac:dyDescent="0.35">
      <c r="A1303" t="s">
        <v>1304</v>
      </c>
      <c r="B1303" t="s">
        <v>2116</v>
      </c>
      <c r="C1303" t="s">
        <v>2461</v>
      </c>
      <c r="D1303" t="s">
        <v>2469</v>
      </c>
      <c r="E1303" t="str">
        <f t="shared" si="40"/>
        <v>DORTMUND</v>
      </c>
      <c r="F1303" t="s">
        <v>2482</v>
      </c>
      <c r="G1303">
        <v>98.75</v>
      </c>
      <c r="H1303" t="s">
        <v>2489</v>
      </c>
      <c r="I1303">
        <v>97</v>
      </c>
      <c r="J1303">
        <v>100</v>
      </c>
      <c r="K1303" s="9">
        <f t="shared" si="41"/>
        <v>45376</v>
      </c>
      <c r="L1303" t="s">
        <v>2591</v>
      </c>
      <c r="M1303" t="s">
        <v>2930</v>
      </c>
    </row>
    <row r="1304" spans="1:13" hidden="1" x14ac:dyDescent="0.35">
      <c r="A1304" t="s">
        <v>1305</v>
      </c>
      <c r="B1304" t="s">
        <v>2047</v>
      </c>
      <c r="C1304" t="s">
        <v>2460</v>
      </c>
      <c r="D1304" t="s">
        <v>2476</v>
      </c>
      <c r="E1304" t="str">
        <f t="shared" si="40"/>
        <v>BUDAPEST SITE</v>
      </c>
      <c r="F1304" t="s">
        <v>2479</v>
      </c>
      <c r="G1304">
        <v>26.71</v>
      </c>
      <c r="H1304" t="s">
        <v>2486</v>
      </c>
      <c r="I1304">
        <v>0</v>
      </c>
      <c r="J1304">
        <v>120</v>
      </c>
      <c r="K1304" s="9">
        <f t="shared" si="41"/>
        <v>45543</v>
      </c>
      <c r="L1304" t="s">
        <v>2526</v>
      </c>
      <c r="M1304" t="s">
        <v>2924</v>
      </c>
    </row>
    <row r="1305" spans="1:13" hidden="1" x14ac:dyDescent="0.35">
      <c r="A1305" t="s">
        <v>1306</v>
      </c>
      <c r="B1305" t="s">
        <v>2371</v>
      </c>
      <c r="C1305" t="s">
        <v>2459</v>
      </c>
      <c r="D1305" t="s">
        <v>2469</v>
      </c>
      <c r="E1305" t="str">
        <f t="shared" si="40"/>
        <v>DORTMUND</v>
      </c>
      <c r="F1305" t="s">
        <v>2483</v>
      </c>
      <c r="G1305">
        <v>0.45</v>
      </c>
      <c r="H1305" t="s">
        <v>2489</v>
      </c>
      <c r="I1305">
        <v>0</v>
      </c>
      <c r="J1305">
        <v>1</v>
      </c>
      <c r="K1305" s="9">
        <f t="shared" si="41"/>
        <v>45519</v>
      </c>
      <c r="L1305" t="s">
        <v>2791</v>
      </c>
      <c r="M1305" t="s">
        <v>2926</v>
      </c>
    </row>
    <row r="1306" spans="1:13" hidden="1" x14ac:dyDescent="0.35">
      <c r="A1306" t="s">
        <v>1307</v>
      </c>
      <c r="B1306" t="s">
        <v>2391</v>
      </c>
      <c r="C1306" t="s">
        <v>2458</v>
      </c>
      <c r="D1306" t="s">
        <v>2467</v>
      </c>
      <c r="E1306" t="str">
        <f t="shared" si="40"/>
        <v>ASHFORD</v>
      </c>
      <c r="F1306" t="s">
        <v>2481</v>
      </c>
      <c r="G1306">
        <v>285.55</v>
      </c>
      <c r="H1306" t="s">
        <v>2488</v>
      </c>
      <c r="I1306">
        <v>150</v>
      </c>
      <c r="J1306">
        <v>400</v>
      </c>
      <c r="K1306" s="9">
        <f t="shared" si="41"/>
        <v>45743</v>
      </c>
      <c r="L1306" t="s">
        <v>2861</v>
      </c>
      <c r="M1306" t="s">
        <v>2925</v>
      </c>
    </row>
    <row r="1307" spans="1:13" hidden="1" x14ac:dyDescent="0.35">
      <c r="A1307" t="s">
        <v>1308</v>
      </c>
      <c r="B1307" t="s">
        <v>2404</v>
      </c>
      <c r="C1307" t="s">
        <v>2458</v>
      </c>
      <c r="D1307" t="s">
        <v>2474</v>
      </c>
      <c r="E1307" t="str">
        <f t="shared" si="40"/>
        <v>DORTMUND DE</v>
      </c>
      <c r="F1307" t="s">
        <v>2483</v>
      </c>
      <c r="G1307">
        <v>0.5</v>
      </c>
      <c r="H1307" t="s">
        <v>2489</v>
      </c>
      <c r="I1307">
        <v>0</v>
      </c>
      <c r="J1307">
        <v>1</v>
      </c>
      <c r="K1307" s="9">
        <f t="shared" si="41"/>
        <v>45368</v>
      </c>
      <c r="L1307" t="s">
        <v>2684</v>
      </c>
      <c r="M1307" t="s">
        <v>2932</v>
      </c>
    </row>
    <row r="1308" spans="1:13" hidden="1" x14ac:dyDescent="0.35">
      <c r="A1308" t="s">
        <v>1309</v>
      </c>
      <c r="B1308" t="s">
        <v>2206</v>
      </c>
      <c r="C1308" t="s">
        <v>2458</v>
      </c>
      <c r="D1308" t="s">
        <v>2473</v>
      </c>
      <c r="E1308" t="str">
        <f t="shared" si="40"/>
        <v>DORTMUND</v>
      </c>
      <c r="F1308" t="s">
        <v>2481</v>
      </c>
      <c r="G1308">
        <v>188</v>
      </c>
      <c r="H1308" t="s">
        <v>2488</v>
      </c>
      <c r="I1308">
        <v>150</v>
      </c>
      <c r="J1308">
        <v>400</v>
      </c>
      <c r="K1308" s="9">
        <f t="shared" si="41"/>
        <v>45814</v>
      </c>
      <c r="L1308" t="s">
        <v>2674</v>
      </c>
      <c r="M1308" t="s">
        <v>2930</v>
      </c>
    </row>
    <row r="1309" spans="1:13" hidden="1" x14ac:dyDescent="0.35">
      <c r="A1309" t="s">
        <v>1310</v>
      </c>
      <c r="B1309" t="s">
        <v>2033</v>
      </c>
      <c r="C1309" t="s">
        <v>2459</v>
      </c>
      <c r="D1309" t="s">
        <v>2464</v>
      </c>
      <c r="E1309" t="str">
        <f t="shared" si="40"/>
        <v>EAST HANOVER</v>
      </c>
      <c r="F1309" t="s">
        <v>2480</v>
      </c>
      <c r="G1309">
        <v>0.96</v>
      </c>
      <c r="H1309" t="s">
        <v>2487</v>
      </c>
      <c r="I1309">
        <v>0.88</v>
      </c>
      <c r="J1309">
        <v>0.97</v>
      </c>
      <c r="K1309" s="9">
        <f t="shared" si="41"/>
        <v>45330</v>
      </c>
      <c r="L1309" t="s">
        <v>2513</v>
      </c>
      <c r="M1309" t="s">
        <v>2932</v>
      </c>
    </row>
    <row r="1310" spans="1:13" hidden="1" x14ac:dyDescent="0.35">
      <c r="A1310" t="s">
        <v>1311</v>
      </c>
      <c r="B1310" t="s">
        <v>2286</v>
      </c>
      <c r="C1310" t="s">
        <v>2458</v>
      </c>
      <c r="D1310" t="s">
        <v>2473</v>
      </c>
      <c r="E1310" t="str">
        <f t="shared" si="40"/>
        <v>DORTMUND</v>
      </c>
      <c r="F1310" t="s">
        <v>2480</v>
      </c>
      <c r="G1310">
        <v>1.06</v>
      </c>
      <c r="H1310" t="s">
        <v>2487</v>
      </c>
      <c r="I1310">
        <v>0.88</v>
      </c>
      <c r="J1310">
        <v>0.97</v>
      </c>
      <c r="K1310" s="9">
        <f t="shared" si="41"/>
        <v>45739</v>
      </c>
      <c r="L1310" t="s">
        <v>2525</v>
      </c>
      <c r="M1310" t="s">
        <v>2927</v>
      </c>
    </row>
    <row r="1311" spans="1:13" hidden="1" x14ac:dyDescent="0.35">
      <c r="A1311" t="s">
        <v>1312</v>
      </c>
      <c r="B1311" t="s">
        <v>2451</v>
      </c>
      <c r="C1311" t="s">
        <v>2459</v>
      </c>
      <c r="D1311" t="s">
        <v>2477</v>
      </c>
      <c r="E1311" t="str">
        <f t="shared" si="40"/>
        <v>BUDAPEST</v>
      </c>
      <c r="F1311" t="s">
        <v>2483</v>
      </c>
      <c r="G1311">
        <v>0.14000000000000001</v>
      </c>
      <c r="H1311" t="s">
        <v>2489</v>
      </c>
      <c r="I1311">
        <v>0</v>
      </c>
      <c r="J1311">
        <v>1</v>
      </c>
      <c r="K1311" s="9">
        <f t="shared" si="41"/>
        <v>45735</v>
      </c>
      <c r="L1311" t="s">
        <v>2882</v>
      </c>
      <c r="M1311" t="s">
        <v>2923</v>
      </c>
    </row>
    <row r="1312" spans="1:13" hidden="1" x14ac:dyDescent="0.35">
      <c r="A1312" t="s">
        <v>1313</v>
      </c>
      <c r="B1312" t="s">
        <v>2395</v>
      </c>
      <c r="C1312" t="s">
        <v>2457</v>
      </c>
      <c r="D1312" t="s">
        <v>2478</v>
      </c>
      <c r="E1312" t="str">
        <f t="shared" si="40"/>
        <v>BUD</v>
      </c>
      <c r="F1312" t="s">
        <v>2479</v>
      </c>
      <c r="G1312">
        <v>25.33</v>
      </c>
      <c r="H1312" t="s">
        <v>2486</v>
      </c>
      <c r="I1312">
        <v>0</v>
      </c>
      <c r="J1312">
        <v>120</v>
      </c>
      <c r="K1312" s="9">
        <f t="shared" si="41"/>
        <v>45737</v>
      </c>
      <c r="L1312" t="s">
        <v>2643</v>
      </c>
      <c r="M1312" t="s">
        <v>2923</v>
      </c>
    </row>
    <row r="1313" spans="1:13" hidden="1" x14ac:dyDescent="0.35">
      <c r="A1313" t="s">
        <v>1314</v>
      </c>
      <c r="B1313" t="s">
        <v>2177</v>
      </c>
      <c r="C1313" t="s">
        <v>2457</v>
      </c>
      <c r="D1313" t="s">
        <v>2472</v>
      </c>
      <c r="E1313" t="str">
        <f t="shared" si="40"/>
        <v>VERNIER</v>
      </c>
      <c r="F1313" t="s">
        <v>2479</v>
      </c>
      <c r="G1313">
        <v>30.25</v>
      </c>
      <c r="H1313" t="s">
        <v>2486</v>
      </c>
      <c r="I1313">
        <v>0</v>
      </c>
      <c r="J1313">
        <v>120</v>
      </c>
      <c r="K1313" s="9">
        <f t="shared" si="41"/>
        <v>45520</v>
      </c>
      <c r="L1313" t="s">
        <v>2649</v>
      </c>
      <c r="M1313" t="s">
        <v>2931</v>
      </c>
    </row>
    <row r="1314" spans="1:13" hidden="1" x14ac:dyDescent="0.35">
      <c r="A1314" t="s">
        <v>1315</v>
      </c>
      <c r="B1314" t="s">
        <v>2375</v>
      </c>
      <c r="C1314" t="s">
        <v>2458</v>
      </c>
      <c r="D1314" t="s">
        <v>2476</v>
      </c>
      <c r="E1314" t="str">
        <f t="shared" si="40"/>
        <v>BUDAPEST SITE</v>
      </c>
      <c r="F1314" t="s">
        <v>2485</v>
      </c>
      <c r="G1314">
        <v>66.86</v>
      </c>
      <c r="H1314" t="s">
        <v>2490</v>
      </c>
      <c r="I1314">
        <v>0</v>
      </c>
      <c r="J1314">
        <v>100</v>
      </c>
      <c r="K1314" s="9">
        <f t="shared" si="41"/>
        <v>45427</v>
      </c>
      <c r="L1314" t="s">
        <v>2794</v>
      </c>
      <c r="M1314" t="s">
        <v>2932</v>
      </c>
    </row>
    <row r="1315" spans="1:13" hidden="1" x14ac:dyDescent="0.35">
      <c r="A1315" t="s">
        <v>1316</v>
      </c>
      <c r="B1315" t="s">
        <v>2210</v>
      </c>
      <c r="C1315" t="s">
        <v>2457</v>
      </c>
      <c r="D1315" t="s">
        <v>2471</v>
      </c>
      <c r="E1315" t="str">
        <f t="shared" si="40"/>
        <v>BUDAPEST</v>
      </c>
      <c r="F1315" t="s">
        <v>2481</v>
      </c>
      <c r="G1315">
        <v>266.55</v>
      </c>
      <c r="H1315" t="s">
        <v>2488</v>
      </c>
      <c r="I1315">
        <v>150</v>
      </c>
      <c r="J1315">
        <v>400</v>
      </c>
      <c r="K1315" s="9">
        <f t="shared" si="41"/>
        <v>45960</v>
      </c>
      <c r="L1315" t="s">
        <v>2678</v>
      </c>
      <c r="M1315" t="s">
        <v>2927</v>
      </c>
    </row>
    <row r="1316" spans="1:13" hidden="1" x14ac:dyDescent="0.35">
      <c r="A1316" t="s">
        <v>1317</v>
      </c>
      <c r="B1316" t="s">
        <v>2136</v>
      </c>
      <c r="C1316" t="s">
        <v>2458</v>
      </c>
      <c r="D1316" t="s">
        <v>2473</v>
      </c>
      <c r="E1316" t="str">
        <f t="shared" si="40"/>
        <v>DORTMUND</v>
      </c>
      <c r="F1316" t="s">
        <v>2482</v>
      </c>
      <c r="G1316">
        <v>97.8</v>
      </c>
      <c r="H1316" t="s">
        <v>2489</v>
      </c>
      <c r="I1316">
        <v>97</v>
      </c>
      <c r="J1316">
        <v>100</v>
      </c>
      <c r="K1316" s="9">
        <f t="shared" si="41"/>
        <v>45534</v>
      </c>
      <c r="L1316" t="s">
        <v>2884</v>
      </c>
      <c r="M1316" t="s">
        <v>2928</v>
      </c>
    </row>
    <row r="1317" spans="1:13" hidden="1" x14ac:dyDescent="0.35">
      <c r="A1317" t="s">
        <v>1318</v>
      </c>
      <c r="B1317" t="s">
        <v>2453</v>
      </c>
      <c r="C1317" t="s">
        <v>2459</v>
      </c>
      <c r="D1317" t="s">
        <v>2475</v>
      </c>
      <c r="E1317" t="str">
        <f t="shared" si="40"/>
        <v>ASHFORD</v>
      </c>
      <c r="F1317" t="s">
        <v>2482</v>
      </c>
      <c r="G1317">
        <v>98.5</v>
      </c>
      <c r="H1317" t="s">
        <v>2489</v>
      </c>
      <c r="I1317">
        <v>97</v>
      </c>
      <c r="J1317">
        <v>100</v>
      </c>
      <c r="K1317" s="9">
        <f t="shared" si="41"/>
        <v>46013</v>
      </c>
      <c r="L1317" t="s">
        <v>2579</v>
      </c>
      <c r="M1317" t="s">
        <v>2925</v>
      </c>
    </row>
    <row r="1318" spans="1:13" hidden="1" x14ac:dyDescent="0.35">
      <c r="A1318" t="s">
        <v>1319</v>
      </c>
      <c r="B1318" t="s">
        <v>2181</v>
      </c>
      <c r="C1318" t="s">
        <v>2459</v>
      </c>
      <c r="D1318" t="s">
        <v>2468</v>
      </c>
      <c r="E1318" t="str">
        <f t="shared" si="40"/>
        <v>VERNIER CH</v>
      </c>
      <c r="F1318" t="s">
        <v>2480</v>
      </c>
      <c r="G1318">
        <v>0.91</v>
      </c>
      <c r="H1318" t="s">
        <v>2487</v>
      </c>
      <c r="I1318">
        <v>0.88</v>
      </c>
      <c r="J1318">
        <v>0.97</v>
      </c>
      <c r="K1318" s="9">
        <f t="shared" si="41"/>
        <v>45500</v>
      </c>
      <c r="L1318" t="s">
        <v>2653</v>
      </c>
      <c r="M1318" t="s">
        <v>2925</v>
      </c>
    </row>
    <row r="1319" spans="1:13" hidden="1" x14ac:dyDescent="0.35">
      <c r="A1319" t="s">
        <v>1320</v>
      </c>
      <c r="B1319" t="s">
        <v>2324</v>
      </c>
      <c r="C1319" t="s">
        <v>2459</v>
      </c>
      <c r="D1319" t="s">
        <v>2475</v>
      </c>
      <c r="E1319" t="str">
        <f t="shared" si="40"/>
        <v>ASHFORD</v>
      </c>
      <c r="F1319" t="s">
        <v>2484</v>
      </c>
      <c r="G1319">
        <v>7.29</v>
      </c>
      <c r="I1319">
        <v>6</v>
      </c>
      <c r="J1319">
        <v>7.5</v>
      </c>
      <c r="K1319" s="9">
        <f t="shared" si="41"/>
        <v>45828</v>
      </c>
      <c r="L1319" t="s">
        <v>2755</v>
      </c>
      <c r="M1319" t="s">
        <v>2923</v>
      </c>
    </row>
    <row r="1320" spans="1:13" hidden="1" x14ac:dyDescent="0.35">
      <c r="A1320" t="s">
        <v>1321</v>
      </c>
      <c r="B1320" t="s">
        <v>2409</v>
      </c>
      <c r="C1320" t="s">
        <v>2459</v>
      </c>
      <c r="D1320" t="s">
        <v>2464</v>
      </c>
      <c r="E1320" t="str">
        <f t="shared" si="40"/>
        <v>EAST HANOVER</v>
      </c>
      <c r="F1320" t="s">
        <v>2481</v>
      </c>
      <c r="G1320">
        <v>201.66</v>
      </c>
      <c r="H1320" t="s">
        <v>2488</v>
      </c>
      <c r="I1320">
        <v>150</v>
      </c>
      <c r="J1320">
        <v>400</v>
      </c>
      <c r="K1320" s="9">
        <f t="shared" si="41"/>
        <v>45416</v>
      </c>
      <c r="L1320" t="s">
        <v>2553</v>
      </c>
      <c r="M1320" t="s">
        <v>2924</v>
      </c>
    </row>
    <row r="1321" spans="1:13" hidden="1" x14ac:dyDescent="0.35">
      <c r="A1321" t="s">
        <v>1322</v>
      </c>
      <c r="B1321" t="s">
        <v>2151</v>
      </c>
      <c r="C1321" t="s">
        <v>2458</v>
      </c>
      <c r="D1321" t="s">
        <v>2466</v>
      </c>
      <c r="E1321" t="str">
        <f t="shared" si="40"/>
        <v>EAST HANOVER</v>
      </c>
      <c r="F1321" t="s">
        <v>2485</v>
      </c>
      <c r="G1321">
        <v>-12.54</v>
      </c>
      <c r="H1321" t="s">
        <v>2490</v>
      </c>
      <c r="I1321">
        <v>0</v>
      </c>
      <c r="J1321">
        <v>100</v>
      </c>
      <c r="K1321" s="9">
        <f t="shared" si="41"/>
        <v>45334</v>
      </c>
      <c r="L1321" t="s">
        <v>2626</v>
      </c>
      <c r="M1321" t="s">
        <v>2927</v>
      </c>
    </row>
    <row r="1322" spans="1:13" hidden="1" x14ac:dyDescent="0.35">
      <c r="A1322" t="s">
        <v>1323</v>
      </c>
      <c r="B1322" t="s">
        <v>2165</v>
      </c>
      <c r="C1322" t="s">
        <v>2458</v>
      </c>
      <c r="D1322" t="s">
        <v>2476</v>
      </c>
      <c r="E1322" t="str">
        <f t="shared" si="40"/>
        <v>BUDAPEST SITE</v>
      </c>
      <c r="F1322" t="s">
        <v>2480</v>
      </c>
      <c r="G1322">
        <v>0.93</v>
      </c>
      <c r="H1322" t="s">
        <v>2487</v>
      </c>
      <c r="I1322">
        <v>0.88</v>
      </c>
      <c r="J1322">
        <v>0.97</v>
      </c>
      <c r="K1322" s="9">
        <f t="shared" si="41"/>
        <v>45886</v>
      </c>
      <c r="L1322" t="s">
        <v>2638</v>
      </c>
      <c r="M1322" t="s">
        <v>2929</v>
      </c>
    </row>
    <row r="1323" spans="1:13" hidden="1" x14ac:dyDescent="0.35">
      <c r="A1323" t="s">
        <v>1324</v>
      </c>
      <c r="B1323" t="s">
        <v>2109</v>
      </c>
      <c r="C1323" t="s">
        <v>2461</v>
      </c>
      <c r="D1323" t="s">
        <v>2478</v>
      </c>
      <c r="E1323" t="str">
        <f t="shared" si="40"/>
        <v>BUD</v>
      </c>
      <c r="F1323" t="s">
        <v>2480</v>
      </c>
      <c r="G1323">
        <v>0.89</v>
      </c>
      <c r="H1323" t="s">
        <v>2487</v>
      </c>
      <c r="I1323">
        <v>0.88</v>
      </c>
      <c r="J1323">
        <v>0.97</v>
      </c>
      <c r="K1323" s="9">
        <f t="shared" si="41"/>
        <v>45596</v>
      </c>
      <c r="L1323" t="s">
        <v>2586</v>
      </c>
      <c r="M1323" t="s">
        <v>2927</v>
      </c>
    </row>
    <row r="1324" spans="1:13" hidden="1" x14ac:dyDescent="0.35">
      <c r="A1324" t="s">
        <v>1325</v>
      </c>
      <c r="B1324" t="s">
        <v>2443</v>
      </c>
      <c r="C1324" t="s">
        <v>2460</v>
      </c>
      <c r="D1324" t="s">
        <v>2475</v>
      </c>
      <c r="E1324" t="str">
        <f t="shared" si="40"/>
        <v>ASHFORD</v>
      </c>
      <c r="F1324" t="s">
        <v>2480</v>
      </c>
      <c r="G1324">
        <v>0.91</v>
      </c>
      <c r="H1324" t="s">
        <v>2487</v>
      </c>
      <c r="I1324">
        <v>0.88</v>
      </c>
      <c r="J1324">
        <v>0.97</v>
      </c>
      <c r="K1324" s="9">
        <f t="shared" si="41"/>
        <v>45533</v>
      </c>
      <c r="L1324" t="s">
        <v>2866</v>
      </c>
      <c r="M1324" t="s">
        <v>2931</v>
      </c>
    </row>
    <row r="1325" spans="1:13" hidden="1" x14ac:dyDescent="0.35">
      <c r="A1325" t="s">
        <v>1326</v>
      </c>
      <c r="B1325" t="s">
        <v>2340</v>
      </c>
      <c r="C1325" t="s">
        <v>2460</v>
      </c>
      <c r="D1325" t="s">
        <v>2463</v>
      </c>
      <c r="E1325" t="str">
        <f t="shared" si="40"/>
        <v>VERNIER</v>
      </c>
      <c r="F1325" t="s">
        <v>2483</v>
      </c>
      <c r="G1325">
        <v>0.22</v>
      </c>
      <c r="H1325" t="s">
        <v>2489</v>
      </c>
      <c r="I1325">
        <v>0</v>
      </c>
      <c r="J1325">
        <v>1</v>
      </c>
      <c r="K1325" s="9">
        <f t="shared" si="41"/>
        <v>45890</v>
      </c>
      <c r="L1325" t="s">
        <v>2769</v>
      </c>
      <c r="M1325" t="s">
        <v>2926</v>
      </c>
    </row>
    <row r="1326" spans="1:13" hidden="1" x14ac:dyDescent="0.35">
      <c r="A1326" t="s">
        <v>1327</v>
      </c>
      <c r="B1326" t="s">
        <v>2344</v>
      </c>
      <c r="C1326" t="s">
        <v>2461</v>
      </c>
      <c r="D1326" t="s">
        <v>2465</v>
      </c>
      <c r="E1326" t="str">
        <f t="shared" si="40"/>
        <v>VERNIER</v>
      </c>
      <c r="F1326" t="s">
        <v>2485</v>
      </c>
      <c r="G1326">
        <v>29.31</v>
      </c>
      <c r="H1326" t="s">
        <v>2490</v>
      </c>
      <c r="I1326">
        <v>0</v>
      </c>
      <c r="J1326">
        <v>100</v>
      </c>
      <c r="K1326" s="9">
        <f t="shared" si="41"/>
        <v>45458</v>
      </c>
      <c r="L1326" t="s">
        <v>2885</v>
      </c>
      <c r="M1326" t="s">
        <v>2925</v>
      </c>
    </row>
    <row r="1327" spans="1:13" hidden="1" x14ac:dyDescent="0.35">
      <c r="A1327" t="s">
        <v>1328</v>
      </c>
      <c r="B1327" t="s">
        <v>2280</v>
      </c>
      <c r="C1327" t="s">
        <v>2460</v>
      </c>
      <c r="D1327" t="s">
        <v>2466</v>
      </c>
      <c r="E1327" t="str">
        <f t="shared" si="40"/>
        <v>EAST HANOVER</v>
      </c>
      <c r="F1327" t="s">
        <v>2485</v>
      </c>
      <c r="G1327">
        <v>30.66</v>
      </c>
      <c r="H1327" t="s">
        <v>2490</v>
      </c>
      <c r="I1327">
        <v>0</v>
      </c>
      <c r="J1327">
        <v>100</v>
      </c>
      <c r="K1327" s="9">
        <f t="shared" si="41"/>
        <v>45685</v>
      </c>
      <c r="L1327" t="s">
        <v>2724</v>
      </c>
      <c r="M1327" t="s">
        <v>2932</v>
      </c>
    </row>
    <row r="1328" spans="1:13" hidden="1" x14ac:dyDescent="0.35">
      <c r="A1328" t="s">
        <v>1329</v>
      </c>
      <c r="B1328" t="s">
        <v>2243</v>
      </c>
      <c r="C1328" t="s">
        <v>2461</v>
      </c>
      <c r="D1328" t="s">
        <v>2469</v>
      </c>
      <c r="E1328" t="str">
        <f t="shared" si="40"/>
        <v>DORTMUND</v>
      </c>
      <c r="F1328" t="s">
        <v>2481</v>
      </c>
      <c r="G1328">
        <v>252.15</v>
      </c>
      <c r="H1328" t="s">
        <v>2488</v>
      </c>
      <c r="I1328">
        <v>150</v>
      </c>
      <c r="J1328">
        <v>400</v>
      </c>
      <c r="K1328" s="9">
        <f t="shared" si="41"/>
        <v>45833</v>
      </c>
      <c r="L1328" t="s">
        <v>2697</v>
      </c>
      <c r="M1328" t="s">
        <v>2925</v>
      </c>
    </row>
    <row r="1329" spans="1:13" hidden="1" x14ac:dyDescent="0.35">
      <c r="A1329" t="s">
        <v>1330</v>
      </c>
      <c r="B1329" t="s">
        <v>2250</v>
      </c>
      <c r="C1329" t="s">
        <v>2460</v>
      </c>
      <c r="D1329" t="s">
        <v>2476</v>
      </c>
      <c r="E1329" t="str">
        <f t="shared" si="40"/>
        <v>BUDAPEST SITE</v>
      </c>
      <c r="F1329" t="s">
        <v>2484</v>
      </c>
      <c r="G1329">
        <v>7.12</v>
      </c>
      <c r="I1329">
        <v>6</v>
      </c>
      <c r="J1329">
        <v>7.5</v>
      </c>
      <c r="K1329" s="9">
        <f t="shared" si="41"/>
        <v>45670</v>
      </c>
      <c r="L1329" t="s">
        <v>2703</v>
      </c>
      <c r="M1329" t="s">
        <v>2924</v>
      </c>
    </row>
    <row r="1330" spans="1:13" hidden="1" x14ac:dyDescent="0.35">
      <c r="A1330" t="s">
        <v>1331</v>
      </c>
      <c r="B1330" t="s">
        <v>2069</v>
      </c>
      <c r="C1330" t="s">
        <v>2458</v>
      </c>
      <c r="D1330" t="s">
        <v>2464</v>
      </c>
      <c r="E1330" t="str">
        <f t="shared" si="40"/>
        <v>EAST HANOVER</v>
      </c>
      <c r="F1330" t="s">
        <v>2483</v>
      </c>
      <c r="G1330">
        <v>0.43</v>
      </c>
      <c r="H1330" t="s">
        <v>2489</v>
      </c>
      <c r="I1330">
        <v>0</v>
      </c>
      <c r="J1330">
        <v>1</v>
      </c>
      <c r="K1330" s="9">
        <f t="shared" si="41"/>
        <v>45766</v>
      </c>
      <c r="L1330" t="s">
        <v>2548</v>
      </c>
      <c r="M1330" t="s">
        <v>2929</v>
      </c>
    </row>
    <row r="1331" spans="1:13" hidden="1" x14ac:dyDescent="0.35">
      <c r="A1331" t="s">
        <v>1332</v>
      </c>
      <c r="B1331" t="s">
        <v>2184</v>
      </c>
      <c r="C1331" t="s">
        <v>2461</v>
      </c>
      <c r="D1331" t="s">
        <v>2475</v>
      </c>
      <c r="E1331" t="str">
        <f t="shared" si="40"/>
        <v>ASHFORD</v>
      </c>
      <c r="F1331" t="s">
        <v>2483</v>
      </c>
      <c r="G1331">
        <v>0.09</v>
      </c>
      <c r="H1331" t="s">
        <v>2489</v>
      </c>
      <c r="I1331">
        <v>0</v>
      </c>
      <c r="J1331">
        <v>1</v>
      </c>
      <c r="K1331" s="9">
        <f t="shared" si="41"/>
        <v>45662</v>
      </c>
      <c r="L1331" t="s">
        <v>2656</v>
      </c>
      <c r="M1331" t="s">
        <v>2926</v>
      </c>
    </row>
    <row r="1332" spans="1:13" hidden="1" x14ac:dyDescent="0.35">
      <c r="A1332" t="s">
        <v>1333</v>
      </c>
      <c r="B1332" t="s">
        <v>2453</v>
      </c>
      <c r="C1332" t="s">
        <v>2459</v>
      </c>
      <c r="D1332" t="s">
        <v>2467</v>
      </c>
      <c r="E1332" t="str">
        <f t="shared" si="40"/>
        <v>ASHFORD</v>
      </c>
      <c r="F1332" t="s">
        <v>2483</v>
      </c>
      <c r="G1332">
        <v>0.49</v>
      </c>
      <c r="H1332" t="s">
        <v>2489</v>
      </c>
      <c r="I1332">
        <v>0</v>
      </c>
      <c r="J1332">
        <v>1</v>
      </c>
      <c r="K1332" s="9">
        <f t="shared" si="41"/>
        <v>46013</v>
      </c>
      <c r="L1332" t="s">
        <v>2886</v>
      </c>
      <c r="M1332" t="s">
        <v>2930</v>
      </c>
    </row>
    <row r="1333" spans="1:13" hidden="1" x14ac:dyDescent="0.35">
      <c r="A1333" t="s">
        <v>1334</v>
      </c>
      <c r="B1333" t="s">
        <v>2258</v>
      </c>
      <c r="C1333" t="s">
        <v>2460</v>
      </c>
      <c r="D1333" t="s">
        <v>2472</v>
      </c>
      <c r="E1333" t="str">
        <f t="shared" si="40"/>
        <v>VERNIER</v>
      </c>
      <c r="F1333" t="s">
        <v>2485</v>
      </c>
      <c r="G1333">
        <v>6.07</v>
      </c>
      <c r="H1333" t="s">
        <v>2490</v>
      </c>
      <c r="I1333">
        <v>0</v>
      </c>
      <c r="J1333">
        <v>100</v>
      </c>
      <c r="K1333" s="9">
        <f t="shared" si="41"/>
        <v>45883</v>
      </c>
      <c r="L1333" t="s">
        <v>2710</v>
      </c>
      <c r="M1333" t="s">
        <v>2928</v>
      </c>
    </row>
    <row r="1334" spans="1:13" hidden="1" x14ac:dyDescent="0.35">
      <c r="A1334" t="s">
        <v>1335</v>
      </c>
      <c r="B1334" t="s">
        <v>2168</v>
      </c>
      <c r="C1334" t="s">
        <v>2459</v>
      </c>
      <c r="D1334" t="s">
        <v>2471</v>
      </c>
      <c r="E1334" t="str">
        <f t="shared" si="40"/>
        <v>BUDAPEST</v>
      </c>
      <c r="F1334" t="s">
        <v>2485</v>
      </c>
      <c r="G1334">
        <v>17.28</v>
      </c>
      <c r="H1334" t="s">
        <v>2490</v>
      </c>
      <c r="I1334">
        <v>0</v>
      </c>
      <c r="J1334">
        <v>100</v>
      </c>
      <c r="K1334" s="9">
        <f t="shared" si="41"/>
        <v>45558</v>
      </c>
      <c r="L1334" t="s">
        <v>2641</v>
      </c>
      <c r="M1334" t="s">
        <v>2925</v>
      </c>
    </row>
    <row r="1335" spans="1:13" hidden="1" x14ac:dyDescent="0.35">
      <c r="A1335" t="s">
        <v>1336</v>
      </c>
      <c r="B1335" t="s">
        <v>2056</v>
      </c>
      <c r="C1335" t="s">
        <v>2459</v>
      </c>
      <c r="D1335" t="s">
        <v>2471</v>
      </c>
      <c r="E1335" t="str">
        <f t="shared" si="40"/>
        <v>BUDAPEST</v>
      </c>
      <c r="F1335" t="s">
        <v>2484</v>
      </c>
      <c r="G1335">
        <v>6.33</v>
      </c>
      <c r="I1335">
        <v>6</v>
      </c>
      <c r="J1335">
        <v>7.5</v>
      </c>
      <c r="K1335" s="9">
        <f t="shared" si="41"/>
        <v>45997</v>
      </c>
      <c r="L1335" t="s">
        <v>2535</v>
      </c>
      <c r="M1335" t="s">
        <v>2932</v>
      </c>
    </row>
    <row r="1336" spans="1:13" hidden="1" x14ac:dyDescent="0.35">
      <c r="A1336" t="s">
        <v>1337</v>
      </c>
      <c r="B1336" t="s">
        <v>2360</v>
      </c>
      <c r="C1336" t="s">
        <v>2458</v>
      </c>
      <c r="D1336" t="s">
        <v>2467</v>
      </c>
      <c r="E1336" t="str">
        <f t="shared" si="40"/>
        <v>ASHFORD</v>
      </c>
      <c r="F1336" t="s">
        <v>2485</v>
      </c>
      <c r="G1336">
        <v>15.01</v>
      </c>
      <c r="H1336" t="s">
        <v>2490</v>
      </c>
      <c r="I1336">
        <v>0</v>
      </c>
      <c r="J1336">
        <v>100</v>
      </c>
      <c r="K1336" s="9">
        <f t="shared" si="41"/>
        <v>45509</v>
      </c>
      <c r="L1336" t="s">
        <v>2783</v>
      </c>
      <c r="M1336" t="s">
        <v>2932</v>
      </c>
    </row>
    <row r="1337" spans="1:13" hidden="1" x14ac:dyDescent="0.35">
      <c r="A1337" t="s">
        <v>1338</v>
      </c>
      <c r="B1337" t="s">
        <v>2399</v>
      </c>
      <c r="C1337" t="s">
        <v>2459</v>
      </c>
      <c r="D1337" t="s">
        <v>2464</v>
      </c>
      <c r="E1337" t="str">
        <f t="shared" si="40"/>
        <v>EAST HANOVER</v>
      </c>
      <c r="F1337" t="s">
        <v>2484</v>
      </c>
      <c r="G1337">
        <v>6.38</v>
      </c>
      <c r="I1337">
        <v>6</v>
      </c>
      <c r="J1337">
        <v>7.5</v>
      </c>
      <c r="K1337" s="9">
        <f t="shared" si="41"/>
        <v>45669</v>
      </c>
      <c r="L1337" t="s">
        <v>2816</v>
      </c>
      <c r="M1337" t="s">
        <v>2928</v>
      </c>
    </row>
    <row r="1338" spans="1:13" hidden="1" x14ac:dyDescent="0.35">
      <c r="A1338" t="s">
        <v>1339</v>
      </c>
      <c r="B1338" t="s">
        <v>2260</v>
      </c>
      <c r="C1338" t="s">
        <v>2461</v>
      </c>
      <c r="D1338" t="s">
        <v>2478</v>
      </c>
      <c r="E1338" t="str">
        <f t="shared" si="40"/>
        <v>BUD</v>
      </c>
      <c r="F1338" t="s">
        <v>2481</v>
      </c>
      <c r="G1338">
        <v>211.72</v>
      </c>
      <c r="H1338" t="s">
        <v>2488</v>
      </c>
      <c r="I1338">
        <v>150</v>
      </c>
      <c r="J1338">
        <v>400</v>
      </c>
      <c r="K1338" s="9">
        <f t="shared" si="41"/>
        <v>45623</v>
      </c>
      <c r="L1338" t="s">
        <v>2712</v>
      </c>
      <c r="M1338" t="s">
        <v>2929</v>
      </c>
    </row>
    <row r="1339" spans="1:13" hidden="1" x14ac:dyDescent="0.35">
      <c r="A1339" t="s">
        <v>1340</v>
      </c>
      <c r="B1339" t="s">
        <v>2372</v>
      </c>
      <c r="C1339" t="s">
        <v>2461</v>
      </c>
      <c r="D1339" t="s">
        <v>2462</v>
      </c>
      <c r="E1339" t="str">
        <f t="shared" si="40"/>
        <v>ASHFORD UK</v>
      </c>
      <c r="F1339" t="s">
        <v>2484</v>
      </c>
      <c r="G1339">
        <v>7.27</v>
      </c>
      <c r="I1339">
        <v>6</v>
      </c>
      <c r="J1339">
        <v>7.5</v>
      </c>
      <c r="K1339" s="9">
        <f t="shared" si="41"/>
        <v>45704</v>
      </c>
      <c r="L1339" t="s">
        <v>2669</v>
      </c>
      <c r="M1339" t="s">
        <v>2927</v>
      </c>
    </row>
    <row r="1340" spans="1:13" hidden="1" x14ac:dyDescent="0.35">
      <c r="A1340" t="s">
        <v>1341</v>
      </c>
      <c r="B1340" t="s">
        <v>2148</v>
      </c>
      <c r="C1340" t="s">
        <v>2460</v>
      </c>
      <c r="D1340" t="s">
        <v>2468</v>
      </c>
      <c r="E1340" t="str">
        <f t="shared" si="40"/>
        <v>VERNIER CH</v>
      </c>
      <c r="F1340" t="s">
        <v>2485</v>
      </c>
      <c r="G1340">
        <v>-75</v>
      </c>
      <c r="H1340" t="s">
        <v>2490</v>
      </c>
      <c r="I1340">
        <v>0</v>
      </c>
      <c r="J1340">
        <v>100</v>
      </c>
      <c r="K1340" s="9">
        <f t="shared" si="41"/>
        <v>45840</v>
      </c>
      <c r="L1340" t="s">
        <v>2887</v>
      </c>
      <c r="M1340" t="s">
        <v>2929</v>
      </c>
    </row>
    <row r="1341" spans="1:13" hidden="1" x14ac:dyDescent="0.35">
      <c r="A1341" t="s">
        <v>1342</v>
      </c>
      <c r="B1341" t="s">
        <v>2297</v>
      </c>
      <c r="C1341" t="s">
        <v>2458</v>
      </c>
      <c r="D1341" t="s">
        <v>2470</v>
      </c>
      <c r="E1341" t="str">
        <f t="shared" si="40"/>
        <v>E. HANOVER</v>
      </c>
      <c r="F1341" t="s">
        <v>2480</v>
      </c>
      <c r="G1341">
        <v>0.94</v>
      </c>
      <c r="H1341" t="s">
        <v>2487</v>
      </c>
      <c r="I1341">
        <v>0.88</v>
      </c>
      <c r="J1341">
        <v>0.97</v>
      </c>
      <c r="K1341" s="9">
        <f t="shared" si="41"/>
        <v>45800</v>
      </c>
      <c r="L1341" t="s">
        <v>2737</v>
      </c>
      <c r="M1341" t="s">
        <v>2932</v>
      </c>
    </row>
    <row r="1342" spans="1:13" hidden="1" x14ac:dyDescent="0.35">
      <c r="A1342" t="s">
        <v>1343</v>
      </c>
      <c r="B1342" t="s">
        <v>2432</v>
      </c>
      <c r="C1342" t="s">
        <v>2459</v>
      </c>
      <c r="D1342" t="s">
        <v>2464</v>
      </c>
      <c r="E1342" t="str">
        <f t="shared" si="40"/>
        <v>EAST HANOVER</v>
      </c>
      <c r="F1342" t="s">
        <v>2479</v>
      </c>
      <c r="G1342">
        <v>15.09</v>
      </c>
      <c r="H1342" t="s">
        <v>2486</v>
      </c>
      <c r="I1342">
        <v>0</v>
      </c>
      <c r="J1342">
        <v>120</v>
      </c>
      <c r="K1342" s="9">
        <f t="shared" si="41"/>
        <v>45457</v>
      </c>
      <c r="L1342" t="s">
        <v>2888</v>
      </c>
      <c r="M1342" t="s">
        <v>2929</v>
      </c>
    </row>
    <row r="1343" spans="1:13" hidden="1" x14ac:dyDescent="0.35">
      <c r="A1343" t="s">
        <v>1344</v>
      </c>
      <c r="B1343" t="s">
        <v>2267</v>
      </c>
      <c r="C1343" t="s">
        <v>2460</v>
      </c>
      <c r="D1343" t="s">
        <v>2470</v>
      </c>
      <c r="E1343" t="str">
        <f t="shared" si="40"/>
        <v>E. HANOVER</v>
      </c>
      <c r="F1343" t="s">
        <v>2483</v>
      </c>
      <c r="G1343">
        <v>0.63</v>
      </c>
      <c r="H1343" t="s">
        <v>2489</v>
      </c>
      <c r="I1343">
        <v>0</v>
      </c>
      <c r="J1343">
        <v>1</v>
      </c>
      <c r="K1343" s="9">
        <f t="shared" si="41"/>
        <v>45995</v>
      </c>
      <c r="L1343" t="s">
        <v>2716</v>
      </c>
      <c r="M1343" t="s">
        <v>2932</v>
      </c>
    </row>
    <row r="1344" spans="1:13" hidden="1" x14ac:dyDescent="0.35">
      <c r="A1344" t="s">
        <v>1345</v>
      </c>
      <c r="B1344" t="s">
        <v>2032</v>
      </c>
      <c r="C1344" t="s">
        <v>2460</v>
      </c>
      <c r="D1344" t="s">
        <v>2467</v>
      </c>
      <c r="E1344" t="str">
        <f t="shared" si="40"/>
        <v>ASHFORD</v>
      </c>
      <c r="F1344" t="s">
        <v>2484</v>
      </c>
      <c r="G1344">
        <v>8.6999999999999993</v>
      </c>
      <c r="I1344">
        <v>6</v>
      </c>
      <c r="J1344">
        <v>7.5</v>
      </c>
      <c r="K1344" s="9">
        <f t="shared" si="41"/>
        <v>45409</v>
      </c>
      <c r="L1344" t="s">
        <v>2512</v>
      </c>
      <c r="M1344" t="s">
        <v>2928</v>
      </c>
    </row>
    <row r="1345" spans="1:13" hidden="1" x14ac:dyDescent="0.35">
      <c r="A1345" t="s">
        <v>1346</v>
      </c>
      <c r="B1345" t="s">
        <v>2083</v>
      </c>
      <c r="C1345" t="s">
        <v>2459</v>
      </c>
      <c r="D1345" t="s">
        <v>2475</v>
      </c>
      <c r="E1345" t="str">
        <f t="shared" si="40"/>
        <v>ASHFORD</v>
      </c>
      <c r="F1345" t="s">
        <v>2482</v>
      </c>
      <c r="G1345">
        <v>98.16</v>
      </c>
      <c r="H1345" t="s">
        <v>2489</v>
      </c>
      <c r="I1345">
        <v>97</v>
      </c>
      <c r="J1345">
        <v>100</v>
      </c>
      <c r="K1345" s="9">
        <f t="shared" si="41"/>
        <v>45979</v>
      </c>
      <c r="L1345" t="s">
        <v>2600</v>
      </c>
      <c r="M1345" t="s">
        <v>2924</v>
      </c>
    </row>
    <row r="1346" spans="1:13" hidden="1" x14ac:dyDescent="0.35">
      <c r="A1346" t="s">
        <v>1347</v>
      </c>
      <c r="B1346" t="s">
        <v>2084</v>
      </c>
      <c r="C1346" t="s">
        <v>2458</v>
      </c>
      <c r="D1346" t="s">
        <v>2462</v>
      </c>
      <c r="E1346" t="str">
        <f t="shared" si="40"/>
        <v>ASHFORD UK</v>
      </c>
      <c r="F1346" t="s">
        <v>2485</v>
      </c>
      <c r="G1346">
        <v>44.78</v>
      </c>
      <c r="H1346" t="s">
        <v>2490</v>
      </c>
      <c r="I1346">
        <v>0</v>
      </c>
      <c r="J1346">
        <v>100</v>
      </c>
      <c r="K1346" s="9">
        <f t="shared" si="41"/>
        <v>45874</v>
      </c>
      <c r="L1346" t="s">
        <v>2563</v>
      </c>
      <c r="M1346" t="s">
        <v>2925</v>
      </c>
    </row>
    <row r="1347" spans="1:13" hidden="1" x14ac:dyDescent="0.35">
      <c r="A1347" t="s">
        <v>1348</v>
      </c>
      <c r="B1347" t="s">
        <v>2345</v>
      </c>
      <c r="C1347" t="s">
        <v>2458</v>
      </c>
      <c r="D1347" t="s">
        <v>2477</v>
      </c>
      <c r="E1347" t="str">
        <f t="shared" ref="E1347:E1410" si="42">UPPER(D1347)</f>
        <v>BUDAPEST</v>
      </c>
      <c r="F1347" t="s">
        <v>2481</v>
      </c>
      <c r="G1347">
        <v>262.04000000000002</v>
      </c>
      <c r="H1347" t="s">
        <v>2488</v>
      </c>
      <c r="I1347">
        <v>150</v>
      </c>
      <c r="J1347">
        <v>400</v>
      </c>
      <c r="K1347" s="9">
        <f t="shared" ref="K1347:K1410" si="43">IF(L1347="","",
IF(MID(L1347,5,1)="-",
DATE(LEFT(L1347,4),MID(L1347,6,2),RIGHT(L1347,2)),
DATE(RIGHT(L1347,4),MID(L1347,4,2),LEFT(L1347,2))
))</f>
        <v>45379</v>
      </c>
      <c r="L1347" t="s">
        <v>2772</v>
      </c>
      <c r="M1347" t="s">
        <v>2924</v>
      </c>
    </row>
    <row r="1348" spans="1:13" hidden="1" x14ac:dyDescent="0.35">
      <c r="A1348" t="s">
        <v>1349</v>
      </c>
      <c r="B1348" t="s">
        <v>2294</v>
      </c>
      <c r="C1348" t="s">
        <v>2460</v>
      </c>
      <c r="D1348" t="s">
        <v>2471</v>
      </c>
      <c r="E1348" t="str">
        <f t="shared" si="42"/>
        <v>BUDAPEST</v>
      </c>
      <c r="F1348" t="s">
        <v>2484</v>
      </c>
      <c r="G1348">
        <v>7.15</v>
      </c>
      <c r="I1348">
        <v>6</v>
      </c>
      <c r="J1348">
        <v>7.5</v>
      </c>
      <c r="K1348" s="9">
        <f t="shared" si="43"/>
        <v>45560</v>
      </c>
      <c r="L1348" t="s">
        <v>2735</v>
      </c>
      <c r="M1348" t="s">
        <v>2929</v>
      </c>
    </row>
    <row r="1349" spans="1:13" hidden="1" x14ac:dyDescent="0.35">
      <c r="A1349" t="s">
        <v>1350</v>
      </c>
      <c r="B1349" t="s">
        <v>2020</v>
      </c>
      <c r="C1349" t="s">
        <v>2458</v>
      </c>
      <c r="D1349" t="s">
        <v>2478</v>
      </c>
      <c r="E1349" t="str">
        <f t="shared" si="42"/>
        <v>BUD</v>
      </c>
      <c r="F1349" t="s">
        <v>2482</v>
      </c>
      <c r="G1349">
        <v>98.89</v>
      </c>
      <c r="H1349" t="s">
        <v>2489</v>
      </c>
      <c r="I1349">
        <v>97</v>
      </c>
      <c r="J1349">
        <v>100</v>
      </c>
      <c r="K1349" s="9">
        <f t="shared" si="43"/>
        <v>45655</v>
      </c>
      <c r="L1349" t="s">
        <v>2500</v>
      </c>
      <c r="M1349" t="s">
        <v>2927</v>
      </c>
    </row>
    <row r="1350" spans="1:13" hidden="1" x14ac:dyDescent="0.35">
      <c r="A1350" t="s">
        <v>1351</v>
      </c>
      <c r="B1350" t="s">
        <v>2173</v>
      </c>
      <c r="C1350" t="s">
        <v>2460</v>
      </c>
      <c r="D1350" t="s">
        <v>2470</v>
      </c>
      <c r="E1350" t="str">
        <f t="shared" si="42"/>
        <v>E. HANOVER</v>
      </c>
      <c r="F1350" t="s">
        <v>2483</v>
      </c>
      <c r="G1350">
        <v>0.46</v>
      </c>
      <c r="H1350" t="s">
        <v>2489</v>
      </c>
      <c r="I1350">
        <v>0</v>
      </c>
      <c r="J1350">
        <v>1</v>
      </c>
      <c r="K1350" s="9">
        <f t="shared" si="43"/>
        <v>45609</v>
      </c>
      <c r="L1350" t="s">
        <v>2646</v>
      </c>
      <c r="M1350" t="s">
        <v>2925</v>
      </c>
    </row>
    <row r="1351" spans="1:13" hidden="1" x14ac:dyDescent="0.35">
      <c r="A1351" t="s">
        <v>1352</v>
      </c>
      <c r="B1351" t="s">
        <v>2039</v>
      </c>
      <c r="C1351" t="s">
        <v>2458</v>
      </c>
      <c r="D1351" t="s">
        <v>2478</v>
      </c>
      <c r="E1351" t="str">
        <f t="shared" si="42"/>
        <v>BUD</v>
      </c>
      <c r="F1351" t="s">
        <v>2483</v>
      </c>
      <c r="G1351">
        <v>0.25</v>
      </c>
      <c r="H1351" t="s">
        <v>2489</v>
      </c>
      <c r="I1351">
        <v>0</v>
      </c>
      <c r="J1351">
        <v>1</v>
      </c>
      <c r="K1351" s="9">
        <f t="shared" si="43"/>
        <v>45969</v>
      </c>
      <c r="L1351" t="s">
        <v>2519</v>
      </c>
      <c r="M1351" t="s">
        <v>2930</v>
      </c>
    </row>
    <row r="1352" spans="1:13" hidden="1" x14ac:dyDescent="0.35">
      <c r="A1352" t="s">
        <v>1353</v>
      </c>
      <c r="B1352" t="s">
        <v>2028</v>
      </c>
      <c r="C1352" t="s">
        <v>2459</v>
      </c>
      <c r="D1352" t="s">
        <v>2469</v>
      </c>
      <c r="E1352" t="str">
        <f t="shared" si="42"/>
        <v>DORTMUND</v>
      </c>
      <c r="F1352" t="s">
        <v>2485</v>
      </c>
      <c r="G1352">
        <v>11.14</v>
      </c>
      <c r="H1352" t="s">
        <v>2490</v>
      </c>
      <c r="I1352">
        <v>0</v>
      </c>
      <c r="J1352">
        <v>100</v>
      </c>
      <c r="K1352" s="9">
        <f t="shared" si="43"/>
        <v>45654</v>
      </c>
      <c r="L1352" t="s">
        <v>2508</v>
      </c>
      <c r="M1352" t="s">
        <v>2932</v>
      </c>
    </row>
    <row r="1353" spans="1:13" hidden="1" x14ac:dyDescent="0.35">
      <c r="A1353" t="s">
        <v>1354</v>
      </c>
      <c r="B1353" t="s">
        <v>2055</v>
      </c>
      <c r="C1353" t="s">
        <v>2461</v>
      </c>
      <c r="D1353" t="s">
        <v>2477</v>
      </c>
      <c r="E1353" t="str">
        <f t="shared" si="42"/>
        <v>BUDAPEST</v>
      </c>
      <c r="F1353" t="s">
        <v>2481</v>
      </c>
      <c r="G1353">
        <v>254.56</v>
      </c>
      <c r="H1353" t="s">
        <v>2488</v>
      </c>
      <c r="I1353">
        <v>150</v>
      </c>
      <c r="J1353">
        <v>400</v>
      </c>
      <c r="K1353" s="9">
        <f t="shared" si="43"/>
        <v>46020</v>
      </c>
      <c r="L1353" t="s">
        <v>2534</v>
      </c>
      <c r="M1353" t="s">
        <v>2929</v>
      </c>
    </row>
    <row r="1354" spans="1:13" hidden="1" x14ac:dyDescent="0.35">
      <c r="A1354" t="s">
        <v>1355</v>
      </c>
      <c r="B1354" t="s">
        <v>2371</v>
      </c>
      <c r="C1354" t="s">
        <v>2459</v>
      </c>
      <c r="D1354" t="s">
        <v>2474</v>
      </c>
      <c r="E1354" t="str">
        <f t="shared" si="42"/>
        <v>DORTMUND DE</v>
      </c>
      <c r="F1354" t="s">
        <v>2485</v>
      </c>
      <c r="G1354">
        <v>-0.61</v>
      </c>
      <c r="H1354" t="s">
        <v>2490</v>
      </c>
      <c r="I1354">
        <v>0</v>
      </c>
      <c r="J1354">
        <v>100</v>
      </c>
      <c r="K1354" s="9">
        <f t="shared" si="43"/>
        <v>45519</v>
      </c>
      <c r="L1354" t="s">
        <v>2791</v>
      </c>
      <c r="M1354" t="s">
        <v>2929</v>
      </c>
    </row>
    <row r="1355" spans="1:13" hidden="1" x14ac:dyDescent="0.35">
      <c r="A1355" t="s">
        <v>1356</v>
      </c>
      <c r="B1355" t="s">
        <v>2424</v>
      </c>
      <c r="C1355" t="s">
        <v>2457</v>
      </c>
      <c r="D1355" t="s">
        <v>2474</v>
      </c>
      <c r="E1355" t="str">
        <f t="shared" si="42"/>
        <v>DORTMUND DE</v>
      </c>
      <c r="F1355" t="s">
        <v>2481</v>
      </c>
      <c r="G1355">
        <v>225.36</v>
      </c>
      <c r="H1355" t="s">
        <v>2488</v>
      </c>
      <c r="I1355">
        <v>150</v>
      </c>
      <c r="J1355">
        <v>400</v>
      </c>
      <c r="K1355" s="9">
        <f t="shared" si="43"/>
        <v>45371</v>
      </c>
      <c r="L1355" t="s">
        <v>2622</v>
      </c>
      <c r="M1355" t="s">
        <v>2926</v>
      </c>
    </row>
    <row r="1356" spans="1:13" hidden="1" x14ac:dyDescent="0.35">
      <c r="A1356" t="s">
        <v>1357</v>
      </c>
      <c r="B1356" t="s">
        <v>2030</v>
      </c>
      <c r="C1356" t="s">
        <v>2457</v>
      </c>
      <c r="D1356" t="s">
        <v>2465</v>
      </c>
      <c r="E1356" t="str">
        <f t="shared" si="42"/>
        <v>VERNIER</v>
      </c>
      <c r="F1356" t="s">
        <v>2481</v>
      </c>
      <c r="G1356">
        <v>256.56</v>
      </c>
      <c r="H1356" t="s">
        <v>2488</v>
      </c>
      <c r="I1356">
        <v>150</v>
      </c>
      <c r="J1356">
        <v>400</v>
      </c>
      <c r="K1356" s="9">
        <f t="shared" si="43"/>
        <v>45613</v>
      </c>
      <c r="L1356" t="s">
        <v>2510</v>
      </c>
      <c r="M1356" t="s">
        <v>2932</v>
      </c>
    </row>
    <row r="1357" spans="1:13" hidden="1" x14ac:dyDescent="0.35">
      <c r="A1357" t="s">
        <v>1358</v>
      </c>
      <c r="B1357" t="s">
        <v>2153</v>
      </c>
      <c r="C1357" t="s">
        <v>2461</v>
      </c>
      <c r="D1357" t="s">
        <v>2476</v>
      </c>
      <c r="E1357" t="str">
        <f t="shared" si="42"/>
        <v>BUDAPEST SITE</v>
      </c>
      <c r="F1357" t="s">
        <v>2483</v>
      </c>
      <c r="G1357">
        <v>0.02</v>
      </c>
      <c r="H1357" t="s">
        <v>2489</v>
      </c>
      <c r="I1357">
        <v>0</v>
      </c>
      <c r="J1357">
        <v>1</v>
      </c>
      <c r="K1357" s="9">
        <f t="shared" si="43"/>
        <v>45445</v>
      </c>
      <c r="L1357" t="s">
        <v>2628</v>
      </c>
      <c r="M1357" t="s">
        <v>2923</v>
      </c>
    </row>
    <row r="1358" spans="1:13" hidden="1" x14ac:dyDescent="0.35">
      <c r="A1358" t="s">
        <v>1359</v>
      </c>
      <c r="B1358" t="s">
        <v>2025</v>
      </c>
      <c r="C1358" t="s">
        <v>2458</v>
      </c>
      <c r="D1358" t="s">
        <v>2464</v>
      </c>
      <c r="E1358" t="str">
        <f t="shared" si="42"/>
        <v>EAST HANOVER</v>
      </c>
      <c r="F1358" t="s">
        <v>2481</v>
      </c>
      <c r="G1358">
        <v>305.3</v>
      </c>
      <c r="H1358" t="s">
        <v>2488</v>
      </c>
      <c r="I1358">
        <v>150</v>
      </c>
      <c r="J1358">
        <v>400</v>
      </c>
      <c r="K1358" s="9">
        <f t="shared" si="43"/>
        <v>45351</v>
      </c>
      <c r="L1358" t="s">
        <v>2505</v>
      </c>
      <c r="M1358" t="s">
        <v>2924</v>
      </c>
    </row>
    <row r="1359" spans="1:13" hidden="1" x14ac:dyDescent="0.35">
      <c r="A1359" t="s">
        <v>1360</v>
      </c>
      <c r="B1359" t="s">
        <v>2131</v>
      </c>
      <c r="C1359" t="s">
        <v>2459</v>
      </c>
      <c r="D1359" t="s">
        <v>2478</v>
      </c>
      <c r="E1359" t="str">
        <f t="shared" si="42"/>
        <v>BUD</v>
      </c>
      <c r="F1359" t="s">
        <v>2482</v>
      </c>
      <c r="G1359">
        <v>96.98</v>
      </c>
      <c r="H1359" t="s">
        <v>2489</v>
      </c>
      <c r="I1359">
        <v>97</v>
      </c>
      <c r="J1359">
        <v>100</v>
      </c>
      <c r="K1359" s="9">
        <f t="shared" si="43"/>
        <v>45561</v>
      </c>
      <c r="L1359" t="s">
        <v>2607</v>
      </c>
      <c r="M1359" t="s">
        <v>2923</v>
      </c>
    </row>
    <row r="1360" spans="1:13" hidden="1" x14ac:dyDescent="0.35">
      <c r="A1360" t="s">
        <v>1361</v>
      </c>
      <c r="B1360" t="s">
        <v>2267</v>
      </c>
      <c r="C1360" t="s">
        <v>2460</v>
      </c>
      <c r="D1360" t="s">
        <v>2464</v>
      </c>
      <c r="E1360" t="str">
        <f t="shared" si="42"/>
        <v>EAST HANOVER</v>
      </c>
      <c r="F1360" t="s">
        <v>2480</v>
      </c>
      <c r="G1360">
        <v>0.92</v>
      </c>
      <c r="H1360" t="s">
        <v>2487</v>
      </c>
      <c r="I1360">
        <v>0.88</v>
      </c>
      <c r="J1360">
        <v>0.97</v>
      </c>
      <c r="K1360" s="9">
        <f t="shared" si="43"/>
        <v>45995</v>
      </c>
      <c r="L1360" t="s">
        <v>2716</v>
      </c>
      <c r="M1360" t="s">
        <v>2924</v>
      </c>
    </row>
    <row r="1361" spans="1:13" hidden="1" x14ac:dyDescent="0.35">
      <c r="A1361" t="s">
        <v>1362</v>
      </c>
      <c r="B1361" t="s">
        <v>2145</v>
      </c>
      <c r="C1361" t="s">
        <v>2458</v>
      </c>
      <c r="D1361" t="s">
        <v>2476</v>
      </c>
      <c r="E1361" t="str">
        <f t="shared" si="42"/>
        <v>BUDAPEST SITE</v>
      </c>
      <c r="F1361" t="s">
        <v>2485</v>
      </c>
      <c r="G1361">
        <v>3.04</v>
      </c>
      <c r="H1361" t="s">
        <v>2490</v>
      </c>
      <c r="I1361">
        <v>0</v>
      </c>
      <c r="J1361">
        <v>100</v>
      </c>
      <c r="K1361" s="9">
        <f t="shared" si="43"/>
        <v>45819</v>
      </c>
      <c r="L1361" t="s">
        <v>2620</v>
      </c>
      <c r="M1361" t="s">
        <v>2929</v>
      </c>
    </row>
    <row r="1362" spans="1:13" hidden="1" x14ac:dyDescent="0.35">
      <c r="A1362" t="s">
        <v>1363</v>
      </c>
      <c r="B1362" t="s">
        <v>2422</v>
      </c>
      <c r="C1362" t="s">
        <v>2461</v>
      </c>
      <c r="D1362" t="s">
        <v>2473</v>
      </c>
      <c r="E1362" t="str">
        <f t="shared" si="42"/>
        <v>DORTMUND</v>
      </c>
      <c r="F1362" t="s">
        <v>2480</v>
      </c>
      <c r="G1362">
        <v>0.88</v>
      </c>
      <c r="H1362" t="s">
        <v>2487</v>
      </c>
      <c r="I1362">
        <v>0.88</v>
      </c>
      <c r="J1362">
        <v>0.97</v>
      </c>
      <c r="K1362" s="9">
        <f t="shared" si="43"/>
        <v>45539</v>
      </c>
      <c r="L1362" t="s">
        <v>2834</v>
      </c>
      <c r="M1362" t="s">
        <v>2927</v>
      </c>
    </row>
    <row r="1363" spans="1:13" hidden="1" x14ac:dyDescent="0.35">
      <c r="A1363" t="s">
        <v>1364</v>
      </c>
      <c r="B1363" t="s">
        <v>2288</v>
      </c>
      <c r="C1363" t="s">
        <v>2457</v>
      </c>
      <c r="D1363" t="s">
        <v>2473</v>
      </c>
      <c r="E1363" t="str">
        <f t="shared" si="42"/>
        <v>DORTMUND</v>
      </c>
      <c r="F1363" t="s">
        <v>2485</v>
      </c>
      <c r="G1363">
        <v>-37.93</v>
      </c>
      <c r="H1363" t="s">
        <v>2490</v>
      </c>
      <c r="I1363">
        <v>0</v>
      </c>
      <c r="J1363">
        <v>100</v>
      </c>
      <c r="K1363" s="9">
        <f t="shared" si="43"/>
        <v>45894</v>
      </c>
      <c r="L1363" t="s">
        <v>2731</v>
      </c>
      <c r="M1363" t="s">
        <v>2932</v>
      </c>
    </row>
    <row r="1364" spans="1:13" hidden="1" x14ac:dyDescent="0.35">
      <c r="A1364" t="s">
        <v>1365</v>
      </c>
      <c r="B1364" t="s">
        <v>2074</v>
      </c>
      <c r="C1364" t="s">
        <v>2457</v>
      </c>
      <c r="D1364" t="s">
        <v>2475</v>
      </c>
      <c r="E1364" t="str">
        <f t="shared" si="42"/>
        <v>ASHFORD</v>
      </c>
      <c r="F1364" t="s">
        <v>2484</v>
      </c>
      <c r="G1364">
        <v>7.17</v>
      </c>
      <c r="I1364">
        <v>6</v>
      </c>
      <c r="J1364">
        <v>7.5</v>
      </c>
      <c r="K1364" s="9">
        <f t="shared" si="43"/>
        <v>45416</v>
      </c>
      <c r="L1364" t="s">
        <v>2553</v>
      </c>
      <c r="M1364" t="s">
        <v>2926</v>
      </c>
    </row>
    <row r="1365" spans="1:13" hidden="1" x14ac:dyDescent="0.35">
      <c r="A1365" t="s">
        <v>1366</v>
      </c>
      <c r="B1365" t="s">
        <v>2095</v>
      </c>
      <c r="C1365" t="s">
        <v>2459</v>
      </c>
      <c r="D1365" t="s">
        <v>2467</v>
      </c>
      <c r="E1365" t="str">
        <f t="shared" si="42"/>
        <v>ASHFORD</v>
      </c>
      <c r="F1365" t="s">
        <v>2481</v>
      </c>
      <c r="G1365">
        <v>277.64999999999998</v>
      </c>
      <c r="H1365" t="s">
        <v>2488</v>
      </c>
      <c r="I1365">
        <v>150</v>
      </c>
      <c r="J1365">
        <v>400</v>
      </c>
      <c r="K1365" s="9">
        <f t="shared" si="43"/>
        <v>45825</v>
      </c>
      <c r="L1365" t="s">
        <v>2573</v>
      </c>
      <c r="M1365" t="s">
        <v>2926</v>
      </c>
    </row>
    <row r="1366" spans="1:13" hidden="1" x14ac:dyDescent="0.35">
      <c r="A1366" t="s">
        <v>1367</v>
      </c>
      <c r="B1366" t="s">
        <v>2227</v>
      </c>
      <c r="C1366" t="s">
        <v>2457</v>
      </c>
      <c r="D1366" t="s">
        <v>2469</v>
      </c>
      <c r="E1366" t="str">
        <f t="shared" si="42"/>
        <v>DORTMUND</v>
      </c>
      <c r="F1366" t="s">
        <v>2481</v>
      </c>
      <c r="G1366">
        <v>275.33999999999997</v>
      </c>
      <c r="H1366" t="s">
        <v>2488</v>
      </c>
      <c r="I1366">
        <v>150</v>
      </c>
      <c r="J1366">
        <v>400</v>
      </c>
      <c r="K1366" s="9">
        <f t="shared" si="43"/>
        <v>45635</v>
      </c>
      <c r="L1366" t="s">
        <v>2619</v>
      </c>
      <c r="M1366" t="s">
        <v>2930</v>
      </c>
    </row>
    <row r="1367" spans="1:13" hidden="1" x14ac:dyDescent="0.35">
      <c r="A1367" t="s">
        <v>1368</v>
      </c>
      <c r="B1367" t="s">
        <v>2256</v>
      </c>
      <c r="C1367" t="s">
        <v>2461</v>
      </c>
      <c r="D1367" t="s">
        <v>2464</v>
      </c>
      <c r="E1367" t="str">
        <f t="shared" si="42"/>
        <v>EAST HANOVER</v>
      </c>
      <c r="F1367" t="s">
        <v>2481</v>
      </c>
      <c r="G1367">
        <v>272.08</v>
      </c>
      <c r="H1367" t="s">
        <v>2488</v>
      </c>
      <c r="I1367">
        <v>150</v>
      </c>
      <c r="J1367">
        <v>400</v>
      </c>
      <c r="K1367" s="9">
        <f t="shared" si="43"/>
        <v>45676</v>
      </c>
      <c r="L1367" t="s">
        <v>2707</v>
      </c>
      <c r="M1367" t="s">
        <v>2923</v>
      </c>
    </row>
    <row r="1368" spans="1:13" hidden="1" x14ac:dyDescent="0.35">
      <c r="A1368" t="s">
        <v>1369</v>
      </c>
      <c r="B1368" t="s">
        <v>2241</v>
      </c>
      <c r="C1368" t="s">
        <v>2460</v>
      </c>
      <c r="D1368" t="s">
        <v>2474</v>
      </c>
      <c r="E1368" t="str">
        <f t="shared" si="42"/>
        <v>DORTMUND DE</v>
      </c>
      <c r="F1368" t="s">
        <v>2484</v>
      </c>
      <c r="G1368">
        <v>6.54</v>
      </c>
      <c r="I1368">
        <v>6</v>
      </c>
      <c r="J1368">
        <v>7.5</v>
      </c>
      <c r="K1368" s="9">
        <f t="shared" si="43"/>
        <v>45781</v>
      </c>
      <c r="L1368" t="s">
        <v>2696</v>
      </c>
      <c r="M1368" t="s">
        <v>2930</v>
      </c>
    </row>
    <row r="1369" spans="1:13" hidden="1" x14ac:dyDescent="0.35">
      <c r="A1369" t="s">
        <v>1370</v>
      </c>
      <c r="B1369" t="s">
        <v>2452</v>
      </c>
      <c r="C1369" t="s">
        <v>2461</v>
      </c>
      <c r="D1369" t="s">
        <v>2474</v>
      </c>
      <c r="E1369" t="str">
        <f t="shared" si="42"/>
        <v>DORTMUND DE</v>
      </c>
      <c r="F1369" t="s">
        <v>2484</v>
      </c>
      <c r="G1369">
        <v>6.67</v>
      </c>
      <c r="I1369">
        <v>6</v>
      </c>
      <c r="J1369">
        <v>7.5</v>
      </c>
      <c r="K1369" s="9">
        <f t="shared" si="43"/>
        <v>45452</v>
      </c>
      <c r="L1369" t="s">
        <v>2528</v>
      </c>
      <c r="M1369" t="s">
        <v>2927</v>
      </c>
    </row>
    <row r="1370" spans="1:13" hidden="1" x14ac:dyDescent="0.35">
      <c r="A1370" t="s">
        <v>1371</v>
      </c>
      <c r="B1370" t="s">
        <v>2173</v>
      </c>
      <c r="C1370" t="s">
        <v>2460</v>
      </c>
      <c r="D1370" t="s">
        <v>2470</v>
      </c>
      <c r="E1370" t="str">
        <f t="shared" si="42"/>
        <v>E. HANOVER</v>
      </c>
      <c r="F1370" t="s">
        <v>2480</v>
      </c>
      <c r="G1370">
        <v>0.92</v>
      </c>
      <c r="H1370" t="s">
        <v>2487</v>
      </c>
      <c r="I1370">
        <v>0.88</v>
      </c>
      <c r="J1370">
        <v>0.97</v>
      </c>
      <c r="K1370" s="9">
        <f t="shared" si="43"/>
        <v>45609</v>
      </c>
      <c r="L1370" t="s">
        <v>2646</v>
      </c>
      <c r="M1370" t="s">
        <v>2929</v>
      </c>
    </row>
    <row r="1371" spans="1:13" hidden="1" x14ac:dyDescent="0.35">
      <c r="A1371" t="s">
        <v>1372</v>
      </c>
      <c r="B1371" t="s">
        <v>2342</v>
      </c>
      <c r="C1371" t="s">
        <v>2458</v>
      </c>
      <c r="D1371" t="s">
        <v>2464</v>
      </c>
      <c r="E1371" t="str">
        <f t="shared" si="42"/>
        <v>EAST HANOVER</v>
      </c>
      <c r="F1371" t="s">
        <v>2483</v>
      </c>
      <c r="G1371">
        <v>0.16</v>
      </c>
      <c r="H1371" t="s">
        <v>2489</v>
      </c>
      <c r="I1371">
        <v>0</v>
      </c>
      <c r="J1371">
        <v>1</v>
      </c>
      <c r="K1371" s="9">
        <f t="shared" si="43"/>
        <v>45686</v>
      </c>
      <c r="L1371" t="s">
        <v>2554</v>
      </c>
      <c r="M1371" t="s">
        <v>2925</v>
      </c>
    </row>
    <row r="1372" spans="1:13" hidden="1" x14ac:dyDescent="0.35">
      <c r="A1372" t="s">
        <v>1373</v>
      </c>
      <c r="B1372" t="s">
        <v>2199</v>
      </c>
      <c r="C1372" t="s">
        <v>2460</v>
      </c>
      <c r="D1372" t="s">
        <v>2475</v>
      </c>
      <c r="E1372" t="str">
        <f t="shared" si="42"/>
        <v>ASHFORD</v>
      </c>
      <c r="F1372" t="s">
        <v>2479</v>
      </c>
      <c r="G1372">
        <v>92.85</v>
      </c>
      <c r="H1372" t="s">
        <v>2486</v>
      </c>
      <c r="I1372">
        <v>0</v>
      </c>
      <c r="J1372">
        <v>120</v>
      </c>
      <c r="K1372" s="9">
        <f t="shared" si="43"/>
        <v>45413</v>
      </c>
      <c r="L1372" t="s">
        <v>2578</v>
      </c>
      <c r="M1372" t="s">
        <v>2925</v>
      </c>
    </row>
    <row r="1373" spans="1:13" hidden="1" x14ac:dyDescent="0.35">
      <c r="A1373" t="s">
        <v>1374</v>
      </c>
      <c r="B1373" t="s">
        <v>2402</v>
      </c>
      <c r="C1373" t="s">
        <v>2461</v>
      </c>
      <c r="D1373" t="s">
        <v>2466</v>
      </c>
      <c r="E1373" t="str">
        <f t="shared" si="42"/>
        <v>EAST HANOVER</v>
      </c>
      <c r="F1373" t="s">
        <v>2480</v>
      </c>
      <c r="G1373">
        <v>0.9</v>
      </c>
      <c r="H1373" t="s">
        <v>2487</v>
      </c>
      <c r="I1373">
        <v>0.88</v>
      </c>
      <c r="J1373">
        <v>0.97</v>
      </c>
      <c r="K1373" s="9">
        <f t="shared" si="43"/>
        <v>45479</v>
      </c>
      <c r="L1373" t="s">
        <v>2818</v>
      </c>
      <c r="M1373" t="s">
        <v>2925</v>
      </c>
    </row>
    <row r="1374" spans="1:13" hidden="1" x14ac:dyDescent="0.35">
      <c r="A1374" t="s">
        <v>1375</v>
      </c>
      <c r="B1374" t="s">
        <v>2213</v>
      </c>
      <c r="C1374" t="s">
        <v>2457</v>
      </c>
      <c r="D1374" t="s">
        <v>2467</v>
      </c>
      <c r="E1374" t="str">
        <f t="shared" si="42"/>
        <v>ASHFORD</v>
      </c>
      <c r="F1374" t="s">
        <v>2484</v>
      </c>
      <c r="G1374">
        <v>7.03</v>
      </c>
      <c r="I1374">
        <v>6</v>
      </c>
      <c r="J1374">
        <v>7.5</v>
      </c>
      <c r="K1374" s="9">
        <f t="shared" si="43"/>
        <v>45724</v>
      </c>
      <c r="L1374" t="s">
        <v>2680</v>
      </c>
      <c r="M1374" t="s">
        <v>2927</v>
      </c>
    </row>
    <row r="1375" spans="1:13" hidden="1" x14ac:dyDescent="0.35">
      <c r="A1375" t="s">
        <v>1376</v>
      </c>
      <c r="B1375" t="s">
        <v>2032</v>
      </c>
      <c r="C1375" t="s">
        <v>2460</v>
      </c>
      <c r="D1375" t="s">
        <v>2467</v>
      </c>
      <c r="E1375" t="str">
        <f t="shared" si="42"/>
        <v>ASHFORD</v>
      </c>
      <c r="F1375" t="s">
        <v>2483</v>
      </c>
      <c r="G1375">
        <v>0.34</v>
      </c>
      <c r="H1375" t="s">
        <v>2489</v>
      </c>
      <c r="I1375">
        <v>0</v>
      </c>
      <c r="J1375">
        <v>1</v>
      </c>
      <c r="K1375" s="9">
        <f t="shared" si="43"/>
        <v>45409</v>
      </c>
      <c r="L1375" t="s">
        <v>2512</v>
      </c>
      <c r="M1375" t="s">
        <v>2928</v>
      </c>
    </row>
    <row r="1376" spans="1:13" hidden="1" x14ac:dyDescent="0.35">
      <c r="A1376" t="s">
        <v>1377</v>
      </c>
      <c r="B1376" t="s">
        <v>2250</v>
      </c>
      <c r="C1376" t="s">
        <v>2460</v>
      </c>
      <c r="D1376" t="s">
        <v>2471</v>
      </c>
      <c r="E1376" t="str">
        <f t="shared" si="42"/>
        <v>BUDAPEST</v>
      </c>
      <c r="F1376" t="s">
        <v>2485</v>
      </c>
      <c r="G1376">
        <v>27.09</v>
      </c>
      <c r="H1376" t="s">
        <v>2490</v>
      </c>
      <c r="I1376">
        <v>0</v>
      </c>
      <c r="J1376">
        <v>100</v>
      </c>
      <c r="K1376" s="9">
        <f t="shared" si="43"/>
        <v>45670</v>
      </c>
      <c r="L1376" t="s">
        <v>2703</v>
      </c>
      <c r="M1376" t="s">
        <v>2930</v>
      </c>
    </row>
    <row r="1377" spans="1:13" hidden="1" x14ac:dyDescent="0.35">
      <c r="A1377" t="s">
        <v>1378</v>
      </c>
      <c r="B1377" t="s">
        <v>2334</v>
      </c>
      <c r="C1377" t="s">
        <v>2461</v>
      </c>
      <c r="D1377" t="s">
        <v>2464</v>
      </c>
      <c r="E1377" t="str">
        <f t="shared" si="42"/>
        <v>EAST HANOVER</v>
      </c>
      <c r="F1377" t="s">
        <v>2479</v>
      </c>
      <c r="G1377">
        <v>33.32</v>
      </c>
      <c r="H1377" t="s">
        <v>2486</v>
      </c>
      <c r="I1377">
        <v>0</v>
      </c>
      <c r="J1377">
        <v>120</v>
      </c>
      <c r="K1377" s="9">
        <f t="shared" si="43"/>
        <v>45399</v>
      </c>
      <c r="L1377" t="s">
        <v>2492</v>
      </c>
      <c r="M1377" t="s">
        <v>2924</v>
      </c>
    </row>
    <row r="1378" spans="1:13" hidden="1" x14ac:dyDescent="0.35">
      <c r="A1378" t="s">
        <v>1379</v>
      </c>
      <c r="B1378" t="s">
        <v>2324</v>
      </c>
      <c r="C1378" t="s">
        <v>2459</v>
      </c>
      <c r="D1378" t="s">
        <v>2462</v>
      </c>
      <c r="E1378" t="str">
        <f t="shared" si="42"/>
        <v>ASHFORD UK</v>
      </c>
      <c r="F1378" t="s">
        <v>2480</v>
      </c>
      <c r="G1378">
        <v>0.89</v>
      </c>
      <c r="H1378" t="s">
        <v>2487</v>
      </c>
      <c r="I1378">
        <v>0.88</v>
      </c>
      <c r="J1378">
        <v>0.97</v>
      </c>
      <c r="K1378" s="9">
        <f t="shared" si="43"/>
        <v>45828</v>
      </c>
      <c r="L1378" t="s">
        <v>2755</v>
      </c>
      <c r="M1378" t="s">
        <v>2924</v>
      </c>
    </row>
    <row r="1379" spans="1:13" hidden="1" x14ac:dyDescent="0.35">
      <c r="A1379" t="s">
        <v>1380</v>
      </c>
      <c r="B1379" t="s">
        <v>2067</v>
      </c>
      <c r="C1379" t="s">
        <v>2459</v>
      </c>
      <c r="D1379" t="s">
        <v>2462</v>
      </c>
      <c r="E1379" t="str">
        <f t="shared" si="42"/>
        <v>ASHFORD UK</v>
      </c>
      <c r="F1379" t="s">
        <v>2479</v>
      </c>
      <c r="G1379">
        <v>76.72</v>
      </c>
      <c r="H1379" t="s">
        <v>2486</v>
      </c>
      <c r="I1379">
        <v>0</v>
      </c>
      <c r="J1379">
        <v>120</v>
      </c>
      <c r="K1379" s="9">
        <f t="shared" si="43"/>
        <v>45844</v>
      </c>
      <c r="L1379" t="s">
        <v>2546</v>
      </c>
      <c r="M1379" t="s">
        <v>2932</v>
      </c>
    </row>
    <row r="1380" spans="1:13" hidden="1" x14ac:dyDescent="0.35">
      <c r="A1380" t="s">
        <v>1381</v>
      </c>
      <c r="B1380" t="s">
        <v>2165</v>
      </c>
      <c r="C1380" t="s">
        <v>2458</v>
      </c>
      <c r="D1380" t="s">
        <v>2476</v>
      </c>
      <c r="E1380" t="str">
        <f t="shared" si="42"/>
        <v>BUDAPEST SITE</v>
      </c>
      <c r="F1380" t="s">
        <v>2485</v>
      </c>
      <c r="G1380">
        <v>15.18</v>
      </c>
      <c r="H1380" t="s">
        <v>2490</v>
      </c>
      <c r="I1380">
        <v>0</v>
      </c>
      <c r="J1380">
        <v>100</v>
      </c>
      <c r="K1380" s="9">
        <f t="shared" si="43"/>
        <v>45886</v>
      </c>
      <c r="L1380" t="s">
        <v>2638</v>
      </c>
      <c r="M1380" t="s">
        <v>2929</v>
      </c>
    </row>
    <row r="1381" spans="1:13" hidden="1" x14ac:dyDescent="0.35">
      <c r="A1381" t="s">
        <v>1382</v>
      </c>
      <c r="B1381" t="s">
        <v>2253</v>
      </c>
      <c r="C1381" t="s">
        <v>2461</v>
      </c>
      <c r="D1381" t="s">
        <v>2473</v>
      </c>
      <c r="E1381" t="str">
        <f t="shared" si="42"/>
        <v>DORTMUND</v>
      </c>
      <c r="F1381" t="s">
        <v>2484</v>
      </c>
      <c r="G1381">
        <v>6.9</v>
      </c>
      <c r="I1381">
        <v>6</v>
      </c>
      <c r="J1381">
        <v>7.5</v>
      </c>
      <c r="K1381" s="9">
        <f t="shared" si="43"/>
        <v>45388</v>
      </c>
      <c r="L1381" t="s">
        <v>2583</v>
      </c>
      <c r="M1381" t="s">
        <v>2928</v>
      </c>
    </row>
    <row r="1382" spans="1:13" hidden="1" x14ac:dyDescent="0.35">
      <c r="A1382" t="s">
        <v>1383</v>
      </c>
      <c r="B1382" t="s">
        <v>2024</v>
      </c>
      <c r="C1382" t="s">
        <v>2457</v>
      </c>
      <c r="D1382" t="s">
        <v>2468</v>
      </c>
      <c r="E1382" t="str">
        <f t="shared" si="42"/>
        <v>VERNIER CH</v>
      </c>
      <c r="F1382" t="s">
        <v>2485</v>
      </c>
      <c r="G1382">
        <v>-21.37</v>
      </c>
      <c r="H1382" t="s">
        <v>2490</v>
      </c>
      <c r="I1382">
        <v>0</v>
      </c>
      <c r="J1382">
        <v>100</v>
      </c>
      <c r="K1382" s="9">
        <f t="shared" si="43"/>
        <v>45529</v>
      </c>
      <c r="L1382" t="s">
        <v>2504</v>
      </c>
      <c r="M1382" t="s">
        <v>2931</v>
      </c>
    </row>
    <row r="1383" spans="1:13" hidden="1" x14ac:dyDescent="0.35">
      <c r="A1383" t="s">
        <v>1384</v>
      </c>
      <c r="B1383" t="s">
        <v>2139</v>
      </c>
      <c r="C1383" t="s">
        <v>2460</v>
      </c>
      <c r="D1383" t="s">
        <v>2474</v>
      </c>
      <c r="E1383" t="str">
        <f t="shared" si="42"/>
        <v>DORTMUND DE</v>
      </c>
      <c r="F1383" t="s">
        <v>2479</v>
      </c>
      <c r="G1383">
        <v>60.91</v>
      </c>
      <c r="H1383" t="s">
        <v>2486</v>
      </c>
      <c r="I1383">
        <v>0</v>
      </c>
      <c r="J1383">
        <v>120</v>
      </c>
      <c r="K1383" s="9">
        <f t="shared" si="43"/>
        <v>45295</v>
      </c>
      <c r="L1383" t="s">
        <v>2614</v>
      </c>
      <c r="M1383" t="s">
        <v>2931</v>
      </c>
    </row>
    <row r="1384" spans="1:13" hidden="1" x14ac:dyDescent="0.35">
      <c r="A1384" t="s">
        <v>1385</v>
      </c>
      <c r="B1384" t="s">
        <v>2017</v>
      </c>
      <c r="C1384" t="s">
        <v>2458</v>
      </c>
      <c r="D1384" t="s">
        <v>2465</v>
      </c>
      <c r="E1384" t="str">
        <f t="shared" si="42"/>
        <v>VERNIER</v>
      </c>
      <c r="F1384" t="s">
        <v>2482</v>
      </c>
      <c r="G1384">
        <v>99.16</v>
      </c>
      <c r="H1384" t="s">
        <v>2489</v>
      </c>
      <c r="I1384">
        <v>97</v>
      </c>
      <c r="J1384">
        <v>100</v>
      </c>
      <c r="K1384" s="9">
        <f t="shared" si="43"/>
        <v>46008</v>
      </c>
      <c r="L1384" t="s">
        <v>2497</v>
      </c>
      <c r="M1384" t="s">
        <v>2926</v>
      </c>
    </row>
    <row r="1385" spans="1:13" hidden="1" x14ac:dyDescent="0.35">
      <c r="A1385" t="s">
        <v>1386</v>
      </c>
      <c r="B1385" t="s">
        <v>2285</v>
      </c>
      <c r="C1385" t="s">
        <v>2457</v>
      </c>
      <c r="D1385" t="s">
        <v>2468</v>
      </c>
      <c r="E1385" t="str">
        <f t="shared" si="42"/>
        <v>VERNIER CH</v>
      </c>
      <c r="F1385" t="s">
        <v>2483</v>
      </c>
      <c r="G1385">
        <v>0.23</v>
      </c>
      <c r="H1385" t="s">
        <v>2489</v>
      </c>
      <c r="I1385">
        <v>0</v>
      </c>
      <c r="J1385">
        <v>1</v>
      </c>
      <c r="K1385" s="9">
        <f t="shared" si="43"/>
        <v>45960</v>
      </c>
      <c r="L1385" t="s">
        <v>2678</v>
      </c>
      <c r="M1385" t="s">
        <v>2923</v>
      </c>
    </row>
    <row r="1386" spans="1:13" hidden="1" x14ac:dyDescent="0.35">
      <c r="A1386" t="s">
        <v>1387</v>
      </c>
      <c r="B1386" t="s">
        <v>2295</v>
      </c>
      <c r="C1386" t="s">
        <v>2459</v>
      </c>
      <c r="D1386" t="s">
        <v>2468</v>
      </c>
      <c r="E1386" t="str">
        <f t="shared" si="42"/>
        <v>VERNIER CH</v>
      </c>
      <c r="F1386" t="s">
        <v>2482</v>
      </c>
      <c r="G1386">
        <v>99.41</v>
      </c>
      <c r="H1386" t="s">
        <v>2489</v>
      </c>
      <c r="I1386">
        <v>97</v>
      </c>
      <c r="J1386">
        <v>100</v>
      </c>
      <c r="K1386" s="9">
        <f t="shared" si="43"/>
        <v>45977</v>
      </c>
      <c r="L1386" t="s">
        <v>2736</v>
      </c>
      <c r="M1386" t="s">
        <v>2931</v>
      </c>
    </row>
    <row r="1387" spans="1:13" hidden="1" x14ac:dyDescent="0.35">
      <c r="A1387" t="s">
        <v>1388</v>
      </c>
      <c r="B1387" t="s">
        <v>2454</v>
      </c>
      <c r="C1387" t="s">
        <v>2461</v>
      </c>
      <c r="D1387" t="s">
        <v>2469</v>
      </c>
      <c r="E1387" t="str">
        <f t="shared" si="42"/>
        <v>DORTMUND</v>
      </c>
      <c r="F1387" t="s">
        <v>2485</v>
      </c>
      <c r="G1387">
        <v>-11.84</v>
      </c>
      <c r="H1387" t="s">
        <v>2490</v>
      </c>
      <c r="I1387">
        <v>0</v>
      </c>
      <c r="J1387">
        <v>100</v>
      </c>
      <c r="K1387" s="9">
        <f t="shared" si="43"/>
        <v>45502</v>
      </c>
      <c r="L1387" t="s">
        <v>2889</v>
      </c>
      <c r="M1387" t="s">
        <v>2924</v>
      </c>
    </row>
    <row r="1388" spans="1:13" hidden="1" x14ac:dyDescent="0.35">
      <c r="A1388" t="s">
        <v>1389</v>
      </c>
      <c r="B1388" t="s">
        <v>2286</v>
      </c>
      <c r="C1388" t="s">
        <v>2458</v>
      </c>
      <c r="D1388" t="s">
        <v>2473</v>
      </c>
      <c r="E1388" t="str">
        <f t="shared" si="42"/>
        <v>DORTMUND</v>
      </c>
      <c r="F1388" t="s">
        <v>2483</v>
      </c>
      <c r="G1388">
        <v>0.26</v>
      </c>
      <c r="H1388" t="s">
        <v>2489</v>
      </c>
      <c r="I1388">
        <v>0</v>
      </c>
      <c r="J1388">
        <v>1</v>
      </c>
      <c r="K1388" s="9">
        <f t="shared" si="43"/>
        <v>45739</v>
      </c>
      <c r="L1388" t="s">
        <v>2525</v>
      </c>
      <c r="M1388" t="s">
        <v>2929</v>
      </c>
    </row>
    <row r="1389" spans="1:13" hidden="1" x14ac:dyDescent="0.35">
      <c r="A1389" t="s">
        <v>1390</v>
      </c>
      <c r="B1389" t="s">
        <v>2058</v>
      </c>
      <c r="C1389" t="s">
        <v>2460</v>
      </c>
      <c r="D1389" t="s">
        <v>2476</v>
      </c>
      <c r="E1389" t="str">
        <f t="shared" si="42"/>
        <v>BUDAPEST SITE</v>
      </c>
      <c r="F1389" t="s">
        <v>2480</v>
      </c>
      <c r="G1389">
        <v>0.92</v>
      </c>
      <c r="H1389" t="s">
        <v>2487</v>
      </c>
      <c r="I1389">
        <v>0.88</v>
      </c>
      <c r="J1389">
        <v>0.97</v>
      </c>
      <c r="K1389" s="9">
        <f t="shared" si="43"/>
        <v>45695</v>
      </c>
      <c r="L1389" t="s">
        <v>2537</v>
      </c>
      <c r="M1389" t="s">
        <v>2925</v>
      </c>
    </row>
    <row r="1390" spans="1:13" hidden="1" x14ac:dyDescent="0.35">
      <c r="A1390" t="s">
        <v>1391</v>
      </c>
      <c r="B1390" t="s">
        <v>2263</v>
      </c>
      <c r="C1390" t="s">
        <v>2459</v>
      </c>
      <c r="D1390" t="s">
        <v>2474</v>
      </c>
      <c r="E1390" t="str">
        <f t="shared" si="42"/>
        <v>DORTMUND DE</v>
      </c>
      <c r="F1390" t="s">
        <v>2481</v>
      </c>
      <c r="G1390">
        <v>263.12</v>
      </c>
      <c r="H1390" t="s">
        <v>2488</v>
      </c>
      <c r="I1390">
        <v>150</v>
      </c>
      <c r="J1390">
        <v>400</v>
      </c>
      <c r="K1390" s="9">
        <f t="shared" si="43"/>
        <v>45573</v>
      </c>
      <c r="L1390" t="s">
        <v>2581</v>
      </c>
      <c r="M1390" t="s">
        <v>2925</v>
      </c>
    </row>
    <row r="1391" spans="1:13" hidden="1" x14ac:dyDescent="0.35">
      <c r="A1391" t="s">
        <v>1392</v>
      </c>
      <c r="B1391" t="s">
        <v>2068</v>
      </c>
      <c r="C1391" t="s">
        <v>2459</v>
      </c>
      <c r="D1391" t="s">
        <v>2471</v>
      </c>
      <c r="E1391" t="str">
        <f t="shared" si="42"/>
        <v>BUDAPEST</v>
      </c>
      <c r="F1391" t="s">
        <v>2482</v>
      </c>
      <c r="G1391">
        <v>100.12</v>
      </c>
      <c r="H1391" t="s">
        <v>2489</v>
      </c>
      <c r="I1391">
        <v>97</v>
      </c>
      <c r="J1391">
        <v>100</v>
      </c>
      <c r="K1391" s="9">
        <f t="shared" si="43"/>
        <v>45999</v>
      </c>
      <c r="L1391" t="s">
        <v>2547</v>
      </c>
      <c r="M1391" t="s">
        <v>2930</v>
      </c>
    </row>
    <row r="1392" spans="1:13" hidden="1" x14ac:dyDescent="0.35">
      <c r="A1392" t="s">
        <v>1393</v>
      </c>
      <c r="B1392" t="s">
        <v>2361</v>
      </c>
      <c r="C1392" t="s">
        <v>2461</v>
      </c>
      <c r="D1392" t="s">
        <v>2478</v>
      </c>
      <c r="E1392" t="str">
        <f t="shared" si="42"/>
        <v>BUD</v>
      </c>
      <c r="F1392" t="s">
        <v>2483</v>
      </c>
      <c r="G1392">
        <v>0.4</v>
      </c>
      <c r="H1392" t="s">
        <v>2489</v>
      </c>
      <c r="I1392">
        <v>0</v>
      </c>
      <c r="J1392">
        <v>1</v>
      </c>
      <c r="K1392" s="9">
        <f t="shared" si="43"/>
        <v>45779</v>
      </c>
      <c r="L1392" t="s">
        <v>2785</v>
      </c>
      <c r="M1392" t="s">
        <v>2925</v>
      </c>
    </row>
    <row r="1393" spans="1:13" hidden="1" x14ac:dyDescent="0.35">
      <c r="A1393" t="s">
        <v>1394</v>
      </c>
      <c r="B1393" t="s">
        <v>2182</v>
      </c>
      <c r="C1393" t="s">
        <v>2457</v>
      </c>
      <c r="D1393" t="s">
        <v>2462</v>
      </c>
      <c r="E1393" t="str">
        <f t="shared" si="42"/>
        <v>ASHFORD UK</v>
      </c>
      <c r="F1393" t="s">
        <v>2485</v>
      </c>
      <c r="G1393">
        <v>52.93</v>
      </c>
      <c r="H1393" t="s">
        <v>2490</v>
      </c>
      <c r="I1393">
        <v>0</v>
      </c>
      <c r="J1393">
        <v>100</v>
      </c>
      <c r="K1393" s="9">
        <f t="shared" si="43"/>
        <v>45681</v>
      </c>
      <c r="L1393" t="s">
        <v>2654</v>
      </c>
      <c r="M1393" t="s">
        <v>2926</v>
      </c>
    </row>
    <row r="1394" spans="1:13" hidden="1" x14ac:dyDescent="0.35">
      <c r="A1394" t="s">
        <v>1395</v>
      </c>
      <c r="B1394" t="s">
        <v>2168</v>
      </c>
      <c r="C1394" t="s">
        <v>2459</v>
      </c>
      <c r="D1394" t="s">
        <v>2476</v>
      </c>
      <c r="E1394" t="str">
        <f t="shared" si="42"/>
        <v>BUDAPEST SITE</v>
      </c>
      <c r="F1394" t="s">
        <v>2483</v>
      </c>
      <c r="G1394">
        <v>0.31</v>
      </c>
      <c r="H1394" t="s">
        <v>2489</v>
      </c>
      <c r="I1394">
        <v>0</v>
      </c>
      <c r="J1394">
        <v>1</v>
      </c>
      <c r="K1394" s="9">
        <f t="shared" si="43"/>
        <v>45558</v>
      </c>
      <c r="L1394" t="s">
        <v>2641</v>
      </c>
      <c r="M1394" t="s">
        <v>2929</v>
      </c>
    </row>
    <row r="1395" spans="1:13" hidden="1" x14ac:dyDescent="0.35">
      <c r="A1395" t="s">
        <v>1396</v>
      </c>
      <c r="B1395" t="s">
        <v>2427</v>
      </c>
      <c r="C1395" t="s">
        <v>2461</v>
      </c>
      <c r="D1395" t="s">
        <v>2476</v>
      </c>
      <c r="E1395" t="str">
        <f t="shared" si="42"/>
        <v>BUDAPEST SITE</v>
      </c>
      <c r="F1395" t="s">
        <v>2484</v>
      </c>
      <c r="G1395">
        <v>7.07</v>
      </c>
      <c r="I1395">
        <v>6</v>
      </c>
      <c r="J1395">
        <v>7.5</v>
      </c>
      <c r="K1395" s="9">
        <f t="shared" si="43"/>
        <v>45590</v>
      </c>
      <c r="L1395" t="s">
        <v>2837</v>
      </c>
      <c r="M1395" t="s">
        <v>2925</v>
      </c>
    </row>
    <row r="1396" spans="1:13" hidden="1" x14ac:dyDescent="0.35">
      <c r="A1396" t="s">
        <v>1397</v>
      </c>
      <c r="B1396" t="s">
        <v>2376</v>
      </c>
      <c r="C1396" t="s">
        <v>2459</v>
      </c>
      <c r="D1396" t="s">
        <v>2467</v>
      </c>
      <c r="E1396" t="str">
        <f t="shared" si="42"/>
        <v>ASHFORD</v>
      </c>
      <c r="F1396" t="s">
        <v>2485</v>
      </c>
      <c r="G1396">
        <v>34.78</v>
      </c>
      <c r="H1396" t="s">
        <v>2490</v>
      </c>
      <c r="I1396">
        <v>0</v>
      </c>
      <c r="J1396">
        <v>100</v>
      </c>
      <c r="K1396" s="9">
        <f t="shared" si="43"/>
        <v>45780</v>
      </c>
      <c r="L1396" t="s">
        <v>2796</v>
      </c>
      <c r="M1396" t="s">
        <v>2929</v>
      </c>
    </row>
    <row r="1397" spans="1:13" hidden="1" x14ac:dyDescent="0.35">
      <c r="A1397" t="s">
        <v>1398</v>
      </c>
      <c r="B1397" t="s">
        <v>2455</v>
      </c>
      <c r="C1397" t="s">
        <v>2461</v>
      </c>
      <c r="D1397" t="s">
        <v>2472</v>
      </c>
      <c r="E1397" t="str">
        <f t="shared" si="42"/>
        <v>VERNIER</v>
      </c>
      <c r="F1397" t="s">
        <v>2481</v>
      </c>
      <c r="G1397">
        <v>275.89999999999998</v>
      </c>
      <c r="H1397" t="s">
        <v>2488</v>
      </c>
      <c r="I1397">
        <v>150</v>
      </c>
      <c r="J1397">
        <v>400</v>
      </c>
      <c r="K1397" s="9">
        <f t="shared" si="43"/>
        <v>45988</v>
      </c>
      <c r="L1397" t="s">
        <v>2890</v>
      </c>
      <c r="M1397" t="s">
        <v>2925</v>
      </c>
    </row>
    <row r="1398" spans="1:13" hidden="1" x14ac:dyDescent="0.35">
      <c r="A1398" t="s">
        <v>1399</v>
      </c>
      <c r="B1398" t="s">
        <v>2094</v>
      </c>
      <c r="C1398" t="s">
        <v>2460</v>
      </c>
      <c r="D1398" t="s">
        <v>2475</v>
      </c>
      <c r="E1398" t="str">
        <f t="shared" si="42"/>
        <v>ASHFORD</v>
      </c>
      <c r="F1398" t="s">
        <v>2480</v>
      </c>
      <c r="G1398">
        <v>0.97</v>
      </c>
      <c r="H1398" t="s">
        <v>2487</v>
      </c>
      <c r="I1398">
        <v>0.88</v>
      </c>
      <c r="J1398">
        <v>0.97</v>
      </c>
      <c r="K1398" s="9">
        <f t="shared" si="43"/>
        <v>45316</v>
      </c>
      <c r="L1398" t="s">
        <v>2572</v>
      </c>
      <c r="M1398" t="s">
        <v>2932</v>
      </c>
    </row>
    <row r="1399" spans="1:13" hidden="1" x14ac:dyDescent="0.35">
      <c r="A1399" t="s">
        <v>1400</v>
      </c>
      <c r="B1399" t="s">
        <v>2266</v>
      </c>
      <c r="C1399" t="s">
        <v>2460</v>
      </c>
      <c r="D1399" t="s">
        <v>2467</v>
      </c>
      <c r="E1399" t="str">
        <f t="shared" si="42"/>
        <v>ASHFORD</v>
      </c>
      <c r="F1399" t="s">
        <v>2484</v>
      </c>
      <c r="G1399">
        <v>7.13</v>
      </c>
      <c r="I1399">
        <v>6</v>
      </c>
      <c r="J1399">
        <v>7.5</v>
      </c>
      <c r="K1399" s="9">
        <f t="shared" si="43"/>
        <v>45819</v>
      </c>
      <c r="L1399" t="s">
        <v>2620</v>
      </c>
      <c r="M1399" t="s">
        <v>2927</v>
      </c>
    </row>
    <row r="1400" spans="1:13" hidden="1" x14ac:dyDescent="0.35">
      <c r="A1400" t="s">
        <v>1401</v>
      </c>
      <c r="B1400" t="s">
        <v>2045</v>
      </c>
      <c r="C1400" t="s">
        <v>2457</v>
      </c>
      <c r="D1400" t="s">
        <v>2477</v>
      </c>
      <c r="E1400" t="str">
        <f t="shared" si="42"/>
        <v>BUDAPEST</v>
      </c>
      <c r="F1400" t="s">
        <v>2479</v>
      </c>
      <c r="G1400">
        <v>56.53</v>
      </c>
      <c r="H1400" t="s">
        <v>2486</v>
      </c>
      <c r="I1400">
        <v>0</v>
      </c>
      <c r="J1400">
        <v>120</v>
      </c>
      <c r="K1400" s="9">
        <f t="shared" si="43"/>
        <v>45655</v>
      </c>
      <c r="L1400" t="s">
        <v>2500</v>
      </c>
      <c r="M1400" t="s">
        <v>2931</v>
      </c>
    </row>
    <row r="1401" spans="1:13" hidden="1" x14ac:dyDescent="0.35">
      <c r="A1401" t="s">
        <v>1402</v>
      </c>
      <c r="B1401" t="s">
        <v>2044</v>
      </c>
      <c r="C1401" t="s">
        <v>2459</v>
      </c>
      <c r="D1401" t="s">
        <v>2476</v>
      </c>
      <c r="E1401" t="str">
        <f t="shared" si="42"/>
        <v>BUDAPEST SITE</v>
      </c>
      <c r="F1401" t="s">
        <v>2479</v>
      </c>
      <c r="G1401">
        <v>24.47</v>
      </c>
      <c r="H1401" t="s">
        <v>2486</v>
      </c>
      <c r="I1401">
        <v>0</v>
      </c>
      <c r="J1401">
        <v>120</v>
      </c>
      <c r="K1401" s="9">
        <f t="shared" si="43"/>
        <v>45350</v>
      </c>
      <c r="L1401" t="s">
        <v>2491</v>
      </c>
      <c r="M1401" t="s">
        <v>2923</v>
      </c>
    </row>
    <row r="1402" spans="1:13" hidden="1" x14ac:dyDescent="0.35">
      <c r="A1402" t="s">
        <v>1403</v>
      </c>
      <c r="B1402" t="s">
        <v>2425</v>
      </c>
      <c r="C1402" t="s">
        <v>2461</v>
      </c>
      <c r="D1402" t="s">
        <v>2466</v>
      </c>
      <c r="E1402" t="str">
        <f t="shared" si="42"/>
        <v>EAST HANOVER</v>
      </c>
      <c r="F1402" t="s">
        <v>2483</v>
      </c>
      <c r="G1402">
        <v>0.31</v>
      </c>
      <c r="H1402" t="s">
        <v>2489</v>
      </c>
      <c r="I1402">
        <v>0</v>
      </c>
      <c r="J1402">
        <v>1</v>
      </c>
      <c r="K1402" s="9">
        <f t="shared" si="43"/>
        <v>45556</v>
      </c>
      <c r="L1402" t="s">
        <v>2835</v>
      </c>
      <c r="M1402" t="s">
        <v>2931</v>
      </c>
    </row>
    <row r="1403" spans="1:13" hidden="1" x14ac:dyDescent="0.35">
      <c r="A1403" t="s">
        <v>1404</v>
      </c>
      <c r="B1403" t="s">
        <v>2313</v>
      </c>
      <c r="C1403" t="s">
        <v>2459</v>
      </c>
      <c r="D1403" t="s">
        <v>2476</v>
      </c>
      <c r="E1403" t="str">
        <f t="shared" si="42"/>
        <v>BUDAPEST SITE</v>
      </c>
      <c r="F1403" t="s">
        <v>2484</v>
      </c>
      <c r="G1403">
        <v>4.8</v>
      </c>
      <c r="I1403">
        <v>6</v>
      </c>
      <c r="J1403">
        <v>7.5</v>
      </c>
      <c r="K1403" s="9">
        <f t="shared" si="43"/>
        <v>45742</v>
      </c>
      <c r="L1403" t="s">
        <v>2746</v>
      </c>
      <c r="M1403" t="s">
        <v>2928</v>
      </c>
    </row>
    <row r="1404" spans="1:13" hidden="1" x14ac:dyDescent="0.35">
      <c r="A1404" t="s">
        <v>1405</v>
      </c>
      <c r="B1404" t="s">
        <v>2153</v>
      </c>
      <c r="C1404" t="s">
        <v>2461</v>
      </c>
      <c r="D1404" t="s">
        <v>2476</v>
      </c>
      <c r="E1404" t="str">
        <f t="shared" si="42"/>
        <v>BUDAPEST SITE</v>
      </c>
      <c r="F1404" t="s">
        <v>2484</v>
      </c>
      <c r="G1404">
        <v>6.56</v>
      </c>
      <c r="I1404">
        <v>6</v>
      </c>
      <c r="J1404">
        <v>7.5</v>
      </c>
      <c r="K1404" s="9">
        <f t="shared" si="43"/>
        <v>45445</v>
      </c>
      <c r="L1404" t="s">
        <v>2628</v>
      </c>
      <c r="M1404" t="s">
        <v>2932</v>
      </c>
    </row>
    <row r="1405" spans="1:13" hidden="1" x14ac:dyDescent="0.35">
      <c r="A1405" t="s">
        <v>1406</v>
      </c>
      <c r="B1405" t="s">
        <v>2213</v>
      </c>
      <c r="C1405" t="s">
        <v>2457</v>
      </c>
      <c r="D1405" t="s">
        <v>2467</v>
      </c>
      <c r="E1405" t="str">
        <f t="shared" si="42"/>
        <v>ASHFORD</v>
      </c>
      <c r="F1405" t="s">
        <v>2485</v>
      </c>
      <c r="G1405">
        <v>22.05</v>
      </c>
      <c r="H1405" t="s">
        <v>2490</v>
      </c>
      <c r="I1405">
        <v>0</v>
      </c>
      <c r="J1405">
        <v>100</v>
      </c>
      <c r="K1405" s="9">
        <f t="shared" si="43"/>
        <v>45724</v>
      </c>
      <c r="L1405" t="s">
        <v>2680</v>
      </c>
      <c r="M1405" t="s">
        <v>2925</v>
      </c>
    </row>
    <row r="1406" spans="1:13" hidden="1" x14ac:dyDescent="0.35">
      <c r="A1406" t="s">
        <v>1407</v>
      </c>
      <c r="B1406" t="s">
        <v>2319</v>
      </c>
      <c r="C1406" t="s">
        <v>2458</v>
      </c>
      <c r="D1406" t="s">
        <v>2469</v>
      </c>
      <c r="E1406" t="str">
        <f t="shared" si="42"/>
        <v>DORTMUND</v>
      </c>
      <c r="F1406" t="s">
        <v>2481</v>
      </c>
      <c r="G1406">
        <v>200.94</v>
      </c>
      <c r="H1406" t="s">
        <v>2488</v>
      </c>
      <c r="I1406">
        <v>150</v>
      </c>
      <c r="J1406">
        <v>400</v>
      </c>
      <c r="K1406" s="9">
        <f t="shared" si="43"/>
        <v>45477</v>
      </c>
      <c r="L1406" t="s">
        <v>2751</v>
      </c>
      <c r="M1406" t="s">
        <v>2923</v>
      </c>
    </row>
    <row r="1407" spans="1:13" hidden="1" x14ac:dyDescent="0.35">
      <c r="A1407" t="s">
        <v>1408</v>
      </c>
      <c r="B1407" t="s">
        <v>2451</v>
      </c>
      <c r="C1407" t="s">
        <v>2459</v>
      </c>
      <c r="D1407" t="s">
        <v>2478</v>
      </c>
      <c r="E1407" t="str">
        <f t="shared" si="42"/>
        <v>BUD</v>
      </c>
      <c r="F1407" t="s">
        <v>2485</v>
      </c>
      <c r="G1407">
        <v>-32.4</v>
      </c>
      <c r="H1407" t="s">
        <v>2490</v>
      </c>
      <c r="I1407">
        <v>0</v>
      </c>
      <c r="J1407">
        <v>100</v>
      </c>
      <c r="K1407" s="9">
        <f t="shared" si="43"/>
        <v>45735</v>
      </c>
      <c r="L1407" t="s">
        <v>2882</v>
      </c>
      <c r="M1407" t="s">
        <v>2923</v>
      </c>
    </row>
    <row r="1408" spans="1:13" hidden="1" x14ac:dyDescent="0.35">
      <c r="A1408" t="s">
        <v>1409</v>
      </c>
      <c r="B1408" t="s">
        <v>2291</v>
      </c>
      <c r="C1408" t="s">
        <v>2458</v>
      </c>
      <c r="D1408" t="s">
        <v>2470</v>
      </c>
      <c r="E1408" t="str">
        <f t="shared" si="42"/>
        <v>E. HANOVER</v>
      </c>
      <c r="F1408" t="s">
        <v>2482</v>
      </c>
      <c r="G1408">
        <v>97.82</v>
      </c>
      <c r="H1408" t="s">
        <v>2489</v>
      </c>
      <c r="I1408">
        <v>97</v>
      </c>
      <c r="J1408">
        <v>100</v>
      </c>
      <c r="K1408" s="9">
        <f t="shared" si="43"/>
        <v>45763</v>
      </c>
      <c r="L1408" t="s">
        <v>2807</v>
      </c>
      <c r="M1408" t="s">
        <v>2930</v>
      </c>
    </row>
    <row r="1409" spans="1:13" hidden="1" x14ac:dyDescent="0.35">
      <c r="A1409" t="s">
        <v>1410</v>
      </c>
      <c r="B1409" t="s">
        <v>2385</v>
      </c>
      <c r="C1409" t="s">
        <v>2457</v>
      </c>
      <c r="D1409" t="s">
        <v>2470</v>
      </c>
      <c r="E1409" t="str">
        <f t="shared" si="42"/>
        <v>E. HANOVER</v>
      </c>
      <c r="F1409" t="s">
        <v>2481</v>
      </c>
      <c r="G1409">
        <v>221.28</v>
      </c>
      <c r="H1409" t="s">
        <v>2488</v>
      </c>
      <c r="I1409">
        <v>150</v>
      </c>
      <c r="J1409">
        <v>400</v>
      </c>
      <c r="K1409" s="9">
        <f t="shared" si="43"/>
        <v>45790</v>
      </c>
      <c r="L1409" t="s">
        <v>2803</v>
      </c>
      <c r="M1409" t="s">
        <v>2929</v>
      </c>
    </row>
    <row r="1410" spans="1:13" hidden="1" x14ac:dyDescent="0.35">
      <c r="A1410" t="s">
        <v>1411</v>
      </c>
      <c r="B1410" t="s">
        <v>2410</v>
      </c>
      <c r="C1410" t="s">
        <v>2457</v>
      </c>
      <c r="D1410" t="s">
        <v>2469</v>
      </c>
      <c r="E1410" t="str">
        <f t="shared" si="42"/>
        <v>DORTMUND</v>
      </c>
      <c r="F1410" t="s">
        <v>2483</v>
      </c>
      <c r="G1410">
        <v>0.31</v>
      </c>
      <c r="H1410" t="s">
        <v>2489</v>
      </c>
      <c r="I1410">
        <v>0</v>
      </c>
      <c r="J1410">
        <v>1</v>
      </c>
      <c r="K1410" s="9">
        <f t="shared" si="43"/>
        <v>45832</v>
      </c>
      <c r="L1410" t="s">
        <v>2826</v>
      </c>
      <c r="M1410" t="s">
        <v>2931</v>
      </c>
    </row>
    <row r="1411" spans="1:13" hidden="1" x14ac:dyDescent="0.35">
      <c r="A1411" t="s">
        <v>1412</v>
      </c>
      <c r="B1411" t="s">
        <v>2382</v>
      </c>
      <c r="C1411" t="s">
        <v>2459</v>
      </c>
      <c r="D1411" t="s">
        <v>2470</v>
      </c>
      <c r="E1411" t="str">
        <f t="shared" ref="E1411:E1474" si="44">UPPER(D1411)</f>
        <v>E. HANOVER</v>
      </c>
      <c r="F1411" t="s">
        <v>2484</v>
      </c>
      <c r="G1411">
        <v>6.84</v>
      </c>
      <c r="I1411">
        <v>6</v>
      </c>
      <c r="J1411">
        <v>7.5</v>
      </c>
      <c r="K1411" s="9">
        <f t="shared" ref="K1411:K1474" si="45">IF(L1411="","",
IF(MID(L1411,5,1)="-",
DATE(LEFT(L1411,4),MID(L1411,6,2),RIGHT(L1411,2)),
DATE(RIGHT(L1411,4),MID(L1411,4,2),LEFT(L1411,2))
))</f>
        <v>45831</v>
      </c>
      <c r="L1411" t="s">
        <v>2540</v>
      </c>
      <c r="M1411" t="s">
        <v>2928</v>
      </c>
    </row>
    <row r="1412" spans="1:13" hidden="1" x14ac:dyDescent="0.35">
      <c r="A1412" t="s">
        <v>1413</v>
      </c>
      <c r="B1412" t="s">
        <v>2345</v>
      </c>
      <c r="C1412" t="s">
        <v>2458</v>
      </c>
      <c r="D1412" t="s">
        <v>2476</v>
      </c>
      <c r="E1412" t="str">
        <f t="shared" si="44"/>
        <v>BUDAPEST SITE</v>
      </c>
      <c r="F1412" t="s">
        <v>2482</v>
      </c>
      <c r="G1412">
        <v>99.43</v>
      </c>
      <c r="H1412" t="s">
        <v>2489</v>
      </c>
      <c r="I1412">
        <v>97</v>
      </c>
      <c r="J1412">
        <v>100</v>
      </c>
      <c r="K1412" s="9">
        <f t="shared" si="45"/>
        <v>45379</v>
      </c>
      <c r="L1412" t="s">
        <v>2772</v>
      </c>
      <c r="M1412" t="s">
        <v>2924</v>
      </c>
    </row>
    <row r="1413" spans="1:13" hidden="1" x14ac:dyDescent="0.35">
      <c r="A1413" t="s">
        <v>1414</v>
      </c>
      <c r="B1413" t="s">
        <v>2422</v>
      </c>
      <c r="C1413" t="s">
        <v>2461</v>
      </c>
      <c r="D1413" t="s">
        <v>2473</v>
      </c>
      <c r="E1413" t="str">
        <f t="shared" si="44"/>
        <v>DORTMUND</v>
      </c>
      <c r="F1413" t="s">
        <v>2485</v>
      </c>
      <c r="G1413">
        <v>29.87</v>
      </c>
      <c r="H1413" t="s">
        <v>2490</v>
      </c>
      <c r="I1413">
        <v>0</v>
      </c>
      <c r="J1413">
        <v>100</v>
      </c>
      <c r="K1413" s="9">
        <f t="shared" si="45"/>
        <v>45539</v>
      </c>
      <c r="L1413" t="s">
        <v>2834</v>
      </c>
      <c r="M1413" t="s">
        <v>2925</v>
      </c>
    </row>
    <row r="1414" spans="1:13" hidden="1" x14ac:dyDescent="0.35">
      <c r="A1414" t="s">
        <v>1415</v>
      </c>
      <c r="B1414" t="s">
        <v>2312</v>
      </c>
      <c r="C1414" t="s">
        <v>2461</v>
      </c>
      <c r="D1414" t="s">
        <v>2462</v>
      </c>
      <c r="E1414" t="str">
        <f t="shared" si="44"/>
        <v>ASHFORD UK</v>
      </c>
      <c r="F1414" t="s">
        <v>2483</v>
      </c>
      <c r="G1414">
        <v>0.14000000000000001</v>
      </c>
      <c r="H1414" t="s">
        <v>2489</v>
      </c>
      <c r="I1414">
        <v>0</v>
      </c>
      <c r="J1414">
        <v>1</v>
      </c>
      <c r="K1414" s="9">
        <f t="shared" si="45"/>
        <v>45344</v>
      </c>
      <c r="L1414" t="s">
        <v>2705</v>
      </c>
      <c r="M1414" t="s">
        <v>2925</v>
      </c>
    </row>
    <row r="1415" spans="1:13" hidden="1" x14ac:dyDescent="0.35">
      <c r="A1415" t="s">
        <v>1416</v>
      </c>
      <c r="B1415" t="s">
        <v>2280</v>
      </c>
      <c r="C1415" t="s">
        <v>2460</v>
      </c>
      <c r="D1415" t="s">
        <v>2470</v>
      </c>
      <c r="E1415" t="str">
        <f t="shared" si="44"/>
        <v>E. HANOVER</v>
      </c>
      <c r="F1415" t="s">
        <v>2479</v>
      </c>
      <c r="G1415">
        <v>61.88</v>
      </c>
      <c r="H1415" t="s">
        <v>2486</v>
      </c>
      <c r="I1415">
        <v>0</v>
      </c>
      <c r="J1415">
        <v>120</v>
      </c>
      <c r="K1415" s="9">
        <f t="shared" si="45"/>
        <v>45685</v>
      </c>
      <c r="L1415" t="s">
        <v>2724</v>
      </c>
      <c r="M1415" t="s">
        <v>2923</v>
      </c>
    </row>
    <row r="1416" spans="1:13" hidden="1" x14ac:dyDescent="0.35">
      <c r="A1416" t="s">
        <v>1417</v>
      </c>
      <c r="B1416" t="s">
        <v>2195</v>
      </c>
      <c r="C1416" t="s">
        <v>2457</v>
      </c>
      <c r="D1416" t="s">
        <v>2473</v>
      </c>
      <c r="E1416" t="str">
        <f t="shared" si="44"/>
        <v>DORTMUND</v>
      </c>
      <c r="F1416" t="s">
        <v>2484</v>
      </c>
      <c r="G1416">
        <v>6.97</v>
      </c>
      <c r="I1416">
        <v>6</v>
      </c>
      <c r="J1416">
        <v>7.5</v>
      </c>
      <c r="K1416" s="9">
        <f t="shared" si="45"/>
        <v>45588</v>
      </c>
      <c r="L1416" t="s">
        <v>2666</v>
      </c>
      <c r="M1416" t="s">
        <v>2925</v>
      </c>
    </row>
    <row r="1417" spans="1:13" hidden="1" x14ac:dyDescent="0.35">
      <c r="A1417" t="s">
        <v>1418</v>
      </c>
      <c r="B1417" t="s">
        <v>2328</v>
      </c>
      <c r="C1417" t="s">
        <v>2461</v>
      </c>
      <c r="D1417" t="s">
        <v>2462</v>
      </c>
      <c r="E1417" t="str">
        <f t="shared" si="44"/>
        <v>ASHFORD UK</v>
      </c>
      <c r="F1417" t="s">
        <v>2479</v>
      </c>
      <c r="G1417">
        <v>72.33</v>
      </c>
      <c r="H1417" t="s">
        <v>2486</v>
      </c>
      <c r="I1417">
        <v>0</v>
      </c>
      <c r="J1417">
        <v>120</v>
      </c>
      <c r="K1417" s="9">
        <f t="shared" si="45"/>
        <v>45710</v>
      </c>
      <c r="L1417" t="s">
        <v>2891</v>
      </c>
      <c r="M1417" t="s">
        <v>2930</v>
      </c>
    </row>
    <row r="1418" spans="1:13" hidden="1" x14ac:dyDescent="0.35">
      <c r="A1418" t="s">
        <v>1419</v>
      </c>
      <c r="B1418" t="s">
        <v>2419</v>
      </c>
      <c r="C1418" t="s">
        <v>2458</v>
      </c>
      <c r="D1418" t="s">
        <v>2474</v>
      </c>
      <c r="E1418" t="str">
        <f t="shared" si="44"/>
        <v>DORTMUND DE</v>
      </c>
      <c r="F1418" t="s">
        <v>2479</v>
      </c>
      <c r="G1418">
        <v>105.6</v>
      </c>
      <c r="H1418" t="s">
        <v>2486</v>
      </c>
      <c r="I1418">
        <v>0</v>
      </c>
      <c r="J1418">
        <v>120</v>
      </c>
      <c r="K1418" s="9">
        <f t="shared" si="45"/>
        <v>45881</v>
      </c>
      <c r="L1418" t="s">
        <v>2499</v>
      </c>
      <c r="M1418" t="s">
        <v>2927</v>
      </c>
    </row>
    <row r="1419" spans="1:13" hidden="1" x14ac:dyDescent="0.35">
      <c r="A1419" t="s">
        <v>1420</v>
      </c>
      <c r="B1419" t="s">
        <v>2103</v>
      </c>
      <c r="C1419" t="s">
        <v>2460</v>
      </c>
      <c r="D1419" t="s">
        <v>2473</v>
      </c>
      <c r="E1419" t="str">
        <f t="shared" si="44"/>
        <v>DORTMUND</v>
      </c>
      <c r="F1419" t="s">
        <v>2480</v>
      </c>
      <c r="G1419">
        <v>0.94</v>
      </c>
      <c r="H1419" t="s">
        <v>2487</v>
      </c>
      <c r="I1419">
        <v>0.88</v>
      </c>
      <c r="J1419">
        <v>0.97</v>
      </c>
      <c r="K1419" s="9">
        <f t="shared" si="45"/>
        <v>45573</v>
      </c>
      <c r="L1419" t="s">
        <v>2581</v>
      </c>
      <c r="M1419" t="s">
        <v>2932</v>
      </c>
    </row>
    <row r="1420" spans="1:13" hidden="1" x14ac:dyDescent="0.35">
      <c r="A1420" t="s">
        <v>1421</v>
      </c>
      <c r="B1420" t="s">
        <v>2444</v>
      </c>
      <c r="C1420" t="s">
        <v>2459</v>
      </c>
      <c r="D1420" t="s">
        <v>2471</v>
      </c>
      <c r="E1420" t="str">
        <f t="shared" si="44"/>
        <v>BUDAPEST</v>
      </c>
      <c r="F1420" t="s">
        <v>2479</v>
      </c>
      <c r="G1420">
        <v>40.75</v>
      </c>
      <c r="H1420" t="s">
        <v>2486</v>
      </c>
      <c r="I1420">
        <v>0</v>
      </c>
      <c r="J1420">
        <v>120</v>
      </c>
      <c r="K1420" s="9">
        <f t="shared" si="45"/>
        <v>45946</v>
      </c>
      <c r="L1420" t="s">
        <v>2867</v>
      </c>
      <c r="M1420" t="s">
        <v>2923</v>
      </c>
    </row>
    <row r="1421" spans="1:13" hidden="1" x14ac:dyDescent="0.35">
      <c r="A1421" t="s">
        <v>1422</v>
      </c>
      <c r="B1421" t="s">
        <v>2386</v>
      </c>
      <c r="C1421" t="s">
        <v>2459</v>
      </c>
      <c r="D1421" t="s">
        <v>2470</v>
      </c>
      <c r="E1421" t="str">
        <f t="shared" si="44"/>
        <v>E. HANOVER</v>
      </c>
      <c r="F1421" t="s">
        <v>2482</v>
      </c>
      <c r="G1421">
        <v>97.46</v>
      </c>
      <c r="H1421" t="s">
        <v>2489</v>
      </c>
      <c r="I1421">
        <v>97</v>
      </c>
      <c r="J1421">
        <v>100</v>
      </c>
      <c r="K1421" s="9">
        <f t="shared" si="45"/>
        <v>45609</v>
      </c>
      <c r="L1421" t="s">
        <v>2646</v>
      </c>
      <c r="M1421" t="s">
        <v>2928</v>
      </c>
    </row>
    <row r="1422" spans="1:13" hidden="1" x14ac:dyDescent="0.35">
      <c r="A1422" t="s">
        <v>1423</v>
      </c>
      <c r="B1422" t="s">
        <v>2156</v>
      </c>
      <c r="C1422" t="s">
        <v>2460</v>
      </c>
      <c r="D1422" t="s">
        <v>2463</v>
      </c>
      <c r="E1422" t="str">
        <f t="shared" si="44"/>
        <v>VERNIER</v>
      </c>
      <c r="F1422" t="s">
        <v>2485</v>
      </c>
      <c r="G1422">
        <v>31.2</v>
      </c>
      <c r="H1422" t="s">
        <v>2490</v>
      </c>
      <c r="I1422">
        <v>0</v>
      </c>
      <c r="J1422">
        <v>100</v>
      </c>
      <c r="K1422" s="9">
        <f t="shared" si="45"/>
        <v>45404</v>
      </c>
      <c r="L1422" t="s">
        <v>2630</v>
      </c>
      <c r="M1422" t="s">
        <v>2930</v>
      </c>
    </row>
    <row r="1423" spans="1:13" hidden="1" x14ac:dyDescent="0.35">
      <c r="A1423" t="s">
        <v>123</v>
      </c>
      <c r="B1423" t="s">
        <v>2116</v>
      </c>
      <c r="C1423" t="s">
        <v>2461</v>
      </c>
      <c r="D1423" t="s">
        <v>2469</v>
      </c>
      <c r="E1423" t="str">
        <f t="shared" si="44"/>
        <v>DORTMUND</v>
      </c>
      <c r="F1423" t="s">
        <v>2485</v>
      </c>
      <c r="G1423">
        <v>26.67</v>
      </c>
      <c r="H1423" t="s">
        <v>2490</v>
      </c>
      <c r="I1423">
        <v>0</v>
      </c>
      <c r="J1423">
        <v>100</v>
      </c>
      <c r="K1423" s="9">
        <f t="shared" si="45"/>
        <v>45376</v>
      </c>
      <c r="L1423" t="s">
        <v>2591</v>
      </c>
      <c r="M1423" t="s">
        <v>2927</v>
      </c>
    </row>
    <row r="1424" spans="1:13" hidden="1" x14ac:dyDescent="0.35">
      <c r="A1424" t="s">
        <v>1424</v>
      </c>
      <c r="B1424" t="s">
        <v>2376</v>
      </c>
      <c r="C1424" t="s">
        <v>2459</v>
      </c>
      <c r="D1424" t="s">
        <v>2467</v>
      </c>
      <c r="E1424" t="str">
        <f t="shared" si="44"/>
        <v>ASHFORD</v>
      </c>
      <c r="F1424" t="s">
        <v>2479</v>
      </c>
      <c r="G1424">
        <v>30.02</v>
      </c>
      <c r="H1424" t="s">
        <v>2486</v>
      </c>
      <c r="I1424">
        <v>0</v>
      </c>
      <c r="J1424">
        <v>120</v>
      </c>
      <c r="K1424" s="9">
        <f t="shared" si="45"/>
        <v>45780</v>
      </c>
      <c r="L1424" t="s">
        <v>2796</v>
      </c>
      <c r="M1424" t="s">
        <v>2928</v>
      </c>
    </row>
    <row r="1425" spans="1:13" hidden="1" x14ac:dyDescent="0.35">
      <c r="A1425" t="s">
        <v>1425</v>
      </c>
      <c r="B1425" t="s">
        <v>2454</v>
      </c>
      <c r="C1425" t="s">
        <v>2461</v>
      </c>
      <c r="D1425" t="s">
        <v>2474</v>
      </c>
      <c r="E1425" t="str">
        <f t="shared" si="44"/>
        <v>DORTMUND DE</v>
      </c>
      <c r="F1425" t="s">
        <v>2482</v>
      </c>
      <c r="G1425">
        <v>97.39</v>
      </c>
      <c r="H1425" t="s">
        <v>2489</v>
      </c>
      <c r="I1425">
        <v>97</v>
      </c>
      <c r="J1425">
        <v>100</v>
      </c>
      <c r="K1425" s="9">
        <f t="shared" si="45"/>
        <v>45502</v>
      </c>
      <c r="L1425" t="s">
        <v>2889</v>
      </c>
      <c r="M1425" t="s">
        <v>2924</v>
      </c>
    </row>
    <row r="1426" spans="1:13" hidden="1" x14ac:dyDescent="0.35">
      <c r="A1426" t="s">
        <v>1426</v>
      </c>
      <c r="B1426" t="s">
        <v>2427</v>
      </c>
      <c r="C1426" t="s">
        <v>2461</v>
      </c>
      <c r="D1426" t="s">
        <v>2478</v>
      </c>
      <c r="E1426" t="str">
        <f t="shared" si="44"/>
        <v>BUD</v>
      </c>
      <c r="F1426" t="s">
        <v>2485</v>
      </c>
      <c r="G1426">
        <v>15.35</v>
      </c>
      <c r="H1426" t="s">
        <v>2490</v>
      </c>
      <c r="I1426">
        <v>0</v>
      </c>
      <c r="J1426">
        <v>100</v>
      </c>
      <c r="K1426" s="9">
        <f t="shared" si="45"/>
        <v>45590</v>
      </c>
      <c r="L1426" t="s">
        <v>2837</v>
      </c>
      <c r="M1426" t="s">
        <v>2931</v>
      </c>
    </row>
    <row r="1427" spans="1:13" hidden="1" x14ac:dyDescent="0.35">
      <c r="A1427" t="s">
        <v>1427</v>
      </c>
      <c r="B1427" t="s">
        <v>2135</v>
      </c>
      <c r="C1427" t="s">
        <v>2461</v>
      </c>
      <c r="D1427" t="s">
        <v>2478</v>
      </c>
      <c r="E1427" t="str">
        <f t="shared" si="44"/>
        <v>BUD</v>
      </c>
      <c r="F1427" t="s">
        <v>2484</v>
      </c>
      <c r="G1427">
        <v>7.04</v>
      </c>
      <c r="I1427">
        <v>6</v>
      </c>
      <c r="J1427">
        <v>7.5</v>
      </c>
      <c r="K1427" s="9">
        <f t="shared" si="45"/>
        <v>45904</v>
      </c>
      <c r="L1427" t="s">
        <v>2892</v>
      </c>
      <c r="M1427" t="s">
        <v>2926</v>
      </c>
    </row>
    <row r="1428" spans="1:13" hidden="1" x14ac:dyDescent="0.35">
      <c r="A1428" t="s">
        <v>1428</v>
      </c>
      <c r="B1428" t="s">
        <v>2176</v>
      </c>
      <c r="C1428" t="s">
        <v>2461</v>
      </c>
      <c r="D1428" t="s">
        <v>2473</v>
      </c>
      <c r="E1428" t="str">
        <f t="shared" si="44"/>
        <v>DORTMUND</v>
      </c>
      <c r="F1428" t="s">
        <v>2479</v>
      </c>
      <c r="G1428">
        <v>96.48</v>
      </c>
      <c r="H1428" t="s">
        <v>2486</v>
      </c>
      <c r="I1428">
        <v>0</v>
      </c>
      <c r="J1428">
        <v>120</v>
      </c>
      <c r="K1428" s="9">
        <f t="shared" si="45"/>
        <v>45312</v>
      </c>
      <c r="L1428" t="s">
        <v>2648</v>
      </c>
      <c r="M1428" t="s">
        <v>2924</v>
      </c>
    </row>
    <row r="1429" spans="1:13" x14ac:dyDescent="0.35">
      <c r="A1429" t="s">
        <v>1429</v>
      </c>
      <c r="B1429" t="s">
        <v>2419</v>
      </c>
      <c r="C1429" t="s">
        <v>2458</v>
      </c>
      <c r="D1429" t="s">
        <v>2474</v>
      </c>
      <c r="E1429" t="str">
        <f t="shared" si="44"/>
        <v>DORTMUND DE</v>
      </c>
      <c r="F1429" t="s">
        <v>2483</v>
      </c>
      <c r="H1429" t="s">
        <v>2489</v>
      </c>
      <c r="I1429">
        <v>0</v>
      </c>
      <c r="J1429">
        <v>1</v>
      </c>
      <c r="K1429" s="9">
        <f t="shared" si="45"/>
        <v>45881</v>
      </c>
      <c r="L1429" t="s">
        <v>2499</v>
      </c>
      <c r="M1429" t="s">
        <v>2931</v>
      </c>
    </row>
    <row r="1430" spans="1:13" hidden="1" x14ac:dyDescent="0.35">
      <c r="A1430" t="s">
        <v>1430</v>
      </c>
      <c r="B1430" t="s">
        <v>2216</v>
      </c>
      <c r="C1430" t="s">
        <v>2458</v>
      </c>
      <c r="D1430" t="s">
        <v>2473</v>
      </c>
      <c r="E1430" t="str">
        <f t="shared" si="44"/>
        <v>DORTMUND</v>
      </c>
      <c r="F1430" t="s">
        <v>2483</v>
      </c>
      <c r="G1430">
        <v>0.32</v>
      </c>
      <c r="H1430" t="s">
        <v>2489</v>
      </c>
      <c r="I1430">
        <v>0</v>
      </c>
      <c r="J1430">
        <v>1</v>
      </c>
      <c r="K1430" s="9">
        <f t="shared" si="45"/>
        <v>45873</v>
      </c>
      <c r="L1430" t="s">
        <v>2683</v>
      </c>
      <c r="M1430" t="s">
        <v>2924</v>
      </c>
    </row>
    <row r="1431" spans="1:13" hidden="1" x14ac:dyDescent="0.35">
      <c r="A1431" t="s">
        <v>1431</v>
      </c>
      <c r="B1431" t="s">
        <v>2395</v>
      </c>
      <c r="C1431" t="s">
        <v>2457</v>
      </c>
      <c r="D1431" t="s">
        <v>2471</v>
      </c>
      <c r="E1431" t="str">
        <f t="shared" si="44"/>
        <v>BUDAPEST</v>
      </c>
      <c r="F1431" t="s">
        <v>2485</v>
      </c>
      <c r="G1431">
        <v>51.56</v>
      </c>
      <c r="H1431" t="s">
        <v>2490</v>
      </c>
      <c r="I1431">
        <v>0</v>
      </c>
      <c r="J1431">
        <v>100</v>
      </c>
      <c r="K1431" s="9">
        <f t="shared" si="45"/>
        <v>45737</v>
      </c>
      <c r="L1431" t="s">
        <v>2643</v>
      </c>
      <c r="M1431" t="s">
        <v>2926</v>
      </c>
    </row>
    <row r="1432" spans="1:13" hidden="1" x14ac:dyDescent="0.35">
      <c r="A1432" t="s">
        <v>1432</v>
      </c>
      <c r="B1432" t="s">
        <v>2409</v>
      </c>
      <c r="C1432" t="s">
        <v>2459</v>
      </c>
      <c r="D1432" t="s">
        <v>2470</v>
      </c>
      <c r="E1432" t="str">
        <f t="shared" si="44"/>
        <v>E. HANOVER</v>
      </c>
      <c r="F1432" t="s">
        <v>2479</v>
      </c>
      <c r="G1432">
        <v>74.739999999999995</v>
      </c>
      <c r="H1432" t="s">
        <v>2486</v>
      </c>
      <c r="I1432">
        <v>0</v>
      </c>
      <c r="J1432">
        <v>120</v>
      </c>
      <c r="K1432" s="9">
        <f t="shared" si="45"/>
        <v>45416</v>
      </c>
      <c r="L1432" t="s">
        <v>2553</v>
      </c>
      <c r="M1432" t="s">
        <v>2923</v>
      </c>
    </row>
    <row r="1433" spans="1:13" hidden="1" x14ac:dyDescent="0.35">
      <c r="A1433" t="s">
        <v>1346</v>
      </c>
      <c r="B1433" t="s">
        <v>2083</v>
      </c>
      <c r="C1433" t="s">
        <v>2459</v>
      </c>
      <c r="D1433" t="s">
        <v>2475</v>
      </c>
      <c r="E1433" t="str">
        <f t="shared" si="44"/>
        <v>ASHFORD</v>
      </c>
      <c r="F1433" t="s">
        <v>2482</v>
      </c>
      <c r="G1433">
        <v>98.16</v>
      </c>
      <c r="H1433" t="s">
        <v>2489</v>
      </c>
      <c r="I1433">
        <v>97</v>
      </c>
      <c r="J1433">
        <v>100</v>
      </c>
      <c r="K1433" s="9">
        <f t="shared" si="45"/>
        <v>45979</v>
      </c>
      <c r="L1433" t="s">
        <v>2600</v>
      </c>
      <c r="M1433" t="s">
        <v>2924</v>
      </c>
    </row>
    <row r="1434" spans="1:13" hidden="1" x14ac:dyDescent="0.35">
      <c r="A1434" t="s">
        <v>1433</v>
      </c>
      <c r="B1434" t="s">
        <v>2414</v>
      </c>
      <c r="C1434" t="s">
        <v>2460</v>
      </c>
      <c r="D1434" t="s">
        <v>2462</v>
      </c>
      <c r="E1434" t="str">
        <f t="shared" si="44"/>
        <v>ASHFORD UK</v>
      </c>
      <c r="F1434" t="s">
        <v>2484</v>
      </c>
      <c r="G1434">
        <v>6.47</v>
      </c>
      <c r="I1434">
        <v>6</v>
      </c>
      <c r="J1434">
        <v>7.5</v>
      </c>
      <c r="K1434" s="9">
        <f t="shared" si="45"/>
        <v>45983</v>
      </c>
      <c r="L1434" t="s">
        <v>2830</v>
      </c>
      <c r="M1434" t="s">
        <v>2928</v>
      </c>
    </row>
    <row r="1435" spans="1:13" hidden="1" x14ac:dyDescent="0.35">
      <c r="A1435" t="s">
        <v>1434</v>
      </c>
      <c r="B1435" t="s">
        <v>2398</v>
      </c>
      <c r="C1435" t="s">
        <v>2461</v>
      </c>
      <c r="D1435" t="s">
        <v>2474</v>
      </c>
      <c r="E1435" t="str">
        <f t="shared" si="44"/>
        <v>DORTMUND DE</v>
      </c>
      <c r="F1435" t="s">
        <v>2483</v>
      </c>
      <c r="G1435">
        <v>0.45</v>
      </c>
      <c r="H1435" t="s">
        <v>2489</v>
      </c>
      <c r="I1435">
        <v>0</v>
      </c>
      <c r="J1435">
        <v>1</v>
      </c>
      <c r="K1435" s="9">
        <f t="shared" si="45"/>
        <v>45965</v>
      </c>
      <c r="L1435" t="s">
        <v>2814</v>
      </c>
      <c r="M1435" t="s">
        <v>2932</v>
      </c>
    </row>
    <row r="1436" spans="1:13" hidden="1" x14ac:dyDescent="0.35">
      <c r="A1436" t="s">
        <v>1435</v>
      </c>
      <c r="B1436" t="s">
        <v>2103</v>
      </c>
      <c r="C1436" t="s">
        <v>2460</v>
      </c>
      <c r="D1436" t="s">
        <v>2473</v>
      </c>
      <c r="E1436" t="str">
        <f t="shared" si="44"/>
        <v>DORTMUND</v>
      </c>
      <c r="F1436" t="s">
        <v>2483</v>
      </c>
      <c r="G1436">
        <v>0.37</v>
      </c>
      <c r="H1436" t="s">
        <v>2489</v>
      </c>
      <c r="I1436">
        <v>0</v>
      </c>
      <c r="J1436">
        <v>1</v>
      </c>
      <c r="K1436" s="9">
        <f t="shared" si="45"/>
        <v>45573</v>
      </c>
      <c r="L1436" t="s">
        <v>2581</v>
      </c>
      <c r="M1436" t="s">
        <v>2928</v>
      </c>
    </row>
    <row r="1437" spans="1:13" hidden="1" x14ac:dyDescent="0.35">
      <c r="A1437" t="s">
        <v>1436</v>
      </c>
      <c r="B1437" t="s">
        <v>2179</v>
      </c>
      <c r="C1437" t="s">
        <v>2460</v>
      </c>
      <c r="D1437" t="s">
        <v>2474</v>
      </c>
      <c r="E1437" t="str">
        <f t="shared" si="44"/>
        <v>DORTMUND DE</v>
      </c>
      <c r="F1437" t="s">
        <v>2480</v>
      </c>
      <c r="G1437">
        <v>0.91</v>
      </c>
      <c r="H1437" t="s">
        <v>2487</v>
      </c>
      <c r="I1437">
        <v>0.88</v>
      </c>
      <c r="J1437">
        <v>0.97</v>
      </c>
      <c r="K1437" s="9">
        <f t="shared" si="45"/>
        <v>45693</v>
      </c>
      <c r="L1437" t="s">
        <v>2651</v>
      </c>
      <c r="M1437" t="s">
        <v>2931</v>
      </c>
    </row>
    <row r="1438" spans="1:13" hidden="1" x14ac:dyDescent="0.35">
      <c r="A1438" t="s">
        <v>1437</v>
      </c>
      <c r="B1438" t="s">
        <v>2175</v>
      </c>
      <c r="C1438" t="s">
        <v>2457</v>
      </c>
      <c r="D1438" t="s">
        <v>2467</v>
      </c>
      <c r="E1438" t="str">
        <f t="shared" si="44"/>
        <v>ASHFORD</v>
      </c>
      <c r="F1438" t="s">
        <v>2484</v>
      </c>
      <c r="G1438">
        <v>6.25</v>
      </c>
      <c r="I1438">
        <v>6</v>
      </c>
      <c r="J1438">
        <v>7.5</v>
      </c>
      <c r="K1438" s="9">
        <f t="shared" si="45"/>
        <v>45921</v>
      </c>
      <c r="L1438" t="s">
        <v>2647</v>
      </c>
      <c r="M1438" t="s">
        <v>2932</v>
      </c>
    </row>
    <row r="1439" spans="1:13" hidden="1" x14ac:dyDescent="0.35">
      <c r="A1439" t="s">
        <v>1438</v>
      </c>
      <c r="B1439" t="s">
        <v>2141</v>
      </c>
      <c r="C1439" t="s">
        <v>2458</v>
      </c>
      <c r="D1439" t="s">
        <v>2465</v>
      </c>
      <c r="E1439" t="str">
        <f t="shared" si="44"/>
        <v>VERNIER</v>
      </c>
      <c r="F1439" t="s">
        <v>2484</v>
      </c>
      <c r="G1439">
        <v>6.98</v>
      </c>
      <c r="I1439">
        <v>6</v>
      </c>
      <c r="J1439">
        <v>7.5</v>
      </c>
      <c r="K1439" s="9">
        <f t="shared" si="45"/>
        <v>45936</v>
      </c>
      <c r="L1439" t="s">
        <v>2616</v>
      </c>
      <c r="M1439" t="s">
        <v>2932</v>
      </c>
    </row>
    <row r="1440" spans="1:13" hidden="1" x14ac:dyDescent="0.35">
      <c r="A1440" t="s">
        <v>1439</v>
      </c>
      <c r="B1440" t="s">
        <v>2028</v>
      </c>
      <c r="C1440" t="s">
        <v>2459</v>
      </c>
      <c r="D1440" t="s">
        <v>2473</v>
      </c>
      <c r="E1440" t="str">
        <f t="shared" si="44"/>
        <v>DORTMUND</v>
      </c>
      <c r="F1440" t="s">
        <v>2481</v>
      </c>
      <c r="G1440">
        <v>255.96</v>
      </c>
      <c r="H1440" t="s">
        <v>2488</v>
      </c>
      <c r="I1440">
        <v>150</v>
      </c>
      <c r="J1440">
        <v>400</v>
      </c>
      <c r="K1440" s="9">
        <f t="shared" si="45"/>
        <v>45654</v>
      </c>
      <c r="L1440" t="s">
        <v>2508</v>
      </c>
      <c r="M1440" t="s">
        <v>2930</v>
      </c>
    </row>
    <row r="1441" spans="1:13" hidden="1" x14ac:dyDescent="0.35">
      <c r="A1441" t="s">
        <v>1440</v>
      </c>
      <c r="B1441" t="s">
        <v>2296</v>
      </c>
      <c r="C1441" t="s">
        <v>2459</v>
      </c>
      <c r="D1441" t="s">
        <v>2478</v>
      </c>
      <c r="E1441" t="str">
        <f t="shared" si="44"/>
        <v>BUD</v>
      </c>
      <c r="F1441" t="s">
        <v>2482</v>
      </c>
      <c r="G1441">
        <v>97.49</v>
      </c>
      <c r="H1441" t="s">
        <v>2489</v>
      </c>
      <c r="I1441">
        <v>97</v>
      </c>
      <c r="J1441">
        <v>100</v>
      </c>
      <c r="K1441" s="9">
        <f t="shared" si="45"/>
        <v>45697</v>
      </c>
      <c r="L1441" t="s">
        <v>2694</v>
      </c>
      <c r="M1441" t="s">
        <v>2926</v>
      </c>
    </row>
    <row r="1442" spans="1:13" hidden="1" x14ac:dyDescent="0.35">
      <c r="A1442" t="s">
        <v>1441</v>
      </c>
      <c r="B1442" t="s">
        <v>2119</v>
      </c>
      <c r="C1442" t="s">
        <v>2459</v>
      </c>
      <c r="D1442" t="s">
        <v>2472</v>
      </c>
      <c r="E1442" t="str">
        <f t="shared" si="44"/>
        <v>VERNIER</v>
      </c>
      <c r="F1442" t="s">
        <v>2481</v>
      </c>
      <c r="G1442">
        <v>264.5</v>
      </c>
      <c r="H1442" t="s">
        <v>2488</v>
      </c>
      <c r="I1442">
        <v>150</v>
      </c>
      <c r="J1442">
        <v>400</v>
      </c>
      <c r="K1442" s="9">
        <f t="shared" si="45"/>
        <v>45348</v>
      </c>
      <c r="L1442" t="s">
        <v>2595</v>
      </c>
      <c r="M1442" t="s">
        <v>2923</v>
      </c>
    </row>
    <row r="1443" spans="1:13" hidden="1" x14ac:dyDescent="0.35">
      <c r="A1443" t="s">
        <v>1442</v>
      </c>
      <c r="B1443" t="s">
        <v>2118</v>
      </c>
      <c r="C1443" t="s">
        <v>2457</v>
      </c>
      <c r="D1443" t="s">
        <v>2465</v>
      </c>
      <c r="E1443" t="str">
        <f t="shared" si="44"/>
        <v>VERNIER</v>
      </c>
      <c r="F1443" t="s">
        <v>2484</v>
      </c>
      <c r="G1443">
        <v>6.87</v>
      </c>
      <c r="I1443">
        <v>6</v>
      </c>
      <c r="J1443">
        <v>7.5</v>
      </c>
      <c r="K1443" s="9">
        <f t="shared" si="45"/>
        <v>45634</v>
      </c>
      <c r="L1443" t="s">
        <v>2594</v>
      </c>
      <c r="M1443" t="s">
        <v>2926</v>
      </c>
    </row>
    <row r="1444" spans="1:13" hidden="1" x14ac:dyDescent="0.35">
      <c r="A1444" t="s">
        <v>1443</v>
      </c>
      <c r="B1444" t="s">
        <v>2018</v>
      </c>
      <c r="C1444" t="s">
        <v>2460</v>
      </c>
      <c r="D1444" t="s">
        <v>2474</v>
      </c>
      <c r="E1444" t="str">
        <f t="shared" si="44"/>
        <v>DORTMUND DE</v>
      </c>
      <c r="F1444" t="s">
        <v>2483</v>
      </c>
      <c r="G1444">
        <v>0.22</v>
      </c>
      <c r="H1444" t="s">
        <v>2489</v>
      </c>
      <c r="I1444">
        <v>0</v>
      </c>
      <c r="J1444">
        <v>1</v>
      </c>
      <c r="K1444" s="9">
        <f t="shared" si="45"/>
        <v>45501</v>
      </c>
      <c r="L1444" t="s">
        <v>2498</v>
      </c>
      <c r="M1444" t="s">
        <v>2929</v>
      </c>
    </row>
    <row r="1445" spans="1:13" hidden="1" x14ac:dyDescent="0.35">
      <c r="A1445" t="s">
        <v>1444</v>
      </c>
      <c r="B1445" t="s">
        <v>2064</v>
      </c>
      <c r="C1445" t="s">
        <v>2458</v>
      </c>
      <c r="D1445" t="s">
        <v>2465</v>
      </c>
      <c r="E1445" t="str">
        <f t="shared" si="44"/>
        <v>VERNIER</v>
      </c>
      <c r="F1445" t="s">
        <v>2479</v>
      </c>
      <c r="G1445">
        <v>53.93</v>
      </c>
      <c r="H1445" t="s">
        <v>2486</v>
      </c>
      <c r="I1445">
        <v>0</v>
      </c>
      <c r="J1445">
        <v>120</v>
      </c>
      <c r="K1445" s="9">
        <f t="shared" si="45"/>
        <v>45715</v>
      </c>
      <c r="L1445" t="s">
        <v>2543</v>
      </c>
      <c r="M1445" t="s">
        <v>2926</v>
      </c>
    </row>
    <row r="1446" spans="1:13" hidden="1" x14ac:dyDescent="0.35">
      <c r="A1446" t="s">
        <v>1445</v>
      </c>
      <c r="B1446" t="s">
        <v>2258</v>
      </c>
      <c r="C1446" t="s">
        <v>2460</v>
      </c>
      <c r="D1446" t="s">
        <v>2465</v>
      </c>
      <c r="E1446" t="str">
        <f t="shared" si="44"/>
        <v>VERNIER</v>
      </c>
      <c r="F1446" t="s">
        <v>2482</v>
      </c>
      <c r="G1446">
        <v>98.16</v>
      </c>
      <c r="H1446" t="s">
        <v>2489</v>
      </c>
      <c r="I1446">
        <v>97</v>
      </c>
      <c r="J1446">
        <v>100</v>
      </c>
      <c r="K1446" s="9">
        <f t="shared" si="45"/>
        <v>45883</v>
      </c>
      <c r="L1446" t="s">
        <v>2710</v>
      </c>
      <c r="M1446" t="s">
        <v>2931</v>
      </c>
    </row>
    <row r="1447" spans="1:13" hidden="1" x14ac:dyDescent="0.35">
      <c r="A1447" t="s">
        <v>1446</v>
      </c>
      <c r="B1447" t="s">
        <v>2273</v>
      </c>
      <c r="C1447" t="s">
        <v>2459</v>
      </c>
      <c r="D1447" t="s">
        <v>2476</v>
      </c>
      <c r="E1447" t="str">
        <f t="shared" si="44"/>
        <v>BUDAPEST SITE</v>
      </c>
      <c r="F1447" t="s">
        <v>2482</v>
      </c>
      <c r="G1447">
        <v>97.27</v>
      </c>
      <c r="H1447" t="s">
        <v>2489</v>
      </c>
      <c r="I1447">
        <v>97</v>
      </c>
      <c r="J1447">
        <v>100</v>
      </c>
      <c r="K1447" s="9">
        <f t="shared" si="45"/>
        <v>45657</v>
      </c>
      <c r="L1447" t="s">
        <v>2721</v>
      </c>
      <c r="M1447" t="s">
        <v>2930</v>
      </c>
    </row>
    <row r="1448" spans="1:13" hidden="1" x14ac:dyDescent="0.35">
      <c r="A1448" t="s">
        <v>1447</v>
      </c>
      <c r="B1448" t="s">
        <v>2409</v>
      </c>
      <c r="C1448" t="s">
        <v>2459</v>
      </c>
      <c r="D1448" t="s">
        <v>2464</v>
      </c>
      <c r="E1448" t="str">
        <f t="shared" si="44"/>
        <v>EAST HANOVER</v>
      </c>
      <c r="F1448" t="s">
        <v>2485</v>
      </c>
      <c r="G1448">
        <v>6.19</v>
      </c>
      <c r="H1448" t="s">
        <v>2490</v>
      </c>
      <c r="I1448">
        <v>0</v>
      </c>
      <c r="J1448">
        <v>100</v>
      </c>
      <c r="K1448" s="9">
        <f t="shared" si="45"/>
        <v>45416</v>
      </c>
      <c r="L1448" t="s">
        <v>2553</v>
      </c>
      <c r="M1448" t="s">
        <v>2927</v>
      </c>
    </row>
    <row r="1449" spans="1:13" x14ac:dyDescent="0.35">
      <c r="A1449" t="s">
        <v>1448</v>
      </c>
      <c r="B1449" t="s">
        <v>2434</v>
      </c>
      <c r="C1449" t="s">
        <v>2461</v>
      </c>
      <c r="D1449" t="s">
        <v>2468</v>
      </c>
      <c r="E1449" t="str">
        <f t="shared" si="44"/>
        <v>VERNIER CH</v>
      </c>
      <c r="F1449" t="s">
        <v>2482</v>
      </c>
      <c r="H1449" t="s">
        <v>2489</v>
      </c>
      <c r="I1449">
        <v>97</v>
      </c>
      <c r="J1449">
        <v>100</v>
      </c>
      <c r="K1449" s="9">
        <f t="shared" si="45"/>
        <v>45506</v>
      </c>
      <c r="L1449" t="s">
        <v>2849</v>
      </c>
      <c r="M1449" t="s">
        <v>2931</v>
      </c>
    </row>
    <row r="1450" spans="1:13" hidden="1" x14ac:dyDescent="0.35">
      <c r="A1450" t="s">
        <v>1449</v>
      </c>
      <c r="B1450" t="s">
        <v>2206</v>
      </c>
      <c r="C1450" t="s">
        <v>2458</v>
      </c>
      <c r="D1450" t="s">
        <v>2473</v>
      </c>
      <c r="E1450" t="str">
        <f t="shared" si="44"/>
        <v>DORTMUND</v>
      </c>
      <c r="F1450" t="s">
        <v>2483</v>
      </c>
      <c r="G1450">
        <v>0.46</v>
      </c>
      <c r="H1450" t="s">
        <v>2489</v>
      </c>
      <c r="I1450">
        <v>0</v>
      </c>
      <c r="J1450">
        <v>1</v>
      </c>
      <c r="K1450" s="9">
        <f t="shared" si="45"/>
        <v>45814</v>
      </c>
      <c r="L1450" t="s">
        <v>2674</v>
      </c>
      <c r="M1450" t="s">
        <v>2925</v>
      </c>
    </row>
    <row r="1451" spans="1:13" hidden="1" x14ac:dyDescent="0.35">
      <c r="A1451" t="s">
        <v>1450</v>
      </c>
      <c r="B1451" t="s">
        <v>2454</v>
      </c>
      <c r="C1451" t="s">
        <v>2461</v>
      </c>
      <c r="D1451" t="s">
        <v>2474</v>
      </c>
      <c r="E1451" t="str">
        <f t="shared" si="44"/>
        <v>DORTMUND DE</v>
      </c>
      <c r="F1451" t="s">
        <v>2480</v>
      </c>
      <c r="G1451">
        <v>0.94</v>
      </c>
      <c r="H1451" t="s">
        <v>2487</v>
      </c>
      <c r="I1451">
        <v>0.88</v>
      </c>
      <c r="J1451">
        <v>0.97</v>
      </c>
      <c r="K1451" s="9">
        <f t="shared" si="45"/>
        <v>45502</v>
      </c>
      <c r="L1451" t="s">
        <v>2889</v>
      </c>
      <c r="M1451" t="s">
        <v>2923</v>
      </c>
    </row>
    <row r="1452" spans="1:13" hidden="1" x14ac:dyDescent="0.35">
      <c r="A1452" t="s">
        <v>1451</v>
      </c>
      <c r="B1452" t="s">
        <v>2120</v>
      </c>
      <c r="C1452" t="s">
        <v>2459</v>
      </c>
      <c r="D1452" t="s">
        <v>2465</v>
      </c>
      <c r="E1452" t="str">
        <f t="shared" si="44"/>
        <v>VERNIER</v>
      </c>
      <c r="F1452" t="s">
        <v>2481</v>
      </c>
      <c r="G1452">
        <v>294.42</v>
      </c>
      <c r="H1452" t="s">
        <v>2488</v>
      </c>
      <c r="I1452">
        <v>150</v>
      </c>
      <c r="J1452">
        <v>400</v>
      </c>
      <c r="K1452" s="9">
        <f t="shared" si="45"/>
        <v>45393</v>
      </c>
      <c r="L1452" t="s">
        <v>2632</v>
      </c>
      <c r="M1452" t="s">
        <v>2931</v>
      </c>
    </row>
    <row r="1453" spans="1:13" hidden="1" x14ac:dyDescent="0.35">
      <c r="A1453" t="s">
        <v>1452</v>
      </c>
      <c r="B1453" t="s">
        <v>2273</v>
      </c>
      <c r="C1453" t="s">
        <v>2459</v>
      </c>
      <c r="D1453" t="s">
        <v>2477</v>
      </c>
      <c r="E1453" t="str">
        <f t="shared" si="44"/>
        <v>BUDAPEST</v>
      </c>
      <c r="F1453" t="s">
        <v>2481</v>
      </c>
      <c r="G1453">
        <v>241.3</v>
      </c>
      <c r="H1453" t="s">
        <v>2488</v>
      </c>
      <c r="I1453">
        <v>150</v>
      </c>
      <c r="J1453">
        <v>400</v>
      </c>
      <c r="K1453" s="9">
        <f t="shared" si="45"/>
        <v>45657</v>
      </c>
      <c r="L1453" t="s">
        <v>2721</v>
      </c>
      <c r="M1453" t="s">
        <v>2929</v>
      </c>
    </row>
    <row r="1454" spans="1:13" hidden="1" x14ac:dyDescent="0.35">
      <c r="A1454" t="s">
        <v>1453</v>
      </c>
      <c r="B1454" t="s">
        <v>2089</v>
      </c>
      <c r="C1454" t="s">
        <v>2460</v>
      </c>
      <c r="D1454" t="s">
        <v>2471</v>
      </c>
      <c r="E1454" t="str">
        <f t="shared" si="44"/>
        <v>BUDAPEST</v>
      </c>
      <c r="F1454" t="s">
        <v>2483</v>
      </c>
      <c r="G1454">
        <v>0.16</v>
      </c>
      <c r="H1454" t="s">
        <v>2489</v>
      </c>
      <c r="I1454">
        <v>0</v>
      </c>
      <c r="J1454">
        <v>1</v>
      </c>
      <c r="K1454" s="9">
        <f t="shared" si="45"/>
        <v>45789</v>
      </c>
      <c r="L1454" t="s">
        <v>2567</v>
      </c>
      <c r="M1454" t="s">
        <v>2927</v>
      </c>
    </row>
    <row r="1455" spans="1:13" hidden="1" x14ac:dyDescent="0.35">
      <c r="A1455" t="s">
        <v>1454</v>
      </c>
      <c r="B1455" t="s">
        <v>2440</v>
      </c>
      <c r="C1455" t="s">
        <v>2460</v>
      </c>
      <c r="D1455" t="s">
        <v>2476</v>
      </c>
      <c r="E1455" t="str">
        <f t="shared" si="44"/>
        <v>BUDAPEST SITE</v>
      </c>
      <c r="F1455" t="s">
        <v>2485</v>
      </c>
      <c r="G1455">
        <v>7.28</v>
      </c>
      <c r="H1455" t="s">
        <v>2490</v>
      </c>
      <c r="I1455">
        <v>0</v>
      </c>
      <c r="J1455">
        <v>100</v>
      </c>
      <c r="K1455" s="9">
        <f t="shared" si="45"/>
        <v>45606</v>
      </c>
      <c r="L1455" t="s">
        <v>2893</v>
      </c>
      <c r="M1455" t="s">
        <v>2932</v>
      </c>
    </row>
    <row r="1456" spans="1:13" hidden="1" x14ac:dyDescent="0.35">
      <c r="A1456" t="s">
        <v>1455</v>
      </c>
      <c r="B1456" t="s">
        <v>2052</v>
      </c>
      <c r="C1456" t="s">
        <v>2460</v>
      </c>
      <c r="D1456" t="s">
        <v>2466</v>
      </c>
      <c r="E1456" t="str">
        <f t="shared" si="44"/>
        <v>EAST HANOVER</v>
      </c>
      <c r="F1456" t="s">
        <v>2485</v>
      </c>
      <c r="G1456">
        <v>-24.21</v>
      </c>
      <c r="H1456" t="s">
        <v>2490</v>
      </c>
      <c r="I1456">
        <v>0</v>
      </c>
      <c r="J1456">
        <v>100</v>
      </c>
      <c r="K1456" s="9">
        <f t="shared" si="45"/>
        <v>45461</v>
      </c>
      <c r="L1456" t="s">
        <v>2531</v>
      </c>
      <c r="M1456" t="s">
        <v>2924</v>
      </c>
    </row>
    <row r="1457" spans="1:13" hidden="1" x14ac:dyDescent="0.35">
      <c r="A1457" t="s">
        <v>1456</v>
      </c>
      <c r="B1457" t="s">
        <v>2455</v>
      </c>
      <c r="C1457" t="s">
        <v>2461</v>
      </c>
      <c r="D1457" t="s">
        <v>2465</v>
      </c>
      <c r="E1457" t="str">
        <f t="shared" si="44"/>
        <v>VERNIER</v>
      </c>
      <c r="F1457" t="s">
        <v>2484</v>
      </c>
      <c r="G1457">
        <v>7.15</v>
      </c>
      <c r="I1457">
        <v>6</v>
      </c>
      <c r="J1457">
        <v>7.5</v>
      </c>
      <c r="K1457" s="9">
        <f t="shared" si="45"/>
        <v>45988</v>
      </c>
      <c r="L1457" t="s">
        <v>2890</v>
      </c>
      <c r="M1457" t="s">
        <v>2926</v>
      </c>
    </row>
    <row r="1458" spans="1:13" hidden="1" x14ac:dyDescent="0.35">
      <c r="A1458" t="s">
        <v>1457</v>
      </c>
      <c r="B1458" t="s">
        <v>2435</v>
      </c>
      <c r="C1458" t="s">
        <v>2460</v>
      </c>
      <c r="D1458" t="s">
        <v>2467</v>
      </c>
      <c r="E1458" t="str">
        <f t="shared" si="44"/>
        <v>ASHFORD</v>
      </c>
      <c r="F1458" t="s">
        <v>2485</v>
      </c>
      <c r="G1458">
        <v>3.45</v>
      </c>
      <c r="H1458" t="s">
        <v>2490</v>
      </c>
      <c r="I1458">
        <v>0</v>
      </c>
      <c r="J1458">
        <v>100</v>
      </c>
      <c r="K1458" s="9">
        <f t="shared" si="45"/>
        <v>45806</v>
      </c>
      <c r="L1458" t="s">
        <v>2850</v>
      </c>
      <c r="M1458" t="s">
        <v>2927</v>
      </c>
    </row>
    <row r="1459" spans="1:13" hidden="1" x14ac:dyDescent="0.35">
      <c r="A1459" t="s">
        <v>1458</v>
      </c>
      <c r="B1459" t="s">
        <v>2385</v>
      </c>
      <c r="C1459" t="s">
        <v>2457</v>
      </c>
      <c r="D1459" t="s">
        <v>2466</v>
      </c>
      <c r="E1459" t="str">
        <f t="shared" si="44"/>
        <v>EAST HANOVER</v>
      </c>
      <c r="F1459" t="s">
        <v>2483</v>
      </c>
      <c r="G1459">
        <v>0.21</v>
      </c>
      <c r="H1459" t="s">
        <v>2489</v>
      </c>
      <c r="I1459">
        <v>0</v>
      </c>
      <c r="J1459">
        <v>1</v>
      </c>
      <c r="K1459" s="9">
        <f t="shared" si="45"/>
        <v>45790</v>
      </c>
      <c r="L1459" t="s">
        <v>2803</v>
      </c>
      <c r="M1459" t="s">
        <v>2927</v>
      </c>
    </row>
    <row r="1460" spans="1:13" x14ac:dyDescent="0.35">
      <c r="A1460" t="s">
        <v>1459</v>
      </c>
      <c r="B1460" t="s">
        <v>2332</v>
      </c>
      <c r="C1460" t="s">
        <v>2461</v>
      </c>
      <c r="D1460" t="s">
        <v>2475</v>
      </c>
      <c r="E1460" t="str">
        <f t="shared" si="44"/>
        <v>ASHFORD</v>
      </c>
      <c r="F1460" t="s">
        <v>2480</v>
      </c>
      <c r="H1460" t="s">
        <v>2487</v>
      </c>
      <c r="I1460">
        <v>0.88</v>
      </c>
      <c r="J1460">
        <v>0.97</v>
      </c>
      <c r="K1460" s="9">
        <f t="shared" si="45"/>
        <v>45649</v>
      </c>
      <c r="L1460" t="s">
        <v>2652</v>
      </c>
      <c r="M1460" t="s">
        <v>2924</v>
      </c>
    </row>
    <row r="1461" spans="1:13" hidden="1" x14ac:dyDescent="0.35">
      <c r="A1461" t="s">
        <v>1460</v>
      </c>
      <c r="B1461" t="s">
        <v>2422</v>
      </c>
      <c r="C1461" t="s">
        <v>2461</v>
      </c>
      <c r="D1461" t="s">
        <v>2474</v>
      </c>
      <c r="E1461" t="str">
        <f t="shared" si="44"/>
        <v>DORTMUND DE</v>
      </c>
      <c r="F1461" t="s">
        <v>2483</v>
      </c>
      <c r="G1461">
        <v>0.2</v>
      </c>
      <c r="H1461" t="s">
        <v>2489</v>
      </c>
      <c r="I1461">
        <v>0</v>
      </c>
      <c r="J1461">
        <v>1</v>
      </c>
      <c r="K1461" s="9">
        <f t="shared" si="45"/>
        <v>45539</v>
      </c>
      <c r="L1461" t="s">
        <v>2834</v>
      </c>
      <c r="M1461" t="s">
        <v>2932</v>
      </c>
    </row>
    <row r="1462" spans="1:13" hidden="1" x14ac:dyDescent="0.35">
      <c r="A1462" t="s">
        <v>1461</v>
      </c>
      <c r="B1462" t="s">
        <v>2325</v>
      </c>
      <c r="C1462" t="s">
        <v>2458</v>
      </c>
      <c r="D1462" t="s">
        <v>2465</v>
      </c>
      <c r="E1462" t="str">
        <f t="shared" si="44"/>
        <v>VERNIER</v>
      </c>
      <c r="F1462" t="s">
        <v>2479</v>
      </c>
      <c r="G1462">
        <v>48.98</v>
      </c>
      <c r="H1462" t="s">
        <v>2486</v>
      </c>
      <c r="I1462">
        <v>0</v>
      </c>
      <c r="J1462">
        <v>120</v>
      </c>
      <c r="K1462" s="9">
        <f t="shared" si="45"/>
        <v>45491</v>
      </c>
      <c r="L1462" t="s">
        <v>2753</v>
      </c>
      <c r="M1462" t="s">
        <v>2928</v>
      </c>
    </row>
    <row r="1463" spans="1:13" hidden="1" x14ac:dyDescent="0.35">
      <c r="A1463" t="s">
        <v>1462</v>
      </c>
      <c r="B1463" t="s">
        <v>2401</v>
      </c>
      <c r="C1463" t="s">
        <v>2457</v>
      </c>
      <c r="D1463" t="s">
        <v>2476</v>
      </c>
      <c r="E1463" t="str">
        <f t="shared" si="44"/>
        <v>BUDAPEST SITE</v>
      </c>
      <c r="F1463" t="s">
        <v>2482</v>
      </c>
      <c r="G1463">
        <v>98.9</v>
      </c>
      <c r="H1463" t="s">
        <v>2489</v>
      </c>
      <c r="I1463">
        <v>97</v>
      </c>
      <c r="J1463">
        <v>100</v>
      </c>
      <c r="K1463" s="9">
        <f t="shared" si="45"/>
        <v>45660</v>
      </c>
      <c r="L1463" t="s">
        <v>2817</v>
      </c>
      <c r="M1463" t="s">
        <v>2928</v>
      </c>
    </row>
    <row r="1464" spans="1:13" hidden="1" x14ac:dyDescent="0.35">
      <c r="A1464" t="s">
        <v>1463</v>
      </c>
      <c r="B1464" t="s">
        <v>2334</v>
      </c>
      <c r="C1464" t="s">
        <v>2461</v>
      </c>
      <c r="D1464" t="s">
        <v>2466</v>
      </c>
      <c r="E1464" t="str">
        <f t="shared" si="44"/>
        <v>EAST HANOVER</v>
      </c>
      <c r="F1464" t="s">
        <v>2482</v>
      </c>
      <c r="G1464">
        <v>98.42</v>
      </c>
      <c r="H1464" t="s">
        <v>2489</v>
      </c>
      <c r="I1464">
        <v>97</v>
      </c>
      <c r="J1464">
        <v>100</v>
      </c>
      <c r="K1464" s="9">
        <f t="shared" si="45"/>
        <v>45399</v>
      </c>
      <c r="L1464" t="s">
        <v>2492</v>
      </c>
      <c r="M1464" t="s">
        <v>2929</v>
      </c>
    </row>
    <row r="1465" spans="1:13" hidden="1" x14ac:dyDescent="0.35">
      <c r="A1465" t="s">
        <v>1464</v>
      </c>
      <c r="B1465" t="s">
        <v>2395</v>
      </c>
      <c r="C1465" t="s">
        <v>2457</v>
      </c>
      <c r="D1465" t="s">
        <v>2477</v>
      </c>
      <c r="E1465" t="str">
        <f t="shared" si="44"/>
        <v>BUDAPEST</v>
      </c>
      <c r="F1465" t="s">
        <v>2480</v>
      </c>
      <c r="G1465">
        <v>0.92</v>
      </c>
      <c r="H1465" t="s">
        <v>2487</v>
      </c>
      <c r="I1465">
        <v>0.88</v>
      </c>
      <c r="J1465">
        <v>0.97</v>
      </c>
      <c r="K1465" s="9">
        <f t="shared" si="45"/>
        <v>45737</v>
      </c>
      <c r="L1465" t="s">
        <v>2643</v>
      </c>
      <c r="M1465" t="s">
        <v>2923</v>
      </c>
    </row>
    <row r="1466" spans="1:13" hidden="1" x14ac:dyDescent="0.35">
      <c r="A1466" t="s">
        <v>1465</v>
      </c>
      <c r="B1466" t="s">
        <v>2373</v>
      </c>
      <c r="C1466" t="s">
        <v>2458</v>
      </c>
      <c r="D1466" t="s">
        <v>2471</v>
      </c>
      <c r="E1466" t="str">
        <f t="shared" si="44"/>
        <v>BUDAPEST</v>
      </c>
      <c r="F1466" t="s">
        <v>2484</v>
      </c>
      <c r="G1466">
        <v>6.81</v>
      </c>
      <c r="I1466">
        <v>6</v>
      </c>
      <c r="J1466">
        <v>7.5</v>
      </c>
      <c r="K1466" s="9">
        <f t="shared" si="45"/>
        <v>45953</v>
      </c>
      <c r="L1466" t="s">
        <v>2792</v>
      </c>
      <c r="M1466" t="s">
        <v>2925</v>
      </c>
    </row>
    <row r="1467" spans="1:13" hidden="1" x14ac:dyDescent="0.35">
      <c r="A1467" t="s">
        <v>1466</v>
      </c>
      <c r="B1467" t="s">
        <v>2247</v>
      </c>
      <c r="C1467" t="s">
        <v>2461</v>
      </c>
      <c r="D1467" t="s">
        <v>2467</v>
      </c>
      <c r="E1467" t="str">
        <f t="shared" si="44"/>
        <v>ASHFORD</v>
      </c>
      <c r="F1467" t="s">
        <v>2481</v>
      </c>
      <c r="G1467">
        <v>246.1</v>
      </c>
      <c r="H1467" t="s">
        <v>2488</v>
      </c>
      <c r="I1467">
        <v>150</v>
      </c>
      <c r="J1467">
        <v>400</v>
      </c>
      <c r="K1467" s="9">
        <f t="shared" si="45"/>
        <v>45307</v>
      </c>
      <c r="L1467" t="s">
        <v>2700</v>
      </c>
      <c r="M1467" t="s">
        <v>2930</v>
      </c>
    </row>
    <row r="1468" spans="1:13" hidden="1" x14ac:dyDescent="0.35">
      <c r="A1468" t="s">
        <v>1467</v>
      </c>
      <c r="B1468" t="s">
        <v>2022</v>
      </c>
      <c r="C1468" t="s">
        <v>2457</v>
      </c>
      <c r="D1468" t="s">
        <v>2463</v>
      </c>
      <c r="E1468" t="str">
        <f t="shared" si="44"/>
        <v>VERNIER</v>
      </c>
      <c r="F1468" t="s">
        <v>2484</v>
      </c>
      <c r="G1468">
        <v>7.07</v>
      </c>
      <c r="I1468">
        <v>6</v>
      </c>
      <c r="J1468">
        <v>7.5</v>
      </c>
      <c r="K1468" s="9">
        <f t="shared" si="45"/>
        <v>45530</v>
      </c>
      <c r="L1468" t="s">
        <v>2502</v>
      </c>
      <c r="M1468" t="s">
        <v>2926</v>
      </c>
    </row>
    <row r="1469" spans="1:13" hidden="1" x14ac:dyDescent="0.35">
      <c r="A1469" t="s">
        <v>1468</v>
      </c>
      <c r="B1469" t="s">
        <v>2446</v>
      </c>
      <c r="C1469" t="s">
        <v>2459</v>
      </c>
      <c r="D1469" t="s">
        <v>2463</v>
      </c>
      <c r="E1469" t="str">
        <f t="shared" si="44"/>
        <v>VERNIER</v>
      </c>
      <c r="F1469" t="s">
        <v>2485</v>
      </c>
      <c r="G1469">
        <v>30.9</v>
      </c>
      <c r="H1469" t="s">
        <v>2490</v>
      </c>
      <c r="I1469">
        <v>0</v>
      </c>
      <c r="J1469">
        <v>100</v>
      </c>
      <c r="K1469" s="9">
        <f t="shared" si="45"/>
        <v>46021</v>
      </c>
      <c r="L1469" t="s">
        <v>2870</v>
      </c>
      <c r="M1469" t="s">
        <v>2928</v>
      </c>
    </row>
    <row r="1470" spans="1:13" hidden="1" x14ac:dyDescent="0.35">
      <c r="A1470" t="s">
        <v>1469</v>
      </c>
      <c r="B1470" t="s">
        <v>2449</v>
      </c>
      <c r="C1470" t="s">
        <v>2460</v>
      </c>
      <c r="D1470" t="s">
        <v>2476</v>
      </c>
      <c r="E1470" t="str">
        <f t="shared" si="44"/>
        <v>BUDAPEST SITE</v>
      </c>
      <c r="F1470" t="s">
        <v>2482</v>
      </c>
      <c r="G1470">
        <v>98.43</v>
      </c>
      <c r="H1470" t="s">
        <v>2489</v>
      </c>
      <c r="I1470">
        <v>97</v>
      </c>
      <c r="J1470">
        <v>100</v>
      </c>
      <c r="K1470" s="9">
        <f t="shared" si="45"/>
        <v>45526</v>
      </c>
      <c r="L1470" t="s">
        <v>2879</v>
      </c>
      <c r="M1470" t="s">
        <v>2931</v>
      </c>
    </row>
    <row r="1471" spans="1:13" hidden="1" x14ac:dyDescent="0.35">
      <c r="A1471" t="s">
        <v>1470</v>
      </c>
      <c r="B1471" t="s">
        <v>2030</v>
      </c>
      <c r="C1471" t="s">
        <v>2457</v>
      </c>
      <c r="D1471" t="s">
        <v>2472</v>
      </c>
      <c r="E1471" t="str">
        <f t="shared" si="44"/>
        <v>VERNIER</v>
      </c>
      <c r="F1471" t="s">
        <v>2480</v>
      </c>
      <c r="G1471">
        <v>0.9</v>
      </c>
      <c r="H1471" t="s">
        <v>2487</v>
      </c>
      <c r="I1471">
        <v>0.88</v>
      </c>
      <c r="J1471">
        <v>0.97</v>
      </c>
      <c r="K1471" s="9">
        <f t="shared" si="45"/>
        <v>45613</v>
      </c>
      <c r="L1471" t="s">
        <v>2510</v>
      </c>
      <c r="M1471" t="s">
        <v>2926</v>
      </c>
    </row>
    <row r="1472" spans="1:13" x14ac:dyDescent="0.35">
      <c r="A1472" t="s">
        <v>1471</v>
      </c>
      <c r="B1472" t="s">
        <v>2344</v>
      </c>
      <c r="C1472" t="s">
        <v>2461</v>
      </c>
      <c r="D1472" t="s">
        <v>2465</v>
      </c>
      <c r="E1472" t="str">
        <f t="shared" si="44"/>
        <v>VERNIER</v>
      </c>
      <c r="F1472" t="s">
        <v>2481</v>
      </c>
      <c r="H1472" t="s">
        <v>2488</v>
      </c>
      <c r="I1472">
        <v>150</v>
      </c>
      <c r="J1472">
        <v>400</v>
      </c>
      <c r="K1472" s="9">
        <f t="shared" si="45"/>
        <v>45458</v>
      </c>
      <c r="L1472" t="s">
        <v>2750</v>
      </c>
      <c r="M1472" t="s">
        <v>2932</v>
      </c>
    </row>
    <row r="1473" spans="1:13" hidden="1" x14ac:dyDescent="0.35">
      <c r="A1473" t="s">
        <v>1472</v>
      </c>
      <c r="B1473" t="s">
        <v>2443</v>
      </c>
      <c r="C1473" t="s">
        <v>2460</v>
      </c>
      <c r="D1473" t="s">
        <v>2462</v>
      </c>
      <c r="E1473" t="str">
        <f t="shared" si="44"/>
        <v>ASHFORD UK</v>
      </c>
      <c r="F1473" t="s">
        <v>2481</v>
      </c>
      <c r="G1473">
        <v>205.89</v>
      </c>
      <c r="H1473" t="s">
        <v>2488</v>
      </c>
      <c r="I1473">
        <v>150</v>
      </c>
      <c r="J1473">
        <v>400</v>
      </c>
      <c r="K1473" s="9">
        <f t="shared" si="45"/>
        <v>45533</v>
      </c>
      <c r="L1473" t="s">
        <v>2866</v>
      </c>
      <c r="M1473" t="s">
        <v>2929</v>
      </c>
    </row>
    <row r="1474" spans="1:13" hidden="1" x14ac:dyDescent="0.35">
      <c r="A1474" t="s">
        <v>1473</v>
      </c>
      <c r="B1474" t="s">
        <v>2153</v>
      </c>
      <c r="C1474" t="s">
        <v>2461</v>
      </c>
      <c r="D1474" t="s">
        <v>2477</v>
      </c>
      <c r="E1474" t="str">
        <f t="shared" si="44"/>
        <v>BUDAPEST</v>
      </c>
      <c r="F1474" t="s">
        <v>2479</v>
      </c>
      <c r="G1474">
        <v>31.16</v>
      </c>
      <c r="H1474" t="s">
        <v>2486</v>
      </c>
      <c r="I1474">
        <v>0</v>
      </c>
      <c r="J1474">
        <v>120</v>
      </c>
      <c r="K1474" s="9">
        <f t="shared" si="45"/>
        <v>45445</v>
      </c>
      <c r="L1474" t="s">
        <v>2628</v>
      </c>
      <c r="M1474" t="s">
        <v>2930</v>
      </c>
    </row>
    <row r="1475" spans="1:13" hidden="1" x14ac:dyDescent="0.35">
      <c r="A1475" t="s">
        <v>1474</v>
      </c>
      <c r="B1475" t="s">
        <v>2150</v>
      </c>
      <c r="C1475" t="s">
        <v>2459</v>
      </c>
      <c r="D1475" t="s">
        <v>2474</v>
      </c>
      <c r="E1475" t="str">
        <f t="shared" ref="E1475:E1538" si="46">UPPER(D1475)</f>
        <v>DORTMUND DE</v>
      </c>
      <c r="F1475" t="s">
        <v>2483</v>
      </c>
      <c r="G1475">
        <v>0.35</v>
      </c>
      <c r="H1475" t="s">
        <v>2489</v>
      </c>
      <c r="I1475">
        <v>0</v>
      </c>
      <c r="J1475">
        <v>1</v>
      </c>
      <c r="K1475" s="9">
        <f t="shared" ref="K1475:K1538" si="47">IF(L1475="","",
IF(MID(L1475,5,1)="-",
DATE(LEFT(L1475,4),MID(L1475,6,2),RIGHT(L1475,2)),
DATE(RIGHT(L1475,4),MID(L1475,4,2),LEFT(L1475,2))
))</f>
        <v>45787</v>
      </c>
      <c r="L1475" t="s">
        <v>2625</v>
      </c>
      <c r="M1475" t="s">
        <v>2932</v>
      </c>
    </row>
    <row r="1476" spans="1:13" hidden="1" x14ac:dyDescent="0.35">
      <c r="A1476" t="s">
        <v>1475</v>
      </c>
      <c r="B1476" t="s">
        <v>2396</v>
      </c>
      <c r="C1476" t="s">
        <v>2461</v>
      </c>
      <c r="D1476" t="s">
        <v>2477</v>
      </c>
      <c r="E1476" t="str">
        <f t="shared" si="46"/>
        <v>BUDAPEST</v>
      </c>
      <c r="F1476" t="s">
        <v>2481</v>
      </c>
      <c r="G1476">
        <v>318.92</v>
      </c>
      <c r="H1476" t="s">
        <v>2488</v>
      </c>
      <c r="I1476">
        <v>150</v>
      </c>
      <c r="J1476">
        <v>400</v>
      </c>
      <c r="K1476" s="9">
        <f t="shared" si="47"/>
        <v>45767</v>
      </c>
      <c r="L1476" t="s">
        <v>2811</v>
      </c>
      <c r="M1476" t="s">
        <v>2931</v>
      </c>
    </row>
    <row r="1477" spans="1:13" hidden="1" x14ac:dyDescent="0.35">
      <c r="A1477" t="s">
        <v>1476</v>
      </c>
      <c r="B1477" t="s">
        <v>2418</v>
      </c>
      <c r="C1477" t="s">
        <v>2458</v>
      </c>
      <c r="D1477" t="s">
        <v>2465</v>
      </c>
      <c r="E1477" t="str">
        <f t="shared" si="46"/>
        <v>VERNIER</v>
      </c>
      <c r="F1477" t="s">
        <v>2482</v>
      </c>
      <c r="G1477">
        <v>98.76</v>
      </c>
      <c r="H1477" t="s">
        <v>2489</v>
      </c>
      <c r="I1477">
        <v>97</v>
      </c>
      <c r="J1477">
        <v>100</v>
      </c>
      <c r="K1477" s="9">
        <f t="shared" si="47"/>
        <v>45759</v>
      </c>
      <c r="L1477" t="s">
        <v>2894</v>
      </c>
      <c r="M1477" t="s">
        <v>2932</v>
      </c>
    </row>
    <row r="1478" spans="1:13" hidden="1" x14ac:dyDescent="0.35">
      <c r="A1478" t="s">
        <v>1477</v>
      </c>
      <c r="B1478" t="s">
        <v>2101</v>
      </c>
      <c r="C1478" t="s">
        <v>2458</v>
      </c>
      <c r="D1478" t="s">
        <v>2469</v>
      </c>
      <c r="E1478" t="str">
        <f t="shared" si="46"/>
        <v>DORTMUND</v>
      </c>
      <c r="F1478" t="s">
        <v>2482</v>
      </c>
      <c r="G1478">
        <v>98.43</v>
      </c>
      <c r="H1478" t="s">
        <v>2489</v>
      </c>
      <c r="I1478">
        <v>97</v>
      </c>
      <c r="J1478">
        <v>100</v>
      </c>
      <c r="K1478" s="9">
        <f t="shared" si="47"/>
        <v>46013</v>
      </c>
      <c r="L1478" t="s">
        <v>2579</v>
      </c>
      <c r="M1478" t="s">
        <v>2926</v>
      </c>
    </row>
    <row r="1479" spans="1:13" hidden="1" x14ac:dyDescent="0.35">
      <c r="A1479" t="s">
        <v>1478</v>
      </c>
      <c r="B1479" t="s">
        <v>2367</v>
      </c>
      <c r="C1479" t="s">
        <v>2461</v>
      </c>
      <c r="D1479" t="s">
        <v>2469</v>
      </c>
      <c r="E1479" t="str">
        <f t="shared" si="46"/>
        <v>DORTMUND</v>
      </c>
      <c r="F1479" t="s">
        <v>2482</v>
      </c>
      <c r="G1479">
        <v>99.53</v>
      </c>
      <c r="H1479" t="s">
        <v>2489</v>
      </c>
      <c r="I1479">
        <v>97</v>
      </c>
      <c r="J1479">
        <v>100</v>
      </c>
      <c r="K1479" s="9">
        <f t="shared" si="47"/>
        <v>45794</v>
      </c>
      <c r="L1479" t="s">
        <v>2788</v>
      </c>
      <c r="M1479" t="s">
        <v>2932</v>
      </c>
    </row>
    <row r="1480" spans="1:13" hidden="1" x14ac:dyDescent="0.35">
      <c r="A1480" t="s">
        <v>1479</v>
      </c>
      <c r="B1480" t="s">
        <v>2059</v>
      </c>
      <c r="C1480" t="s">
        <v>2459</v>
      </c>
      <c r="D1480" t="s">
        <v>2463</v>
      </c>
      <c r="E1480" t="str">
        <f t="shared" si="46"/>
        <v>VERNIER</v>
      </c>
      <c r="F1480" t="s">
        <v>2484</v>
      </c>
      <c r="G1480">
        <v>7.02</v>
      </c>
      <c r="I1480">
        <v>6</v>
      </c>
      <c r="J1480">
        <v>7.5</v>
      </c>
      <c r="K1480" s="9">
        <f t="shared" si="47"/>
        <v>45743</v>
      </c>
      <c r="L1480" t="s">
        <v>2538</v>
      </c>
      <c r="M1480" t="s">
        <v>2931</v>
      </c>
    </row>
    <row r="1481" spans="1:13" hidden="1" x14ac:dyDescent="0.35">
      <c r="A1481" t="s">
        <v>1480</v>
      </c>
      <c r="B1481" t="s">
        <v>2424</v>
      </c>
      <c r="C1481" t="s">
        <v>2457</v>
      </c>
      <c r="D1481" t="s">
        <v>2474</v>
      </c>
      <c r="E1481" t="str">
        <f t="shared" si="46"/>
        <v>DORTMUND DE</v>
      </c>
      <c r="F1481" t="s">
        <v>2482</v>
      </c>
      <c r="G1481">
        <v>97.95</v>
      </c>
      <c r="H1481" t="s">
        <v>2489</v>
      </c>
      <c r="I1481">
        <v>97</v>
      </c>
      <c r="J1481">
        <v>100</v>
      </c>
      <c r="K1481" s="9">
        <f t="shared" si="47"/>
        <v>45371</v>
      </c>
      <c r="L1481" t="s">
        <v>2622</v>
      </c>
      <c r="M1481" t="s">
        <v>2930</v>
      </c>
    </row>
    <row r="1482" spans="1:13" x14ac:dyDescent="0.35">
      <c r="A1482" t="s">
        <v>1481</v>
      </c>
      <c r="B1482" t="s">
        <v>2022</v>
      </c>
      <c r="C1482" t="s">
        <v>2457</v>
      </c>
      <c r="D1482" t="s">
        <v>2463</v>
      </c>
      <c r="E1482" t="str">
        <f t="shared" si="46"/>
        <v>VERNIER</v>
      </c>
      <c r="F1482" t="s">
        <v>2479</v>
      </c>
      <c r="H1482" t="s">
        <v>2486</v>
      </c>
      <c r="I1482">
        <v>0</v>
      </c>
      <c r="J1482">
        <v>120</v>
      </c>
      <c r="K1482" s="9">
        <f t="shared" si="47"/>
        <v>45530</v>
      </c>
      <c r="L1482" t="s">
        <v>2502</v>
      </c>
      <c r="M1482" t="s">
        <v>2926</v>
      </c>
    </row>
    <row r="1483" spans="1:13" hidden="1" x14ac:dyDescent="0.35">
      <c r="A1483" t="s">
        <v>1482</v>
      </c>
      <c r="B1483" t="s">
        <v>2170</v>
      </c>
      <c r="C1483" t="s">
        <v>2459</v>
      </c>
      <c r="D1483" t="s">
        <v>2471</v>
      </c>
      <c r="E1483" t="str">
        <f t="shared" si="46"/>
        <v>BUDAPEST</v>
      </c>
      <c r="F1483" t="s">
        <v>2481</v>
      </c>
      <c r="G1483">
        <v>200.23</v>
      </c>
      <c r="H1483" t="s">
        <v>2488</v>
      </c>
      <c r="I1483">
        <v>150</v>
      </c>
      <c r="J1483">
        <v>400</v>
      </c>
      <c r="K1483" s="9">
        <f t="shared" si="47"/>
        <v>45737</v>
      </c>
      <c r="L1483" t="s">
        <v>2895</v>
      </c>
      <c r="M1483" t="s">
        <v>2923</v>
      </c>
    </row>
    <row r="1484" spans="1:13" hidden="1" x14ac:dyDescent="0.35">
      <c r="A1484" t="s">
        <v>1483</v>
      </c>
      <c r="B1484" t="s">
        <v>2440</v>
      </c>
      <c r="C1484" t="s">
        <v>2460</v>
      </c>
      <c r="D1484" t="s">
        <v>2476</v>
      </c>
      <c r="E1484" t="str">
        <f t="shared" si="46"/>
        <v>BUDAPEST SITE</v>
      </c>
      <c r="F1484" t="s">
        <v>2484</v>
      </c>
      <c r="G1484">
        <v>6</v>
      </c>
      <c r="I1484">
        <v>6</v>
      </c>
      <c r="J1484">
        <v>7.5</v>
      </c>
      <c r="K1484" s="9">
        <f t="shared" si="47"/>
        <v>45606</v>
      </c>
      <c r="L1484" t="s">
        <v>2865</v>
      </c>
      <c r="M1484" t="s">
        <v>2928</v>
      </c>
    </row>
    <row r="1485" spans="1:13" hidden="1" x14ac:dyDescent="0.35">
      <c r="A1485" t="s">
        <v>1484</v>
      </c>
      <c r="B1485" t="s">
        <v>2117</v>
      </c>
      <c r="C1485" t="s">
        <v>2457</v>
      </c>
      <c r="D1485" t="s">
        <v>2462</v>
      </c>
      <c r="E1485" t="str">
        <f t="shared" si="46"/>
        <v>ASHFORD UK</v>
      </c>
      <c r="F1485" t="s">
        <v>2481</v>
      </c>
      <c r="G1485">
        <v>288.81</v>
      </c>
      <c r="H1485" t="s">
        <v>2488</v>
      </c>
      <c r="I1485">
        <v>150</v>
      </c>
      <c r="J1485">
        <v>400</v>
      </c>
      <c r="K1485" s="9">
        <f t="shared" si="47"/>
        <v>45951</v>
      </c>
      <c r="L1485" t="s">
        <v>2592</v>
      </c>
      <c r="M1485" t="s">
        <v>2931</v>
      </c>
    </row>
    <row r="1486" spans="1:13" hidden="1" x14ac:dyDescent="0.35">
      <c r="A1486" t="s">
        <v>1485</v>
      </c>
      <c r="B1486" t="s">
        <v>2192</v>
      </c>
      <c r="C1486" t="s">
        <v>2457</v>
      </c>
      <c r="D1486" t="s">
        <v>2469</v>
      </c>
      <c r="E1486" t="str">
        <f t="shared" si="46"/>
        <v>DORTMUND</v>
      </c>
      <c r="F1486" t="s">
        <v>2485</v>
      </c>
      <c r="G1486">
        <v>38.19</v>
      </c>
      <c r="H1486" t="s">
        <v>2490</v>
      </c>
      <c r="I1486">
        <v>0</v>
      </c>
      <c r="J1486">
        <v>100</v>
      </c>
      <c r="K1486" s="9">
        <f t="shared" si="47"/>
        <v>45661</v>
      </c>
      <c r="L1486" t="s">
        <v>2612</v>
      </c>
      <c r="M1486" t="s">
        <v>2927</v>
      </c>
    </row>
    <row r="1487" spans="1:13" hidden="1" x14ac:dyDescent="0.35">
      <c r="A1487" t="s">
        <v>1486</v>
      </c>
      <c r="B1487" t="s">
        <v>2189</v>
      </c>
      <c r="C1487" t="s">
        <v>2461</v>
      </c>
      <c r="D1487" t="s">
        <v>2478</v>
      </c>
      <c r="E1487" t="str">
        <f t="shared" si="46"/>
        <v>BUD</v>
      </c>
      <c r="F1487" t="s">
        <v>2482</v>
      </c>
      <c r="G1487">
        <v>97.89</v>
      </c>
      <c r="H1487" t="s">
        <v>2489</v>
      </c>
      <c r="I1487">
        <v>97</v>
      </c>
      <c r="J1487">
        <v>100</v>
      </c>
      <c r="K1487" s="9">
        <f t="shared" si="47"/>
        <v>45691</v>
      </c>
      <c r="L1487" t="s">
        <v>2660</v>
      </c>
      <c r="M1487" t="s">
        <v>2931</v>
      </c>
    </row>
    <row r="1488" spans="1:13" hidden="1" x14ac:dyDescent="0.35">
      <c r="A1488" t="s">
        <v>1487</v>
      </c>
      <c r="B1488" t="s">
        <v>2308</v>
      </c>
      <c r="C1488" t="s">
        <v>2457</v>
      </c>
      <c r="D1488" t="s">
        <v>2477</v>
      </c>
      <c r="E1488" t="str">
        <f t="shared" si="46"/>
        <v>BUDAPEST</v>
      </c>
      <c r="F1488" t="s">
        <v>2484</v>
      </c>
      <c r="G1488">
        <v>6.59</v>
      </c>
      <c r="I1488">
        <v>6</v>
      </c>
      <c r="J1488">
        <v>7.5</v>
      </c>
      <c r="K1488" s="9">
        <f t="shared" si="47"/>
        <v>45797</v>
      </c>
      <c r="L1488" t="s">
        <v>2744</v>
      </c>
      <c r="M1488" t="s">
        <v>2932</v>
      </c>
    </row>
    <row r="1489" spans="1:13" hidden="1" x14ac:dyDescent="0.35">
      <c r="A1489" t="s">
        <v>1488</v>
      </c>
      <c r="B1489" t="s">
        <v>2456</v>
      </c>
      <c r="C1489" t="s">
        <v>2459</v>
      </c>
      <c r="D1489" t="s">
        <v>2471</v>
      </c>
      <c r="E1489" t="str">
        <f t="shared" si="46"/>
        <v>BUDAPEST</v>
      </c>
      <c r="F1489" t="s">
        <v>2482</v>
      </c>
      <c r="G1489">
        <v>98.9</v>
      </c>
      <c r="H1489" t="s">
        <v>2489</v>
      </c>
      <c r="I1489">
        <v>97</v>
      </c>
      <c r="J1489">
        <v>100</v>
      </c>
      <c r="K1489" s="9">
        <f t="shared" si="47"/>
        <v>45779</v>
      </c>
      <c r="L1489" t="s">
        <v>2785</v>
      </c>
      <c r="M1489" t="s">
        <v>2930</v>
      </c>
    </row>
    <row r="1490" spans="1:13" hidden="1" x14ac:dyDescent="0.35">
      <c r="A1490" t="s">
        <v>1489</v>
      </c>
      <c r="B1490" t="s">
        <v>2334</v>
      </c>
      <c r="C1490" t="s">
        <v>2461</v>
      </c>
      <c r="D1490" t="s">
        <v>2466</v>
      </c>
      <c r="E1490" t="str">
        <f t="shared" si="46"/>
        <v>EAST HANOVER</v>
      </c>
      <c r="F1490" t="s">
        <v>2485</v>
      </c>
      <c r="G1490">
        <v>-14.9</v>
      </c>
      <c r="H1490" t="s">
        <v>2490</v>
      </c>
      <c r="I1490">
        <v>0</v>
      </c>
      <c r="J1490">
        <v>100</v>
      </c>
      <c r="K1490" s="9">
        <f t="shared" si="47"/>
        <v>45399</v>
      </c>
      <c r="L1490" t="s">
        <v>2492</v>
      </c>
      <c r="M1490" t="s">
        <v>2932</v>
      </c>
    </row>
    <row r="1491" spans="1:13" hidden="1" x14ac:dyDescent="0.35">
      <c r="A1491" t="s">
        <v>1490</v>
      </c>
      <c r="B1491" t="s">
        <v>2147</v>
      </c>
      <c r="C1491" t="s">
        <v>2458</v>
      </c>
      <c r="D1491" t="s">
        <v>2472</v>
      </c>
      <c r="E1491" t="str">
        <f t="shared" si="46"/>
        <v>VERNIER</v>
      </c>
      <c r="F1491" t="s">
        <v>2481</v>
      </c>
      <c r="G1491">
        <v>214.89</v>
      </c>
      <c r="H1491" t="s">
        <v>2488</v>
      </c>
      <c r="I1491">
        <v>150</v>
      </c>
      <c r="J1491">
        <v>400</v>
      </c>
      <c r="K1491" s="9">
        <f t="shared" si="47"/>
        <v>45371</v>
      </c>
      <c r="L1491" t="s">
        <v>2622</v>
      </c>
      <c r="M1491" t="s">
        <v>2923</v>
      </c>
    </row>
    <row r="1492" spans="1:13" hidden="1" x14ac:dyDescent="0.35">
      <c r="A1492" t="s">
        <v>1491</v>
      </c>
      <c r="B1492" t="s">
        <v>2444</v>
      </c>
      <c r="C1492" t="s">
        <v>2459</v>
      </c>
      <c r="D1492" t="s">
        <v>2471</v>
      </c>
      <c r="E1492" t="str">
        <f t="shared" si="46"/>
        <v>BUDAPEST</v>
      </c>
      <c r="F1492" t="s">
        <v>2485</v>
      </c>
      <c r="G1492">
        <v>4.76</v>
      </c>
      <c r="H1492" t="s">
        <v>2490</v>
      </c>
      <c r="I1492">
        <v>0</v>
      </c>
      <c r="J1492">
        <v>100</v>
      </c>
      <c r="K1492" s="9">
        <f t="shared" si="47"/>
        <v>45946</v>
      </c>
      <c r="L1492" t="s">
        <v>2867</v>
      </c>
      <c r="M1492" t="s">
        <v>2926</v>
      </c>
    </row>
    <row r="1493" spans="1:13" hidden="1" x14ac:dyDescent="0.35">
      <c r="A1493" t="s">
        <v>1492</v>
      </c>
      <c r="B1493" t="s">
        <v>2049</v>
      </c>
      <c r="C1493" t="s">
        <v>2458</v>
      </c>
      <c r="D1493" t="s">
        <v>2469</v>
      </c>
      <c r="E1493" t="str">
        <f t="shared" si="46"/>
        <v>DORTMUND</v>
      </c>
      <c r="F1493" t="s">
        <v>2480</v>
      </c>
      <c r="G1493">
        <v>0.95</v>
      </c>
      <c r="H1493" t="s">
        <v>2487</v>
      </c>
      <c r="I1493">
        <v>0.88</v>
      </c>
      <c r="J1493">
        <v>0.97</v>
      </c>
      <c r="K1493" s="9">
        <f t="shared" si="47"/>
        <v>45452</v>
      </c>
      <c r="L1493" t="s">
        <v>2528</v>
      </c>
      <c r="M1493" t="s">
        <v>2929</v>
      </c>
    </row>
    <row r="1494" spans="1:13" hidden="1" x14ac:dyDescent="0.35">
      <c r="A1494" t="s">
        <v>1493</v>
      </c>
      <c r="B1494" t="s">
        <v>2298</v>
      </c>
      <c r="C1494" t="s">
        <v>2458</v>
      </c>
      <c r="D1494" t="s">
        <v>2474</v>
      </c>
      <c r="E1494" t="str">
        <f t="shared" si="46"/>
        <v>DORTMUND DE</v>
      </c>
      <c r="F1494" t="s">
        <v>2485</v>
      </c>
      <c r="G1494">
        <v>-7.62</v>
      </c>
      <c r="H1494" t="s">
        <v>2490</v>
      </c>
      <c r="I1494">
        <v>0</v>
      </c>
      <c r="J1494">
        <v>100</v>
      </c>
      <c r="K1494" s="9">
        <f t="shared" si="47"/>
        <v>45323</v>
      </c>
      <c r="L1494" t="s">
        <v>2738</v>
      </c>
      <c r="M1494" t="s">
        <v>2932</v>
      </c>
    </row>
    <row r="1495" spans="1:13" hidden="1" x14ac:dyDescent="0.35">
      <c r="A1495" t="s">
        <v>1494</v>
      </c>
      <c r="B1495" t="s">
        <v>2059</v>
      </c>
      <c r="C1495" t="s">
        <v>2459</v>
      </c>
      <c r="D1495" t="s">
        <v>2472</v>
      </c>
      <c r="E1495" t="str">
        <f t="shared" si="46"/>
        <v>VERNIER</v>
      </c>
      <c r="F1495" t="s">
        <v>2480</v>
      </c>
      <c r="G1495">
        <v>1.06</v>
      </c>
      <c r="H1495" t="s">
        <v>2487</v>
      </c>
      <c r="I1495">
        <v>0.88</v>
      </c>
      <c r="J1495">
        <v>0.97</v>
      </c>
      <c r="K1495" s="9">
        <f t="shared" si="47"/>
        <v>45743</v>
      </c>
      <c r="L1495" t="s">
        <v>2538</v>
      </c>
      <c r="M1495" t="s">
        <v>2929</v>
      </c>
    </row>
    <row r="1496" spans="1:13" hidden="1" x14ac:dyDescent="0.35">
      <c r="A1496" t="s">
        <v>1495</v>
      </c>
      <c r="B1496" t="s">
        <v>2429</v>
      </c>
      <c r="C1496" t="s">
        <v>2460</v>
      </c>
      <c r="D1496" t="s">
        <v>2466</v>
      </c>
      <c r="E1496" t="str">
        <f t="shared" si="46"/>
        <v>EAST HANOVER</v>
      </c>
      <c r="F1496" t="s">
        <v>2483</v>
      </c>
      <c r="G1496">
        <v>0.54</v>
      </c>
      <c r="H1496" t="s">
        <v>2489</v>
      </c>
      <c r="I1496">
        <v>0</v>
      </c>
      <c r="J1496">
        <v>1</v>
      </c>
      <c r="K1496" s="9">
        <f t="shared" si="47"/>
        <v>45620</v>
      </c>
      <c r="L1496" t="s">
        <v>2842</v>
      </c>
      <c r="M1496" t="s">
        <v>2932</v>
      </c>
    </row>
    <row r="1497" spans="1:13" hidden="1" x14ac:dyDescent="0.35">
      <c r="A1497" t="s">
        <v>1496</v>
      </c>
      <c r="B1497" t="s">
        <v>2292</v>
      </c>
      <c r="C1497" t="s">
        <v>2461</v>
      </c>
      <c r="D1497" t="s">
        <v>2465</v>
      </c>
      <c r="E1497" t="str">
        <f t="shared" si="46"/>
        <v>VERNIER</v>
      </c>
      <c r="F1497" t="s">
        <v>2479</v>
      </c>
      <c r="G1497">
        <v>62.09</v>
      </c>
      <c r="H1497" t="s">
        <v>2486</v>
      </c>
      <c r="I1497">
        <v>0</v>
      </c>
      <c r="J1497">
        <v>120</v>
      </c>
      <c r="K1497" s="9">
        <f t="shared" si="47"/>
        <v>45646</v>
      </c>
      <c r="L1497" t="s">
        <v>2896</v>
      </c>
      <c r="M1497" t="s">
        <v>2927</v>
      </c>
    </row>
    <row r="1498" spans="1:13" hidden="1" x14ac:dyDescent="0.35">
      <c r="A1498" t="s">
        <v>1497</v>
      </c>
      <c r="B1498" t="s">
        <v>2067</v>
      </c>
      <c r="C1498" t="s">
        <v>2459</v>
      </c>
      <c r="D1498" t="s">
        <v>2467</v>
      </c>
      <c r="E1498" t="str">
        <f t="shared" si="46"/>
        <v>ASHFORD</v>
      </c>
      <c r="F1498" t="s">
        <v>2482</v>
      </c>
      <c r="G1498">
        <v>99.12</v>
      </c>
      <c r="H1498" t="s">
        <v>2489</v>
      </c>
      <c r="I1498">
        <v>97</v>
      </c>
      <c r="J1498">
        <v>100</v>
      </c>
      <c r="K1498" s="9">
        <f t="shared" si="47"/>
        <v>45844</v>
      </c>
      <c r="L1498" t="s">
        <v>2546</v>
      </c>
      <c r="M1498" t="s">
        <v>2924</v>
      </c>
    </row>
    <row r="1499" spans="1:13" hidden="1" x14ac:dyDescent="0.35">
      <c r="A1499" t="s">
        <v>1498</v>
      </c>
      <c r="B1499" t="s">
        <v>2255</v>
      </c>
      <c r="C1499" t="s">
        <v>2457</v>
      </c>
      <c r="D1499" t="s">
        <v>2475</v>
      </c>
      <c r="E1499" t="str">
        <f t="shared" si="46"/>
        <v>ASHFORD</v>
      </c>
      <c r="F1499" t="s">
        <v>2485</v>
      </c>
      <c r="G1499">
        <v>24.58</v>
      </c>
      <c r="H1499" t="s">
        <v>2490</v>
      </c>
      <c r="I1499">
        <v>0</v>
      </c>
      <c r="J1499">
        <v>100</v>
      </c>
      <c r="K1499" s="9">
        <f t="shared" si="47"/>
        <v>45451</v>
      </c>
      <c r="L1499" t="s">
        <v>2706</v>
      </c>
      <c r="M1499" t="s">
        <v>2928</v>
      </c>
    </row>
    <row r="1500" spans="1:13" hidden="1" x14ac:dyDescent="0.35">
      <c r="A1500" t="s">
        <v>1499</v>
      </c>
      <c r="B1500" t="s">
        <v>2283</v>
      </c>
      <c r="C1500" t="s">
        <v>2461</v>
      </c>
      <c r="D1500" t="s">
        <v>2463</v>
      </c>
      <c r="E1500" t="str">
        <f t="shared" si="46"/>
        <v>VERNIER</v>
      </c>
      <c r="F1500" t="s">
        <v>2481</v>
      </c>
      <c r="G1500">
        <v>307.02</v>
      </c>
      <c r="H1500" t="s">
        <v>2488</v>
      </c>
      <c r="I1500">
        <v>150</v>
      </c>
      <c r="J1500">
        <v>400</v>
      </c>
      <c r="K1500" s="9">
        <f t="shared" si="47"/>
        <v>45487</v>
      </c>
      <c r="L1500" t="s">
        <v>2729</v>
      </c>
      <c r="M1500" t="s">
        <v>2930</v>
      </c>
    </row>
    <row r="1501" spans="1:13" hidden="1" x14ac:dyDescent="0.35">
      <c r="A1501" t="s">
        <v>1500</v>
      </c>
      <c r="B1501" t="s">
        <v>2195</v>
      </c>
      <c r="C1501" t="s">
        <v>2457</v>
      </c>
      <c r="D1501" t="s">
        <v>2474</v>
      </c>
      <c r="E1501" t="str">
        <f t="shared" si="46"/>
        <v>DORTMUND DE</v>
      </c>
      <c r="F1501" t="s">
        <v>2482</v>
      </c>
      <c r="G1501">
        <v>97.41</v>
      </c>
      <c r="H1501" t="s">
        <v>2489</v>
      </c>
      <c r="I1501">
        <v>97</v>
      </c>
      <c r="J1501">
        <v>100</v>
      </c>
      <c r="K1501" s="9">
        <f t="shared" si="47"/>
        <v>45588</v>
      </c>
      <c r="L1501" t="s">
        <v>2666</v>
      </c>
      <c r="M1501" t="s">
        <v>2923</v>
      </c>
    </row>
    <row r="1502" spans="1:13" hidden="1" x14ac:dyDescent="0.35">
      <c r="A1502" t="s">
        <v>1501</v>
      </c>
      <c r="B1502" t="s">
        <v>2107</v>
      </c>
      <c r="C1502" t="s">
        <v>2459</v>
      </c>
      <c r="D1502" t="s">
        <v>2466</v>
      </c>
      <c r="E1502" t="str">
        <f t="shared" si="46"/>
        <v>EAST HANOVER</v>
      </c>
      <c r="F1502" t="s">
        <v>2482</v>
      </c>
      <c r="G1502">
        <v>97.9</v>
      </c>
      <c r="H1502" t="s">
        <v>2489</v>
      </c>
      <c r="I1502">
        <v>97</v>
      </c>
      <c r="J1502">
        <v>100</v>
      </c>
      <c r="K1502" s="9">
        <f t="shared" si="47"/>
        <v>45633</v>
      </c>
      <c r="L1502" t="s">
        <v>2584</v>
      </c>
      <c r="M1502" t="s">
        <v>2923</v>
      </c>
    </row>
    <row r="1503" spans="1:13" hidden="1" x14ac:dyDescent="0.35">
      <c r="A1503" t="s">
        <v>1502</v>
      </c>
      <c r="B1503" t="s">
        <v>2293</v>
      </c>
      <c r="C1503" t="s">
        <v>2459</v>
      </c>
      <c r="D1503" t="s">
        <v>2464</v>
      </c>
      <c r="E1503" t="str">
        <f t="shared" si="46"/>
        <v>EAST HANOVER</v>
      </c>
      <c r="F1503" t="s">
        <v>2479</v>
      </c>
      <c r="G1503">
        <v>57.89</v>
      </c>
      <c r="H1503" t="s">
        <v>2486</v>
      </c>
      <c r="I1503">
        <v>0</v>
      </c>
      <c r="J1503">
        <v>120</v>
      </c>
      <c r="K1503" s="9">
        <f t="shared" si="47"/>
        <v>45970</v>
      </c>
      <c r="L1503" t="s">
        <v>2639</v>
      </c>
      <c r="M1503" t="s">
        <v>2930</v>
      </c>
    </row>
    <row r="1504" spans="1:13" hidden="1" x14ac:dyDescent="0.35">
      <c r="A1504" t="s">
        <v>1503</v>
      </c>
      <c r="B1504" t="s">
        <v>2213</v>
      </c>
      <c r="C1504" t="s">
        <v>2457</v>
      </c>
      <c r="D1504" t="s">
        <v>2467</v>
      </c>
      <c r="E1504" t="str">
        <f t="shared" si="46"/>
        <v>ASHFORD</v>
      </c>
      <c r="F1504" t="s">
        <v>2480</v>
      </c>
      <c r="G1504">
        <v>0.92</v>
      </c>
      <c r="H1504" t="s">
        <v>2487</v>
      </c>
      <c r="I1504">
        <v>0.88</v>
      </c>
      <c r="J1504">
        <v>0.97</v>
      </c>
      <c r="K1504" s="9">
        <f t="shared" si="47"/>
        <v>45724</v>
      </c>
      <c r="L1504" t="s">
        <v>2680</v>
      </c>
      <c r="M1504" t="s">
        <v>2931</v>
      </c>
    </row>
    <row r="1505" spans="1:13" hidden="1" x14ac:dyDescent="0.35">
      <c r="A1505" t="s">
        <v>1504</v>
      </c>
      <c r="B1505" t="s">
        <v>2321</v>
      </c>
      <c r="C1505" t="s">
        <v>2457</v>
      </c>
      <c r="D1505" t="s">
        <v>2478</v>
      </c>
      <c r="E1505" t="str">
        <f t="shared" si="46"/>
        <v>BUD</v>
      </c>
      <c r="F1505" t="s">
        <v>2484</v>
      </c>
      <c r="G1505">
        <v>7.43</v>
      </c>
      <c r="I1505">
        <v>6</v>
      </c>
      <c r="J1505">
        <v>7.5</v>
      </c>
      <c r="K1505" s="9">
        <f t="shared" si="47"/>
        <v>45491</v>
      </c>
      <c r="L1505" t="s">
        <v>2753</v>
      </c>
      <c r="M1505" t="s">
        <v>2930</v>
      </c>
    </row>
    <row r="1506" spans="1:13" hidden="1" x14ac:dyDescent="0.35">
      <c r="A1506" t="s">
        <v>1505</v>
      </c>
      <c r="B1506" t="s">
        <v>2285</v>
      </c>
      <c r="C1506" t="s">
        <v>2457</v>
      </c>
      <c r="D1506" t="s">
        <v>2468</v>
      </c>
      <c r="E1506" t="str">
        <f t="shared" si="46"/>
        <v>VERNIER CH</v>
      </c>
      <c r="F1506" t="s">
        <v>2485</v>
      </c>
      <c r="G1506">
        <v>-30.19</v>
      </c>
      <c r="H1506" t="s">
        <v>2490</v>
      </c>
      <c r="I1506">
        <v>0</v>
      </c>
      <c r="J1506">
        <v>100</v>
      </c>
      <c r="K1506" s="9">
        <f t="shared" si="47"/>
        <v>45960</v>
      </c>
      <c r="L1506" t="s">
        <v>2678</v>
      </c>
      <c r="M1506" t="s">
        <v>2930</v>
      </c>
    </row>
    <row r="1507" spans="1:13" hidden="1" x14ac:dyDescent="0.35">
      <c r="A1507" t="s">
        <v>1506</v>
      </c>
      <c r="B1507" t="s">
        <v>2434</v>
      </c>
      <c r="C1507" t="s">
        <v>2461</v>
      </c>
      <c r="D1507" t="s">
        <v>2472</v>
      </c>
      <c r="E1507" t="str">
        <f t="shared" si="46"/>
        <v>VERNIER</v>
      </c>
      <c r="F1507" t="s">
        <v>2479</v>
      </c>
      <c r="G1507">
        <v>12.16</v>
      </c>
      <c r="H1507" t="s">
        <v>2486</v>
      </c>
      <c r="I1507">
        <v>0</v>
      </c>
      <c r="J1507">
        <v>120</v>
      </c>
      <c r="K1507" s="9">
        <f t="shared" si="47"/>
        <v>45506</v>
      </c>
      <c r="L1507" t="s">
        <v>2849</v>
      </c>
      <c r="M1507" t="s">
        <v>2930</v>
      </c>
    </row>
    <row r="1508" spans="1:13" hidden="1" x14ac:dyDescent="0.35">
      <c r="A1508" t="s">
        <v>1507</v>
      </c>
      <c r="B1508" t="s">
        <v>2036</v>
      </c>
      <c r="C1508" t="s">
        <v>2459</v>
      </c>
      <c r="D1508" t="s">
        <v>2463</v>
      </c>
      <c r="E1508" t="str">
        <f t="shared" si="46"/>
        <v>VERNIER</v>
      </c>
      <c r="F1508" t="s">
        <v>2482</v>
      </c>
      <c r="G1508">
        <v>98.31</v>
      </c>
      <c r="H1508" t="s">
        <v>2489</v>
      </c>
      <c r="I1508">
        <v>97</v>
      </c>
      <c r="J1508">
        <v>100</v>
      </c>
      <c r="K1508" s="9">
        <f t="shared" si="47"/>
        <v>45769</v>
      </c>
      <c r="L1508" t="s">
        <v>2516</v>
      </c>
      <c r="M1508" t="s">
        <v>2929</v>
      </c>
    </row>
    <row r="1509" spans="1:13" hidden="1" x14ac:dyDescent="0.35">
      <c r="A1509" t="s">
        <v>1508</v>
      </c>
      <c r="B1509" t="s">
        <v>2117</v>
      </c>
      <c r="C1509" t="s">
        <v>2457</v>
      </c>
      <c r="D1509" t="s">
        <v>2467</v>
      </c>
      <c r="E1509" t="str">
        <f t="shared" si="46"/>
        <v>ASHFORD</v>
      </c>
      <c r="F1509" t="s">
        <v>2482</v>
      </c>
      <c r="G1509">
        <v>98.73</v>
      </c>
      <c r="H1509" t="s">
        <v>2489</v>
      </c>
      <c r="I1509">
        <v>97</v>
      </c>
      <c r="J1509">
        <v>100</v>
      </c>
      <c r="K1509" s="9">
        <f t="shared" si="47"/>
        <v>45951</v>
      </c>
      <c r="L1509" t="s">
        <v>2592</v>
      </c>
      <c r="M1509" t="s">
        <v>2930</v>
      </c>
    </row>
    <row r="1510" spans="1:13" hidden="1" x14ac:dyDescent="0.35">
      <c r="A1510" t="s">
        <v>1509</v>
      </c>
      <c r="B1510" t="s">
        <v>2433</v>
      </c>
      <c r="C1510" t="s">
        <v>2461</v>
      </c>
      <c r="D1510" t="s">
        <v>2463</v>
      </c>
      <c r="E1510" t="str">
        <f t="shared" si="46"/>
        <v>VERNIER</v>
      </c>
      <c r="F1510" t="s">
        <v>2484</v>
      </c>
      <c r="G1510">
        <v>6.83</v>
      </c>
      <c r="I1510">
        <v>6</v>
      </c>
      <c r="J1510">
        <v>7.5</v>
      </c>
      <c r="K1510" s="9">
        <f t="shared" si="47"/>
        <v>45503</v>
      </c>
      <c r="L1510" t="s">
        <v>2897</v>
      </c>
      <c r="M1510" t="s">
        <v>2929</v>
      </c>
    </row>
    <row r="1511" spans="1:13" hidden="1" x14ac:dyDescent="0.35">
      <c r="A1511" t="s">
        <v>1510</v>
      </c>
      <c r="B1511" t="s">
        <v>2352</v>
      </c>
      <c r="C1511" t="s">
        <v>2457</v>
      </c>
      <c r="D1511" t="s">
        <v>2473</v>
      </c>
      <c r="E1511" t="str">
        <f t="shared" si="46"/>
        <v>DORTMUND</v>
      </c>
      <c r="F1511" t="s">
        <v>2484</v>
      </c>
      <c r="G1511">
        <v>6.78</v>
      </c>
      <c r="I1511">
        <v>6</v>
      </c>
      <c r="J1511">
        <v>7.5</v>
      </c>
      <c r="K1511" s="9">
        <f t="shared" si="47"/>
        <v>45416</v>
      </c>
      <c r="L1511" t="s">
        <v>2553</v>
      </c>
      <c r="M1511" t="s">
        <v>2927</v>
      </c>
    </row>
    <row r="1512" spans="1:13" hidden="1" x14ac:dyDescent="0.35">
      <c r="A1512" t="s">
        <v>1511</v>
      </c>
      <c r="B1512" t="s">
        <v>2289</v>
      </c>
      <c r="C1512" t="s">
        <v>2457</v>
      </c>
      <c r="D1512" t="s">
        <v>2478</v>
      </c>
      <c r="E1512" t="str">
        <f t="shared" si="46"/>
        <v>BUD</v>
      </c>
      <c r="F1512" t="s">
        <v>2480</v>
      </c>
      <c r="G1512">
        <v>0.93</v>
      </c>
      <c r="H1512" t="s">
        <v>2487</v>
      </c>
      <c r="I1512">
        <v>0.88</v>
      </c>
      <c r="J1512">
        <v>0.97</v>
      </c>
      <c r="K1512" s="9">
        <f t="shared" si="47"/>
        <v>45326</v>
      </c>
      <c r="L1512" t="s">
        <v>2732</v>
      </c>
      <c r="M1512" t="s">
        <v>2928</v>
      </c>
    </row>
    <row r="1513" spans="1:13" hidden="1" x14ac:dyDescent="0.35">
      <c r="A1513" t="s">
        <v>1512</v>
      </c>
      <c r="B1513" t="s">
        <v>2414</v>
      </c>
      <c r="C1513" t="s">
        <v>2460</v>
      </c>
      <c r="D1513" t="s">
        <v>2462</v>
      </c>
      <c r="E1513" t="str">
        <f t="shared" si="46"/>
        <v>ASHFORD UK</v>
      </c>
      <c r="F1513" t="s">
        <v>2481</v>
      </c>
      <c r="G1513">
        <v>211.52</v>
      </c>
      <c r="H1513" t="s">
        <v>2488</v>
      </c>
      <c r="I1513">
        <v>150</v>
      </c>
      <c r="J1513">
        <v>400</v>
      </c>
      <c r="K1513" s="9">
        <f t="shared" si="47"/>
        <v>45983</v>
      </c>
      <c r="L1513" t="s">
        <v>2830</v>
      </c>
      <c r="M1513" t="s">
        <v>2932</v>
      </c>
    </row>
    <row r="1514" spans="1:13" hidden="1" x14ac:dyDescent="0.35">
      <c r="A1514" t="s">
        <v>1513</v>
      </c>
      <c r="B1514" t="s">
        <v>2431</v>
      </c>
      <c r="C1514" t="s">
        <v>2460</v>
      </c>
      <c r="D1514" t="s">
        <v>2462</v>
      </c>
      <c r="E1514" t="str">
        <f t="shared" si="46"/>
        <v>ASHFORD UK</v>
      </c>
      <c r="F1514" t="s">
        <v>2481</v>
      </c>
      <c r="G1514">
        <v>237.53</v>
      </c>
      <c r="H1514" t="s">
        <v>2488</v>
      </c>
      <c r="I1514">
        <v>150</v>
      </c>
      <c r="J1514">
        <v>400</v>
      </c>
      <c r="K1514" s="9">
        <f t="shared" si="47"/>
        <v>45462</v>
      </c>
      <c r="L1514" t="s">
        <v>2844</v>
      </c>
      <c r="M1514" t="s">
        <v>2931</v>
      </c>
    </row>
    <row r="1515" spans="1:13" hidden="1" x14ac:dyDescent="0.35">
      <c r="A1515" t="s">
        <v>1514</v>
      </c>
      <c r="B1515" t="s">
        <v>2215</v>
      </c>
      <c r="C1515" t="s">
        <v>2459</v>
      </c>
      <c r="D1515" t="s">
        <v>2466</v>
      </c>
      <c r="E1515" t="str">
        <f t="shared" si="46"/>
        <v>EAST HANOVER</v>
      </c>
      <c r="F1515" t="s">
        <v>2482</v>
      </c>
      <c r="G1515">
        <v>98.26</v>
      </c>
      <c r="H1515" t="s">
        <v>2489</v>
      </c>
      <c r="I1515">
        <v>97</v>
      </c>
      <c r="J1515">
        <v>100</v>
      </c>
      <c r="K1515" s="9">
        <f t="shared" si="47"/>
        <v>45945</v>
      </c>
      <c r="L1515" t="s">
        <v>2682</v>
      </c>
      <c r="M1515" t="s">
        <v>2929</v>
      </c>
    </row>
    <row r="1516" spans="1:13" hidden="1" x14ac:dyDescent="0.35">
      <c r="A1516" t="s">
        <v>1515</v>
      </c>
      <c r="B1516" t="s">
        <v>2048</v>
      </c>
      <c r="C1516" t="s">
        <v>2458</v>
      </c>
      <c r="D1516" t="s">
        <v>2473</v>
      </c>
      <c r="E1516" t="str">
        <f t="shared" si="46"/>
        <v>DORTMUND</v>
      </c>
      <c r="F1516" t="s">
        <v>2481</v>
      </c>
      <c r="G1516">
        <v>220.36</v>
      </c>
      <c r="H1516" t="s">
        <v>2488</v>
      </c>
      <c r="I1516">
        <v>150</v>
      </c>
      <c r="J1516">
        <v>400</v>
      </c>
      <c r="K1516" s="9">
        <f t="shared" si="47"/>
        <v>45845</v>
      </c>
      <c r="L1516" t="s">
        <v>2527</v>
      </c>
      <c r="M1516" t="s">
        <v>2925</v>
      </c>
    </row>
    <row r="1517" spans="1:13" hidden="1" x14ac:dyDescent="0.35">
      <c r="A1517" t="s">
        <v>1516</v>
      </c>
      <c r="B1517" t="s">
        <v>2080</v>
      </c>
      <c r="C1517" t="s">
        <v>2457</v>
      </c>
      <c r="D1517" t="s">
        <v>2478</v>
      </c>
      <c r="E1517" t="str">
        <f t="shared" si="46"/>
        <v>BUD</v>
      </c>
      <c r="F1517" t="s">
        <v>2482</v>
      </c>
      <c r="G1517">
        <v>99.27</v>
      </c>
      <c r="H1517" t="s">
        <v>2489</v>
      </c>
      <c r="I1517">
        <v>97</v>
      </c>
      <c r="J1517">
        <v>100</v>
      </c>
      <c r="K1517" s="9">
        <f t="shared" si="47"/>
        <v>45304</v>
      </c>
      <c r="L1517" t="s">
        <v>2559</v>
      </c>
      <c r="M1517" t="s">
        <v>2927</v>
      </c>
    </row>
    <row r="1518" spans="1:13" hidden="1" x14ac:dyDescent="0.35">
      <c r="A1518" t="s">
        <v>1517</v>
      </c>
      <c r="B1518" t="s">
        <v>2103</v>
      </c>
      <c r="C1518" t="s">
        <v>2460</v>
      </c>
      <c r="D1518" t="s">
        <v>2469</v>
      </c>
      <c r="E1518" t="str">
        <f t="shared" si="46"/>
        <v>DORTMUND</v>
      </c>
      <c r="F1518" t="s">
        <v>2479</v>
      </c>
      <c r="G1518">
        <v>58.11</v>
      </c>
      <c r="H1518" t="s">
        <v>2486</v>
      </c>
      <c r="I1518">
        <v>0</v>
      </c>
      <c r="J1518">
        <v>120</v>
      </c>
      <c r="K1518" s="9">
        <f t="shared" si="47"/>
        <v>45573</v>
      </c>
      <c r="L1518" t="s">
        <v>2581</v>
      </c>
      <c r="M1518" t="s">
        <v>2931</v>
      </c>
    </row>
    <row r="1519" spans="1:13" hidden="1" x14ac:dyDescent="0.35">
      <c r="A1519" t="s">
        <v>1518</v>
      </c>
      <c r="B1519" t="s">
        <v>2226</v>
      </c>
      <c r="C1519" t="s">
        <v>2457</v>
      </c>
      <c r="D1519" t="s">
        <v>2477</v>
      </c>
      <c r="E1519" t="str">
        <f t="shared" si="46"/>
        <v>BUDAPEST</v>
      </c>
      <c r="F1519" t="s">
        <v>2481</v>
      </c>
      <c r="G1519">
        <v>227.25</v>
      </c>
      <c r="H1519" t="s">
        <v>2488</v>
      </c>
      <c r="I1519">
        <v>150</v>
      </c>
      <c r="J1519">
        <v>400</v>
      </c>
      <c r="K1519" s="9">
        <f t="shared" si="47"/>
        <v>45595</v>
      </c>
      <c r="L1519" t="s">
        <v>2631</v>
      </c>
      <c r="M1519" t="s">
        <v>2928</v>
      </c>
    </row>
    <row r="1520" spans="1:13" hidden="1" x14ac:dyDescent="0.35">
      <c r="A1520" t="s">
        <v>1519</v>
      </c>
      <c r="B1520" t="s">
        <v>2015</v>
      </c>
      <c r="C1520" t="s">
        <v>2457</v>
      </c>
      <c r="D1520" t="s">
        <v>2466</v>
      </c>
      <c r="E1520" t="str">
        <f t="shared" si="46"/>
        <v>EAST HANOVER</v>
      </c>
      <c r="F1520" t="s">
        <v>2481</v>
      </c>
      <c r="G1520">
        <v>520</v>
      </c>
      <c r="H1520" t="s">
        <v>2488</v>
      </c>
      <c r="I1520">
        <v>150</v>
      </c>
      <c r="J1520">
        <v>400</v>
      </c>
      <c r="K1520" s="9">
        <f t="shared" si="47"/>
        <v>45488</v>
      </c>
      <c r="L1520" t="s">
        <v>2495</v>
      </c>
      <c r="M1520" t="s">
        <v>2930</v>
      </c>
    </row>
    <row r="1521" spans="1:13" hidden="1" x14ac:dyDescent="0.35">
      <c r="A1521" t="s">
        <v>1520</v>
      </c>
      <c r="B1521" t="s">
        <v>2372</v>
      </c>
      <c r="C1521" t="s">
        <v>2461</v>
      </c>
      <c r="D1521" t="s">
        <v>2462</v>
      </c>
      <c r="E1521" t="str">
        <f t="shared" si="46"/>
        <v>ASHFORD UK</v>
      </c>
      <c r="F1521" t="s">
        <v>2483</v>
      </c>
      <c r="G1521">
        <v>0.36</v>
      </c>
      <c r="H1521" t="s">
        <v>2489</v>
      </c>
      <c r="I1521">
        <v>0</v>
      </c>
      <c r="J1521">
        <v>1</v>
      </c>
      <c r="K1521" s="9">
        <f t="shared" si="47"/>
        <v>45704</v>
      </c>
      <c r="L1521" t="s">
        <v>2669</v>
      </c>
      <c r="M1521" t="s">
        <v>2923</v>
      </c>
    </row>
    <row r="1522" spans="1:13" hidden="1" x14ac:dyDescent="0.35">
      <c r="A1522" t="s">
        <v>1521</v>
      </c>
      <c r="B1522" t="s">
        <v>2339</v>
      </c>
      <c r="C1522" t="s">
        <v>2459</v>
      </c>
      <c r="D1522" t="s">
        <v>2474</v>
      </c>
      <c r="E1522" t="str">
        <f t="shared" si="46"/>
        <v>DORTMUND DE</v>
      </c>
      <c r="F1522" t="s">
        <v>2481</v>
      </c>
      <c r="G1522">
        <v>268.38</v>
      </c>
      <c r="H1522" t="s">
        <v>2488</v>
      </c>
      <c r="I1522">
        <v>150</v>
      </c>
      <c r="J1522">
        <v>400</v>
      </c>
      <c r="K1522" s="9">
        <f t="shared" si="47"/>
        <v>45673</v>
      </c>
      <c r="L1522" t="s">
        <v>2677</v>
      </c>
      <c r="M1522" t="s">
        <v>2925</v>
      </c>
    </row>
    <row r="1523" spans="1:13" hidden="1" x14ac:dyDescent="0.35">
      <c r="A1523" t="s">
        <v>1522</v>
      </c>
      <c r="B1523" t="s">
        <v>2363</v>
      </c>
      <c r="C1523" t="s">
        <v>2459</v>
      </c>
      <c r="D1523" t="s">
        <v>2473</v>
      </c>
      <c r="E1523" t="str">
        <f t="shared" si="46"/>
        <v>DORTMUND</v>
      </c>
      <c r="F1523" t="s">
        <v>2480</v>
      </c>
      <c r="G1523">
        <v>0.92</v>
      </c>
      <c r="H1523" t="s">
        <v>2487</v>
      </c>
      <c r="I1523">
        <v>0.88</v>
      </c>
      <c r="J1523">
        <v>0.97</v>
      </c>
      <c r="K1523" s="9">
        <f t="shared" si="47"/>
        <v>45789</v>
      </c>
      <c r="L1523" t="s">
        <v>2567</v>
      </c>
      <c r="M1523" t="s">
        <v>2923</v>
      </c>
    </row>
    <row r="1524" spans="1:13" hidden="1" x14ac:dyDescent="0.35">
      <c r="A1524" t="s">
        <v>1523</v>
      </c>
      <c r="B1524" t="s">
        <v>2420</v>
      </c>
      <c r="C1524" t="s">
        <v>2460</v>
      </c>
      <c r="D1524" t="s">
        <v>2469</v>
      </c>
      <c r="E1524" t="str">
        <f t="shared" si="46"/>
        <v>DORTMUND</v>
      </c>
      <c r="F1524" t="s">
        <v>2479</v>
      </c>
      <c r="G1524">
        <v>92.94</v>
      </c>
      <c r="H1524" t="s">
        <v>2486</v>
      </c>
      <c r="I1524">
        <v>0</v>
      </c>
      <c r="J1524">
        <v>120</v>
      </c>
      <c r="K1524" s="9">
        <f t="shared" si="47"/>
        <v>45962</v>
      </c>
      <c r="L1524" t="s">
        <v>2832</v>
      </c>
      <c r="M1524" t="s">
        <v>2926</v>
      </c>
    </row>
    <row r="1525" spans="1:13" hidden="1" x14ac:dyDescent="0.35">
      <c r="A1525" t="s">
        <v>1524</v>
      </c>
      <c r="B1525" t="s">
        <v>2349</v>
      </c>
      <c r="C1525" t="s">
        <v>2461</v>
      </c>
      <c r="D1525" t="s">
        <v>2464</v>
      </c>
      <c r="E1525" t="str">
        <f t="shared" si="46"/>
        <v>EAST HANOVER</v>
      </c>
      <c r="F1525" t="s">
        <v>2484</v>
      </c>
      <c r="G1525">
        <v>7</v>
      </c>
      <c r="I1525">
        <v>6</v>
      </c>
      <c r="J1525">
        <v>7.5</v>
      </c>
      <c r="K1525" s="9">
        <f t="shared" si="47"/>
        <v>45451</v>
      </c>
      <c r="L1525" t="s">
        <v>2706</v>
      </c>
      <c r="M1525" t="s">
        <v>2924</v>
      </c>
    </row>
    <row r="1526" spans="1:13" x14ac:dyDescent="0.35">
      <c r="A1526" t="s">
        <v>1525</v>
      </c>
      <c r="B1526" t="s">
        <v>2197</v>
      </c>
      <c r="C1526" t="s">
        <v>2459</v>
      </c>
      <c r="D1526" t="s">
        <v>2470</v>
      </c>
      <c r="E1526" t="str">
        <f t="shared" si="46"/>
        <v>E. HANOVER</v>
      </c>
      <c r="F1526" t="s">
        <v>2481</v>
      </c>
      <c r="H1526" t="s">
        <v>2488</v>
      </c>
      <c r="I1526">
        <v>150</v>
      </c>
      <c r="J1526">
        <v>400</v>
      </c>
      <c r="K1526" s="9">
        <f t="shared" si="47"/>
        <v>45854</v>
      </c>
      <c r="L1526" t="s">
        <v>2667</v>
      </c>
      <c r="M1526" t="s">
        <v>2927</v>
      </c>
    </row>
    <row r="1527" spans="1:13" hidden="1" x14ac:dyDescent="0.35">
      <c r="A1527" t="s">
        <v>1526</v>
      </c>
      <c r="B1527" t="s">
        <v>2014</v>
      </c>
      <c r="C1527" t="s">
        <v>2459</v>
      </c>
      <c r="D1527" t="s">
        <v>2463</v>
      </c>
      <c r="E1527" t="str">
        <f t="shared" si="46"/>
        <v>VERNIER</v>
      </c>
      <c r="F1527" t="s">
        <v>2484</v>
      </c>
      <c r="G1527">
        <v>7.06</v>
      </c>
      <c r="I1527">
        <v>6</v>
      </c>
      <c r="J1527">
        <v>7.5</v>
      </c>
      <c r="K1527" s="9">
        <f t="shared" si="47"/>
        <v>45982</v>
      </c>
      <c r="L1527" t="s">
        <v>2494</v>
      </c>
      <c r="M1527" t="s">
        <v>2931</v>
      </c>
    </row>
    <row r="1528" spans="1:13" hidden="1" x14ac:dyDescent="0.35">
      <c r="A1528" t="s">
        <v>1527</v>
      </c>
      <c r="B1528" t="s">
        <v>2363</v>
      </c>
      <c r="C1528" t="s">
        <v>2459</v>
      </c>
      <c r="D1528" t="s">
        <v>2474</v>
      </c>
      <c r="E1528" t="str">
        <f t="shared" si="46"/>
        <v>DORTMUND DE</v>
      </c>
      <c r="F1528" t="s">
        <v>2482</v>
      </c>
      <c r="G1528">
        <v>98.3</v>
      </c>
      <c r="H1528" t="s">
        <v>2489</v>
      </c>
      <c r="I1528">
        <v>97</v>
      </c>
      <c r="J1528">
        <v>100</v>
      </c>
      <c r="K1528" s="9">
        <f t="shared" si="47"/>
        <v>45789</v>
      </c>
      <c r="L1528" t="s">
        <v>2898</v>
      </c>
      <c r="M1528" t="s">
        <v>2928</v>
      </c>
    </row>
    <row r="1529" spans="1:13" hidden="1" x14ac:dyDescent="0.35">
      <c r="A1529" t="s">
        <v>1528</v>
      </c>
      <c r="B1529" t="s">
        <v>2415</v>
      </c>
      <c r="C1529" t="s">
        <v>2460</v>
      </c>
      <c r="D1529" t="s">
        <v>2463</v>
      </c>
      <c r="E1529" t="str">
        <f t="shared" si="46"/>
        <v>VERNIER</v>
      </c>
      <c r="F1529" t="s">
        <v>2481</v>
      </c>
      <c r="G1529">
        <v>237.85</v>
      </c>
      <c r="H1529" t="s">
        <v>2488</v>
      </c>
      <c r="I1529">
        <v>150</v>
      </c>
      <c r="J1529">
        <v>400</v>
      </c>
      <c r="K1529" s="9">
        <f t="shared" si="47"/>
        <v>45618</v>
      </c>
      <c r="L1529" t="s">
        <v>2831</v>
      </c>
      <c r="M1529" t="s">
        <v>2928</v>
      </c>
    </row>
    <row r="1530" spans="1:13" hidden="1" x14ac:dyDescent="0.35">
      <c r="A1530" t="s">
        <v>1529</v>
      </c>
      <c r="B1530" t="s">
        <v>2100</v>
      </c>
      <c r="C1530" t="s">
        <v>2461</v>
      </c>
      <c r="D1530" t="s">
        <v>2477</v>
      </c>
      <c r="E1530" t="str">
        <f t="shared" si="46"/>
        <v>BUDAPEST</v>
      </c>
      <c r="F1530" t="s">
        <v>2479</v>
      </c>
      <c r="G1530">
        <v>44.54</v>
      </c>
      <c r="H1530" t="s">
        <v>2486</v>
      </c>
      <c r="I1530">
        <v>0</v>
      </c>
      <c r="J1530">
        <v>120</v>
      </c>
      <c r="K1530" s="9">
        <f t="shared" si="47"/>
        <v>45413</v>
      </c>
      <c r="L1530" t="s">
        <v>2578</v>
      </c>
      <c r="M1530" t="s">
        <v>2932</v>
      </c>
    </row>
    <row r="1531" spans="1:13" hidden="1" x14ac:dyDescent="0.35">
      <c r="A1531" t="s">
        <v>1530</v>
      </c>
      <c r="B1531" t="s">
        <v>2421</v>
      </c>
      <c r="C1531" t="s">
        <v>2460</v>
      </c>
      <c r="D1531" t="s">
        <v>2475</v>
      </c>
      <c r="E1531" t="str">
        <f t="shared" si="46"/>
        <v>ASHFORD</v>
      </c>
      <c r="F1531" t="s">
        <v>2484</v>
      </c>
      <c r="G1531">
        <v>7.01</v>
      </c>
      <c r="I1531">
        <v>6</v>
      </c>
      <c r="J1531">
        <v>7.5</v>
      </c>
      <c r="K1531" s="9">
        <f t="shared" si="47"/>
        <v>45404</v>
      </c>
      <c r="L1531" t="s">
        <v>2630</v>
      </c>
      <c r="M1531" t="s">
        <v>2928</v>
      </c>
    </row>
    <row r="1532" spans="1:13" hidden="1" x14ac:dyDescent="0.35">
      <c r="A1532" t="s">
        <v>1531</v>
      </c>
      <c r="B1532" t="s">
        <v>2211</v>
      </c>
      <c r="C1532" t="s">
        <v>2457</v>
      </c>
      <c r="D1532" t="s">
        <v>2476</v>
      </c>
      <c r="E1532" t="str">
        <f t="shared" si="46"/>
        <v>BUDAPEST SITE</v>
      </c>
      <c r="F1532" t="s">
        <v>2480</v>
      </c>
      <c r="G1532">
        <v>0.93</v>
      </c>
      <c r="H1532" t="s">
        <v>2487</v>
      </c>
      <c r="I1532">
        <v>0.88</v>
      </c>
      <c r="J1532">
        <v>0.97</v>
      </c>
      <c r="K1532" s="9">
        <f t="shared" si="47"/>
        <v>45540</v>
      </c>
      <c r="L1532" t="s">
        <v>2899</v>
      </c>
      <c r="M1532" t="s">
        <v>2927</v>
      </c>
    </row>
    <row r="1533" spans="1:13" hidden="1" x14ac:dyDescent="0.35">
      <c r="A1533" t="s">
        <v>1532</v>
      </c>
      <c r="B1533" t="s">
        <v>2420</v>
      </c>
      <c r="C1533" t="s">
        <v>2460</v>
      </c>
      <c r="D1533" t="s">
        <v>2474</v>
      </c>
      <c r="E1533" t="str">
        <f t="shared" si="46"/>
        <v>DORTMUND DE</v>
      </c>
      <c r="F1533" t="s">
        <v>2482</v>
      </c>
      <c r="G1533">
        <v>98.92</v>
      </c>
      <c r="H1533" t="s">
        <v>2489</v>
      </c>
      <c r="I1533">
        <v>97</v>
      </c>
      <c r="J1533">
        <v>100</v>
      </c>
      <c r="K1533" s="9">
        <f t="shared" si="47"/>
        <v>45962</v>
      </c>
      <c r="L1533" t="s">
        <v>2832</v>
      </c>
      <c r="M1533" t="s">
        <v>2925</v>
      </c>
    </row>
    <row r="1534" spans="1:13" hidden="1" x14ac:dyDescent="0.35">
      <c r="A1534" t="s">
        <v>1533</v>
      </c>
      <c r="B1534" t="s">
        <v>2077</v>
      </c>
      <c r="C1534" t="s">
        <v>2461</v>
      </c>
      <c r="D1534" t="s">
        <v>2462</v>
      </c>
      <c r="E1534" t="str">
        <f t="shared" si="46"/>
        <v>ASHFORD UK</v>
      </c>
      <c r="F1534" t="s">
        <v>2484</v>
      </c>
      <c r="G1534">
        <v>7.27</v>
      </c>
      <c r="I1534">
        <v>6</v>
      </c>
      <c r="J1534">
        <v>7.5</v>
      </c>
      <c r="K1534" s="9">
        <f t="shared" si="47"/>
        <v>45885</v>
      </c>
      <c r="L1534" t="s">
        <v>2556</v>
      </c>
      <c r="M1534" t="s">
        <v>2928</v>
      </c>
    </row>
    <row r="1535" spans="1:13" hidden="1" x14ac:dyDescent="0.35">
      <c r="A1535" t="s">
        <v>1534</v>
      </c>
      <c r="B1535" t="s">
        <v>2286</v>
      </c>
      <c r="C1535" t="s">
        <v>2458</v>
      </c>
      <c r="D1535" t="s">
        <v>2473</v>
      </c>
      <c r="E1535" t="str">
        <f t="shared" si="46"/>
        <v>DORTMUND</v>
      </c>
      <c r="F1535" t="s">
        <v>2481</v>
      </c>
      <c r="G1535">
        <v>124.25</v>
      </c>
      <c r="H1535" t="s">
        <v>2488</v>
      </c>
      <c r="I1535">
        <v>150</v>
      </c>
      <c r="J1535">
        <v>400</v>
      </c>
      <c r="K1535" s="9">
        <f t="shared" si="47"/>
        <v>45739</v>
      </c>
      <c r="L1535" t="s">
        <v>2525</v>
      </c>
      <c r="M1535" t="s">
        <v>2929</v>
      </c>
    </row>
    <row r="1536" spans="1:13" hidden="1" x14ac:dyDescent="0.35">
      <c r="A1536" t="s">
        <v>1535</v>
      </c>
      <c r="B1536" t="s">
        <v>2445</v>
      </c>
      <c r="C1536" t="s">
        <v>2461</v>
      </c>
      <c r="D1536" t="s">
        <v>2470</v>
      </c>
      <c r="E1536" t="str">
        <f t="shared" si="46"/>
        <v>E. HANOVER</v>
      </c>
      <c r="F1536" t="s">
        <v>2481</v>
      </c>
      <c r="G1536">
        <v>220.39</v>
      </c>
      <c r="H1536" t="s">
        <v>2488</v>
      </c>
      <c r="I1536">
        <v>150</v>
      </c>
      <c r="J1536">
        <v>400</v>
      </c>
      <c r="K1536" s="9">
        <f t="shared" si="47"/>
        <v>45725</v>
      </c>
      <c r="L1536" t="s">
        <v>2869</v>
      </c>
      <c r="M1536" t="s">
        <v>2926</v>
      </c>
    </row>
    <row r="1537" spans="1:13" hidden="1" x14ac:dyDescent="0.35">
      <c r="A1537" t="s">
        <v>1536</v>
      </c>
      <c r="B1537" t="s">
        <v>2124</v>
      </c>
      <c r="C1537" t="s">
        <v>2457</v>
      </c>
      <c r="D1537" t="s">
        <v>2474</v>
      </c>
      <c r="E1537" t="str">
        <f t="shared" si="46"/>
        <v>DORTMUND DE</v>
      </c>
      <c r="F1537" t="s">
        <v>2485</v>
      </c>
      <c r="G1537">
        <v>14.03</v>
      </c>
      <c r="H1537" t="s">
        <v>2490</v>
      </c>
      <c r="I1537">
        <v>0</v>
      </c>
      <c r="J1537">
        <v>100</v>
      </c>
      <c r="K1537" s="9">
        <f t="shared" si="47"/>
        <v>45733</v>
      </c>
      <c r="L1537" t="s">
        <v>2601</v>
      </c>
      <c r="M1537" t="s">
        <v>2927</v>
      </c>
    </row>
    <row r="1538" spans="1:13" hidden="1" x14ac:dyDescent="0.35">
      <c r="A1538" t="s">
        <v>1537</v>
      </c>
      <c r="B1538" t="s">
        <v>2149</v>
      </c>
      <c r="C1538" t="s">
        <v>2458</v>
      </c>
      <c r="D1538" t="s">
        <v>2472</v>
      </c>
      <c r="E1538" t="str">
        <f t="shared" si="46"/>
        <v>VERNIER</v>
      </c>
      <c r="F1538" t="s">
        <v>2485</v>
      </c>
      <c r="G1538">
        <v>-13.07</v>
      </c>
      <c r="H1538" t="s">
        <v>2490</v>
      </c>
      <c r="I1538">
        <v>0</v>
      </c>
      <c r="J1538">
        <v>100</v>
      </c>
      <c r="K1538" s="9">
        <f t="shared" si="47"/>
        <v>45916</v>
      </c>
      <c r="L1538" t="s">
        <v>2624</v>
      </c>
      <c r="M1538" t="s">
        <v>2929</v>
      </c>
    </row>
    <row r="1539" spans="1:13" hidden="1" x14ac:dyDescent="0.35">
      <c r="A1539" t="s">
        <v>1538</v>
      </c>
      <c r="B1539" t="s">
        <v>2103</v>
      </c>
      <c r="C1539" t="s">
        <v>2460</v>
      </c>
      <c r="D1539" t="s">
        <v>2474</v>
      </c>
      <c r="E1539" t="str">
        <f t="shared" ref="E1539:E1602" si="48">UPPER(D1539)</f>
        <v>DORTMUND DE</v>
      </c>
      <c r="F1539" t="s">
        <v>2484</v>
      </c>
      <c r="G1539">
        <v>6.86</v>
      </c>
      <c r="I1539">
        <v>6</v>
      </c>
      <c r="J1539">
        <v>7.5</v>
      </c>
      <c r="K1539" s="9">
        <f t="shared" ref="K1539:K1602" si="49">IF(L1539="","",
IF(MID(L1539,5,1)="-",
DATE(LEFT(L1539,4),MID(L1539,6,2),RIGHT(L1539,2)),
DATE(RIGHT(L1539,4),MID(L1539,4,2),LEFT(L1539,2))
))</f>
        <v>45573</v>
      </c>
      <c r="L1539" t="s">
        <v>2581</v>
      </c>
      <c r="M1539" t="s">
        <v>2928</v>
      </c>
    </row>
    <row r="1540" spans="1:13" hidden="1" x14ac:dyDescent="0.35">
      <c r="A1540" t="s">
        <v>1539</v>
      </c>
      <c r="B1540" t="s">
        <v>2186</v>
      </c>
      <c r="C1540" t="s">
        <v>2457</v>
      </c>
      <c r="D1540" t="s">
        <v>2471</v>
      </c>
      <c r="E1540" t="str">
        <f t="shared" si="48"/>
        <v>BUDAPEST</v>
      </c>
      <c r="F1540" t="s">
        <v>2481</v>
      </c>
      <c r="G1540">
        <v>263.79000000000002</v>
      </c>
      <c r="H1540" t="s">
        <v>2488</v>
      </c>
      <c r="I1540">
        <v>150</v>
      </c>
      <c r="J1540">
        <v>400</v>
      </c>
      <c r="K1540" s="9">
        <f t="shared" si="49"/>
        <v>45579</v>
      </c>
      <c r="L1540" t="s">
        <v>2708</v>
      </c>
      <c r="M1540" t="s">
        <v>2932</v>
      </c>
    </row>
    <row r="1541" spans="1:13" hidden="1" x14ac:dyDescent="0.35">
      <c r="A1541" t="s">
        <v>1540</v>
      </c>
      <c r="B1541" t="s">
        <v>2270</v>
      </c>
      <c r="C1541" t="s">
        <v>2459</v>
      </c>
      <c r="D1541" t="s">
        <v>2470</v>
      </c>
      <c r="E1541" t="str">
        <f t="shared" si="48"/>
        <v>E. HANOVER</v>
      </c>
      <c r="F1541" t="s">
        <v>2481</v>
      </c>
      <c r="G1541">
        <v>232</v>
      </c>
      <c r="H1541" t="s">
        <v>2488</v>
      </c>
      <c r="I1541">
        <v>150</v>
      </c>
      <c r="J1541">
        <v>400</v>
      </c>
      <c r="K1541" s="9">
        <f t="shared" si="49"/>
        <v>45799</v>
      </c>
      <c r="L1541" t="s">
        <v>2718</v>
      </c>
      <c r="M1541" t="s">
        <v>2929</v>
      </c>
    </row>
    <row r="1542" spans="1:13" hidden="1" x14ac:dyDescent="0.35">
      <c r="A1542" t="s">
        <v>1541</v>
      </c>
      <c r="B1542" t="s">
        <v>2121</v>
      </c>
      <c r="C1542" t="s">
        <v>2457</v>
      </c>
      <c r="D1542" t="s">
        <v>2470</v>
      </c>
      <c r="E1542" t="str">
        <f t="shared" si="48"/>
        <v>E. HANOVER</v>
      </c>
      <c r="F1542" t="s">
        <v>2479</v>
      </c>
      <c r="G1542">
        <v>5.58</v>
      </c>
      <c r="H1542" t="s">
        <v>2486</v>
      </c>
      <c r="I1542">
        <v>0</v>
      </c>
      <c r="J1542">
        <v>120</v>
      </c>
      <c r="K1542" s="9">
        <f t="shared" si="49"/>
        <v>45690</v>
      </c>
      <c r="L1542" t="s">
        <v>2597</v>
      </c>
      <c r="M1542" t="s">
        <v>2923</v>
      </c>
    </row>
    <row r="1543" spans="1:13" hidden="1" x14ac:dyDescent="0.35">
      <c r="A1543" t="s">
        <v>1542</v>
      </c>
      <c r="B1543" t="s">
        <v>2011</v>
      </c>
      <c r="C1543" t="s">
        <v>2457</v>
      </c>
      <c r="D1543" t="s">
        <v>2462</v>
      </c>
      <c r="E1543" t="str">
        <f t="shared" si="48"/>
        <v>ASHFORD UK</v>
      </c>
      <c r="F1543" t="s">
        <v>2483</v>
      </c>
      <c r="G1543">
        <v>0.32</v>
      </c>
      <c r="H1543" t="s">
        <v>2489</v>
      </c>
      <c r="I1543">
        <v>0</v>
      </c>
      <c r="J1543">
        <v>1</v>
      </c>
      <c r="K1543" s="9">
        <f t="shared" si="49"/>
        <v>45350</v>
      </c>
      <c r="L1543" t="s">
        <v>2524</v>
      </c>
      <c r="M1543" t="s">
        <v>2930</v>
      </c>
    </row>
    <row r="1544" spans="1:13" hidden="1" x14ac:dyDescent="0.35">
      <c r="A1544" t="s">
        <v>1543</v>
      </c>
      <c r="B1544" t="s">
        <v>2410</v>
      </c>
      <c r="C1544" t="s">
        <v>2457</v>
      </c>
      <c r="D1544" t="s">
        <v>2473</v>
      </c>
      <c r="E1544" t="str">
        <f t="shared" si="48"/>
        <v>DORTMUND</v>
      </c>
      <c r="F1544" t="s">
        <v>2485</v>
      </c>
      <c r="G1544">
        <v>-4</v>
      </c>
      <c r="H1544" t="s">
        <v>2490</v>
      </c>
      <c r="I1544">
        <v>0</v>
      </c>
      <c r="J1544">
        <v>100</v>
      </c>
      <c r="K1544" s="9">
        <f t="shared" si="49"/>
        <v>45832</v>
      </c>
      <c r="L1544" t="s">
        <v>2826</v>
      </c>
      <c r="M1544" t="s">
        <v>2926</v>
      </c>
    </row>
    <row r="1545" spans="1:13" hidden="1" x14ac:dyDescent="0.35">
      <c r="A1545" t="s">
        <v>1544</v>
      </c>
      <c r="B1545" t="s">
        <v>2035</v>
      </c>
      <c r="C1545" t="s">
        <v>2461</v>
      </c>
      <c r="D1545" t="s">
        <v>2475</v>
      </c>
      <c r="E1545" t="str">
        <f t="shared" si="48"/>
        <v>ASHFORD</v>
      </c>
      <c r="F1545" t="s">
        <v>2485</v>
      </c>
      <c r="G1545">
        <v>18.98</v>
      </c>
      <c r="H1545" t="s">
        <v>2490</v>
      </c>
      <c r="I1545">
        <v>0</v>
      </c>
      <c r="J1545">
        <v>100</v>
      </c>
      <c r="K1545" s="9">
        <f t="shared" si="49"/>
        <v>45853</v>
      </c>
      <c r="L1545" t="s">
        <v>2515</v>
      </c>
      <c r="M1545" t="s">
        <v>2930</v>
      </c>
    </row>
    <row r="1546" spans="1:13" hidden="1" x14ac:dyDescent="0.35">
      <c r="A1546" t="s">
        <v>1545</v>
      </c>
      <c r="B1546" t="s">
        <v>2196</v>
      </c>
      <c r="C1546" t="s">
        <v>2457</v>
      </c>
      <c r="D1546" t="s">
        <v>2463</v>
      </c>
      <c r="E1546" t="str">
        <f t="shared" si="48"/>
        <v>VERNIER</v>
      </c>
      <c r="F1546" t="s">
        <v>2480</v>
      </c>
      <c r="G1546">
        <v>0.91</v>
      </c>
      <c r="H1546" t="s">
        <v>2487</v>
      </c>
      <c r="I1546">
        <v>0.88</v>
      </c>
      <c r="J1546">
        <v>0.97</v>
      </c>
      <c r="K1546" s="9">
        <f t="shared" si="49"/>
        <v>45740</v>
      </c>
      <c r="L1546" t="s">
        <v>2509</v>
      </c>
      <c r="M1546" t="s">
        <v>2930</v>
      </c>
    </row>
    <row r="1547" spans="1:13" hidden="1" x14ac:dyDescent="0.35">
      <c r="A1547" t="s">
        <v>1546</v>
      </c>
      <c r="B1547" t="s">
        <v>2042</v>
      </c>
      <c r="C1547" t="s">
        <v>2460</v>
      </c>
      <c r="D1547" t="s">
        <v>2465</v>
      </c>
      <c r="E1547" t="str">
        <f t="shared" si="48"/>
        <v>VERNIER</v>
      </c>
      <c r="F1547" t="s">
        <v>2479</v>
      </c>
      <c r="G1547">
        <v>71.73</v>
      </c>
      <c r="H1547" t="s">
        <v>2486</v>
      </c>
      <c r="I1547">
        <v>0</v>
      </c>
      <c r="J1547">
        <v>120</v>
      </c>
      <c r="K1547" s="9">
        <f t="shared" si="49"/>
        <v>45774</v>
      </c>
      <c r="L1547" t="s">
        <v>2522</v>
      </c>
      <c r="M1547" t="s">
        <v>2930</v>
      </c>
    </row>
    <row r="1548" spans="1:13" hidden="1" x14ac:dyDescent="0.35">
      <c r="A1548" t="s">
        <v>1547</v>
      </c>
      <c r="B1548" t="s">
        <v>2400</v>
      </c>
      <c r="C1548" t="s">
        <v>2457</v>
      </c>
      <c r="D1548" t="s">
        <v>2474</v>
      </c>
      <c r="E1548" t="str">
        <f t="shared" si="48"/>
        <v>DORTMUND DE</v>
      </c>
      <c r="F1548" t="s">
        <v>2483</v>
      </c>
      <c r="G1548">
        <v>0.24</v>
      </c>
      <c r="H1548" t="s">
        <v>2489</v>
      </c>
      <c r="I1548">
        <v>0</v>
      </c>
      <c r="J1548">
        <v>1</v>
      </c>
      <c r="K1548" s="9">
        <f t="shared" si="49"/>
        <v>45810</v>
      </c>
      <c r="L1548" t="s">
        <v>2900</v>
      </c>
      <c r="M1548" t="s">
        <v>2925</v>
      </c>
    </row>
    <row r="1549" spans="1:13" hidden="1" x14ac:dyDescent="0.35">
      <c r="A1549" t="s">
        <v>1548</v>
      </c>
      <c r="B1549" t="s">
        <v>2238</v>
      </c>
      <c r="C1549" t="s">
        <v>2460</v>
      </c>
      <c r="D1549" t="s">
        <v>2476</v>
      </c>
      <c r="E1549" t="str">
        <f t="shared" si="48"/>
        <v>BUDAPEST SITE</v>
      </c>
      <c r="F1549" t="s">
        <v>2479</v>
      </c>
      <c r="G1549">
        <v>21.08</v>
      </c>
      <c r="H1549" t="s">
        <v>2486</v>
      </c>
      <c r="I1549">
        <v>0</v>
      </c>
      <c r="J1549">
        <v>120</v>
      </c>
      <c r="K1549" s="9">
        <f t="shared" si="49"/>
        <v>45698</v>
      </c>
      <c r="L1549" t="s">
        <v>2636</v>
      </c>
      <c r="M1549" t="s">
        <v>2923</v>
      </c>
    </row>
    <row r="1550" spans="1:13" hidden="1" x14ac:dyDescent="0.35">
      <c r="A1550" t="s">
        <v>1549</v>
      </c>
      <c r="B1550" t="s">
        <v>2429</v>
      </c>
      <c r="C1550" t="s">
        <v>2460</v>
      </c>
      <c r="D1550" t="s">
        <v>2464</v>
      </c>
      <c r="E1550" t="str">
        <f t="shared" si="48"/>
        <v>EAST HANOVER</v>
      </c>
      <c r="F1550" t="s">
        <v>2482</v>
      </c>
      <c r="G1550">
        <v>98.33</v>
      </c>
      <c r="H1550" t="s">
        <v>2489</v>
      </c>
      <c r="I1550">
        <v>97</v>
      </c>
      <c r="J1550">
        <v>100</v>
      </c>
      <c r="K1550" s="9">
        <f t="shared" si="49"/>
        <v>45620</v>
      </c>
      <c r="L1550" t="s">
        <v>2842</v>
      </c>
      <c r="M1550" t="s">
        <v>2932</v>
      </c>
    </row>
    <row r="1551" spans="1:13" hidden="1" x14ac:dyDescent="0.35">
      <c r="A1551" t="s">
        <v>1550</v>
      </c>
      <c r="B1551" t="s">
        <v>2015</v>
      </c>
      <c r="C1551" t="s">
        <v>2457</v>
      </c>
      <c r="D1551" t="s">
        <v>2464</v>
      </c>
      <c r="E1551" t="str">
        <f t="shared" si="48"/>
        <v>EAST HANOVER</v>
      </c>
      <c r="F1551" t="s">
        <v>2480</v>
      </c>
      <c r="G1551">
        <v>1.06</v>
      </c>
      <c r="H1551" t="s">
        <v>2487</v>
      </c>
      <c r="I1551">
        <v>0.88</v>
      </c>
      <c r="J1551">
        <v>0.97</v>
      </c>
      <c r="K1551" s="9">
        <f t="shared" si="49"/>
        <v>45488</v>
      </c>
      <c r="L1551" t="s">
        <v>2901</v>
      </c>
      <c r="M1551" t="s">
        <v>2928</v>
      </c>
    </row>
    <row r="1552" spans="1:13" hidden="1" x14ac:dyDescent="0.35">
      <c r="A1552" t="s">
        <v>1551</v>
      </c>
      <c r="B1552" t="s">
        <v>2299</v>
      </c>
      <c r="C1552" t="s">
        <v>2459</v>
      </c>
      <c r="D1552" t="s">
        <v>2475</v>
      </c>
      <c r="E1552" t="str">
        <f t="shared" si="48"/>
        <v>ASHFORD</v>
      </c>
      <c r="F1552" t="s">
        <v>2481</v>
      </c>
      <c r="G1552">
        <v>289.5</v>
      </c>
      <c r="H1552" t="s">
        <v>2488</v>
      </c>
      <c r="I1552">
        <v>150</v>
      </c>
      <c r="J1552">
        <v>400</v>
      </c>
      <c r="K1552" s="9">
        <f t="shared" si="49"/>
        <v>45508</v>
      </c>
      <c r="L1552" t="s">
        <v>2739</v>
      </c>
      <c r="M1552" t="s">
        <v>2928</v>
      </c>
    </row>
    <row r="1553" spans="1:13" hidden="1" x14ac:dyDescent="0.35">
      <c r="A1553" t="s">
        <v>1552</v>
      </c>
      <c r="B1553" t="s">
        <v>2423</v>
      </c>
      <c r="C1553" t="s">
        <v>2461</v>
      </c>
      <c r="D1553" t="s">
        <v>2464</v>
      </c>
      <c r="E1553" t="str">
        <f t="shared" si="48"/>
        <v>EAST HANOVER</v>
      </c>
      <c r="F1553" t="s">
        <v>2483</v>
      </c>
      <c r="G1553">
        <v>0.19</v>
      </c>
      <c r="H1553" t="s">
        <v>2489</v>
      </c>
      <c r="I1553">
        <v>0</v>
      </c>
      <c r="J1553">
        <v>1</v>
      </c>
      <c r="K1553" s="9">
        <f t="shared" si="49"/>
        <v>45916</v>
      </c>
      <c r="L1553" t="s">
        <v>2624</v>
      </c>
      <c r="M1553" t="s">
        <v>2925</v>
      </c>
    </row>
    <row r="1554" spans="1:13" hidden="1" x14ac:dyDescent="0.35">
      <c r="A1554" t="s">
        <v>1553</v>
      </c>
      <c r="B1554" t="s">
        <v>2269</v>
      </c>
      <c r="C1554" t="s">
        <v>2458</v>
      </c>
      <c r="D1554" t="s">
        <v>2470</v>
      </c>
      <c r="E1554" t="str">
        <f t="shared" si="48"/>
        <v>E. HANOVER</v>
      </c>
      <c r="F1554" t="s">
        <v>2481</v>
      </c>
      <c r="G1554">
        <v>254.72</v>
      </c>
      <c r="H1554" t="s">
        <v>2488</v>
      </c>
      <c r="I1554">
        <v>150</v>
      </c>
      <c r="J1554">
        <v>400</v>
      </c>
      <c r="K1554" s="9">
        <f t="shared" si="49"/>
        <v>45638</v>
      </c>
      <c r="L1554" t="s">
        <v>2552</v>
      </c>
      <c r="M1554" t="s">
        <v>2929</v>
      </c>
    </row>
    <row r="1555" spans="1:13" hidden="1" x14ac:dyDescent="0.35">
      <c r="A1555" t="s">
        <v>1554</v>
      </c>
      <c r="B1555" t="s">
        <v>2112</v>
      </c>
      <c r="C1555" t="s">
        <v>2457</v>
      </c>
      <c r="D1555" t="s">
        <v>2469</v>
      </c>
      <c r="E1555" t="str">
        <f t="shared" si="48"/>
        <v>DORTMUND</v>
      </c>
      <c r="F1555" t="s">
        <v>2484</v>
      </c>
      <c r="G1555">
        <v>6.31</v>
      </c>
      <c r="I1555">
        <v>6</v>
      </c>
      <c r="J1555">
        <v>7.5</v>
      </c>
      <c r="K1555" s="9">
        <f t="shared" si="49"/>
        <v>45993</v>
      </c>
      <c r="L1555" t="s">
        <v>2588</v>
      </c>
      <c r="M1555" t="s">
        <v>2926</v>
      </c>
    </row>
    <row r="1556" spans="1:13" hidden="1" x14ac:dyDescent="0.35">
      <c r="A1556" t="s">
        <v>1555</v>
      </c>
      <c r="B1556" t="s">
        <v>2331</v>
      </c>
      <c r="C1556" t="s">
        <v>2457</v>
      </c>
      <c r="D1556" t="s">
        <v>2476</v>
      </c>
      <c r="E1556" t="str">
        <f t="shared" si="48"/>
        <v>BUDAPEST SITE</v>
      </c>
      <c r="F1556" t="s">
        <v>2479</v>
      </c>
      <c r="G1556">
        <v>35.49</v>
      </c>
      <c r="H1556" t="s">
        <v>2486</v>
      </c>
      <c r="I1556">
        <v>0</v>
      </c>
      <c r="J1556">
        <v>120</v>
      </c>
      <c r="K1556" s="9">
        <f t="shared" si="49"/>
        <v>46019</v>
      </c>
      <c r="L1556" t="s">
        <v>2763</v>
      </c>
      <c r="M1556" t="s">
        <v>2931</v>
      </c>
    </row>
    <row r="1557" spans="1:13" hidden="1" x14ac:dyDescent="0.35">
      <c r="A1557" t="s">
        <v>1556</v>
      </c>
      <c r="B1557" t="s">
        <v>2307</v>
      </c>
      <c r="C1557" t="s">
        <v>2460</v>
      </c>
      <c r="D1557" t="s">
        <v>2465</v>
      </c>
      <c r="E1557" t="str">
        <f t="shared" si="48"/>
        <v>VERNIER</v>
      </c>
      <c r="F1557" t="s">
        <v>2483</v>
      </c>
      <c r="G1557">
        <v>0.36</v>
      </c>
      <c r="H1557" t="s">
        <v>2489</v>
      </c>
      <c r="I1557">
        <v>0</v>
      </c>
      <c r="J1557">
        <v>1</v>
      </c>
      <c r="K1557" s="9">
        <f t="shared" si="49"/>
        <v>45622</v>
      </c>
      <c r="L1557" t="s">
        <v>2743</v>
      </c>
      <c r="M1557" t="s">
        <v>2931</v>
      </c>
    </row>
    <row r="1558" spans="1:13" hidden="1" x14ac:dyDescent="0.35">
      <c r="A1558" t="s">
        <v>1557</v>
      </c>
      <c r="B1558" t="s">
        <v>2260</v>
      </c>
      <c r="C1558" t="s">
        <v>2461</v>
      </c>
      <c r="D1558" t="s">
        <v>2471</v>
      </c>
      <c r="E1558" t="str">
        <f t="shared" si="48"/>
        <v>BUDAPEST</v>
      </c>
      <c r="F1558" t="s">
        <v>2483</v>
      </c>
      <c r="G1558">
        <v>0.46</v>
      </c>
      <c r="H1558" t="s">
        <v>2489</v>
      </c>
      <c r="I1558">
        <v>0</v>
      </c>
      <c r="J1558">
        <v>1</v>
      </c>
      <c r="K1558" s="9">
        <f t="shared" si="49"/>
        <v>45623</v>
      </c>
      <c r="L1558" t="s">
        <v>2712</v>
      </c>
      <c r="M1558" t="s">
        <v>2928</v>
      </c>
    </row>
    <row r="1559" spans="1:13" x14ac:dyDescent="0.35">
      <c r="A1559" t="s">
        <v>1558</v>
      </c>
      <c r="B1559" t="s">
        <v>2210</v>
      </c>
      <c r="C1559" t="s">
        <v>2457</v>
      </c>
      <c r="D1559" t="s">
        <v>2477</v>
      </c>
      <c r="E1559" t="str">
        <f t="shared" si="48"/>
        <v>BUDAPEST</v>
      </c>
      <c r="F1559" t="s">
        <v>2479</v>
      </c>
      <c r="H1559" t="s">
        <v>2486</v>
      </c>
      <c r="I1559">
        <v>0</v>
      </c>
      <c r="J1559">
        <v>120</v>
      </c>
      <c r="K1559" s="9">
        <f t="shared" si="49"/>
        <v>45960</v>
      </c>
      <c r="L1559" t="s">
        <v>2678</v>
      </c>
      <c r="M1559" t="s">
        <v>2930</v>
      </c>
    </row>
    <row r="1560" spans="1:13" hidden="1" x14ac:dyDescent="0.35">
      <c r="A1560" t="s">
        <v>1559</v>
      </c>
      <c r="B1560" t="s">
        <v>2274</v>
      </c>
      <c r="C1560" t="s">
        <v>2458</v>
      </c>
      <c r="D1560" t="s">
        <v>2470</v>
      </c>
      <c r="E1560" t="str">
        <f t="shared" si="48"/>
        <v>E. HANOVER</v>
      </c>
      <c r="F1560" t="s">
        <v>2482</v>
      </c>
      <c r="G1560">
        <v>99.4</v>
      </c>
      <c r="H1560" t="s">
        <v>2489</v>
      </c>
      <c r="I1560">
        <v>97</v>
      </c>
      <c r="J1560">
        <v>100</v>
      </c>
      <c r="K1560" s="9">
        <f t="shared" si="49"/>
        <v>45910</v>
      </c>
      <c r="L1560" t="s">
        <v>2722</v>
      </c>
      <c r="M1560" t="s">
        <v>2929</v>
      </c>
    </row>
    <row r="1561" spans="1:13" hidden="1" x14ac:dyDescent="0.35">
      <c r="A1561" t="s">
        <v>1560</v>
      </c>
      <c r="B1561" t="s">
        <v>2410</v>
      </c>
      <c r="C1561" t="s">
        <v>2457</v>
      </c>
      <c r="D1561" t="s">
        <v>2473</v>
      </c>
      <c r="E1561" t="str">
        <f t="shared" si="48"/>
        <v>DORTMUND</v>
      </c>
      <c r="F1561" t="s">
        <v>2482</v>
      </c>
      <c r="G1561">
        <v>98.82</v>
      </c>
      <c r="H1561" t="s">
        <v>2489</v>
      </c>
      <c r="I1561">
        <v>97</v>
      </c>
      <c r="J1561">
        <v>100</v>
      </c>
      <c r="K1561" s="9">
        <f t="shared" si="49"/>
        <v>45832</v>
      </c>
      <c r="L1561" t="s">
        <v>2826</v>
      </c>
      <c r="M1561" t="s">
        <v>2924</v>
      </c>
    </row>
    <row r="1562" spans="1:13" hidden="1" x14ac:dyDescent="0.35">
      <c r="A1562" t="s">
        <v>1561</v>
      </c>
      <c r="B1562" t="s">
        <v>2105</v>
      </c>
      <c r="C1562" t="s">
        <v>2457</v>
      </c>
      <c r="D1562" t="s">
        <v>2475</v>
      </c>
      <c r="E1562" t="str">
        <f t="shared" si="48"/>
        <v>ASHFORD</v>
      </c>
      <c r="F1562" t="s">
        <v>2485</v>
      </c>
      <c r="G1562">
        <v>42.76</v>
      </c>
      <c r="H1562" t="s">
        <v>2490</v>
      </c>
      <c r="I1562">
        <v>0</v>
      </c>
      <c r="J1562">
        <v>100</v>
      </c>
      <c r="K1562" s="9">
        <f t="shared" si="49"/>
        <v>45358</v>
      </c>
      <c r="L1562" t="s">
        <v>2582</v>
      </c>
      <c r="M1562" t="s">
        <v>2924</v>
      </c>
    </row>
    <row r="1563" spans="1:13" hidden="1" x14ac:dyDescent="0.35">
      <c r="A1563" t="s">
        <v>1562</v>
      </c>
      <c r="B1563" t="s">
        <v>2194</v>
      </c>
      <c r="C1563" t="s">
        <v>2457</v>
      </c>
      <c r="D1563" t="s">
        <v>2471</v>
      </c>
      <c r="E1563" t="str">
        <f t="shared" si="48"/>
        <v>BUDAPEST</v>
      </c>
      <c r="F1563" t="s">
        <v>2483</v>
      </c>
      <c r="G1563">
        <v>0.39</v>
      </c>
      <c r="H1563" t="s">
        <v>2489</v>
      </c>
      <c r="I1563">
        <v>0</v>
      </c>
      <c r="J1563">
        <v>1</v>
      </c>
      <c r="K1563" s="9">
        <f t="shared" si="49"/>
        <v>45645</v>
      </c>
      <c r="L1563" t="s">
        <v>2665</v>
      </c>
      <c r="M1563" t="s">
        <v>2926</v>
      </c>
    </row>
    <row r="1564" spans="1:13" hidden="1" x14ac:dyDescent="0.35">
      <c r="A1564" t="s">
        <v>1563</v>
      </c>
      <c r="B1564" t="s">
        <v>2098</v>
      </c>
      <c r="C1564" t="s">
        <v>2460</v>
      </c>
      <c r="D1564" t="s">
        <v>2464</v>
      </c>
      <c r="E1564" t="str">
        <f t="shared" si="48"/>
        <v>EAST HANOVER</v>
      </c>
      <c r="F1564" t="s">
        <v>2480</v>
      </c>
      <c r="G1564">
        <v>0.94</v>
      </c>
      <c r="H1564" t="s">
        <v>2487</v>
      </c>
      <c r="I1564">
        <v>0.88</v>
      </c>
      <c r="J1564">
        <v>0.97</v>
      </c>
      <c r="K1564" s="9">
        <f t="shared" si="49"/>
        <v>45460</v>
      </c>
      <c r="L1564" t="s">
        <v>2576</v>
      </c>
      <c r="M1564" t="s">
        <v>2925</v>
      </c>
    </row>
    <row r="1565" spans="1:13" hidden="1" x14ac:dyDescent="0.35">
      <c r="A1565" t="s">
        <v>1564</v>
      </c>
      <c r="B1565" t="s">
        <v>2107</v>
      </c>
      <c r="C1565" t="s">
        <v>2459</v>
      </c>
      <c r="D1565" t="s">
        <v>2466</v>
      </c>
      <c r="E1565" t="str">
        <f t="shared" si="48"/>
        <v>EAST HANOVER</v>
      </c>
      <c r="F1565" t="s">
        <v>2484</v>
      </c>
      <c r="G1565">
        <v>6.52</v>
      </c>
      <c r="I1565">
        <v>6</v>
      </c>
      <c r="J1565">
        <v>7.5</v>
      </c>
      <c r="K1565" s="9">
        <f t="shared" si="49"/>
        <v>45633</v>
      </c>
      <c r="L1565" t="s">
        <v>2584</v>
      </c>
      <c r="M1565" t="s">
        <v>2928</v>
      </c>
    </row>
    <row r="1566" spans="1:13" hidden="1" x14ac:dyDescent="0.35">
      <c r="A1566" t="s">
        <v>1565</v>
      </c>
      <c r="B1566" t="s">
        <v>2072</v>
      </c>
      <c r="C1566" t="s">
        <v>2460</v>
      </c>
      <c r="D1566" t="s">
        <v>2473</v>
      </c>
      <c r="E1566" t="str">
        <f t="shared" si="48"/>
        <v>DORTMUND</v>
      </c>
      <c r="F1566" t="s">
        <v>2480</v>
      </c>
      <c r="G1566">
        <v>0.89</v>
      </c>
      <c r="H1566" t="s">
        <v>2487</v>
      </c>
      <c r="I1566">
        <v>0.88</v>
      </c>
      <c r="J1566">
        <v>0.97</v>
      </c>
      <c r="K1566" s="9">
        <f t="shared" si="49"/>
        <v>45544</v>
      </c>
      <c r="L1566" t="s">
        <v>2551</v>
      </c>
      <c r="M1566" t="s">
        <v>2930</v>
      </c>
    </row>
    <row r="1567" spans="1:13" hidden="1" x14ac:dyDescent="0.35">
      <c r="A1567" t="s">
        <v>1566</v>
      </c>
      <c r="B1567" t="s">
        <v>2412</v>
      </c>
      <c r="C1567" t="s">
        <v>2461</v>
      </c>
      <c r="D1567" t="s">
        <v>2472</v>
      </c>
      <c r="E1567" t="str">
        <f t="shared" si="48"/>
        <v>VERNIER</v>
      </c>
      <c r="F1567" t="s">
        <v>2479</v>
      </c>
      <c r="G1567">
        <v>52.24</v>
      </c>
      <c r="H1567" t="s">
        <v>2486</v>
      </c>
      <c r="I1567">
        <v>0</v>
      </c>
      <c r="J1567">
        <v>120</v>
      </c>
      <c r="K1567" s="9">
        <f t="shared" si="49"/>
        <v>45937</v>
      </c>
      <c r="L1567" t="s">
        <v>2829</v>
      </c>
      <c r="M1567" t="s">
        <v>2924</v>
      </c>
    </row>
    <row r="1568" spans="1:13" hidden="1" x14ac:dyDescent="0.35">
      <c r="A1568" t="s">
        <v>1567</v>
      </c>
      <c r="B1568" t="s">
        <v>2344</v>
      </c>
      <c r="C1568" t="s">
        <v>2461</v>
      </c>
      <c r="D1568" t="s">
        <v>2463</v>
      </c>
      <c r="E1568" t="str">
        <f t="shared" si="48"/>
        <v>VERNIER</v>
      </c>
      <c r="F1568" t="s">
        <v>2480</v>
      </c>
      <c r="G1568">
        <v>0.9</v>
      </c>
      <c r="H1568" t="s">
        <v>2487</v>
      </c>
      <c r="I1568">
        <v>0.88</v>
      </c>
      <c r="J1568">
        <v>0.97</v>
      </c>
      <c r="K1568" s="9">
        <f t="shared" si="49"/>
        <v>45458</v>
      </c>
      <c r="L1568" t="s">
        <v>2750</v>
      </c>
      <c r="M1568" t="s">
        <v>2929</v>
      </c>
    </row>
    <row r="1569" spans="1:13" x14ac:dyDescent="0.35">
      <c r="A1569" t="s">
        <v>1568</v>
      </c>
      <c r="B1569" t="s">
        <v>2453</v>
      </c>
      <c r="C1569" t="s">
        <v>2459</v>
      </c>
      <c r="D1569" t="s">
        <v>2462</v>
      </c>
      <c r="E1569" t="str">
        <f t="shared" si="48"/>
        <v>ASHFORD UK</v>
      </c>
      <c r="F1569" t="s">
        <v>2479</v>
      </c>
      <c r="H1569" t="s">
        <v>2486</v>
      </c>
      <c r="I1569">
        <v>0</v>
      </c>
      <c r="J1569">
        <v>120</v>
      </c>
      <c r="K1569" s="9">
        <f t="shared" si="49"/>
        <v>46013</v>
      </c>
      <c r="L1569" t="s">
        <v>2579</v>
      </c>
      <c r="M1569" t="s">
        <v>2929</v>
      </c>
    </row>
    <row r="1570" spans="1:13" hidden="1" x14ac:dyDescent="0.35">
      <c r="A1570" t="s">
        <v>1569</v>
      </c>
      <c r="B1570" t="s">
        <v>2119</v>
      </c>
      <c r="C1570" t="s">
        <v>2459</v>
      </c>
      <c r="D1570" t="s">
        <v>2463</v>
      </c>
      <c r="E1570" t="str">
        <f t="shared" si="48"/>
        <v>VERNIER</v>
      </c>
      <c r="F1570" t="s">
        <v>2480</v>
      </c>
      <c r="G1570">
        <v>0.97</v>
      </c>
      <c r="H1570" t="s">
        <v>2487</v>
      </c>
      <c r="I1570">
        <v>0.88</v>
      </c>
      <c r="J1570">
        <v>0.97</v>
      </c>
      <c r="K1570" s="9">
        <f t="shared" si="49"/>
        <v>45348</v>
      </c>
      <c r="L1570" t="s">
        <v>2595</v>
      </c>
      <c r="M1570" t="s">
        <v>2932</v>
      </c>
    </row>
    <row r="1571" spans="1:13" hidden="1" x14ac:dyDescent="0.35">
      <c r="A1571" t="s">
        <v>1570</v>
      </c>
      <c r="B1571" t="s">
        <v>2223</v>
      </c>
      <c r="C1571" t="s">
        <v>2458</v>
      </c>
      <c r="D1571" t="s">
        <v>2470</v>
      </c>
      <c r="E1571" t="str">
        <f t="shared" si="48"/>
        <v>E. HANOVER</v>
      </c>
      <c r="F1571" t="s">
        <v>2482</v>
      </c>
      <c r="G1571">
        <v>99.11</v>
      </c>
      <c r="H1571" t="s">
        <v>2489</v>
      </c>
      <c r="I1571">
        <v>97</v>
      </c>
      <c r="J1571">
        <v>100</v>
      </c>
      <c r="K1571" s="9">
        <f t="shared" si="49"/>
        <v>45496</v>
      </c>
      <c r="L1571" t="s">
        <v>2688</v>
      </c>
      <c r="M1571" t="s">
        <v>2931</v>
      </c>
    </row>
    <row r="1572" spans="1:13" hidden="1" x14ac:dyDescent="0.35">
      <c r="A1572" t="s">
        <v>1571</v>
      </c>
      <c r="B1572" t="s">
        <v>2386</v>
      </c>
      <c r="C1572" t="s">
        <v>2459</v>
      </c>
      <c r="D1572" t="s">
        <v>2464</v>
      </c>
      <c r="E1572" t="str">
        <f t="shared" si="48"/>
        <v>EAST HANOVER</v>
      </c>
      <c r="F1572" t="s">
        <v>2484</v>
      </c>
      <c r="G1572">
        <v>6.94</v>
      </c>
      <c r="I1572">
        <v>6</v>
      </c>
      <c r="J1572">
        <v>7.5</v>
      </c>
      <c r="K1572" s="9">
        <f t="shared" si="49"/>
        <v>45609</v>
      </c>
      <c r="L1572" t="s">
        <v>2646</v>
      </c>
      <c r="M1572" t="s">
        <v>2927</v>
      </c>
    </row>
    <row r="1573" spans="1:13" hidden="1" x14ac:dyDescent="0.35">
      <c r="A1573" t="s">
        <v>1572</v>
      </c>
      <c r="B1573" t="s">
        <v>2408</v>
      </c>
      <c r="C1573" t="s">
        <v>2461</v>
      </c>
      <c r="D1573" t="s">
        <v>2465</v>
      </c>
      <c r="E1573" t="str">
        <f t="shared" si="48"/>
        <v>VERNIER</v>
      </c>
      <c r="F1573" t="s">
        <v>2482</v>
      </c>
      <c r="G1573">
        <v>98.65</v>
      </c>
      <c r="H1573" t="s">
        <v>2489</v>
      </c>
      <c r="I1573">
        <v>97</v>
      </c>
      <c r="J1573">
        <v>100</v>
      </c>
      <c r="K1573" s="9">
        <f t="shared" si="49"/>
        <v>45702</v>
      </c>
      <c r="L1573" t="s">
        <v>2825</v>
      </c>
      <c r="M1573" t="s">
        <v>2925</v>
      </c>
    </row>
    <row r="1574" spans="1:13" hidden="1" x14ac:dyDescent="0.35">
      <c r="A1574" t="s">
        <v>1573</v>
      </c>
      <c r="B1574" t="s">
        <v>2236</v>
      </c>
      <c r="C1574" t="s">
        <v>2457</v>
      </c>
      <c r="D1574" t="s">
        <v>2471</v>
      </c>
      <c r="E1574" t="str">
        <f t="shared" si="48"/>
        <v>BUDAPEST</v>
      </c>
      <c r="F1574" t="s">
        <v>2484</v>
      </c>
      <c r="G1574">
        <v>7.3</v>
      </c>
      <c r="I1574">
        <v>6</v>
      </c>
      <c r="J1574">
        <v>7.5</v>
      </c>
      <c r="K1574" s="9">
        <f t="shared" si="49"/>
        <v>45536</v>
      </c>
      <c r="L1574" t="s">
        <v>2693</v>
      </c>
      <c r="M1574" t="s">
        <v>2924</v>
      </c>
    </row>
    <row r="1575" spans="1:13" hidden="1" x14ac:dyDescent="0.35">
      <c r="A1575" t="s">
        <v>1574</v>
      </c>
      <c r="B1575" t="s">
        <v>2158</v>
      </c>
      <c r="C1575" t="s">
        <v>2459</v>
      </c>
      <c r="D1575" t="s">
        <v>2470</v>
      </c>
      <c r="E1575" t="str">
        <f t="shared" si="48"/>
        <v>E. HANOVER</v>
      </c>
      <c r="F1575" t="s">
        <v>2481</v>
      </c>
      <c r="G1575">
        <v>248.74</v>
      </c>
      <c r="H1575" t="s">
        <v>2488</v>
      </c>
      <c r="I1575">
        <v>150</v>
      </c>
      <c r="J1575">
        <v>400</v>
      </c>
      <c r="K1575" s="9">
        <f t="shared" si="49"/>
        <v>45374</v>
      </c>
      <c r="L1575" t="s">
        <v>2518</v>
      </c>
      <c r="M1575" t="s">
        <v>2929</v>
      </c>
    </row>
    <row r="1576" spans="1:13" hidden="1" x14ac:dyDescent="0.35">
      <c r="A1576" t="s">
        <v>1575</v>
      </c>
      <c r="B1576" t="s">
        <v>2047</v>
      </c>
      <c r="C1576" t="s">
        <v>2460</v>
      </c>
      <c r="D1576" t="s">
        <v>2477</v>
      </c>
      <c r="E1576" t="str">
        <f t="shared" si="48"/>
        <v>BUDAPEST</v>
      </c>
      <c r="F1576" t="s">
        <v>2481</v>
      </c>
      <c r="G1576">
        <v>229.68</v>
      </c>
      <c r="H1576" t="s">
        <v>2488</v>
      </c>
      <c r="I1576">
        <v>150</v>
      </c>
      <c r="J1576">
        <v>400</v>
      </c>
      <c r="K1576" s="9">
        <f t="shared" si="49"/>
        <v>45543</v>
      </c>
      <c r="L1576" t="s">
        <v>2526</v>
      </c>
      <c r="M1576" t="s">
        <v>2928</v>
      </c>
    </row>
    <row r="1577" spans="1:13" hidden="1" x14ac:dyDescent="0.35">
      <c r="A1577" t="s">
        <v>1576</v>
      </c>
      <c r="B1577" t="s">
        <v>2287</v>
      </c>
      <c r="C1577" t="s">
        <v>2460</v>
      </c>
      <c r="D1577" t="s">
        <v>2465</v>
      </c>
      <c r="E1577" t="str">
        <f t="shared" si="48"/>
        <v>VERNIER</v>
      </c>
      <c r="F1577" t="s">
        <v>2482</v>
      </c>
      <c r="G1577">
        <v>98.61</v>
      </c>
      <c r="H1577" t="s">
        <v>2489</v>
      </c>
      <c r="I1577">
        <v>97</v>
      </c>
      <c r="J1577">
        <v>100</v>
      </c>
      <c r="K1577" s="9">
        <f t="shared" si="49"/>
        <v>45448</v>
      </c>
      <c r="L1577" t="s">
        <v>2730</v>
      </c>
      <c r="M1577" t="s">
        <v>2929</v>
      </c>
    </row>
    <row r="1578" spans="1:13" x14ac:dyDescent="0.35">
      <c r="A1578" t="s">
        <v>1577</v>
      </c>
      <c r="B1578" t="s">
        <v>2390</v>
      </c>
      <c r="C1578" t="s">
        <v>2459</v>
      </c>
      <c r="D1578" t="s">
        <v>2468</v>
      </c>
      <c r="E1578" t="str">
        <f t="shared" si="48"/>
        <v>VERNIER CH</v>
      </c>
      <c r="F1578" t="s">
        <v>2480</v>
      </c>
      <c r="H1578" t="s">
        <v>2487</v>
      </c>
      <c r="I1578">
        <v>0.88</v>
      </c>
      <c r="J1578">
        <v>0.97</v>
      </c>
      <c r="K1578" s="9">
        <f t="shared" si="49"/>
        <v>45571</v>
      </c>
      <c r="L1578" t="s">
        <v>2754</v>
      </c>
      <c r="M1578" t="s">
        <v>2931</v>
      </c>
    </row>
    <row r="1579" spans="1:13" hidden="1" x14ac:dyDescent="0.35">
      <c r="A1579" t="s">
        <v>1578</v>
      </c>
      <c r="B1579" t="s">
        <v>2281</v>
      </c>
      <c r="C1579" t="s">
        <v>2458</v>
      </c>
      <c r="D1579" t="s">
        <v>2466</v>
      </c>
      <c r="E1579" t="str">
        <f t="shared" si="48"/>
        <v>EAST HANOVER</v>
      </c>
      <c r="F1579" t="s">
        <v>2482</v>
      </c>
      <c r="G1579">
        <v>99.28</v>
      </c>
      <c r="H1579" t="s">
        <v>2489</v>
      </c>
      <c r="I1579">
        <v>97</v>
      </c>
      <c r="J1579">
        <v>100</v>
      </c>
      <c r="K1579" s="9">
        <f t="shared" si="49"/>
        <v>45759</v>
      </c>
      <c r="L1579" t="s">
        <v>2728</v>
      </c>
      <c r="M1579" t="s">
        <v>2925</v>
      </c>
    </row>
    <row r="1580" spans="1:13" hidden="1" x14ac:dyDescent="0.35">
      <c r="A1580" t="s">
        <v>1579</v>
      </c>
      <c r="B1580" t="s">
        <v>2421</v>
      </c>
      <c r="C1580" t="s">
        <v>2460</v>
      </c>
      <c r="D1580" t="s">
        <v>2467</v>
      </c>
      <c r="E1580" t="str">
        <f t="shared" si="48"/>
        <v>ASHFORD</v>
      </c>
      <c r="F1580" t="s">
        <v>2483</v>
      </c>
      <c r="G1580">
        <v>0.31</v>
      </c>
      <c r="H1580" t="s">
        <v>2489</v>
      </c>
      <c r="I1580">
        <v>0</v>
      </c>
      <c r="J1580">
        <v>1</v>
      </c>
      <c r="K1580" s="9">
        <f t="shared" si="49"/>
        <v>45404</v>
      </c>
      <c r="L1580" t="s">
        <v>2630</v>
      </c>
      <c r="M1580" t="s">
        <v>2929</v>
      </c>
    </row>
    <row r="1581" spans="1:13" hidden="1" x14ac:dyDescent="0.35">
      <c r="A1581" t="s">
        <v>1580</v>
      </c>
      <c r="B1581" t="s">
        <v>2163</v>
      </c>
      <c r="C1581" t="s">
        <v>2460</v>
      </c>
      <c r="D1581" t="s">
        <v>2466</v>
      </c>
      <c r="E1581" t="str">
        <f t="shared" si="48"/>
        <v>EAST HANOVER</v>
      </c>
      <c r="F1581" t="s">
        <v>2481</v>
      </c>
      <c r="G1581">
        <v>227.14</v>
      </c>
      <c r="H1581" t="s">
        <v>2488</v>
      </c>
      <c r="I1581">
        <v>150</v>
      </c>
      <c r="J1581">
        <v>400</v>
      </c>
      <c r="K1581" s="9">
        <f t="shared" si="49"/>
        <v>45698</v>
      </c>
      <c r="L1581" t="s">
        <v>2636</v>
      </c>
      <c r="M1581" t="s">
        <v>2931</v>
      </c>
    </row>
    <row r="1582" spans="1:13" hidden="1" x14ac:dyDescent="0.35">
      <c r="A1582" t="s">
        <v>1581</v>
      </c>
      <c r="B1582" t="s">
        <v>2452</v>
      </c>
      <c r="C1582" t="s">
        <v>2461</v>
      </c>
      <c r="D1582" t="s">
        <v>2474</v>
      </c>
      <c r="E1582" t="str">
        <f t="shared" si="48"/>
        <v>DORTMUND DE</v>
      </c>
      <c r="F1582" t="s">
        <v>2485</v>
      </c>
      <c r="G1582">
        <v>-18.13</v>
      </c>
      <c r="H1582" t="s">
        <v>2490</v>
      </c>
      <c r="I1582">
        <v>0</v>
      </c>
      <c r="J1582">
        <v>100</v>
      </c>
      <c r="K1582" s="9">
        <f t="shared" si="49"/>
        <v>45452</v>
      </c>
      <c r="L1582" t="s">
        <v>2528</v>
      </c>
      <c r="M1582" t="s">
        <v>2931</v>
      </c>
    </row>
    <row r="1583" spans="1:13" hidden="1" x14ac:dyDescent="0.35">
      <c r="A1583" t="s">
        <v>1582</v>
      </c>
      <c r="B1583" t="s">
        <v>2195</v>
      </c>
      <c r="C1583" t="s">
        <v>2457</v>
      </c>
      <c r="D1583" t="s">
        <v>2473</v>
      </c>
      <c r="E1583" t="str">
        <f t="shared" si="48"/>
        <v>DORTMUND</v>
      </c>
      <c r="F1583" t="s">
        <v>2480</v>
      </c>
      <c r="G1583">
        <v>0.95</v>
      </c>
      <c r="H1583" t="s">
        <v>2487</v>
      </c>
      <c r="I1583">
        <v>0.88</v>
      </c>
      <c r="J1583">
        <v>0.97</v>
      </c>
      <c r="K1583" s="9">
        <f t="shared" si="49"/>
        <v>45588</v>
      </c>
      <c r="L1583" t="s">
        <v>2666</v>
      </c>
      <c r="M1583" t="s">
        <v>2930</v>
      </c>
    </row>
    <row r="1584" spans="1:13" hidden="1" x14ac:dyDescent="0.35">
      <c r="A1584" t="s">
        <v>1583</v>
      </c>
      <c r="B1584" t="s">
        <v>2389</v>
      </c>
      <c r="C1584" t="s">
        <v>2460</v>
      </c>
      <c r="D1584" t="s">
        <v>2474</v>
      </c>
      <c r="E1584" t="str">
        <f t="shared" si="48"/>
        <v>DORTMUND DE</v>
      </c>
      <c r="F1584" t="s">
        <v>2482</v>
      </c>
      <c r="G1584">
        <v>99.16</v>
      </c>
      <c r="H1584" t="s">
        <v>2489</v>
      </c>
      <c r="I1584">
        <v>97</v>
      </c>
      <c r="J1584">
        <v>100</v>
      </c>
      <c r="K1584" s="9">
        <f t="shared" si="49"/>
        <v>45546</v>
      </c>
      <c r="L1584" t="s">
        <v>2806</v>
      </c>
      <c r="M1584" t="s">
        <v>2930</v>
      </c>
    </row>
    <row r="1585" spans="1:13" hidden="1" x14ac:dyDescent="0.35">
      <c r="A1585" t="s">
        <v>1584</v>
      </c>
      <c r="B1585" t="s">
        <v>2392</v>
      </c>
      <c r="C1585" t="s">
        <v>2461</v>
      </c>
      <c r="D1585" t="s">
        <v>2462</v>
      </c>
      <c r="E1585" t="str">
        <f t="shared" si="48"/>
        <v>ASHFORD UK</v>
      </c>
      <c r="F1585" t="s">
        <v>2484</v>
      </c>
      <c r="G1585">
        <v>6.53</v>
      </c>
      <c r="I1585">
        <v>6</v>
      </c>
      <c r="J1585">
        <v>7.5</v>
      </c>
      <c r="K1585" s="9">
        <f t="shared" si="49"/>
        <v>45923</v>
      </c>
      <c r="L1585" t="s">
        <v>2809</v>
      </c>
      <c r="M1585" t="s">
        <v>2927</v>
      </c>
    </row>
    <row r="1586" spans="1:13" hidden="1" x14ac:dyDescent="0.35">
      <c r="A1586" t="s">
        <v>1585</v>
      </c>
      <c r="B1586" t="s">
        <v>2185</v>
      </c>
      <c r="C1586" t="s">
        <v>2461</v>
      </c>
      <c r="D1586" t="s">
        <v>2470</v>
      </c>
      <c r="E1586" t="str">
        <f t="shared" si="48"/>
        <v>E. HANOVER</v>
      </c>
      <c r="F1586" t="s">
        <v>2482</v>
      </c>
      <c r="G1586">
        <v>99.22</v>
      </c>
      <c r="H1586" t="s">
        <v>2489</v>
      </c>
      <c r="I1586">
        <v>97</v>
      </c>
      <c r="J1586">
        <v>100</v>
      </c>
      <c r="K1586" s="9">
        <f t="shared" si="49"/>
        <v>45830</v>
      </c>
      <c r="L1586" t="s">
        <v>2657</v>
      </c>
      <c r="M1586" t="s">
        <v>2931</v>
      </c>
    </row>
    <row r="1587" spans="1:13" hidden="1" x14ac:dyDescent="0.35">
      <c r="A1587" t="s">
        <v>1586</v>
      </c>
      <c r="B1587" t="s">
        <v>2113</v>
      </c>
      <c r="C1587" t="s">
        <v>2458</v>
      </c>
      <c r="D1587" t="s">
        <v>2466</v>
      </c>
      <c r="E1587" t="str">
        <f t="shared" si="48"/>
        <v>EAST HANOVER</v>
      </c>
      <c r="F1587" t="s">
        <v>2481</v>
      </c>
      <c r="G1587">
        <v>520</v>
      </c>
      <c r="H1587" t="s">
        <v>2488</v>
      </c>
      <c r="I1587">
        <v>150</v>
      </c>
      <c r="J1587">
        <v>400</v>
      </c>
      <c r="K1587" s="9">
        <f t="shared" si="49"/>
        <v>45345</v>
      </c>
      <c r="L1587" t="s">
        <v>2589</v>
      </c>
      <c r="M1587" t="s">
        <v>2927</v>
      </c>
    </row>
    <row r="1588" spans="1:13" hidden="1" x14ac:dyDescent="0.35">
      <c r="A1588" t="s">
        <v>1587</v>
      </c>
      <c r="B1588" t="s">
        <v>2148</v>
      </c>
      <c r="C1588" t="s">
        <v>2460</v>
      </c>
      <c r="D1588" t="s">
        <v>2463</v>
      </c>
      <c r="E1588" t="str">
        <f t="shared" si="48"/>
        <v>VERNIER</v>
      </c>
      <c r="F1588" t="s">
        <v>2480</v>
      </c>
      <c r="G1588">
        <v>1.06</v>
      </c>
      <c r="H1588" t="s">
        <v>2487</v>
      </c>
      <c r="I1588">
        <v>0.88</v>
      </c>
      <c r="J1588">
        <v>0.97</v>
      </c>
      <c r="K1588" s="9">
        <f t="shared" si="49"/>
        <v>45840</v>
      </c>
      <c r="L1588" t="s">
        <v>2623</v>
      </c>
      <c r="M1588" t="s">
        <v>2932</v>
      </c>
    </row>
    <row r="1589" spans="1:13" hidden="1" x14ac:dyDescent="0.35">
      <c r="A1589" t="s">
        <v>1588</v>
      </c>
      <c r="B1589" t="s">
        <v>2437</v>
      </c>
      <c r="C1589" t="s">
        <v>2457</v>
      </c>
      <c r="D1589" t="s">
        <v>2469</v>
      </c>
      <c r="E1589" t="str">
        <f t="shared" si="48"/>
        <v>DORTMUND</v>
      </c>
      <c r="F1589" t="s">
        <v>2483</v>
      </c>
      <c r="G1589">
        <v>0.35</v>
      </c>
      <c r="H1589" t="s">
        <v>2489</v>
      </c>
      <c r="I1589">
        <v>0</v>
      </c>
      <c r="J1589">
        <v>1</v>
      </c>
      <c r="K1589" s="9">
        <f t="shared" si="49"/>
        <v>45366</v>
      </c>
      <c r="L1589" t="s">
        <v>2855</v>
      </c>
      <c r="M1589" t="s">
        <v>2928</v>
      </c>
    </row>
    <row r="1590" spans="1:13" hidden="1" x14ac:dyDescent="0.35">
      <c r="A1590" t="s">
        <v>1589</v>
      </c>
      <c r="B1590" t="s">
        <v>2343</v>
      </c>
      <c r="C1590" t="s">
        <v>2457</v>
      </c>
      <c r="D1590" t="s">
        <v>2466</v>
      </c>
      <c r="E1590" t="str">
        <f t="shared" si="48"/>
        <v>EAST HANOVER</v>
      </c>
      <c r="F1590" t="s">
        <v>2481</v>
      </c>
      <c r="G1590">
        <v>379.65</v>
      </c>
      <c r="H1590" t="s">
        <v>2488</v>
      </c>
      <c r="I1590">
        <v>150</v>
      </c>
      <c r="J1590">
        <v>400</v>
      </c>
      <c r="K1590" s="9">
        <f t="shared" si="49"/>
        <v>45531</v>
      </c>
      <c r="L1590" t="s">
        <v>2771</v>
      </c>
      <c r="M1590" t="s">
        <v>2929</v>
      </c>
    </row>
    <row r="1591" spans="1:13" hidden="1" x14ac:dyDescent="0.35">
      <c r="A1591" t="s">
        <v>1590</v>
      </c>
      <c r="B1591" t="s">
        <v>2197</v>
      </c>
      <c r="C1591" t="s">
        <v>2459</v>
      </c>
      <c r="D1591" t="s">
        <v>2466</v>
      </c>
      <c r="E1591" t="str">
        <f t="shared" si="48"/>
        <v>EAST HANOVER</v>
      </c>
      <c r="F1591" t="s">
        <v>2480</v>
      </c>
      <c r="G1591">
        <v>0.94</v>
      </c>
      <c r="H1591" t="s">
        <v>2487</v>
      </c>
      <c r="I1591">
        <v>0.88</v>
      </c>
      <c r="J1591">
        <v>0.97</v>
      </c>
      <c r="K1591" s="9">
        <f t="shared" si="49"/>
        <v>45854</v>
      </c>
      <c r="L1591" t="s">
        <v>2667</v>
      </c>
      <c r="M1591" t="s">
        <v>2923</v>
      </c>
    </row>
    <row r="1592" spans="1:13" x14ac:dyDescent="0.35">
      <c r="A1592" t="s">
        <v>1591</v>
      </c>
      <c r="B1592" t="s">
        <v>2104</v>
      </c>
      <c r="C1592" t="s">
        <v>2458</v>
      </c>
      <c r="D1592" t="s">
        <v>2475</v>
      </c>
      <c r="E1592" t="str">
        <f t="shared" si="48"/>
        <v>ASHFORD</v>
      </c>
      <c r="F1592" t="s">
        <v>2482</v>
      </c>
      <c r="H1592" t="s">
        <v>2489</v>
      </c>
      <c r="I1592">
        <v>97</v>
      </c>
      <c r="J1592">
        <v>100</v>
      </c>
      <c r="K1592" s="9">
        <f t="shared" si="49"/>
        <v>45831</v>
      </c>
      <c r="L1592" t="s">
        <v>2540</v>
      </c>
      <c r="M1592" t="s">
        <v>2923</v>
      </c>
    </row>
    <row r="1593" spans="1:13" hidden="1" x14ac:dyDescent="0.35">
      <c r="A1593" t="s">
        <v>1592</v>
      </c>
      <c r="B1593" t="s">
        <v>2380</v>
      </c>
      <c r="C1593" t="s">
        <v>2457</v>
      </c>
      <c r="D1593" t="s">
        <v>2473</v>
      </c>
      <c r="E1593" t="str">
        <f t="shared" si="48"/>
        <v>DORTMUND</v>
      </c>
      <c r="F1593" t="s">
        <v>2483</v>
      </c>
      <c r="G1593">
        <v>0.19</v>
      </c>
      <c r="H1593" t="s">
        <v>2489</v>
      </c>
      <c r="I1593">
        <v>0</v>
      </c>
      <c r="J1593">
        <v>1</v>
      </c>
      <c r="K1593" s="9">
        <f t="shared" si="49"/>
        <v>45787</v>
      </c>
      <c r="L1593" t="s">
        <v>2625</v>
      </c>
      <c r="M1593" t="s">
        <v>2932</v>
      </c>
    </row>
    <row r="1594" spans="1:13" hidden="1" x14ac:dyDescent="0.35">
      <c r="A1594" t="s">
        <v>1593</v>
      </c>
      <c r="B1594" t="s">
        <v>2419</v>
      </c>
      <c r="C1594" t="s">
        <v>2458</v>
      </c>
      <c r="D1594" t="s">
        <v>2474</v>
      </c>
      <c r="E1594" t="str">
        <f t="shared" si="48"/>
        <v>DORTMUND DE</v>
      </c>
      <c r="F1594" t="s">
        <v>2481</v>
      </c>
      <c r="G1594">
        <v>191.82</v>
      </c>
      <c r="H1594" t="s">
        <v>2488</v>
      </c>
      <c r="I1594">
        <v>150</v>
      </c>
      <c r="J1594">
        <v>400</v>
      </c>
      <c r="K1594" s="9">
        <f t="shared" si="49"/>
        <v>45881</v>
      </c>
      <c r="L1594" t="s">
        <v>2499</v>
      </c>
      <c r="M1594" t="s">
        <v>2927</v>
      </c>
    </row>
    <row r="1595" spans="1:13" hidden="1" x14ac:dyDescent="0.35">
      <c r="A1595" t="s">
        <v>1594</v>
      </c>
      <c r="B1595" t="s">
        <v>2054</v>
      </c>
      <c r="C1595" t="s">
        <v>2457</v>
      </c>
      <c r="D1595" t="s">
        <v>2468</v>
      </c>
      <c r="E1595" t="str">
        <f t="shared" si="48"/>
        <v>VERNIER CH</v>
      </c>
      <c r="F1595" t="s">
        <v>2484</v>
      </c>
      <c r="G1595">
        <v>5.72</v>
      </c>
      <c r="I1595">
        <v>6</v>
      </c>
      <c r="J1595">
        <v>7.5</v>
      </c>
      <c r="K1595" s="9">
        <f t="shared" si="49"/>
        <v>45510</v>
      </c>
      <c r="L1595" t="s">
        <v>2533</v>
      </c>
      <c r="M1595" t="s">
        <v>2925</v>
      </c>
    </row>
    <row r="1596" spans="1:13" hidden="1" x14ac:dyDescent="0.35">
      <c r="A1596" t="s">
        <v>1595</v>
      </c>
      <c r="B1596" t="s">
        <v>2321</v>
      </c>
      <c r="C1596" t="s">
        <v>2457</v>
      </c>
      <c r="D1596" t="s">
        <v>2477</v>
      </c>
      <c r="E1596" t="str">
        <f t="shared" si="48"/>
        <v>BUDAPEST</v>
      </c>
      <c r="F1596" t="s">
        <v>2482</v>
      </c>
      <c r="G1596">
        <v>98.18</v>
      </c>
      <c r="H1596" t="s">
        <v>2489</v>
      </c>
      <c r="I1596">
        <v>97</v>
      </c>
      <c r="J1596">
        <v>100</v>
      </c>
      <c r="K1596" s="9">
        <f t="shared" si="49"/>
        <v>45491</v>
      </c>
      <c r="L1596" t="s">
        <v>2753</v>
      </c>
      <c r="M1596" t="s">
        <v>2928</v>
      </c>
    </row>
    <row r="1597" spans="1:13" hidden="1" x14ac:dyDescent="0.35">
      <c r="A1597" t="s">
        <v>1596</v>
      </c>
      <c r="B1597" t="s">
        <v>2031</v>
      </c>
      <c r="C1597" t="s">
        <v>2459</v>
      </c>
      <c r="D1597" t="s">
        <v>2469</v>
      </c>
      <c r="E1597" t="str">
        <f t="shared" si="48"/>
        <v>DORTMUND</v>
      </c>
      <c r="F1597" t="s">
        <v>2482</v>
      </c>
      <c r="G1597">
        <v>100.19</v>
      </c>
      <c r="H1597" t="s">
        <v>2489</v>
      </c>
      <c r="I1597">
        <v>97</v>
      </c>
      <c r="J1597">
        <v>100</v>
      </c>
      <c r="K1597" s="9">
        <f t="shared" si="49"/>
        <v>45887</v>
      </c>
      <c r="L1597" t="s">
        <v>2511</v>
      </c>
      <c r="M1597" t="s">
        <v>2924</v>
      </c>
    </row>
    <row r="1598" spans="1:13" x14ac:dyDescent="0.35">
      <c r="A1598" t="s">
        <v>1597</v>
      </c>
      <c r="B1598" t="s">
        <v>2109</v>
      </c>
      <c r="C1598" t="s">
        <v>2461</v>
      </c>
      <c r="D1598" t="s">
        <v>2477</v>
      </c>
      <c r="E1598" t="str">
        <f t="shared" si="48"/>
        <v>BUDAPEST</v>
      </c>
      <c r="F1598" t="s">
        <v>2484</v>
      </c>
      <c r="I1598">
        <v>6</v>
      </c>
      <c r="J1598">
        <v>7.5</v>
      </c>
      <c r="K1598" s="9">
        <f t="shared" si="49"/>
        <v>45596</v>
      </c>
      <c r="L1598" t="s">
        <v>2586</v>
      </c>
      <c r="M1598" t="s">
        <v>2923</v>
      </c>
    </row>
    <row r="1599" spans="1:13" hidden="1" x14ac:dyDescent="0.35">
      <c r="A1599" t="s">
        <v>1598</v>
      </c>
      <c r="B1599" t="s">
        <v>2190</v>
      </c>
      <c r="C1599" t="s">
        <v>2458</v>
      </c>
      <c r="D1599" t="s">
        <v>2470</v>
      </c>
      <c r="E1599" t="str">
        <f t="shared" si="48"/>
        <v>E. HANOVER</v>
      </c>
      <c r="F1599" t="s">
        <v>2482</v>
      </c>
      <c r="G1599">
        <v>98.62</v>
      </c>
      <c r="H1599" t="s">
        <v>2489</v>
      </c>
      <c r="I1599">
        <v>97</v>
      </c>
      <c r="J1599">
        <v>100</v>
      </c>
      <c r="K1599" s="9">
        <f t="shared" si="49"/>
        <v>45428</v>
      </c>
      <c r="L1599" t="s">
        <v>2662</v>
      </c>
      <c r="M1599" t="s">
        <v>2924</v>
      </c>
    </row>
    <row r="1600" spans="1:13" hidden="1" x14ac:dyDescent="0.35">
      <c r="A1600" t="s">
        <v>1599</v>
      </c>
      <c r="B1600" t="s">
        <v>2184</v>
      </c>
      <c r="C1600" t="s">
        <v>2461</v>
      </c>
      <c r="D1600" t="s">
        <v>2462</v>
      </c>
      <c r="E1600" t="str">
        <f t="shared" si="48"/>
        <v>ASHFORD UK</v>
      </c>
      <c r="F1600" t="s">
        <v>2482</v>
      </c>
      <c r="G1600">
        <v>98.71</v>
      </c>
      <c r="H1600" t="s">
        <v>2489</v>
      </c>
      <c r="I1600">
        <v>97</v>
      </c>
      <c r="J1600">
        <v>100</v>
      </c>
      <c r="K1600" s="9">
        <f t="shared" si="49"/>
        <v>45662</v>
      </c>
      <c r="L1600" t="s">
        <v>2656</v>
      </c>
      <c r="M1600" t="s">
        <v>2931</v>
      </c>
    </row>
    <row r="1601" spans="1:13" hidden="1" x14ac:dyDescent="0.35">
      <c r="A1601" t="s">
        <v>1600</v>
      </c>
      <c r="B1601" t="s">
        <v>2413</v>
      </c>
      <c r="C1601" t="s">
        <v>2458</v>
      </c>
      <c r="D1601" t="s">
        <v>2467</v>
      </c>
      <c r="E1601" t="str">
        <f t="shared" si="48"/>
        <v>ASHFORD</v>
      </c>
      <c r="F1601" t="s">
        <v>2481</v>
      </c>
      <c r="G1601">
        <v>233.23</v>
      </c>
      <c r="H1601" t="s">
        <v>2488</v>
      </c>
      <c r="I1601">
        <v>150</v>
      </c>
      <c r="J1601">
        <v>400</v>
      </c>
      <c r="K1601" s="9">
        <f t="shared" si="49"/>
        <v>45419</v>
      </c>
      <c r="L1601" t="s">
        <v>2765</v>
      </c>
      <c r="M1601" t="s">
        <v>2925</v>
      </c>
    </row>
    <row r="1602" spans="1:13" hidden="1" x14ac:dyDescent="0.35">
      <c r="A1602" t="s">
        <v>1601</v>
      </c>
      <c r="B1602" t="s">
        <v>2404</v>
      </c>
      <c r="C1602" t="s">
        <v>2458</v>
      </c>
      <c r="D1602" t="s">
        <v>2469</v>
      </c>
      <c r="E1602" t="str">
        <f t="shared" si="48"/>
        <v>DORTMUND</v>
      </c>
      <c r="F1602" t="s">
        <v>2482</v>
      </c>
      <c r="G1602">
        <v>97.5</v>
      </c>
      <c r="H1602" t="s">
        <v>2489</v>
      </c>
      <c r="I1602">
        <v>97</v>
      </c>
      <c r="J1602">
        <v>100</v>
      </c>
      <c r="K1602" s="9">
        <f t="shared" si="49"/>
        <v>45368</v>
      </c>
      <c r="L1602" t="s">
        <v>2684</v>
      </c>
      <c r="M1602" t="s">
        <v>2923</v>
      </c>
    </row>
    <row r="1603" spans="1:13" hidden="1" x14ac:dyDescent="0.35">
      <c r="A1603" t="s">
        <v>1602</v>
      </c>
      <c r="B1603" t="s">
        <v>2264</v>
      </c>
      <c r="C1603" t="s">
        <v>2459</v>
      </c>
      <c r="D1603" t="s">
        <v>2474</v>
      </c>
      <c r="E1603" t="str">
        <f t="shared" ref="E1603:E1666" si="50">UPPER(D1603)</f>
        <v>DORTMUND DE</v>
      </c>
      <c r="F1603" t="s">
        <v>2481</v>
      </c>
      <c r="G1603">
        <v>247.28</v>
      </c>
      <c r="H1603" t="s">
        <v>2488</v>
      </c>
      <c r="I1603">
        <v>150</v>
      </c>
      <c r="J1603">
        <v>400</v>
      </c>
      <c r="K1603" s="9">
        <f t="shared" ref="K1603:K1666" si="51">IF(L1603="","",
IF(MID(L1603,5,1)="-",
DATE(LEFT(L1603,4),MID(L1603,6,2),RIGHT(L1603,2)),
DATE(RIGHT(L1603,4),MID(L1603,4,2),LEFT(L1603,2))
))</f>
        <v>45795</v>
      </c>
      <c r="L1603" t="s">
        <v>2862</v>
      </c>
      <c r="M1603" t="s">
        <v>2923</v>
      </c>
    </row>
    <row r="1604" spans="1:13" hidden="1" x14ac:dyDescent="0.35">
      <c r="A1604" t="s">
        <v>1603</v>
      </c>
      <c r="B1604" t="s">
        <v>2441</v>
      </c>
      <c r="C1604" t="s">
        <v>2461</v>
      </c>
      <c r="D1604" t="s">
        <v>2470</v>
      </c>
      <c r="E1604" t="str">
        <f t="shared" si="50"/>
        <v>E. HANOVER</v>
      </c>
      <c r="F1604" t="s">
        <v>2485</v>
      </c>
      <c r="G1604">
        <v>35.33</v>
      </c>
      <c r="H1604" t="s">
        <v>2490</v>
      </c>
      <c r="I1604">
        <v>0</v>
      </c>
      <c r="J1604">
        <v>100</v>
      </c>
      <c r="K1604" s="9">
        <f t="shared" si="51"/>
        <v>45870</v>
      </c>
      <c r="L1604" t="s">
        <v>2813</v>
      </c>
      <c r="M1604" t="s">
        <v>2923</v>
      </c>
    </row>
    <row r="1605" spans="1:13" hidden="1" x14ac:dyDescent="0.35">
      <c r="A1605" t="s">
        <v>1604</v>
      </c>
      <c r="B1605" t="s">
        <v>2240</v>
      </c>
      <c r="C1605" t="s">
        <v>2457</v>
      </c>
      <c r="D1605" t="s">
        <v>2477</v>
      </c>
      <c r="E1605" t="str">
        <f t="shared" si="50"/>
        <v>BUDAPEST</v>
      </c>
      <c r="F1605" t="s">
        <v>2481</v>
      </c>
      <c r="G1605">
        <v>227.08</v>
      </c>
      <c r="H1605" t="s">
        <v>2488</v>
      </c>
      <c r="I1605">
        <v>150</v>
      </c>
      <c r="J1605">
        <v>400</v>
      </c>
      <c r="K1605" s="9">
        <f t="shared" si="51"/>
        <v>45904</v>
      </c>
      <c r="L1605" t="s">
        <v>2611</v>
      </c>
      <c r="M1605" t="s">
        <v>2925</v>
      </c>
    </row>
    <row r="1606" spans="1:13" hidden="1" x14ac:dyDescent="0.35">
      <c r="A1606" t="s">
        <v>1605</v>
      </c>
      <c r="B1606" t="s">
        <v>2140</v>
      </c>
      <c r="C1606" t="s">
        <v>2460</v>
      </c>
      <c r="D1606" t="s">
        <v>2478</v>
      </c>
      <c r="E1606" t="str">
        <f t="shared" si="50"/>
        <v>BUD</v>
      </c>
      <c r="F1606" t="s">
        <v>2480</v>
      </c>
      <c r="G1606">
        <v>0.91</v>
      </c>
      <c r="H1606" t="s">
        <v>2487</v>
      </c>
      <c r="I1606">
        <v>0.88</v>
      </c>
      <c r="J1606">
        <v>0.97</v>
      </c>
      <c r="K1606" s="9">
        <f t="shared" si="51"/>
        <v>45891</v>
      </c>
      <c r="L1606" t="s">
        <v>2615</v>
      </c>
      <c r="M1606" t="s">
        <v>2928</v>
      </c>
    </row>
    <row r="1607" spans="1:13" hidden="1" x14ac:dyDescent="0.35">
      <c r="A1607" t="s">
        <v>1606</v>
      </c>
      <c r="B1607" t="s">
        <v>2428</v>
      </c>
      <c r="C1607" t="s">
        <v>2458</v>
      </c>
      <c r="D1607" t="s">
        <v>2468</v>
      </c>
      <c r="E1607" t="str">
        <f t="shared" si="50"/>
        <v>VERNIER CH</v>
      </c>
      <c r="F1607" t="s">
        <v>2484</v>
      </c>
      <c r="G1607">
        <v>6.32</v>
      </c>
      <c r="I1607">
        <v>6</v>
      </c>
      <c r="J1607">
        <v>7.5</v>
      </c>
      <c r="K1607" s="9">
        <f t="shared" si="51"/>
        <v>45343</v>
      </c>
      <c r="L1607" t="s">
        <v>2838</v>
      </c>
      <c r="M1607" t="s">
        <v>2925</v>
      </c>
    </row>
    <row r="1608" spans="1:13" hidden="1" x14ac:dyDescent="0.35">
      <c r="A1608" t="s">
        <v>1607</v>
      </c>
      <c r="B1608" t="s">
        <v>2411</v>
      </c>
      <c r="C1608" t="s">
        <v>2457</v>
      </c>
      <c r="D1608" t="s">
        <v>2470</v>
      </c>
      <c r="E1608" t="str">
        <f t="shared" si="50"/>
        <v>E. HANOVER</v>
      </c>
      <c r="F1608" t="s">
        <v>2481</v>
      </c>
      <c r="G1608">
        <v>265.75</v>
      </c>
      <c r="H1608" t="s">
        <v>2488</v>
      </c>
      <c r="I1608">
        <v>150</v>
      </c>
      <c r="J1608">
        <v>400</v>
      </c>
      <c r="K1608" s="9">
        <f t="shared" si="51"/>
        <v>45612</v>
      </c>
      <c r="L1608" t="s">
        <v>2828</v>
      </c>
      <c r="M1608" t="s">
        <v>2930</v>
      </c>
    </row>
    <row r="1609" spans="1:13" hidden="1" x14ac:dyDescent="0.35">
      <c r="A1609" t="s">
        <v>1608</v>
      </c>
      <c r="B1609" t="s">
        <v>2336</v>
      </c>
      <c r="C1609" t="s">
        <v>2460</v>
      </c>
      <c r="D1609" t="s">
        <v>2465</v>
      </c>
      <c r="E1609" t="str">
        <f t="shared" si="50"/>
        <v>VERNIER</v>
      </c>
      <c r="F1609" t="s">
        <v>2480</v>
      </c>
      <c r="G1609">
        <v>0.84</v>
      </c>
      <c r="H1609" t="s">
        <v>2487</v>
      </c>
      <c r="I1609">
        <v>0.88</v>
      </c>
      <c r="J1609">
        <v>0.97</v>
      </c>
      <c r="K1609" s="9">
        <f t="shared" si="51"/>
        <v>45661</v>
      </c>
      <c r="L1609" t="s">
        <v>2612</v>
      </c>
      <c r="M1609" t="s">
        <v>2926</v>
      </c>
    </row>
    <row r="1610" spans="1:13" hidden="1" x14ac:dyDescent="0.35">
      <c r="A1610" t="s">
        <v>1609</v>
      </c>
      <c r="B1610" t="s">
        <v>2316</v>
      </c>
      <c r="C1610" t="s">
        <v>2460</v>
      </c>
      <c r="D1610" t="s">
        <v>2474</v>
      </c>
      <c r="E1610" t="str">
        <f t="shared" si="50"/>
        <v>DORTMUND DE</v>
      </c>
      <c r="F1610" t="s">
        <v>2482</v>
      </c>
      <c r="G1610">
        <v>97.94</v>
      </c>
      <c r="H1610" t="s">
        <v>2489</v>
      </c>
      <c r="I1610">
        <v>97</v>
      </c>
      <c r="J1610">
        <v>100</v>
      </c>
      <c r="K1610" s="9">
        <f t="shared" si="51"/>
        <v>45524</v>
      </c>
      <c r="L1610" t="s">
        <v>2748</v>
      </c>
      <c r="M1610" t="s">
        <v>2923</v>
      </c>
    </row>
    <row r="1611" spans="1:13" hidden="1" x14ac:dyDescent="0.35">
      <c r="A1611" t="s">
        <v>1610</v>
      </c>
      <c r="B1611" t="s">
        <v>2386</v>
      </c>
      <c r="C1611" t="s">
        <v>2459</v>
      </c>
      <c r="D1611" t="s">
        <v>2466</v>
      </c>
      <c r="E1611" t="str">
        <f t="shared" si="50"/>
        <v>EAST HANOVER</v>
      </c>
      <c r="F1611" t="s">
        <v>2481</v>
      </c>
      <c r="G1611">
        <v>309.83</v>
      </c>
      <c r="H1611" t="s">
        <v>2488</v>
      </c>
      <c r="I1611">
        <v>150</v>
      </c>
      <c r="J1611">
        <v>400</v>
      </c>
      <c r="K1611" s="9">
        <f t="shared" si="51"/>
        <v>45609</v>
      </c>
      <c r="L1611" t="s">
        <v>2646</v>
      </c>
      <c r="M1611" t="s">
        <v>2925</v>
      </c>
    </row>
    <row r="1612" spans="1:13" hidden="1" x14ac:dyDescent="0.35">
      <c r="A1612" t="s">
        <v>1611</v>
      </c>
      <c r="B1612" t="s">
        <v>2285</v>
      </c>
      <c r="C1612" t="s">
        <v>2457</v>
      </c>
      <c r="D1612" t="s">
        <v>2468</v>
      </c>
      <c r="E1612" t="str">
        <f t="shared" si="50"/>
        <v>VERNIER CH</v>
      </c>
      <c r="F1612" t="s">
        <v>2479</v>
      </c>
      <c r="G1612">
        <v>75.34</v>
      </c>
      <c r="H1612" t="s">
        <v>2486</v>
      </c>
      <c r="I1612">
        <v>0</v>
      </c>
      <c r="J1612">
        <v>120</v>
      </c>
      <c r="K1612" s="9">
        <f t="shared" si="51"/>
        <v>45960</v>
      </c>
      <c r="L1612" t="s">
        <v>2678</v>
      </c>
      <c r="M1612" t="s">
        <v>2932</v>
      </c>
    </row>
    <row r="1613" spans="1:13" hidden="1" x14ac:dyDescent="0.35">
      <c r="A1613" t="s">
        <v>1612</v>
      </c>
      <c r="B1613" t="s">
        <v>2392</v>
      </c>
      <c r="C1613" t="s">
        <v>2461</v>
      </c>
      <c r="D1613" t="s">
        <v>2467</v>
      </c>
      <c r="E1613" t="str">
        <f t="shared" si="50"/>
        <v>ASHFORD</v>
      </c>
      <c r="F1613" t="s">
        <v>2485</v>
      </c>
      <c r="G1613">
        <v>6.84</v>
      </c>
      <c r="H1613" t="s">
        <v>2490</v>
      </c>
      <c r="I1613">
        <v>0</v>
      </c>
      <c r="J1613">
        <v>100</v>
      </c>
      <c r="K1613" s="9">
        <f t="shared" si="51"/>
        <v>45923</v>
      </c>
      <c r="L1613" t="s">
        <v>2809</v>
      </c>
      <c r="M1613" t="s">
        <v>2923</v>
      </c>
    </row>
    <row r="1614" spans="1:13" hidden="1" x14ac:dyDescent="0.35">
      <c r="A1614" t="s">
        <v>1613</v>
      </c>
      <c r="B1614" t="s">
        <v>2180</v>
      </c>
      <c r="C1614" t="s">
        <v>2461</v>
      </c>
      <c r="D1614" t="s">
        <v>2466</v>
      </c>
      <c r="E1614" t="str">
        <f t="shared" si="50"/>
        <v>EAST HANOVER</v>
      </c>
      <c r="F1614" t="s">
        <v>2479</v>
      </c>
      <c r="G1614">
        <v>80.510000000000005</v>
      </c>
      <c r="H1614" t="s">
        <v>2486</v>
      </c>
      <c r="I1614">
        <v>0</v>
      </c>
      <c r="J1614">
        <v>120</v>
      </c>
      <c r="K1614" s="9">
        <f t="shared" si="51"/>
        <v>45649</v>
      </c>
      <c r="L1614" t="s">
        <v>2652</v>
      </c>
      <c r="M1614" t="s">
        <v>2923</v>
      </c>
    </row>
    <row r="1615" spans="1:13" hidden="1" x14ac:dyDescent="0.35">
      <c r="A1615" t="s">
        <v>1614</v>
      </c>
      <c r="B1615" t="s">
        <v>2246</v>
      </c>
      <c r="C1615" t="s">
        <v>2460</v>
      </c>
      <c r="D1615" t="s">
        <v>2468</v>
      </c>
      <c r="E1615" t="str">
        <f t="shared" si="50"/>
        <v>VERNIER CH</v>
      </c>
      <c r="F1615" t="s">
        <v>2480</v>
      </c>
      <c r="G1615">
        <v>0.92</v>
      </c>
      <c r="H1615" t="s">
        <v>2487</v>
      </c>
      <c r="I1615">
        <v>0.88</v>
      </c>
      <c r="J1615">
        <v>0.97</v>
      </c>
      <c r="K1615" s="9">
        <f t="shared" si="51"/>
        <v>45884</v>
      </c>
      <c r="L1615" t="s">
        <v>2542</v>
      </c>
      <c r="M1615" t="s">
        <v>2923</v>
      </c>
    </row>
    <row r="1616" spans="1:13" hidden="1" x14ac:dyDescent="0.35">
      <c r="A1616" t="s">
        <v>1615</v>
      </c>
      <c r="B1616" t="s">
        <v>2407</v>
      </c>
      <c r="C1616" t="s">
        <v>2461</v>
      </c>
      <c r="D1616" t="s">
        <v>2466</v>
      </c>
      <c r="E1616" t="str">
        <f t="shared" si="50"/>
        <v>EAST HANOVER</v>
      </c>
      <c r="F1616" t="s">
        <v>2483</v>
      </c>
      <c r="G1616">
        <v>0.28999999999999998</v>
      </c>
      <c r="H1616" t="s">
        <v>2489</v>
      </c>
      <c r="I1616">
        <v>0</v>
      </c>
      <c r="J1616">
        <v>1</v>
      </c>
      <c r="K1616" s="9">
        <f t="shared" si="51"/>
        <v>45527</v>
      </c>
      <c r="L1616" t="s">
        <v>2902</v>
      </c>
      <c r="M1616" t="s">
        <v>2929</v>
      </c>
    </row>
    <row r="1617" spans="1:13" x14ac:dyDescent="0.35">
      <c r="A1617" t="s">
        <v>1616</v>
      </c>
      <c r="B1617" t="s">
        <v>2355</v>
      </c>
      <c r="C1617" t="s">
        <v>2457</v>
      </c>
      <c r="D1617" t="s">
        <v>2476</v>
      </c>
      <c r="E1617" t="str">
        <f t="shared" si="50"/>
        <v>BUDAPEST SITE</v>
      </c>
      <c r="F1617" t="s">
        <v>2479</v>
      </c>
      <c r="H1617" t="s">
        <v>2486</v>
      </c>
      <c r="I1617">
        <v>0</v>
      </c>
      <c r="J1617">
        <v>120</v>
      </c>
      <c r="K1617" s="9">
        <f t="shared" si="51"/>
        <v>45598</v>
      </c>
      <c r="L1617" t="s">
        <v>2778</v>
      </c>
      <c r="M1617" t="s">
        <v>2926</v>
      </c>
    </row>
    <row r="1618" spans="1:13" hidden="1" x14ac:dyDescent="0.35">
      <c r="A1618" t="s">
        <v>1617</v>
      </c>
      <c r="B1618" t="s">
        <v>2411</v>
      </c>
      <c r="C1618" t="s">
        <v>2457</v>
      </c>
      <c r="D1618" t="s">
        <v>2470</v>
      </c>
      <c r="E1618" t="str">
        <f t="shared" si="50"/>
        <v>E. HANOVER</v>
      </c>
      <c r="F1618" t="s">
        <v>2483</v>
      </c>
      <c r="G1618">
        <v>0.16</v>
      </c>
      <c r="H1618" t="s">
        <v>2489</v>
      </c>
      <c r="I1618">
        <v>0</v>
      </c>
      <c r="J1618">
        <v>1</v>
      </c>
      <c r="K1618" s="9">
        <f t="shared" si="51"/>
        <v>45612</v>
      </c>
      <c r="L1618" t="s">
        <v>2828</v>
      </c>
      <c r="M1618" t="s">
        <v>2924</v>
      </c>
    </row>
    <row r="1619" spans="1:13" hidden="1" x14ac:dyDescent="0.35">
      <c r="A1619" t="s">
        <v>1618</v>
      </c>
      <c r="B1619" t="s">
        <v>2168</v>
      </c>
      <c r="C1619" t="s">
        <v>2459</v>
      </c>
      <c r="D1619" t="s">
        <v>2471</v>
      </c>
      <c r="E1619" t="str">
        <f t="shared" si="50"/>
        <v>BUDAPEST</v>
      </c>
      <c r="F1619" t="s">
        <v>2484</v>
      </c>
      <c r="G1619">
        <v>6.38</v>
      </c>
      <c r="I1619">
        <v>6</v>
      </c>
      <c r="J1619">
        <v>7.5</v>
      </c>
      <c r="K1619" s="9">
        <f t="shared" si="51"/>
        <v>45558</v>
      </c>
      <c r="L1619" t="s">
        <v>2641</v>
      </c>
      <c r="M1619" t="s">
        <v>2923</v>
      </c>
    </row>
    <row r="1620" spans="1:13" hidden="1" x14ac:dyDescent="0.35">
      <c r="A1620" t="s">
        <v>1619</v>
      </c>
      <c r="B1620" t="s">
        <v>2331</v>
      </c>
      <c r="C1620" t="s">
        <v>2457</v>
      </c>
      <c r="D1620" t="s">
        <v>2476</v>
      </c>
      <c r="E1620" t="str">
        <f t="shared" si="50"/>
        <v>BUDAPEST SITE</v>
      </c>
      <c r="F1620" t="s">
        <v>2483</v>
      </c>
      <c r="G1620">
        <v>0.4</v>
      </c>
      <c r="H1620" t="s">
        <v>2489</v>
      </c>
      <c r="I1620">
        <v>0</v>
      </c>
      <c r="J1620">
        <v>1</v>
      </c>
      <c r="K1620" s="9">
        <f t="shared" si="51"/>
        <v>46019</v>
      </c>
      <c r="L1620" t="s">
        <v>2763</v>
      </c>
      <c r="M1620" t="s">
        <v>2926</v>
      </c>
    </row>
    <row r="1621" spans="1:13" hidden="1" x14ac:dyDescent="0.35">
      <c r="A1621" t="s">
        <v>1620</v>
      </c>
      <c r="B1621" t="s">
        <v>2203</v>
      </c>
      <c r="C1621" t="s">
        <v>2458</v>
      </c>
      <c r="D1621" t="s">
        <v>2473</v>
      </c>
      <c r="E1621" t="str">
        <f t="shared" si="50"/>
        <v>DORTMUND</v>
      </c>
      <c r="F1621" t="s">
        <v>2482</v>
      </c>
      <c r="G1621">
        <v>99.05</v>
      </c>
      <c r="H1621" t="s">
        <v>2489</v>
      </c>
      <c r="I1621">
        <v>97</v>
      </c>
      <c r="J1621">
        <v>100</v>
      </c>
      <c r="K1621" s="9">
        <f t="shared" si="51"/>
        <v>45911</v>
      </c>
      <c r="L1621" t="s">
        <v>2673</v>
      </c>
      <c r="M1621" t="s">
        <v>2929</v>
      </c>
    </row>
    <row r="1622" spans="1:13" hidden="1" x14ac:dyDescent="0.35">
      <c r="A1622" t="s">
        <v>1621</v>
      </c>
      <c r="B1622" t="s">
        <v>2020</v>
      </c>
      <c r="C1622" t="s">
        <v>2458</v>
      </c>
      <c r="D1622" t="s">
        <v>2478</v>
      </c>
      <c r="E1622" t="str">
        <f t="shared" si="50"/>
        <v>BUD</v>
      </c>
      <c r="F1622" t="s">
        <v>2481</v>
      </c>
      <c r="G1622">
        <v>272.79000000000002</v>
      </c>
      <c r="H1622" t="s">
        <v>2488</v>
      </c>
      <c r="I1622">
        <v>150</v>
      </c>
      <c r="J1622">
        <v>400</v>
      </c>
      <c r="K1622" s="9">
        <f t="shared" si="51"/>
        <v>45655</v>
      </c>
      <c r="L1622" t="s">
        <v>2500</v>
      </c>
      <c r="M1622" t="s">
        <v>2932</v>
      </c>
    </row>
    <row r="1623" spans="1:13" hidden="1" x14ac:dyDescent="0.35">
      <c r="A1623" t="s">
        <v>1622</v>
      </c>
      <c r="B1623" t="s">
        <v>2115</v>
      </c>
      <c r="C1623" t="s">
        <v>2457</v>
      </c>
      <c r="D1623" t="s">
        <v>2476</v>
      </c>
      <c r="E1623" t="str">
        <f t="shared" si="50"/>
        <v>BUDAPEST SITE</v>
      </c>
      <c r="F1623" t="s">
        <v>2481</v>
      </c>
      <c r="G1623">
        <v>250.96</v>
      </c>
      <c r="H1623" t="s">
        <v>2488</v>
      </c>
      <c r="I1623">
        <v>150</v>
      </c>
      <c r="J1623">
        <v>400</v>
      </c>
      <c r="K1623" s="9">
        <f t="shared" si="51"/>
        <v>45931</v>
      </c>
      <c r="L1623" t="s">
        <v>2590</v>
      </c>
      <c r="M1623" t="s">
        <v>2927</v>
      </c>
    </row>
    <row r="1624" spans="1:13" hidden="1" x14ac:dyDescent="0.35">
      <c r="A1624" t="s">
        <v>1623</v>
      </c>
      <c r="B1624" t="s">
        <v>2394</v>
      </c>
      <c r="C1624" t="s">
        <v>2460</v>
      </c>
      <c r="D1624" t="s">
        <v>2468</v>
      </c>
      <c r="E1624" t="str">
        <f t="shared" si="50"/>
        <v>VERNIER CH</v>
      </c>
      <c r="F1624" t="s">
        <v>2481</v>
      </c>
      <c r="G1624">
        <v>238.78</v>
      </c>
      <c r="H1624" t="s">
        <v>2488</v>
      </c>
      <c r="I1624">
        <v>150</v>
      </c>
      <c r="J1624">
        <v>400</v>
      </c>
      <c r="K1624" s="9">
        <f t="shared" si="51"/>
        <v>45499</v>
      </c>
      <c r="L1624" t="s">
        <v>2671</v>
      </c>
      <c r="M1624" t="s">
        <v>2925</v>
      </c>
    </row>
    <row r="1625" spans="1:13" hidden="1" x14ac:dyDescent="0.35">
      <c r="A1625" t="s">
        <v>1624</v>
      </c>
      <c r="B1625" t="s">
        <v>2337</v>
      </c>
      <c r="C1625" t="s">
        <v>2461</v>
      </c>
      <c r="D1625" t="s">
        <v>2464</v>
      </c>
      <c r="E1625" t="str">
        <f t="shared" si="50"/>
        <v>EAST HANOVER</v>
      </c>
      <c r="F1625" t="s">
        <v>2479</v>
      </c>
      <c r="G1625">
        <v>37.19</v>
      </c>
      <c r="H1625" t="s">
        <v>2486</v>
      </c>
      <c r="I1625">
        <v>0</v>
      </c>
      <c r="J1625">
        <v>120</v>
      </c>
      <c r="K1625" s="9">
        <f t="shared" si="51"/>
        <v>45545</v>
      </c>
      <c r="L1625" t="s">
        <v>2767</v>
      </c>
      <c r="M1625" t="s">
        <v>2931</v>
      </c>
    </row>
    <row r="1626" spans="1:13" hidden="1" x14ac:dyDescent="0.35">
      <c r="A1626" t="s">
        <v>1625</v>
      </c>
      <c r="B1626" t="s">
        <v>2443</v>
      </c>
      <c r="C1626" t="s">
        <v>2460</v>
      </c>
      <c r="D1626" t="s">
        <v>2462</v>
      </c>
      <c r="E1626" t="str">
        <f t="shared" si="50"/>
        <v>ASHFORD UK</v>
      </c>
      <c r="F1626" t="s">
        <v>2479</v>
      </c>
      <c r="G1626">
        <v>55.8</v>
      </c>
      <c r="H1626" t="s">
        <v>2486</v>
      </c>
      <c r="I1626">
        <v>0</v>
      </c>
      <c r="J1626">
        <v>120</v>
      </c>
      <c r="K1626" s="9">
        <f t="shared" si="51"/>
        <v>45533</v>
      </c>
      <c r="L1626" t="s">
        <v>2903</v>
      </c>
      <c r="M1626" t="s">
        <v>2930</v>
      </c>
    </row>
    <row r="1627" spans="1:13" hidden="1" x14ac:dyDescent="0.35">
      <c r="A1627" t="s">
        <v>1626</v>
      </c>
      <c r="B1627" t="s">
        <v>2051</v>
      </c>
      <c r="C1627" t="s">
        <v>2461</v>
      </c>
      <c r="D1627" t="s">
        <v>2473</v>
      </c>
      <c r="E1627" t="str">
        <f t="shared" si="50"/>
        <v>DORTMUND</v>
      </c>
      <c r="F1627" t="s">
        <v>2479</v>
      </c>
      <c r="G1627">
        <v>59.79</v>
      </c>
      <c r="H1627" t="s">
        <v>2486</v>
      </c>
      <c r="I1627">
        <v>0</v>
      </c>
      <c r="J1627">
        <v>120</v>
      </c>
      <c r="K1627" s="9">
        <f t="shared" si="51"/>
        <v>45564</v>
      </c>
      <c r="L1627" t="s">
        <v>2530</v>
      </c>
      <c r="M1627" t="s">
        <v>2931</v>
      </c>
    </row>
    <row r="1628" spans="1:13" hidden="1" x14ac:dyDescent="0.35">
      <c r="A1628" t="s">
        <v>1627</v>
      </c>
      <c r="B1628" t="s">
        <v>2276</v>
      </c>
      <c r="C1628" t="s">
        <v>2457</v>
      </c>
      <c r="D1628" t="s">
        <v>2476</v>
      </c>
      <c r="E1628" t="str">
        <f t="shared" si="50"/>
        <v>BUDAPEST SITE</v>
      </c>
      <c r="F1628" t="s">
        <v>2485</v>
      </c>
      <c r="G1628">
        <v>60.04</v>
      </c>
      <c r="H1628" t="s">
        <v>2490</v>
      </c>
      <c r="I1628">
        <v>0</v>
      </c>
      <c r="J1628">
        <v>100</v>
      </c>
      <c r="K1628" s="9">
        <f t="shared" si="51"/>
        <v>45685</v>
      </c>
      <c r="L1628" t="s">
        <v>2724</v>
      </c>
      <c r="M1628" t="s">
        <v>2923</v>
      </c>
    </row>
    <row r="1629" spans="1:13" hidden="1" x14ac:dyDescent="0.35">
      <c r="A1629" t="s">
        <v>1628</v>
      </c>
      <c r="B1629" t="s">
        <v>2280</v>
      </c>
      <c r="C1629" t="s">
        <v>2460</v>
      </c>
      <c r="D1629" t="s">
        <v>2464</v>
      </c>
      <c r="E1629" t="str">
        <f t="shared" si="50"/>
        <v>EAST HANOVER</v>
      </c>
      <c r="F1629" t="s">
        <v>2483</v>
      </c>
      <c r="G1629">
        <v>0.63</v>
      </c>
      <c r="H1629" t="s">
        <v>2489</v>
      </c>
      <c r="I1629">
        <v>0</v>
      </c>
      <c r="J1629">
        <v>1</v>
      </c>
      <c r="K1629" s="9">
        <f t="shared" si="51"/>
        <v>45685</v>
      </c>
      <c r="L1629" t="s">
        <v>2724</v>
      </c>
      <c r="M1629" t="s">
        <v>2926</v>
      </c>
    </row>
    <row r="1630" spans="1:13" hidden="1" x14ac:dyDescent="0.35">
      <c r="A1630" t="s">
        <v>1629</v>
      </c>
      <c r="B1630" t="s">
        <v>2360</v>
      </c>
      <c r="C1630" t="s">
        <v>2458</v>
      </c>
      <c r="D1630" t="s">
        <v>2467</v>
      </c>
      <c r="E1630" t="str">
        <f t="shared" si="50"/>
        <v>ASHFORD</v>
      </c>
      <c r="F1630" t="s">
        <v>2481</v>
      </c>
      <c r="G1630">
        <v>283.47000000000003</v>
      </c>
      <c r="H1630" t="s">
        <v>2488</v>
      </c>
      <c r="I1630">
        <v>150</v>
      </c>
      <c r="J1630">
        <v>400</v>
      </c>
      <c r="K1630" s="9">
        <f t="shared" si="51"/>
        <v>45509</v>
      </c>
      <c r="L1630" t="s">
        <v>2783</v>
      </c>
      <c r="M1630" t="s">
        <v>2925</v>
      </c>
    </row>
    <row r="1631" spans="1:13" x14ac:dyDescent="0.35">
      <c r="A1631" t="s">
        <v>1630</v>
      </c>
      <c r="B1631" t="s">
        <v>2338</v>
      </c>
      <c r="C1631" t="s">
        <v>2458</v>
      </c>
      <c r="D1631" t="s">
        <v>2477</v>
      </c>
      <c r="E1631" t="str">
        <f t="shared" si="50"/>
        <v>BUDAPEST</v>
      </c>
      <c r="F1631" t="s">
        <v>2482</v>
      </c>
      <c r="H1631" t="s">
        <v>2489</v>
      </c>
      <c r="I1631">
        <v>97</v>
      </c>
      <c r="J1631">
        <v>100</v>
      </c>
      <c r="K1631" s="9">
        <f t="shared" si="51"/>
        <v>45311</v>
      </c>
      <c r="L1631" t="s">
        <v>2768</v>
      </c>
      <c r="M1631" t="s">
        <v>2924</v>
      </c>
    </row>
    <row r="1632" spans="1:13" x14ac:dyDescent="0.35">
      <c r="A1632" t="s">
        <v>1631</v>
      </c>
      <c r="B1632" t="s">
        <v>2335</v>
      </c>
      <c r="C1632" t="s">
        <v>2459</v>
      </c>
      <c r="D1632" t="s">
        <v>2470</v>
      </c>
      <c r="E1632" t="str">
        <f t="shared" si="50"/>
        <v>E. HANOVER</v>
      </c>
      <c r="F1632" t="s">
        <v>2481</v>
      </c>
      <c r="H1632" t="s">
        <v>2488</v>
      </c>
      <c r="I1632">
        <v>150</v>
      </c>
      <c r="J1632">
        <v>400</v>
      </c>
      <c r="K1632" s="9">
        <f t="shared" si="51"/>
        <v>45419</v>
      </c>
      <c r="L1632" t="s">
        <v>2765</v>
      </c>
      <c r="M1632" t="s">
        <v>2932</v>
      </c>
    </row>
    <row r="1633" spans="1:13" hidden="1" x14ac:dyDescent="0.35">
      <c r="A1633" t="s">
        <v>1632</v>
      </c>
      <c r="B1633" t="s">
        <v>2409</v>
      </c>
      <c r="C1633" t="s">
        <v>2459</v>
      </c>
      <c r="D1633" t="s">
        <v>2466</v>
      </c>
      <c r="E1633" t="str">
        <f t="shared" si="50"/>
        <v>EAST HANOVER</v>
      </c>
      <c r="F1633" t="s">
        <v>2483</v>
      </c>
      <c r="G1633">
        <v>0.5</v>
      </c>
      <c r="H1633" t="s">
        <v>2489</v>
      </c>
      <c r="I1633">
        <v>0</v>
      </c>
      <c r="J1633">
        <v>1</v>
      </c>
      <c r="K1633" s="9">
        <f t="shared" si="51"/>
        <v>45416</v>
      </c>
      <c r="L1633" t="s">
        <v>2553</v>
      </c>
      <c r="M1633" t="s">
        <v>2924</v>
      </c>
    </row>
    <row r="1634" spans="1:13" hidden="1" x14ac:dyDescent="0.35">
      <c r="A1634" t="s">
        <v>1633</v>
      </c>
      <c r="B1634" t="s">
        <v>2307</v>
      </c>
      <c r="C1634" t="s">
        <v>2460</v>
      </c>
      <c r="D1634" t="s">
        <v>2468</v>
      </c>
      <c r="E1634" t="str">
        <f t="shared" si="50"/>
        <v>VERNIER CH</v>
      </c>
      <c r="F1634" t="s">
        <v>2480</v>
      </c>
      <c r="G1634">
        <v>0.9</v>
      </c>
      <c r="H1634" t="s">
        <v>2487</v>
      </c>
      <c r="I1634">
        <v>0.88</v>
      </c>
      <c r="J1634">
        <v>0.97</v>
      </c>
      <c r="K1634" s="9">
        <f t="shared" si="51"/>
        <v>45622</v>
      </c>
      <c r="L1634" t="s">
        <v>2743</v>
      </c>
      <c r="M1634" t="s">
        <v>2931</v>
      </c>
    </row>
    <row r="1635" spans="1:13" hidden="1" x14ac:dyDescent="0.35">
      <c r="A1635" t="s">
        <v>1634</v>
      </c>
      <c r="B1635" t="s">
        <v>2186</v>
      </c>
      <c r="C1635" t="s">
        <v>2457</v>
      </c>
      <c r="D1635" t="s">
        <v>2476</v>
      </c>
      <c r="E1635" t="str">
        <f t="shared" si="50"/>
        <v>BUDAPEST SITE</v>
      </c>
      <c r="F1635" t="s">
        <v>2482</v>
      </c>
      <c r="G1635">
        <v>98.73</v>
      </c>
      <c r="H1635" t="s">
        <v>2489</v>
      </c>
      <c r="I1635">
        <v>97</v>
      </c>
      <c r="J1635">
        <v>100</v>
      </c>
      <c r="K1635" s="9">
        <f t="shared" si="51"/>
        <v>45579</v>
      </c>
      <c r="L1635" t="s">
        <v>2708</v>
      </c>
      <c r="M1635" t="s">
        <v>2929</v>
      </c>
    </row>
    <row r="1636" spans="1:13" hidden="1" x14ac:dyDescent="0.35">
      <c r="A1636" t="s">
        <v>1635</v>
      </c>
      <c r="B1636" t="s">
        <v>2137</v>
      </c>
      <c r="C1636" t="s">
        <v>2460</v>
      </c>
      <c r="D1636" t="s">
        <v>2467</v>
      </c>
      <c r="E1636" t="str">
        <f t="shared" si="50"/>
        <v>ASHFORD</v>
      </c>
      <c r="F1636" t="s">
        <v>2483</v>
      </c>
      <c r="G1636">
        <v>0.6</v>
      </c>
      <c r="H1636" t="s">
        <v>2489</v>
      </c>
      <c r="I1636">
        <v>0</v>
      </c>
      <c r="J1636">
        <v>1</v>
      </c>
      <c r="K1636" s="9">
        <f t="shared" si="51"/>
        <v>45661</v>
      </c>
      <c r="L1636" t="s">
        <v>2612</v>
      </c>
      <c r="M1636" t="s">
        <v>2930</v>
      </c>
    </row>
    <row r="1637" spans="1:13" hidden="1" x14ac:dyDescent="0.35">
      <c r="A1637" t="s">
        <v>1636</v>
      </c>
      <c r="B1637" t="s">
        <v>2396</v>
      </c>
      <c r="C1637" t="s">
        <v>2461</v>
      </c>
      <c r="D1637" t="s">
        <v>2478</v>
      </c>
      <c r="E1637" t="str">
        <f t="shared" si="50"/>
        <v>BUD</v>
      </c>
      <c r="F1637" t="s">
        <v>2483</v>
      </c>
      <c r="G1637">
        <v>0.4</v>
      </c>
      <c r="H1637" t="s">
        <v>2489</v>
      </c>
      <c r="I1637">
        <v>0</v>
      </c>
      <c r="J1637">
        <v>1</v>
      </c>
      <c r="K1637" s="9">
        <f t="shared" si="51"/>
        <v>45767</v>
      </c>
      <c r="L1637" t="s">
        <v>2811</v>
      </c>
      <c r="M1637" t="s">
        <v>2926</v>
      </c>
    </row>
    <row r="1638" spans="1:13" hidden="1" x14ac:dyDescent="0.35">
      <c r="A1638" t="s">
        <v>1637</v>
      </c>
      <c r="B1638" t="s">
        <v>2070</v>
      </c>
      <c r="C1638" t="s">
        <v>2460</v>
      </c>
      <c r="D1638" t="s">
        <v>2472</v>
      </c>
      <c r="E1638" t="str">
        <f t="shared" si="50"/>
        <v>VERNIER</v>
      </c>
      <c r="F1638" t="s">
        <v>2481</v>
      </c>
      <c r="G1638">
        <v>187.55</v>
      </c>
      <c r="H1638" t="s">
        <v>2488</v>
      </c>
      <c r="I1638">
        <v>150</v>
      </c>
      <c r="J1638">
        <v>400</v>
      </c>
      <c r="K1638" s="9">
        <f t="shared" si="51"/>
        <v>45300</v>
      </c>
      <c r="L1638" t="s">
        <v>2549</v>
      </c>
      <c r="M1638" t="s">
        <v>2930</v>
      </c>
    </row>
    <row r="1639" spans="1:13" hidden="1" x14ac:dyDescent="0.35">
      <c r="A1639" t="s">
        <v>1638</v>
      </c>
      <c r="B1639" t="s">
        <v>2449</v>
      </c>
      <c r="C1639" t="s">
        <v>2460</v>
      </c>
      <c r="D1639" t="s">
        <v>2477</v>
      </c>
      <c r="E1639" t="str">
        <f t="shared" si="50"/>
        <v>BUDAPEST</v>
      </c>
      <c r="F1639" t="s">
        <v>2485</v>
      </c>
      <c r="G1639">
        <v>21.82</v>
      </c>
      <c r="H1639" t="s">
        <v>2490</v>
      </c>
      <c r="I1639">
        <v>0</v>
      </c>
      <c r="J1639">
        <v>100</v>
      </c>
      <c r="K1639" s="9">
        <f t="shared" si="51"/>
        <v>45526</v>
      </c>
      <c r="L1639" t="s">
        <v>2879</v>
      </c>
      <c r="M1639" t="s">
        <v>2925</v>
      </c>
    </row>
    <row r="1640" spans="1:13" hidden="1" x14ac:dyDescent="0.35">
      <c r="A1640" t="s">
        <v>1639</v>
      </c>
      <c r="B1640" t="s">
        <v>2066</v>
      </c>
      <c r="C1640" t="s">
        <v>2459</v>
      </c>
      <c r="D1640" t="s">
        <v>2475</v>
      </c>
      <c r="E1640" t="str">
        <f t="shared" si="50"/>
        <v>ASHFORD</v>
      </c>
      <c r="F1640" t="s">
        <v>2482</v>
      </c>
      <c r="G1640">
        <v>99.24</v>
      </c>
      <c r="H1640" t="s">
        <v>2489</v>
      </c>
      <c r="I1640">
        <v>97</v>
      </c>
      <c r="J1640">
        <v>100</v>
      </c>
      <c r="K1640" s="9">
        <f t="shared" si="51"/>
        <v>45566</v>
      </c>
      <c r="L1640" t="s">
        <v>2804</v>
      </c>
      <c r="M1640" t="s">
        <v>2928</v>
      </c>
    </row>
    <row r="1641" spans="1:13" hidden="1" x14ac:dyDescent="0.35">
      <c r="A1641" t="s">
        <v>1640</v>
      </c>
      <c r="B1641" t="s">
        <v>2436</v>
      </c>
      <c r="C1641" t="s">
        <v>2461</v>
      </c>
      <c r="D1641" t="s">
        <v>2467</v>
      </c>
      <c r="E1641" t="str">
        <f t="shared" si="50"/>
        <v>ASHFORD</v>
      </c>
      <c r="F1641" t="s">
        <v>2485</v>
      </c>
      <c r="G1641">
        <v>29.5</v>
      </c>
      <c r="H1641" t="s">
        <v>2490</v>
      </c>
      <c r="I1641">
        <v>0</v>
      </c>
      <c r="J1641">
        <v>100</v>
      </c>
      <c r="K1641" s="9">
        <f t="shared" si="51"/>
        <v>45332</v>
      </c>
      <c r="L1641" t="s">
        <v>2852</v>
      </c>
      <c r="M1641" t="s">
        <v>2932</v>
      </c>
    </row>
    <row r="1642" spans="1:13" hidden="1" x14ac:dyDescent="0.35">
      <c r="A1642" t="s">
        <v>1641</v>
      </c>
      <c r="B1642" t="s">
        <v>2193</v>
      </c>
      <c r="C1642" t="s">
        <v>2460</v>
      </c>
      <c r="D1642" t="s">
        <v>2475</v>
      </c>
      <c r="E1642" t="str">
        <f t="shared" si="50"/>
        <v>ASHFORD</v>
      </c>
      <c r="F1642" t="s">
        <v>2483</v>
      </c>
      <c r="G1642">
        <v>0.4</v>
      </c>
      <c r="H1642" t="s">
        <v>2489</v>
      </c>
      <c r="I1642">
        <v>0</v>
      </c>
      <c r="J1642">
        <v>1</v>
      </c>
      <c r="K1642" s="9">
        <f t="shared" si="51"/>
        <v>45552</v>
      </c>
      <c r="L1642" t="s">
        <v>2664</v>
      </c>
      <c r="M1642" t="s">
        <v>2926</v>
      </c>
    </row>
    <row r="1643" spans="1:13" hidden="1" x14ac:dyDescent="0.35">
      <c r="A1643" t="s">
        <v>1642</v>
      </c>
      <c r="B1643" t="s">
        <v>2091</v>
      </c>
      <c r="C1643" t="s">
        <v>2460</v>
      </c>
      <c r="D1643" t="s">
        <v>2463</v>
      </c>
      <c r="E1643" t="str">
        <f t="shared" si="50"/>
        <v>VERNIER</v>
      </c>
      <c r="F1643" t="s">
        <v>2479</v>
      </c>
      <c r="G1643">
        <v>86.42</v>
      </c>
      <c r="H1643" t="s">
        <v>2486</v>
      </c>
      <c r="I1643">
        <v>0</v>
      </c>
      <c r="J1643">
        <v>120</v>
      </c>
      <c r="K1643" s="9">
        <f t="shared" si="51"/>
        <v>45517</v>
      </c>
      <c r="L1643" t="s">
        <v>2569</v>
      </c>
      <c r="M1643" t="s">
        <v>2932</v>
      </c>
    </row>
    <row r="1644" spans="1:13" hidden="1" x14ac:dyDescent="0.35">
      <c r="A1644" t="s">
        <v>1643</v>
      </c>
      <c r="B1644" t="s">
        <v>2204</v>
      </c>
      <c r="C1644" t="s">
        <v>2460</v>
      </c>
      <c r="D1644" t="s">
        <v>2472</v>
      </c>
      <c r="E1644" t="str">
        <f t="shared" si="50"/>
        <v>VERNIER</v>
      </c>
      <c r="F1644" t="s">
        <v>2482</v>
      </c>
      <c r="G1644">
        <v>98.67</v>
      </c>
      <c r="H1644" t="s">
        <v>2489</v>
      </c>
      <c r="I1644">
        <v>97</v>
      </c>
      <c r="J1644">
        <v>100</v>
      </c>
      <c r="K1644" s="9">
        <f t="shared" si="51"/>
        <v>45445</v>
      </c>
      <c r="L1644" t="s">
        <v>2628</v>
      </c>
      <c r="M1644" t="s">
        <v>2924</v>
      </c>
    </row>
    <row r="1645" spans="1:13" hidden="1" x14ac:dyDescent="0.35">
      <c r="A1645" t="s">
        <v>1644</v>
      </c>
      <c r="B1645" t="s">
        <v>2062</v>
      </c>
      <c r="C1645" t="s">
        <v>2458</v>
      </c>
      <c r="D1645" t="s">
        <v>2470</v>
      </c>
      <c r="E1645" t="str">
        <f t="shared" si="50"/>
        <v>E. HANOVER</v>
      </c>
      <c r="F1645" t="s">
        <v>2481</v>
      </c>
      <c r="G1645">
        <v>307.24</v>
      </c>
      <c r="H1645" t="s">
        <v>2488</v>
      </c>
      <c r="I1645">
        <v>150</v>
      </c>
      <c r="J1645">
        <v>400</v>
      </c>
      <c r="K1645" s="9">
        <f t="shared" si="51"/>
        <v>45845</v>
      </c>
      <c r="L1645" t="s">
        <v>2541</v>
      </c>
      <c r="M1645" t="s">
        <v>2925</v>
      </c>
    </row>
    <row r="1646" spans="1:13" hidden="1" x14ac:dyDescent="0.35">
      <c r="A1646" t="s">
        <v>1645</v>
      </c>
      <c r="B1646" t="s">
        <v>2319</v>
      </c>
      <c r="C1646" t="s">
        <v>2458</v>
      </c>
      <c r="D1646" t="s">
        <v>2474</v>
      </c>
      <c r="E1646" t="str">
        <f t="shared" si="50"/>
        <v>DORTMUND DE</v>
      </c>
      <c r="F1646" t="s">
        <v>2480</v>
      </c>
      <c r="G1646">
        <v>0.96</v>
      </c>
      <c r="H1646" t="s">
        <v>2487</v>
      </c>
      <c r="I1646">
        <v>0.88</v>
      </c>
      <c r="J1646">
        <v>0.97</v>
      </c>
      <c r="K1646" s="9">
        <f t="shared" si="51"/>
        <v>45477</v>
      </c>
      <c r="L1646" t="s">
        <v>2904</v>
      </c>
      <c r="M1646" t="s">
        <v>2923</v>
      </c>
    </row>
    <row r="1647" spans="1:13" hidden="1" x14ac:dyDescent="0.35">
      <c r="A1647" t="s">
        <v>1646</v>
      </c>
      <c r="B1647" t="s">
        <v>2340</v>
      </c>
      <c r="C1647" t="s">
        <v>2460</v>
      </c>
      <c r="D1647" t="s">
        <v>2463</v>
      </c>
      <c r="E1647" t="str">
        <f t="shared" si="50"/>
        <v>VERNIER</v>
      </c>
      <c r="F1647" t="s">
        <v>2481</v>
      </c>
      <c r="G1647">
        <v>257.91000000000003</v>
      </c>
      <c r="H1647" t="s">
        <v>2488</v>
      </c>
      <c r="I1647">
        <v>150</v>
      </c>
      <c r="J1647">
        <v>400</v>
      </c>
      <c r="K1647" s="9">
        <f t="shared" si="51"/>
        <v>45890</v>
      </c>
      <c r="L1647" t="s">
        <v>2881</v>
      </c>
      <c r="M1647" t="s">
        <v>2928</v>
      </c>
    </row>
    <row r="1648" spans="1:13" hidden="1" x14ac:dyDescent="0.35">
      <c r="A1648" t="s">
        <v>1647</v>
      </c>
      <c r="B1648" t="s">
        <v>2054</v>
      </c>
      <c r="C1648" t="s">
        <v>2457</v>
      </c>
      <c r="D1648" t="s">
        <v>2468</v>
      </c>
      <c r="E1648" t="str">
        <f t="shared" si="50"/>
        <v>VERNIER CH</v>
      </c>
      <c r="F1648" t="s">
        <v>2485</v>
      </c>
      <c r="G1648">
        <v>34.549999999999997</v>
      </c>
      <c r="H1648" t="s">
        <v>2490</v>
      </c>
      <c r="I1648">
        <v>0</v>
      </c>
      <c r="J1648">
        <v>100</v>
      </c>
      <c r="K1648" s="9">
        <f t="shared" si="51"/>
        <v>45510</v>
      </c>
      <c r="L1648" t="s">
        <v>2533</v>
      </c>
      <c r="M1648" t="s">
        <v>2932</v>
      </c>
    </row>
    <row r="1649" spans="1:13" hidden="1" x14ac:dyDescent="0.35">
      <c r="A1649" t="s">
        <v>1648</v>
      </c>
      <c r="B1649" t="s">
        <v>2264</v>
      </c>
      <c r="C1649" t="s">
        <v>2459</v>
      </c>
      <c r="D1649" t="s">
        <v>2473</v>
      </c>
      <c r="E1649" t="str">
        <f t="shared" si="50"/>
        <v>DORTMUND</v>
      </c>
      <c r="F1649" t="s">
        <v>2484</v>
      </c>
      <c r="G1649">
        <v>6.22</v>
      </c>
      <c r="I1649">
        <v>6</v>
      </c>
      <c r="J1649">
        <v>7.5</v>
      </c>
      <c r="K1649" s="9">
        <f t="shared" si="51"/>
        <v>45795</v>
      </c>
      <c r="L1649" t="s">
        <v>2862</v>
      </c>
      <c r="M1649" t="s">
        <v>2928</v>
      </c>
    </row>
    <row r="1650" spans="1:13" hidden="1" x14ac:dyDescent="0.35">
      <c r="A1650" t="s">
        <v>1649</v>
      </c>
      <c r="B1650" t="s">
        <v>2300</v>
      </c>
      <c r="C1650" t="s">
        <v>2459</v>
      </c>
      <c r="D1650" t="s">
        <v>2468</v>
      </c>
      <c r="E1650" t="str">
        <f t="shared" si="50"/>
        <v>VERNIER CH</v>
      </c>
      <c r="F1650" t="s">
        <v>2481</v>
      </c>
      <c r="G1650">
        <v>243.21</v>
      </c>
      <c r="H1650" t="s">
        <v>2488</v>
      </c>
      <c r="I1650">
        <v>150</v>
      </c>
      <c r="J1650">
        <v>400</v>
      </c>
      <c r="K1650" s="9">
        <f t="shared" si="51"/>
        <v>45595</v>
      </c>
      <c r="L1650" t="s">
        <v>2631</v>
      </c>
      <c r="M1650" t="s">
        <v>2925</v>
      </c>
    </row>
    <row r="1651" spans="1:13" hidden="1" x14ac:dyDescent="0.35">
      <c r="A1651" t="s">
        <v>1650</v>
      </c>
      <c r="B1651" t="s">
        <v>2273</v>
      </c>
      <c r="C1651" t="s">
        <v>2459</v>
      </c>
      <c r="D1651" t="s">
        <v>2478</v>
      </c>
      <c r="E1651" t="str">
        <f t="shared" si="50"/>
        <v>BUD</v>
      </c>
      <c r="F1651" t="s">
        <v>2485</v>
      </c>
      <c r="G1651">
        <v>52.67</v>
      </c>
      <c r="H1651" t="s">
        <v>2490</v>
      </c>
      <c r="I1651">
        <v>0</v>
      </c>
      <c r="J1651">
        <v>100</v>
      </c>
      <c r="K1651" s="9">
        <f t="shared" si="51"/>
        <v>45657</v>
      </c>
      <c r="L1651" t="s">
        <v>2721</v>
      </c>
      <c r="M1651" t="s">
        <v>2926</v>
      </c>
    </row>
    <row r="1652" spans="1:13" hidden="1" x14ac:dyDescent="0.35">
      <c r="A1652" t="s">
        <v>1651</v>
      </c>
      <c r="B1652" t="s">
        <v>2179</v>
      </c>
      <c r="C1652" t="s">
        <v>2460</v>
      </c>
      <c r="D1652" t="s">
        <v>2474</v>
      </c>
      <c r="E1652" t="str">
        <f t="shared" si="50"/>
        <v>DORTMUND DE</v>
      </c>
      <c r="F1652" t="s">
        <v>2485</v>
      </c>
      <c r="G1652">
        <v>25.79</v>
      </c>
      <c r="H1652" t="s">
        <v>2490</v>
      </c>
      <c r="I1652">
        <v>0</v>
      </c>
      <c r="J1652">
        <v>100</v>
      </c>
      <c r="K1652" s="9">
        <f t="shared" si="51"/>
        <v>45693</v>
      </c>
      <c r="L1652" t="s">
        <v>2651</v>
      </c>
      <c r="M1652" t="s">
        <v>2923</v>
      </c>
    </row>
    <row r="1653" spans="1:13" hidden="1" x14ac:dyDescent="0.35">
      <c r="A1653" t="s">
        <v>1652</v>
      </c>
      <c r="B1653" t="s">
        <v>2049</v>
      </c>
      <c r="C1653" t="s">
        <v>2458</v>
      </c>
      <c r="D1653" t="s">
        <v>2474</v>
      </c>
      <c r="E1653" t="str">
        <f t="shared" si="50"/>
        <v>DORTMUND DE</v>
      </c>
      <c r="F1653" t="s">
        <v>2483</v>
      </c>
      <c r="G1653">
        <v>0.08</v>
      </c>
      <c r="H1653" t="s">
        <v>2489</v>
      </c>
      <c r="I1653">
        <v>0</v>
      </c>
      <c r="J1653">
        <v>1</v>
      </c>
      <c r="K1653" s="9">
        <f t="shared" si="51"/>
        <v>45452</v>
      </c>
      <c r="L1653" t="s">
        <v>2528</v>
      </c>
      <c r="M1653" t="s">
        <v>2927</v>
      </c>
    </row>
    <row r="1654" spans="1:13" hidden="1" x14ac:dyDescent="0.35">
      <c r="A1654" t="s">
        <v>1653</v>
      </c>
      <c r="B1654" t="s">
        <v>2181</v>
      </c>
      <c r="C1654" t="s">
        <v>2459</v>
      </c>
      <c r="D1654" t="s">
        <v>2468</v>
      </c>
      <c r="E1654" t="str">
        <f t="shared" si="50"/>
        <v>VERNIER CH</v>
      </c>
      <c r="F1654" t="s">
        <v>2483</v>
      </c>
      <c r="G1654">
        <v>0.62</v>
      </c>
      <c r="H1654" t="s">
        <v>2489</v>
      </c>
      <c r="I1654">
        <v>0</v>
      </c>
      <c r="J1654">
        <v>1</v>
      </c>
      <c r="K1654" s="9">
        <f t="shared" si="51"/>
        <v>45500</v>
      </c>
      <c r="L1654" t="s">
        <v>2653</v>
      </c>
      <c r="M1654" t="s">
        <v>2924</v>
      </c>
    </row>
    <row r="1655" spans="1:13" hidden="1" x14ac:dyDescent="0.35">
      <c r="A1655" t="s">
        <v>1654</v>
      </c>
      <c r="B1655" t="s">
        <v>2089</v>
      </c>
      <c r="C1655" t="s">
        <v>2460</v>
      </c>
      <c r="D1655" t="s">
        <v>2471</v>
      </c>
      <c r="E1655" t="str">
        <f t="shared" si="50"/>
        <v>BUDAPEST</v>
      </c>
      <c r="F1655" t="s">
        <v>2479</v>
      </c>
      <c r="G1655">
        <v>69.58</v>
      </c>
      <c r="H1655" t="s">
        <v>2486</v>
      </c>
      <c r="I1655">
        <v>0</v>
      </c>
      <c r="J1655">
        <v>120</v>
      </c>
      <c r="K1655" s="9">
        <f t="shared" si="51"/>
        <v>45789</v>
      </c>
      <c r="L1655" t="s">
        <v>2567</v>
      </c>
      <c r="M1655" t="s">
        <v>2924</v>
      </c>
    </row>
    <row r="1656" spans="1:13" hidden="1" x14ac:dyDescent="0.35">
      <c r="A1656" t="s">
        <v>1655</v>
      </c>
      <c r="B1656" t="s">
        <v>2456</v>
      </c>
      <c r="C1656" t="s">
        <v>2459</v>
      </c>
      <c r="D1656" t="s">
        <v>2477</v>
      </c>
      <c r="E1656" t="str">
        <f t="shared" si="50"/>
        <v>BUDAPEST</v>
      </c>
      <c r="F1656" t="s">
        <v>2479</v>
      </c>
      <c r="G1656">
        <v>33.81</v>
      </c>
      <c r="H1656" t="s">
        <v>2486</v>
      </c>
      <c r="I1656">
        <v>0</v>
      </c>
      <c r="J1656">
        <v>120</v>
      </c>
      <c r="K1656" s="9">
        <f t="shared" si="51"/>
        <v>45779</v>
      </c>
      <c r="L1656" t="s">
        <v>2785</v>
      </c>
      <c r="M1656" t="s">
        <v>2930</v>
      </c>
    </row>
    <row r="1657" spans="1:13" hidden="1" x14ac:dyDescent="0.35">
      <c r="A1657" t="s">
        <v>1656</v>
      </c>
      <c r="B1657" t="s">
        <v>2429</v>
      </c>
      <c r="C1657" t="s">
        <v>2460</v>
      </c>
      <c r="D1657" t="s">
        <v>2466</v>
      </c>
      <c r="E1657" t="str">
        <f t="shared" si="50"/>
        <v>EAST HANOVER</v>
      </c>
      <c r="F1657" t="s">
        <v>2480</v>
      </c>
      <c r="G1657">
        <v>0.95</v>
      </c>
      <c r="H1657" t="s">
        <v>2487</v>
      </c>
      <c r="I1657">
        <v>0.88</v>
      </c>
      <c r="J1657">
        <v>0.97</v>
      </c>
      <c r="K1657" s="9">
        <f t="shared" si="51"/>
        <v>45620</v>
      </c>
      <c r="L1657" t="s">
        <v>2842</v>
      </c>
      <c r="M1657" t="s">
        <v>2924</v>
      </c>
    </row>
    <row r="1658" spans="1:13" hidden="1" x14ac:dyDescent="0.35">
      <c r="A1658" t="s">
        <v>1657</v>
      </c>
      <c r="B1658" t="s">
        <v>2156</v>
      </c>
      <c r="C1658" t="s">
        <v>2460</v>
      </c>
      <c r="D1658" t="s">
        <v>2472</v>
      </c>
      <c r="E1658" t="str">
        <f t="shared" si="50"/>
        <v>VERNIER</v>
      </c>
      <c r="F1658" t="s">
        <v>2484</v>
      </c>
      <c r="G1658">
        <v>5.98</v>
      </c>
      <c r="I1658">
        <v>6</v>
      </c>
      <c r="J1658">
        <v>7.5</v>
      </c>
      <c r="K1658" s="9">
        <f t="shared" si="51"/>
        <v>45404</v>
      </c>
      <c r="L1658" t="s">
        <v>2630</v>
      </c>
      <c r="M1658" t="s">
        <v>2932</v>
      </c>
    </row>
    <row r="1659" spans="1:13" hidden="1" x14ac:dyDescent="0.35">
      <c r="A1659" t="s">
        <v>1658</v>
      </c>
      <c r="B1659" t="s">
        <v>2450</v>
      </c>
      <c r="C1659" t="s">
        <v>2458</v>
      </c>
      <c r="D1659" t="s">
        <v>2476</v>
      </c>
      <c r="E1659" t="str">
        <f t="shared" si="50"/>
        <v>BUDAPEST SITE</v>
      </c>
      <c r="F1659" t="s">
        <v>2479</v>
      </c>
      <c r="G1659">
        <v>11.97</v>
      </c>
      <c r="H1659" t="s">
        <v>2486</v>
      </c>
      <c r="I1659">
        <v>0</v>
      </c>
      <c r="J1659">
        <v>120</v>
      </c>
      <c r="K1659" s="9">
        <f t="shared" si="51"/>
        <v>45352</v>
      </c>
      <c r="L1659" t="s">
        <v>2880</v>
      </c>
      <c r="M1659" t="s">
        <v>2930</v>
      </c>
    </row>
    <row r="1660" spans="1:13" hidden="1" x14ac:dyDescent="0.35">
      <c r="A1660" t="s">
        <v>1659</v>
      </c>
      <c r="B1660" t="s">
        <v>2087</v>
      </c>
      <c r="C1660" t="s">
        <v>2459</v>
      </c>
      <c r="D1660" t="s">
        <v>2467</v>
      </c>
      <c r="E1660" t="str">
        <f t="shared" si="50"/>
        <v>ASHFORD</v>
      </c>
      <c r="F1660" t="s">
        <v>2481</v>
      </c>
      <c r="G1660">
        <v>280.20999999999998</v>
      </c>
      <c r="H1660" t="s">
        <v>2488</v>
      </c>
      <c r="I1660">
        <v>150</v>
      </c>
      <c r="J1660">
        <v>400</v>
      </c>
      <c r="K1660" s="9">
        <f t="shared" si="51"/>
        <v>45399</v>
      </c>
      <c r="L1660" t="s">
        <v>2492</v>
      </c>
      <c r="M1660" t="s">
        <v>2924</v>
      </c>
    </row>
    <row r="1661" spans="1:13" hidden="1" x14ac:dyDescent="0.35">
      <c r="A1661" t="s">
        <v>1660</v>
      </c>
      <c r="B1661" t="s">
        <v>2264</v>
      </c>
      <c r="C1661" t="s">
        <v>2459</v>
      </c>
      <c r="D1661" t="s">
        <v>2474</v>
      </c>
      <c r="E1661" t="str">
        <f t="shared" si="50"/>
        <v>DORTMUND DE</v>
      </c>
      <c r="F1661" t="s">
        <v>2479</v>
      </c>
      <c r="G1661">
        <v>31.94</v>
      </c>
      <c r="H1661" t="s">
        <v>2486</v>
      </c>
      <c r="I1661">
        <v>0</v>
      </c>
      <c r="J1661">
        <v>120</v>
      </c>
      <c r="K1661" s="9">
        <f t="shared" si="51"/>
        <v>45795</v>
      </c>
      <c r="L1661" t="s">
        <v>2862</v>
      </c>
      <c r="M1661" t="s">
        <v>2927</v>
      </c>
    </row>
    <row r="1662" spans="1:13" hidden="1" x14ac:dyDescent="0.35">
      <c r="A1662" t="s">
        <v>1661</v>
      </c>
      <c r="B1662" t="s">
        <v>2173</v>
      </c>
      <c r="C1662" t="s">
        <v>2460</v>
      </c>
      <c r="D1662" t="s">
        <v>2470</v>
      </c>
      <c r="E1662" t="str">
        <f t="shared" si="50"/>
        <v>E. HANOVER</v>
      </c>
      <c r="F1662" t="s">
        <v>2485</v>
      </c>
      <c r="G1662">
        <v>35.11</v>
      </c>
      <c r="H1662" t="s">
        <v>2490</v>
      </c>
      <c r="I1662">
        <v>0</v>
      </c>
      <c r="J1662">
        <v>100</v>
      </c>
      <c r="K1662" s="9">
        <f t="shared" si="51"/>
        <v>45609</v>
      </c>
      <c r="L1662" t="s">
        <v>2646</v>
      </c>
      <c r="M1662" t="s">
        <v>2925</v>
      </c>
    </row>
    <row r="1663" spans="1:13" hidden="1" x14ac:dyDescent="0.35">
      <c r="A1663" t="s">
        <v>1662</v>
      </c>
      <c r="B1663" t="s">
        <v>2234</v>
      </c>
      <c r="C1663" t="s">
        <v>2457</v>
      </c>
      <c r="D1663" t="s">
        <v>2478</v>
      </c>
      <c r="E1663" t="str">
        <f t="shared" si="50"/>
        <v>BUD</v>
      </c>
      <c r="F1663" t="s">
        <v>2480</v>
      </c>
      <c r="G1663">
        <v>0.88</v>
      </c>
      <c r="H1663" t="s">
        <v>2487</v>
      </c>
      <c r="I1663">
        <v>0.88</v>
      </c>
      <c r="J1663">
        <v>0.97</v>
      </c>
      <c r="K1663" s="9">
        <f t="shared" si="51"/>
        <v>45774</v>
      </c>
      <c r="L1663" t="s">
        <v>2863</v>
      </c>
      <c r="M1663" t="s">
        <v>2928</v>
      </c>
    </row>
    <row r="1664" spans="1:13" hidden="1" x14ac:dyDescent="0.35">
      <c r="A1664" t="s">
        <v>1663</v>
      </c>
      <c r="B1664" t="s">
        <v>2050</v>
      </c>
      <c r="C1664" t="s">
        <v>2461</v>
      </c>
      <c r="D1664" t="s">
        <v>2470</v>
      </c>
      <c r="E1664" t="str">
        <f t="shared" si="50"/>
        <v>E. HANOVER</v>
      </c>
      <c r="F1664" t="s">
        <v>2484</v>
      </c>
      <c r="G1664">
        <v>6.4</v>
      </c>
      <c r="I1664">
        <v>6</v>
      </c>
      <c r="J1664">
        <v>7.5</v>
      </c>
      <c r="K1664" s="9">
        <f t="shared" si="51"/>
        <v>45398</v>
      </c>
      <c r="L1664" t="s">
        <v>2529</v>
      </c>
      <c r="M1664" t="s">
        <v>2931</v>
      </c>
    </row>
    <row r="1665" spans="1:13" hidden="1" x14ac:dyDescent="0.35">
      <c r="A1665" t="s">
        <v>1664</v>
      </c>
      <c r="B1665" t="s">
        <v>2111</v>
      </c>
      <c r="C1665" t="s">
        <v>2461</v>
      </c>
      <c r="D1665" t="s">
        <v>2465</v>
      </c>
      <c r="E1665" t="str">
        <f t="shared" si="50"/>
        <v>VERNIER</v>
      </c>
      <c r="F1665" t="s">
        <v>2479</v>
      </c>
      <c r="G1665">
        <v>58.92</v>
      </c>
      <c r="H1665" t="s">
        <v>2486</v>
      </c>
      <c r="I1665">
        <v>0</v>
      </c>
      <c r="J1665">
        <v>120</v>
      </c>
      <c r="K1665" s="9">
        <f t="shared" si="51"/>
        <v>45547</v>
      </c>
      <c r="L1665" t="s">
        <v>2587</v>
      </c>
      <c r="M1665" t="s">
        <v>2931</v>
      </c>
    </row>
    <row r="1666" spans="1:13" hidden="1" x14ac:dyDescent="0.35">
      <c r="A1666" t="s">
        <v>1665</v>
      </c>
      <c r="B1666" t="s">
        <v>2453</v>
      </c>
      <c r="C1666" t="s">
        <v>2459</v>
      </c>
      <c r="D1666" t="s">
        <v>2462</v>
      </c>
      <c r="E1666" t="str">
        <f t="shared" si="50"/>
        <v>ASHFORD UK</v>
      </c>
      <c r="F1666" t="s">
        <v>2481</v>
      </c>
      <c r="G1666">
        <v>369.85</v>
      </c>
      <c r="H1666" t="s">
        <v>2488</v>
      </c>
      <c r="I1666">
        <v>150</v>
      </c>
      <c r="J1666">
        <v>400</v>
      </c>
      <c r="K1666" s="9">
        <f t="shared" si="51"/>
        <v>46013</v>
      </c>
      <c r="L1666" t="s">
        <v>2579</v>
      </c>
      <c r="M1666" t="s">
        <v>2924</v>
      </c>
    </row>
    <row r="1667" spans="1:13" hidden="1" x14ac:dyDescent="0.35">
      <c r="A1667" t="s">
        <v>1666</v>
      </c>
      <c r="B1667" t="s">
        <v>2033</v>
      </c>
      <c r="C1667" t="s">
        <v>2459</v>
      </c>
      <c r="D1667" t="s">
        <v>2466</v>
      </c>
      <c r="E1667" t="str">
        <f t="shared" ref="E1667:E1730" si="52">UPPER(D1667)</f>
        <v>EAST HANOVER</v>
      </c>
      <c r="F1667" t="s">
        <v>2484</v>
      </c>
      <c r="G1667">
        <v>7.15</v>
      </c>
      <c r="I1667">
        <v>6</v>
      </c>
      <c r="J1667">
        <v>7.5</v>
      </c>
      <c r="K1667" s="9">
        <f t="shared" ref="K1667:K1730" si="53">IF(L1667="","",
IF(MID(L1667,5,1)="-",
DATE(LEFT(L1667,4),MID(L1667,6,2),RIGHT(L1667,2)),
DATE(RIGHT(L1667,4),MID(L1667,4,2),LEFT(L1667,2))
))</f>
        <v>45330</v>
      </c>
      <c r="L1667" t="s">
        <v>2513</v>
      </c>
      <c r="M1667" t="s">
        <v>2930</v>
      </c>
    </row>
    <row r="1668" spans="1:13" hidden="1" x14ac:dyDescent="0.35">
      <c r="A1668" t="s">
        <v>1667</v>
      </c>
      <c r="B1668" t="s">
        <v>2090</v>
      </c>
      <c r="C1668" t="s">
        <v>2457</v>
      </c>
      <c r="D1668" t="s">
        <v>2475</v>
      </c>
      <c r="E1668" t="str">
        <f t="shared" si="52"/>
        <v>ASHFORD</v>
      </c>
      <c r="F1668" t="s">
        <v>2481</v>
      </c>
      <c r="G1668">
        <v>362</v>
      </c>
      <c r="H1668" t="s">
        <v>2488</v>
      </c>
      <c r="I1668">
        <v>150</v>
      </c>
      <c r="J1668">
        <v>400</v>
      </c>
      <c r="K1668" s="9">
        <f t="shared" si="53"/>
        <v>45534</v>
      </c>
      <c r="L1668" t="s">
        <v>2568</v>
      </c>
      <c r="M1668" t="s">
        <v>2932</v>
      </c>
    </row>
    <row r="1669" spans="1:13" hidden="1" x14ac:dyDescent="0.35">
      <c r="A1669" t="s">
        <v>1668</v>
      </c>
      <c r="B1669" t="s">
        <v>2339</v>
      </c>
      <c r="C1669" t="s">
        <v>2459</v>
      </c>
      <c r="D1669" t="s">
        <v>2469</v>
      </c>
      <c r="E1669" t="str">
        <f t="shared" si="52"/>
        <v>DORTMUND</v>
      </c>
      <c r="F1669" t="s">
        <v>2479</v>
      </c>
      <c r="G1669">
        <v>53.14</v>
      </c>
      <c r="H1669" t="s">
        <v>2486</v>
      </c>
      <c r="I1669">
        <v>0</v>
      </c>
      <c r="J1669">
        <v>120</v>
      </c>
      <c r="K1669" s="9">
        <f t="shared" si="53"/>
        <v>45673</v>
      </c>
      <c r="L1669" t="s">
        <v>2677</v>
      </c>
      <c r="M1669" t="s">
        <v>2929</v>
      </c>
    </row>
    <row r="1670" spans="1:13" hidden="1" x14ac:dyDescent="0.35">
      <c r="A1670" t="s">
        <v>1669</v>
      </c>
      <c r="B1670" t="s">
        <v>2130</v>
      </c>
      <c r="C1670" t="s">
        <v>2457</v>
      </c>
      <c r="D1670" t="s">
        <v>2470</v>
      </c>
      <c r="E1670" t="str">
        <f t="shared" si="52"/>
        <v>E. HANOVER</v>
      </c>
      <c r="F1670" t="s">
        <v>2483</v>
      </c>
      <c r="G1670">
        <v>0.52</v>
      </c>
      <c r="H1670" t="s">
        <v>2489</v>
      </c>
      <c r="I1670">
        <v>0</v>
      </c>
      <c r="J1670">
        <v>1</v>
      </c>
      <c r="K1670" s="9">
        <f t="shared" si="53"/>
        <v>45943</v>
      </c>
      <c r="L1670" t="s">
        <v>2606</v>
      </c>
      <c r="M1670" t="s">
        <v>2931</v>
      </c>
    </row>
    <row r="1671" spans="1:13" hidden="1" x14ac:dyDescent="0.35">
      <c r="A1671" t="s">
        <v>1670</v>
      </c>
      <c r="B1671" t="s">
        <v>2393</v>
      </c>
      <c r="C1671" t="s">
        <v>2460</v>
      </c>
      <c r="D1671" t="s">
        <v>2468</v>
      </c>
      <c r="E1671" t="str">
        <f t="shared" si="52"/>
        <v>VERNIER CH</v>
      </c>
      <c r="F1671" t="s">
        <v>2480</v>
      </c>
      <c r="G1671">
        <v>0.9</v>
      </c>
      <c r="H1671" t="s">
        <v>2487</v>
      </c>
      <c r="I1671">
        <v>0.88</v>
      </c>
      <c r="J1671">
        <v>0.97</v>
      </c>
      <c r="K1671" s="9">
        <f t="shared" si="53"/>
        <v>45942</v>
      </c>
      <c r="L1671" t="s">
        <v>2617</v>
      </c>
      <c r="M1671" t="s">
        <v>2927</v>
      </c>
    </row>
    <row r="1672" spans="1:13" hidden="1" x14ac:dyDescent="0.35">
      <c r="A1672" t="s">
        <v>1671</v>
      </c>
      <c r="B1672" t="s">
        <v>2193</v>
      </c>
      <c r="C1672" t="s">
        <v>2460</v>
      </c>
      <c r="D1672" t="s">
        <v>2462</v>
      </c>
      <c r="E1672" t="str">
        <f t="shared" si="52"/>
        <v>ASHFORD UK</v>
      </c>
      <c r="F1672" t="s">
        <v>2480</v>
      </c>
      <c r="G1672">
        <v>0.94</v>
      </c>
      <c r="H1672" t="s">
        <v>2487</v>
      </c>
      <c r="I1672">
        <v>0.88</v>
      </c>
      <c r="J1672">
        <v>0.97</v>
      </c>
      <c r="K1672" s="9">
        <f t="shared" si="53"/>
        <v>45552</v>
      </c>
      <c r="L1672" t="s">
        <v>2664</v>
      </c>
      <c r="M1672" t="s">
        <v>2929</v>
      </c>
    </row>
    <row r="1673" spans="1:13" hidden="1" x14ac:dyDescent="0.35">
      <c r="A1673" t="s">
        <v>1672</v>
      </c>
      <c r="B1673" t="s">
        <v>2238</v>
      </c>
      <c r="C1673" t="s">
        <v>2460</v>
      </c>
      <c r="D1673" t="s">
        <v>2477</v>
      </c>
      <c r="E1673" t="str">
        <f t="shared" si="52"/>
        <v>BUDAPEST</v>
      </c>
      <c r="F1673" t="s">
        <v>2481</v>
      </c>
      <c r="G1673">
        <v>234.87</v>
      </c>
      <c r="H1673" t="s">
        <v>2488</v>
      </c>
      <c r="I1673">
        <v>150</v>
      </c>
      <c r="J1673">
        <v>400</v>
      </c>
      <c r="K1673" s="9">
        <f t="shared" si="53"/>
        <v>45698</v>
      </c>
      <c r="L1673" t="s">
        <v>2636</v>
      </c>
      <c r="M1673" t="s">
        <v>2924</v>
      </c>
    </row>
    <row r="1674" spans="1:13" hidden="1" x14ac:dyDescent="0.35">
      <c r="A1674" t="s">
        <v>1673</v>
      </c>
      <c r="B1674" t="s">
        <v>2099</v>
      </c>
      <c r="C1674" t="s">
        <v>2457</v>
      </c>
      <c r="D1674" t="s">
        <v>2473</v>
      </c>
      <c r="E1674" t="str">
        <f t="shared" si="52"/>
        <v>DORTMUND</v>
      </c>
      <c r="F1674" t="s">
        <v>2482</v>
      </c>
      <c r="G1674">
        <v>98.96</v>
      </c>
      <c r="H1674" t="s">
        <v>2489</v>
      </c>
      <c r="I1674">
        <v>97</v>
      </c>
      <c r="J1674">
        <v>100</v>
      </c>
      <c r="K1674" s="9">
        <f t="shared" si="53"/>
        <v>45915</v>
      </c>
      <c r="L1674" t="s">
        <v>2905</v>
      </c>
      <c r="M1674" t="s">
        <v>2930</v>
      </c>
    </row>
    <row r="1675" spans="1:13" hidden="1" x14ac:dyDescent="0.35">
      <c r="A1675" t="s">
        <v>1674</v>
      </c>
      <c r="B1675" t="s">
        <v>2324</v>
      </c>
      <c r="C1675" t="s">
        <v>2459</v>
      </c>
      <c r="D1675" t="s">
        <v>2475</v>
      </c>
      <c r="E1675" t="str">
        <f t="shared" si="52"/>
        <v>ASHFORD</v>
      </c>
      <c r="F1675" t="s">
        <v>2481</v>
      </c>
      <c r="G1675">
        <v>185.37</v>
      </c>
      <c r="H1675" t="s">
        <v>2488</v>
      </c>
      <c r="I1675">
        <v>150</v>
      </c>
      <c r="J1675">
        <v>400</v>
      </c>
      <c r="K1675" s="9">
        <f t="shared" si="53"/>
        <v>45828</v>
      </c>
      <c r="L1675" t="s">
        <v>2755</v>
      </c>
      <c r="M1675" t="s">
        <v>2928</v>
      </c>
    </row>
    <row r="1676" spans="1:13" hidden="1" x14ac:dyDescent="0.35">
      <c r="A1676" t="s">
        <v>1675</v>
      </c>
      <c r="B1676" t="s">
        <v>2183</v>
      </c>
      <c r="C1676" t="s">
        <v>2457</v>
      </c>
      <c r="D1676" t="s">
        <v>2470</v>
      </c>
      <c r="E1676" t="str">
        <f t="shared" si="52"/>
        <v>E. HANOVER</v>
      </c>
      <c r="F1676" t="s">
        <v>2484</v>
      </c>
      <c r="G1676">
        <v>7.14</v>
      </c>
      <c r="I1676">
        <v>6</v>
      </c>
      <c r="J1676">
        <v>7.5</v>
      </c>
      <c r="K1676" s="9">
        <f t="shared" si="53"/>
        <v>45810</v>
      </c>
      <c r="L1676" t="s">
        <v>2655</v>
      </c>
      <c r="M1676" t="s">
        <v>2925</v>
      </c>
    </row>
    <row r="1677" spans="1:13" hidden="1" x14ac:dyDescent="0.35">
      <c r="A1677" t="s">
        <v>1676</v>
      </c>
      <c r="B1677" t="s">
        <v>2242</v>
      </c>
      <c r="C1677" t="s">
        <v>2460</v>
      </c>
      <c r="D1677" t="s">
        <v>2471</v>
      </c>
      <c r="E1677" t="str">
        <f t="shared" si="52"/>
        <v>BUDAPEST</v>
      </c>
      <c r="F1677" t="s">
        <v>2481</v>
      </c>
      <c r="G1677">
        <v>266.64</v>
      </c>
      <c r="H1677" t="s">
        <v>2488</v>
      </c>
      <c r="I1677">
        <v>150</v>
      </c>
      <c r="J1677">
        <v>400</v>
      </c>
      <c r="K1677" s="9">
        <f t="shared" si="53"/>
        <v>45704</v>
      </c>
      <c r="L1677" t="s">
        <v>2669</v>
      </c>
      <c r="M1677" t="s">
        <v>2927</v>
      </c>
    </row>
    <row r="1678" spans="1:13" hidden="1" x14ac:dyDescent="0.35">
      <c r="A1678" t="s">
        <v>1677</v>
      </c>
      <c r="B1678" t="s">
        <v>2265</v>
      </c>
      <c r="C1678" t="s">
        <v>2460</v>
      </c>
      <c r="D1678" t="s">
        <v>2471</v>
      </c>
      <c r="E1678" t="str">
        <f t="shared" si="52"/>
        <v>BUDAPEST</v>
      </c>
      <c r="F1678" t="s">
        <v>2482</v>
      </c>
      <c r="G1678">
        <v>98.31</v>
      </c>
      <c r="H1678" t="s">
        <v>2489</v>
      </c>
      <c r="I1678">
        <v>97</v>
      </c>
      <c r="J1678">
        <v>100</v>
      </c>
      <c r="K1678" s="9">
        <f t="shared" si="53"/>
        <v>45521</v>
      </c>
      <c r="L1678" t="s">
        <v>2715</v>
      </c>
      <c r="M1678" t="s">
        <v>2928</v>
      </c>
    </row>
    <row r="1679" spans="1:13" hidden="1" x14ac:dyDescent="0.35">
      <c r="A1679" t="s">
        <v>1678</v>
      </c>
      <c r="B1679" t="s">
        <v>2229</v>
      </c>
      <c r="C1679" t="s">
        <v>2460</v>
      </c>
      <c r="D1679" t="s">
        <v>2469</v>
      </c>
      <c r="E1679" t="str">
        <f t="shared" si="52"/>
        <v>DORTMUND</v>
      </c>
      <c r="F1679" t="s">
        <v>2481</v>
      </c>
      <c r="G1679">
        <v>224.23</v>
      </c>
      <c r="H1679" t="s">
        <v>2488</v>
      </c>
      <c r="I1679">
        <v>150</v>
      </c>
      <c r="J1679">
        <v>400</v>
      </c>
      <c r="K1679" s="9">
        <f t="shared" si="53"/>
        <v>45990</v>
      </c>
      <c r="L1679" t="s">
        <v>2691</v>
      </c>
      <c r="M1679" t="s">
        <v>2929</v>
      </c>
    </row>
    <row r="1680" spans="1:13" hidden="1" x14ac:dyDescent="0.35">
      <c r="A1680" t="s">
        <v>1679</v>
      </c>
      <c r="B1680" t="s">
        <v>2294</v>
      </c>
      <c r="C1680" t="s">
        <v>2460</v>
      </c>
      <c r="D1680" t="s">
        <v>2477</v>
      </c>
      <c r="E1680" t="str">
        <f t="shared" si="52"/>
        <v>BUDAPEST</v>
      </c>
      <c r="F1680" t="s">
        <v>2483</v>
      </c>
      <c r="G1680">
        <v>0.23</v>
      </c>
      <c r="H1680" t="s">
        <v>2489</v>
      </c>
      <c r="I1680">
        <v>0</v>
      </c>
      <c r="J1680">
        <v>1</v>
      </c>
      <c r="K1680" s="9">
        <f t="shared" si="53"/>
        <v>45560</v>
      </c>
      <c r="L1680" t="s">
        <v>2735</v>
      </c>
      <c r="M1680" t="s">
        <v>2928</v>
      </c>
    </row>
    <row r="1681" spans="1:13" hidden="1" x14ac:dyDescent="0.35">
      <c r="A1681" t="s">
        <v>1680</v>
      </c>
      <c r="B1681" t="s">
        <v>2246</v>
      </c>
      <c r="C1681" t="s">
        <v>2460</v>
      </c>
      <c r="D1681" t="s">
        <v>2468</v>
      </c>
      <c r="E1681" t="str">
        <f t="shared" si="52"/>
        <v>VERNIER CH</v>
      </c>
      <c r="F1681" t="s">
        <v>2482</v>
      </c>
      <c r="G1681">
        <v>98.65</v>
      </c>
      <c r="H1681" t="s">
        <v>2489</v>
      </c>
      <c r="I1681">
        <v>97</v>
      </c>
      <c r="J1681">
        <v>100</v>
      </c>
      <c r="K1681" s="9">
        <f t="shared" si="53"/>
        <v>45884</v>
      </c>
      <c r="L1681" t="s">
        <v>2542</v>
      </c>
      <c r="M1681" t="s">
        <v>2931</v>
      </c>
    </row>
    <row r="1682" spans="1:13" hidden="1" x14ac:dyDescent="0.35">
      <c r="A1682" t="s">
        <v>1681</v>
      </c>
      <c r="B1682" t="s">
        <v>2208</v>
      </c>
      <c r="C1682" t="s">
        <v>2460</v>
      </c>
      <c r="D1682" t="s">
        <v>2475</v>
      </c>
      <c r="E1682" t="str">
        <f t="shared" si="52"/>
        <v>ASHFORD</v>
      </c>
      <c r="F1682" t="s">
        <v>2485</v>
      </c>
      <c r="G1682">
        <v>28.31</v>
      </c>
      <c r="H1682" t="s">
        <v>2490</v>
      </c>
      <c r="I1682">
        <v>0</v>
      </c>
      <c r="J1682">
        <v>100</v>
      </c>
      <c r="K1682" s="9">
        <f t="shared" si="53"/>
        <v>45505</v>
      </c>
      <c r="L1682" t="s">
        <v>2676</v>
      </c>
      <c r="M1682" t="s">
        <v>2925</v>
      </c>
    </row>
    <row r="1683" spans="1:13" hidden="1" x14ac:dyDescent="0.35">
      <c r="A1683" t="s">
        <v>1682</v>
      </c>
      <c r="B1683" t="s">
        <v>2174</v>
      </c>
      <c r="C1683" t="s">
        <v>2459</v>
      </c>
      <c r="D1683" t="s">
        <v>2470</v>
      </c>
      <c r="E1683" t="str">
        <f t="shared" si="52"/>
        <v>E. HANOVER</v>
      </c>
      <c r="F1683" t="s">
        <v>2480</v>
      </c>
      <c r="G1683">
        <v>0.9</v>
      </c>
      <c r="H1683" t="s">
        <v>2487</v>
      </c>
      <c r="I1683">
        <v>0.88</v>
      </c>
      <c r="J1683">
        <v>0.97</v>
      </c>
      <c r="K1683" s="9">
        <f t="shared" si="53"/>
        <v>45634</v>
      </c>
      <c r="L1683" t="s">
        <v>2594</v>
      </c>
      <c r="M1683" t="s">
        <v>2926</v>
      </c>
    </row>
    <row r="1684" spans="1:13" hidden="1" x14ac:dyDescent="0.35">
      <c r="A1684" t="s">
        <v>1683</v>
      </c>
      <c r="B1684" t="s">
        <v>2447</v>
      </c>
      <c r="C1684" t="s">
        <v>2457</v>
      </c>
      <c r="D1684" t="s">
        <v>2469</v>
      </c>
      <c r="E1684" t="str">
        <f t="shared" si="52"/>
        <v>DORTMUND</v>
      </c>
      <c r="F1684" t="s">
        <v>2480</v>
      </c>
      <c r="G1684">
        <v>0.93</v>
      </c>
      <c r="H1684" t="s">
        <v>2487</v>
      </c>
      <c r="I1684">
        <v>0.88</v>
      </c>
      <c r="J1684">
        <v>0.97</v>
      </c>
      <c r="K1684" s="9">
        <f t="shared" si="53"/>
        <v>45888</v>
      </c>
      <c r="L1684" t="s">
        <v>2871</v>
      </c>
      <c r="M1684" t="s">
        <v>2932</v>
      </c>
    </row>
    <row r="1685" spans="1:13" hidden="1" x14ac:dyDescent="0.35">
      <c r="A1685" t="s">
        <v>1684</v>
      </c>
      <c r="B1685" t="s">
        <v>2336</v>
      </c>
      <c r="C1685" t="s">
        <v>2460</v>
      </c>
      <c r="D1685" t="s">
        <v>2463</v>
      </c>
      <c r="E1685" t="str">
        <f t="shared" si="52"/>
        <v>VERNIER</v>
      </c>
      <c r="F1685" t="s">
        <v>2479</v>
      </c>
      <c r="G1685">
        <v>45.72</v>
      </c>
      <c r="H1685" t="s">
        <v>2486</v>
      </c>
      <c r="I1685">
        <v>0</v>
      </c>
      <c r="J1685">
        <v>120</v>
      </c>
      <c r="K1685" s="9">
        <f t="shared" si="53"/>
        <v>45661</v>
      </c>
      <c r="L1685" t="s">
        <v>2612</v>
      </c>
      <c r="M1685" t="s">
        <v>2926</v>
      </c>
    </row>
    <row r="1686" spans="1:13" hidden="1" x14ac:dyDescent="0.35">
      <c r="A1686" t="s">
        <v>1685</v>
      </c>
      <c r="B1686" t="s">
        <v>2196</v>
      </c>
      <c r="C1686" t="s">
        <v>2457</v>
      </c>
      <c r="D1686" t="s">
        <v>2465</v>
      </c>
      <c r="E1686" t="str">
        <f t="shared" si="52"/>
        <v>VERNIER</v>
      </c>
      <c r="F1686" t="s">
        <v>2481</v>
      </c>
      <c r="G1686">
        <v>247.63</v>
      </c>
      <c r="H1686" t="s">
        <v>2488</v>
      </c>
      <c r="I1686">
        <v>150</v>
      </c>
      <c r="J1686">
        <v>400</v>
      </c>
      <c r="K1686" s="9">
        <f t="shared" si="53"/>
        <v>45740</v>
      </c>
      <c r="L1686" t="s">
        <v>2509</v>
      </c>
      <c r="M1686" t="s">
        <v>2923</v>
      </c>
    </row>
    <row r="1687" spans="1:13" hidden="1" x14ac:dyDescent="0.35">
      <c r="A1687" t="s">
        <v>1686</v>
      </c>
      <c r="B1687" t="s">
        <v>2110</v>
      </c>
      <c r="C1687" t="s">
        <v>2460</v>
      </c>
      <c r="D1687" t="s">
        <v>2463</v>
      </c>
      <c r="E1687" t="str">
        <f t="shared" si="52"/>
        <v>VERNIER</v>
      </c>
      <c r="F1687" t="s">
        <v>2481</v>
      </c>
      <c r="G1687">
        <v>263.60000000000002</v>
      </c>
      <c r="H1687" t="s">
        <v>2488</v>
      </c>
      <c r="I1687">
        <v>150</v>
      </c>
      <c r="J1687">
        <v>400</v>
      </c>
      <c r="K1687" s="9">
        <f t="shared" si="53"/>
        <v>45860</v>
      </c>
      <c r="L1687" t="s">
        <v>2558</v>
      </c>
      <c r="M1687" t="s">
        <v>2924</v>
      </c>
    </row>
    <row r="1688" spans="1:13" hidden="1" x14ac:dyDescent="0.35">
      <c r="A1688" t="s">
        <v>1687</v>
      </c>
      <c r="B1688" t="s">
        <v>2355</v>
      </c>
      <c r="C1688" t="s">
        <v>2457</v>
      </c>
      <c r="D1688" t="s">
        <v>2478</v>
      </c>
      <c r="E1688" t="str">
        <f t="shared" si="52"/>
        <v>BUD</v>
      </c>
      <c r="F1688" t="s">
        <v>2483</v>
      </c>
      <c r="G1688">
        <v>0.19</v>
      </c>
      <c r="H1688" t="s">
        <v>2489</v>
      </c>
      <c r="I1688">
        <v>0</v>
      </c>
      <c r="J1688">
        <v>1</v>
      </c>
      <c r="K1688" s="9">
        <f t="shared" si="53"/>
        <v>45598</v>
      </c>
      <c r="L1688" t="s">
        <v>2778</v>
      </c>
      <c r="M1688" t="s">
        <v>2930</v>
      </c>
    </row>
    <row r="1689" spans="1:13" hidden="1" x14ac:dyDescent="0.35">
      <c r="A1689" t="s">
        <v>1688</v>
      </c>
      <c r="B1689" t="s">
        <v>2172</v>
      </c>
      <c r="C1689" t="s">
        <v>2459</v>
      </c>
      <c r="D1689" t="s">
        <v>2469</v>
      </c>
      <c r="E1689" t="str">
        <f t="shared" si="52"/>
        <v>DORTMUND</v>
      </c>
      <c r="F1689" t="s">
        <v>2484</v>
      </c>
      <c r="G1689">
        <v>7.54</v>
      </c>
      <c r="I1689">
        <v>6</v>
      </c>
      <c r="J1689">
        <v>7.5</v>
      </c>
      <c r="K1689" s="9">
        <f t="shared" si="53"/>
        <v>45453</v>
      </c>
      <c r="L1689" t="s">
        <v>2645</v>
      </c>
      <c r="M1689" t="s">
        <v>2925</v>
      </c>
    </row>
    <row r="1690" spans="1:13" hidden="1" x14ac:dyDescent="0.35">
      <c r="A1690" t="s">
        <v>1689</v>
      </c>
      <c r="B1690" t="s">
        <v>2141</v>
      </c>
      <c r="C1690" t="s">
        <v>2458</v>
      </c>
      <c r="D1690" t="s">
        <v>2463</v>
      </c>
      <c r="E1690" t="str">
        <f t="shared" si="52"/>
        <v>VERNIER</v>
      </c>
      <c r="F1690" t="s">
        <v>2482</v>
      </c>
      <c r="G1690">
        <v>98.38</v>
      </c>
      <c r="H1690" t="s">
        <v>2489</v>
      </c>
      <c r="I1690">
        <v>97</v>
      </c>
      <c r="J1690">
        <v>100</v>
      </c>
      <c r="K1690" s="9">
        <f t="shared" si="53"/>
        <v>45936</v>
      </c>
      <c r="L1690" t="s">
        <v>2616</v>
      </c>
      <c r="M1690" t="s">
        <v>2930</v>
      </c>
    </row>
    <row r="1691" spans="1:13" hidden="1" x14ac:dyDescent="0.35">
      <c r="A1691" t="s">
        <v>1690</v>
      </c>
      <c r="B1691" t="s">
        <v>2374</v>
      </c>
      <c r="C1691" t="s">
        <v>2460</v>
      </c>
      <c r="D1691" t="s">
        <v>2475</v>
      </c>
      <c r="E1691" t="str">
        <f t="shared" si="52"/>
        <v>ASHFORD</v>
      </c>
      <c r="F1691" t="s">
        <v>2483</v>
      </c>
      <c r="G1691">
        <v>0.44</v>
      </c>
      <c r="H1691" t="s">
        <v>2489</v>
      </c>
      <c r="I1691">
        <v>0</v>
      </c>
      <c r="J1691">
        <v>1</v>
      </c>
      <c r="K1691" s="9">
        <f t="shared" si="53"/>
        <v>45494</v>
      </c>
      <c r="L1691" t="s">
        <v>2793</v>
      </c>
      <c r="M1691" t="s">
        <v>2930</v>
      </c>
    </row>
    <row r="1692" spans="1:13" hidden="1" x14ac:dyDescent="0.35">
      <c r="A1692" t="s">
        <v>1691</v>
      </c>
      <c r="B1692" t="s">
        <v>2405</v>
      </c>
      <c r="C1692" t="s">
        <v>2457</v>
      </c>
      <c r="D1692" t="s">
        <v>2470</v>
      </c>
      <c r="E1692" t="str">
        <f t="shared" si="52"/>
        <v>E. HANOVER</v>
      </c>
      <c r="F1692" t="s">
        <v>2480</v>
      </c>
      <c r="G1692">
        <v>0.92</v>
      </c>
      <c r="H1692" t="s">
        <v>2487</v>
      </c>
      <c r="I1692">
        <v>0.88</v>
      </c>
      <c r="J1692">
        <v>0.97</v>
      </c>
      <c r="K1692" s="9">
        <f t="shared" si="53"/>
        <v>45926</v>
      </c>
      <c r="L1692" t="s">
        <v>2822</v>
      </c>
      <c r="M1692" t="s">
        <v>2932</v>
      </c>
    </row>
    <row r="1693" spans="1:13" hidden="1" x14ac:dyDescent="0.35">
      <c r="A1693" t="s">
        <v>1692</v>
      </c>
      <c r="B1693" t="s">
        <v>2382</v>
      </c>
      <c r="C1693" t="s">
        <v>2459</v>
      </c>
      <c r="D1693" t="s">
        <v>2470</v>
      </c>
      <c r="E1693" t="str">
        <f t="shared" si="52"/>
        <v>E. HANOVER</v>
      </c>
      <c r="F1693" t="s">
        <v>2485</v>
      </c>
      <c r="G1693">
        <v>19.96</v>
      </c>
      <c r="H1693" t="s">
        <v>2490</v>
      </c>
      <c r="I1693">
        <v>0</v>
      </c>
      <c r="J1693">
        <v>100</v>
      </c>
      <c r="K1693" s="9">
        <f t="shared" si="53"/>
        <v>45831</v>
      </c>
      <c r="L1693" t="s">
        <v>2540</v>
      </c>
      <c r="M1693" t="s">
        <v>2924</v>
      </c>
    </row>
    <row r="1694" spans="1:13" hidden="1" x14ac:dyDescent="0.35">
      <c r="A1694" t="s">
        <v>1693</v>
      </c>
      <c r="B1694" t="s">
        <v>2220</v>
      </c>
      <c r="C1694" t="s">
        <v>2457</v>
      </c>
      <c r="D1694" t="s">
        <v>2472</v>
      </c>
      <c r="E1694" t="str">
        <f t="shared" si="52"/>
        <v>VERNIER</v>
      </c>
      <c r="F1694" t="s">
        <v>2481</v>
      </c>
      <c r="G1694">
        <v>228.95</v>
      </c>
      <c r="H1694" t="s">
        <v>2488</v>
      </c>
      <c r="I1694">
        <v>150</v>
      </c>
      <c r="J1694">
        <v>400</v>
      </c>
      <c r="K1694" s="9">
        <f t="shared" si="53"/>
        <v>45889</v>
      </c>
      <c r="L1694" t="s">
        <v>2570</v>
      </c>
      <c r="M1694" t="s">
        <v>2928</v>
      </c>
    </row>
    <row r="1695" spans="1:13" hidden="1" x14ac:dyDescent="0.35">
      <c r="A1695" t="s">
        <v>1694</v>
      </c>
      <c r="B1695" t="s">
        <v>2377</v>
      </c>
      <c r="C1695" t="s">
        <v>2460</v>
      </c>
      <c r="D1695" t="s">
        <v>2465</v>
      </c>
      <c r="E1695" t="str">
        <f t="shared" si="52"/>
        <v>VERNIER</v>
      </c>
      <c r="F1695" t="s">
        <v>2480</v>
      </c>
      <c r="G1695">
        <v>0.99</v>
      </c>
      <c r="H1695" t="s">
        <v>2487</v>
      </c>
      <c r="I1695">
        <v>0.88</v>
      </c>
      <c r="J1695">
        <v>0.97</v>
      </c>
      <c r="K1695" s="9">
        <f t="shared" si="53"/>
        <v>45398</v>
      </c>
      <c r="L1695" t="s">
        <v>2529</v>
      </c>
      <c r="M1695" t="s">
        <v>2924</v>
      </c>
    </row>
    <row r="1696" spans="1:13" hidden="1" x14ac:dyDescent="0.35">
      <c r="A1696" t="s">
        <v>1695</v>
      </c>
      <c r="B1696" t="s">
        <v>2015</v>
      </c>
      <c r="C1696" t="s">
        <v>2457</v>
      </c>
      <c r="D1696" t="s">
        <v>2466</v>
      </c>
      <c r="E1696" t="str">
        <f t="shared" si="52"/>
        <v>EAST HANOVER</v>
      </c>
      <c r="F1696" t="s">
        <v>2484</v>
      </c>
      <c r="G1696">
        <v>6.88</v>
      </c>
      <c r="I1696">
        <v>6</v>
      </c>
      <c r="J1696">
        <v>7.5</v>
      </c>
      <c r="K1696" s="9">
        <f t="shared" si="53"/>
        <v>45488</v>
      </c>
      <c r="L1696" t="s">
        <v>2495</v>
      </c>
      <c r="M1696" t="s">
        <v>2927</v>
      </c>
    </row>
    <row r="1697" spans="1:13" hidden="1" x14ac:dyDescent="0.35">
      <c r="A1697" t="s">
        <v>1696</v>
      </c>
      <c r="B1697" t="s">
        <v>2354</v>
      </c>
      <c r="C1697" t="s">
        <v>2458</v>
      </c>
      <c r="D1697" t="s">
        <v>2478</v>
      </c>
      <c r="E1697" t="str">
        <f t="shared" si="52"/>
        <v>BUD</v>
      </c>
      <c r="F1697" t="s">
        <v>2482</v>
      </c>
      <c r="G1697">
        <v>98.39</v>
      </c>
      <c r="H1697" t="s">
        <v>2489</v>
      </c>
      <c r="I1697">
        <v>97</v>
      </c>
      <c r="J1697">
        <v>100</v>
      </c>
      <c r="K1697" s="9">
        <f t="shared" si="53"/>
        <v>45587</v>
      </c>
      <c r="L1697" t="s">
        <v>2725</v>
      </c>
      <c r="M1697" t="s">
        <v>2926</v>
      </c>
    </row>
    <row r="1698" spans="1:13" hidden="1" x14ac:dyDescent="0.35">
      <c r="A1698" t="s">
        <v>1697</v>
      </c>
      <c r="B1698" t="s">
        <v>2391</v>
      </c>
      <c r="C1698" t="s">
        <v>2458</v>
      </c>
      <c r="D1698" t="s">
        <v>2467</v>
      </c>
      <c r="E1698" t="str">
        <f t="shared" si="52"/>
        <v>ASHFORD</v>
      </c>
      <c r="F1698" t="s">
        <v>2485</v>
      </c>
      <c r="G1698">
        <v>41.55</v>
      </c>
      <c r="H1698" t="s">
        <v>2490</v>
      </c>
      <c r="I1698">
        <v>0</v>
      </c>
      <c r="J1698">
        <v>100</v>
      </c>
      <c r="K1698" s="9">
        <f t="shared" si="53"/>
        <v>45743</v>
      </c>
      <c r="L1698" t="s">
        <v>2538</v>
      </c>
      <c r="M1698" t="s">
        <v>2925</v>
      </c>
    </row>
    <row r="1699" spans="1:13" hidden="1" x14ac:dyDescent="0.35">
      <c r="A1699" t="s">
        <v>1698</v>
      </c>
      <c r="B1699" t="s">
        <v>2107</v>
      </c>
      <c r="C1699" t="s">
        <v>2459</v>
      </c>
      <c r="D1699" t="s">
        <v>2464</v>
      </c>
      <c r="E1699" t="str">
        <f t="shared" si="52"/>
        <v>EAST HANOVER</v>
      </c>
      <c r="F1699" t="s">
        <v>2485</v>
      </c>
      <c r="G1699">
        <v>34.72</v>
      </c>
      <c r="H1699" t="s">
        <v>2490</v>
      </c>
      <c r="I1699">
        <v>0</v>
      </c>
      <c r="J1699">
        <v>100</v>
      </c>
      <c r="K1699" s="9">
        <f t="shared" si="53"/>
        <v>45633</v>
      </c>
      <c r="L1699" t="s">
        <v>2584</v>
      </c>
      <c r="M1699" t="s">
        <v>2930</v>
      </c>
    </row>
    <row r="1700" spans="1:13" hidden="1" x14ac:dyDescent="0.35">
      <c r="A1700" t="s">
        <v>1699</v>
      </c>
      <c r="B1700" t="s">
        <v>2412</v>
      </c>
      <c r="C1700" t="s">
        <v>2461</v>
      </c>
      <c r="D1700" t="s">
        <v>2465</v>
      </c>
      <c r="E1700" t="str">
        <f t="shared" si="52"/>
        <v>VERNIER</v>
      </c>
      <c r="F1700" t="s">
        <v>2481</v>
      </c>
      <c r="G1700">
        <v>223.83</v>
      </c>
      <c r="H1700" t="s">
        <v>2488</v>
      </c>
      <c r="I1700">
        <v>150</v>
      </c>
      <c r="J1700">
        <v>400</v>
      </c>
      <c r="K1700" s="9">
        <f t="shared" si="53"/>
        <v>45937</v>
      </c>
      <c r="L1700" t="s">
        <v>2829</v>
      </c>
      <c r="M1700" t="s">
        <v>2930</v>
      </c>
    </row>
    <row r="1701" spans="1:13" hidden="1" x14ac:dyDescent="0.35">
      <c r="A1701" t="s">
        <v>1700</v>
      </c>
      <c r="B1701" t="s">
        <v>2297</v>
      </c>
      <c r="C1701" t="s">
        <v>2458</v>
      </c>
      <c r="D1701" t="s">
        <v>2464</v>
      </c>
      <c r="E1701" t="str">
        <f t="shared" si="52"/>
        <v>EAST HANOVER</v>
      </c>
      <c r="F1701" t="s">
        <v>2483</v>
      </c>
      <c r="G1701">
        <v>0.18</v>
      </c>
      <c r="H1701" t="s">
        <v>2489</v>
      </c>
      <c r="I1701">
        <v>0</v>
      </c>
      <c r="J1701">
        <v>1</v>
      </c>
      <c r="K1701" s="9">
        <f t="shared" si="53"/>
        <v>45800</v>
      </c>
      <c r="L1701" t="s">
        <v>2906</v>
      </c>
      <c r="M1701" t="s">
        <v>2929</v>
      </c>
    </row>
    <row r="1702" spans="1:13" hidden="1" x14ac:dyDescent="0.35">
      <c r="A1702" t="s">
        <v>1701</v>
      </c>
      <c r="B1702" t="s">
        <v>2072</v>
      </c>
      <c r="C1702" t="s">
        <v>2460</v>
      </c>
      <c r="D1702" t="s">
        <v>2474</v>
      </c>
      <c r="E1702" t="str">
        <f t="shared" si="52"/>
        <v>DORTMUND DE</v>
      </c>
      <c r="F1702" t="s">
        <v>2481</v>
      </c>
      <c r="G1702">
        <v>231.02</v>
      </c>
      <c r="H1702" t="s">
        <v>2488</v>
      </c>
      <c r="I1702">
        <v>150</v>
      </c>
      <c r="J1702">
        <v>400</v>
      </c>
      <c r="K1702" s="9">
        <f t="shared" si="53"/>
        <v>45544</v>
      </c>
      <c r="L1702" t="s">
        <v>2551</v>
      </c>
      <c r="M1702" t="s">
        <v>2924</v>
      </c>
    </row>
    <row r="1703" spans="1:13" hidden="1" x14ac:dyDescent="0.35">
      <c r="A1703" t="s">
        <v>1702</v>
      </c>
      <c r="B1703" t="s">
        <v>2184</v>
      </c>
      <c r="C1703" t="s">
        <v>2461</v>
      </c>
      <c r="D1703" t="s">
        <v>2462</v>
      </c>
      <c r="E1703" t="str">
        <f t="shared" si="52"/>
        <v>ASHFORD UK</v>
      </c>
      <c r="F1703" t="s">
        <v>2480</v>
      </c>
      <c r="G1703">
        <v>0.92</v>
      </c>
      <c r="H1703" t="s">
        <v>2487</v>
      </c>
      <c r="I1703">
        <v>0.88</v>
      </c>
      <c r="J1703">
        <v>0.97</v>
      </c>
      <c r="K1703" s="9">
        <f t="shared" si="53"/>
        <v>45662</v>
      </c>
      <c r="L1703" t="s">
        <v>2656</v>
      </c>
      <c r="M1703" t="s">
        <v>2925</v>
      </c>
    </row>
    <row r="1704" spans="1:13" hidden="1" x14ac:dyDescent="0.35">
      <c r="A1704" t="s">
        <v>1703</v>
      </c>
      <c r="B1704" t="s">
        <v>2078</v>
      </c>
      <c r="C1704" t="s">
        <v>2460</v>
      </c>
      <c r="D1704" t="s">
        <v>2467</v>
      </c>
      <c r="E1704" t="str">
        <f t="shared" si="52"/>
        <v>ASHFORD</v>
      </c>
      <c r="F1704" t="s">
        <v>2481</v>
      </c>
      <c r="G1704">
        <v>197.96</v>
      </c>
      <c r="H1704" t="s">
        <v>2488</v>
      </c>
      <c r="I1704">
        <v>150</v>
      </c>
      <c r="J1704">
        <v>400</v>
      </c>
      <c r="K1704" s="9">
        <f t="shared" si="53"/>
        <v>45777</v>
      </c>
      <c r="L1704" t="s">
        <v>2557</v>
      </c>
      <c r="M1704" t="s">
        <v>2931</v>
      </c>
    </row>
    <row r="1705" spans="1:13" hidden="1" x14ac:dyDescent="0.35">
      <c r="A1705" t="s">
        <v>1704</v>
      </c>
      <c r="B1705" t="s">
        <v>2054</v>
      </c>
      <c r="C1705" t="s">
        <v>2457</v>
      </c>
      <c r="D1705" t="s">
        <v>2468</v>
      </c>
      <c r="E1705" t="str">
        <f t="shared" si="52"/>
        <v>VERNIER CH</v>
      </c>
      <c r="F1705" t="s">
        <v>2479</v>
      </c>
      <c r="G1705">
        <v>53.41</v>
      </c>
      <c r="H1705" t="s">
        <v>2486</v>
      </c>
      <c r="I1705">
        <v>0</v>
      </c>
      <c r="J1705">
        <v>120</v>
      </c>
      <c r="K1705" s="9">
        <f t="shared" si="53"/>
        <v>45510</v>
      </c>
      <c r="L1705" t="s">
        <v>2533</v>
      </c>
      <c r="M1705" t="s">
        <v>2928</v>
      </c>
    </row>
    <row r="1706" spans="1:13" hidden="1" x14ac:dyDescent="0.35">
      <c r="A1706" t="s">
        <v>1705</v>
      </c>
      <c r="B1706" t="s">
        <v>2203</v>
      </c>
      <c r="C1706" t="s">
        <v>2458</v>
      </c>
      <c r="D1706" t="s">
        <v>2473</v>
      </c>
      <c r="E1706" t="str">
        <f t="shared" si="52"/>
        <v>DORTMUND</v>
      </c>
      <c r="F1706" t="s">
        <v>2481</v>
      </c>
      <c r="G1706">
        <v>278.67</v>
      </c>
      <c r="H1706" t="s">
        <v>2488</v>
      </c>
      <c r="I1706">
        <v>150</v>
      </c>
      <c r="J1706">
        <v>400</v>
      </c>
      <c r="K1706" s="9">
        <f t="shared" si="53"/>
        <v>45911</v>
      </c>
      <c r="L1706" t="s">
        <v>2673</v>
      </c>
      <c r="M1706" t="s">
        <v>2927</v>
      </c>
    </row>
    <row r="1707" spans="1:13" hidden="1" x14ac:dyDescent="0.35">
      <c r="A1707" t="s">
        <v>1706</v>
      </c>
      <c r="B1707" t="s">
        <v>2439</v>
      </c>
      <c r="C1707" t="s">
        <v>2458</v>
      </c>
      <c r="D1707" t="s">
        <v>2475</v>
      </c>
      <c r="E1707" t="str">
        <f t="shared" si="52"/>
        <v>ASHFORD</v>
      </c>
      <c r="F1707" t="s">
        <v>2479</v>
      </c>
      <c r="G1707">
        <v>20.170000000000002</v>
      </c>
      <c r="H1707" t="s">
        <v>2486</v>
      </c>
      <c r="I1707">
        <v>0</v>
      </c>
      <c r="J1707">
        <v>120</v>
      </c>
      <c r="K1707" s="9">
        <f t="shared" si="53"/>
        <v>45549</v>
      </c>
      <c r="L1707" t="s">
        <v>2858</v>
      </c>
      <c r="M1707" t="s">
        <v>2927</v>
      </c>
    </row>
    <row r="1708" spans="1:13" x14ac:dyDescent="0.35">
      <c r="A1708" t="s">
        <v>1707</v>
      </c>
      <c r="B1708" t="s">
        <v>2044</v>
      </c>
      <c r="C1708" t="s">
        <v>2459</v>
      </c>
      <c r="D1708" t="s">
        <v>2478</v>
      </c>
      <c r="E1708" t="str">
        <f t="shared" si="52"/>
        <v>BUD</v>
      </c>
      <c r="F1708" t="s">
        <v>2483</v>
      </c>
      <c r="H1708" t="s">
        <v>2489</v>
      </c>
      <c r="I1708">
        <v>0</v>
      </c>
      <c r="J1708">
        <v>1</v>
      </c>
      <c r="K1708" s="9">
        <f t="shared" si="53"/>
        <v>45350</v>
      </c>
      <c r="L1708" t="s">
        <v>2524</v>
      </c>
      <c r="M1708" t="s">
        <v>2927</v>
      </c>
    </row>
    <row r="1709" spans="1:13" hidden="1" x14ac:dyDescent="0.35">
      <c r="A1709" t="s">
        <v>1708</v>
      </c>
      <c r="B1709" t="s">
        <v>2020</v>
      </c>
      <c r="C1709" t="s">
        <v>2458</v>
      </c>
      <c r="D1709" t="s">
        <v>2476</v>
      </c>
      <c r="E1709" t="str">
        <f t="shared" si="52"/>
        <v>BUDAPEST SITE</v>
      </c>
      <c r="F1709" t="s">
        <v>2485</v>
      </c>
      <c r="G1709">
        <v>38.159999999999997</v>
      </c>
      <c r="H1709" t="s">
        <v>2490</v>
      </c>
      <c r="I1709">
        <v>0</v>
      </c>
      <c r="J1709">
        <v>100</v>
      </c>
      <c r="K1709" s="9">
        <f t="shared" si="53"/>
        <v>45655</v>
      </c>
      <c r="L1709" t="s">
        <v>2500</v>
      </c>
      <c r="M1709" t="s">
        <v>2925</v>
      </c>
    </row>
    <row r="1710" spans="1:13" hidden="1" x14ac:dyDescent="0.35">
      <c r="A1710" t="s">
        <v>1709</v>
      </c>
      <c r="B1710" t="s">
        <v>2370</v>
      </c>
      <c r="C1710" t="s">
        <v>2459</v>
      </c>
      <c r="D1710" t="s">
        <v>2473</v>
      </c>
      <c r="E1710" t="str">
        <f t="shared" si="52"/>
        <v>DORTMUND</v>
      </c>
      <c r="F1710" t="s">
        <v>2481</v>
      </c>
      <c r="G1710">
        <v>285.93</v>
      </c>
      <c r="H1710" t="s">
        <v>2488</v>
      </c>
      <c r="I1710">
        <v>150</v>
      </c>
      <c r="J1710">
        <v>400</v>
      </c>
      <c r="K1710" s="9">
        <f t="shared" si="53"/>
        <v>45318</v>
      </c>
      <c r="L1710" t="s">
        <v>2773</v>
      </c>
      <c r="M1710" t="s">
        <v>2930</v>
      </c>
    </row>
    <row r="1711" spans="1:13" hidden="1" x14ac:dyDescent="0.35">
      <c r="A1711" t="s">
        <v>1710</v>
      </c>
      <c r="B1711" t="s">
        <v>2018</v>
      </c>
      <c r="C1711" t="s">
        <v>2460</v>
      </c>
      <c r="D1711" t="s">
        <v>2474</v>
      </c>
      <c r="E1711" t="str">
        <f t="shared" si="52"/>
        <v>DORTMUND DE</v>
      </c>
      <c r="F1711" t="s">
        <v>2480</v>
      </c>
      <c r="G1711">
        <v>0.87</v>
      </c>
      <c r="H1711" t="s">
        <v>2487</v>
      </c>
      <c r="I1711">
        <v>0.88</v>
      </c>
      <c r="J1711">
        <v>0.97</v>
      </c>
      <c r="K1711" s="9">
        <f t="shared" si="53"/>
        <v>45501</v>
      </c>
      <c r="L1711" t="s">
        <v>2498</v>
      </c>
      <c r="M1711" t="s">
        <v>2930</v>
      </c>
    </row>
    <row r="1712" spans="1:13" hidden="1" x14ac:dyDescent="0.35">
      <c r="A1712" t="s">
        <v>1711</v>
      </c>
      <c r="B1712" t="s">
        <v>2233</v>
      </c>
      <c r="C1712" t="s">
        <v>2459</v>
      </c>
      <c r="D1712" t="s">
        <v>2477</v>
      </c>
      <c r="E1712" t="str">
        <f t="shared" si="52"/>
        <v>BUDAPEST</v>
      </c>
      <c r="F1712" t="s">
        <v>2479</v>
      </c>
      <c r="G1712">
        <v>180</v>
      </c>
      <c r="H1712" t="s">
        <v>2486</v>
      </c>
      <c r="I1712">
        <v>0</v>
      </c>
      <c r="J1712">
        <v>120</v>
      </c>
      <c r="K1712" s="9">
        <f t="shared" si="53"/>
        <v>45854</v>
      </c>
      <c r="L1712" t="s">
        <v>2667</v>
      </c>
      <c r="M1712" t="s">
        <v>2929</v>
      </c>
    </row>
    <row r="1713" spans="1:13" hidden="1" x14ac:dyDescent="0.35">
      <c r="A1713" t="s">
        <v>1712</v>
      </c>
      <c r="B1713" t="s">
        <v>2027</v>
      </c>
      <c r="C1713" t="s">
        <v>2458</v>
      </c>
      <c r="D1713" t="s">
        <v>2464</v>
      </c>
      <c r="E1713" t="str">
        <f t="shared" si="52"/>
        <v>EAST HANOVER</v>
      </c>
      <c r="F1713" t="s">
        <v>2479</v>
      </c>
      <c r="G1713">
        <v>66.290000000000006</v>
      </c>
      <c r="H1713" t="s">
        <v>2486</v>
      </c>
      <c r="I1713">
        <v>0</v>
      </c>
      <c r="J1713">
        <v>120</v>
      </c>
      <c r="K1713" s="9">
        <f t="shared" si="53"/>
        <v>45827</v>
      </c>
      <c r="L1713" t="s">
        <v>2808</v>
      </c>
      <c r="M1713" t="s">
        <v>2928</v>
      </c>
    </row>
    <row r="1714" spans="1:13" hidden="1" x14ac:dyDescent="0.35">
      <c r="A1714" t="s">
        <v>1713</v>
      </c>
      <c r="B1714" t="s">
        <v>2443</v>
      </c>
      <c r="C1714" t="s">
        <v>2460</v>
      </c>
      <c r="D1714" t="s">
        <v>2462</v>
      </c>
      <c r="E1714" t="str">
        <f t="shared" si="52"/>
        <v>ASHFORD UK</v>
      </c>
      <c r="F1714" t="s">
        <v>2484</v>
      </c>
      <c r="G1714">
        <v>6.42</v>
      </c>
      <c r="I1714">
        <v>6</v>
      </c>
      <c r="J1714">
        <v>7.5</v>
      </c>
      <c r="K1714" s="9">
        <f t="shared" si="53"/>
        <v>45533</v>
      </c>
      <c r="L1714" t="s">
        <v>2866</v>
      </c>
      <c r="M1714" t="s">
        <v>2928</v>
      </c>
    </row>
    <row r="1715" spans="1:13" hidden="1" x14ac:dyDescent="0.35">
      <c r="A1715" t="s">
        <v>1714</v>
      </c>
      <c r="B1715" t="s">
        <v>2301</v>
      </c>
      <c r="C1715" t="s">
        <v>2460</v>
      </c>
      <c r="D1715" t="s">
        <v>2465</v>
      </c>
      <c r="E1715" t="str">
        <f t="shared" si="52"/>
        <v>VERNIER</v>
      </c>
      <c r="F1715" t="s">
        <v>2482</v>
      </c>
      <c r="G1715">
        <v>97.81</v>
      </c>
      <c r="H1715" t="s">
        <v>2489</v>
      </c>
      <c r="I1715">
        <v>97</v>
      </c>
      <c r="J1715">
        <v>100</v>
      </c>
      <c r="K1715" s="9">
        <f t="shared" si="53"/>
        <v>45595</v>
      </c>
      <c r="L1715" t="s">
        <v>2631</v>
      </c>
      <c r="M1715" t="s">
        <v>2923</v>
      </c>
    </row>
    <row r="1716" spans="1:13" hidden="1" x14ac:dyDescent="0.35">
      <c r="A1716" t="s">
        <v>1715</v>
      </c>
      <c r="B1716" t="s">
        <v>2425</v>
      </c>
      <c r="C1716" t="s">
        <v>2461</v>
      </c>
      <c r="D1716" t="s">
        <v>2466</v>
      </c>
      <c r="E1716" t="str">
        <f t="shared" si="52"/>
        <v>EAST HANOVER</v>
      </c>
      <c r="F1716" t="s">
        <v>2485</v>
      </c>
      <c r="G1716">
        <v>7.1</v>
      </c>
      <c r="H1716" t="s">
        <v>2490</v>
      </c>
      <c r="I1716">
        <v>0</v>
      </c>
      <c r="J1716">
        <v>100</v>
      </c>
      <c r="K1716" s="9">
        <f t="shared" si="53"/>
        <v>45556</v>
      </c>
      <c r="L1716" t="s">
        <v>2835</v>
      </c>
      <c r="M1716" t="s">
        <v>2923</v>
      </c>
    </row>
    <row r="1717" spans="1:13" hidden="1" x14ac:dyDescent="0.35">
      <c r="A1717" t="s">
        <v>1716</v>
      </c>
      <c r="B1717" t="s">
        <v>2279</v>
      </c>
      <c r="C1717" t="s">
        <v>2457</v>
      </c>
      <c r="D1717" t="s">
        <v>2465</v>
      </c>
      <c r="E1717" t="str">
        <f t="shared" si="52"/>
        <v>VERNIER</v>
      </c>
      <c r="F1717" t="s">
        <v>2481</v>
      </c>
      <c r="G1717">
        <v>187.38</v>
      </c>
      <c r="H1717" t="s">
        <v>2488</v>
      </c>
      <c r="I1717">
        <v>150</v>
      </c>
      <c r="J1717">
        <v>400</v>
      </c>
      <c r="K1717" s="9">
        <f t="shared" si="53"/>
        <v>45485</v>
      </c>
      <c r="L1717" t="s">
        <v>2727</v>
      </c>
      <c r="M1717" t="s">
        <v>2930</v>
      </c>
    </row>
    <row r="1718" spans="1:13" hidden="1" x14ac:dyDescent="0.35">
      <c r="A1718" t="s">
        <v>1717</v>
      </c>
      <c r="B1718" t="s">
        <v>2131</v>
      </c>
      <c r="C1718" t="s">
        <v>2459</v>
      </c>
      <c r="D1718" t="s">
        <v>2471</v>
      </c>
      <c r="E1718" t="str">
        <f t="shared" si="52"/>
        <v>BUDAPEST</v>
      </c>
      <c r="F1718" t="s">
        <v>2485</v>
      </c>
      <c r="G1718">
        <v>-30.75</v>
      </c>
      <c r="H1718" t="s">
        <v>2490</v>
      </c>
      <c r="I1718">
        <v>0</v>
      </c>
      <c r="J1718">
        <v>100</v>
      </c>
      <c r="K1718" s="9">
        <f t="shared" si="53"/>
        <v>45561</v>
      </c>
      <c r="L1718" t="s">
        <v>2607</v>
      </c>
      <c r="M1718" t="s">
        <v>2929</v>
      </c>
    </row>
    <row r="1719" spans="1:13" hidden="1" x14ac:dyDescent="0.35">
      <c r="A1719" t="s">
        <v>1718</v>
      </c>
      <c r="B1719" t="s">
        <v>2445</v>
      </c>
      <c r="C1719" t="s">
        <v>2461</v>
      </c>
      <c r="D1719" t="s">
        <v>2466</v>
      </c>
      <c r="E1719" t="str">
        <f t="shared" si="52"/>
        <v>EAST HANOVER</v>
      </c>
      <c r="F1719" t="s">
        <v>2484</v>
      </c>
      <c r="G1719">
        <v>6.94</v>
      </c>
      <c r="I1719">
        <v>6</v>
      </c>
      <c r="J1719">
        <v>7.5</v>
      </c>
      <c r="K1719" s="9">
        <f t="shared" si="53"/>
        <v>45725</v>
      </c>
      <c r="L1719" t="s">
        <v>2869</v>
      </c>
      <c r="M1719" t="s">
        <v>2926</v>
      </c>
    </row>
    <row r="1720" spans="1:13" hidden="1" x14ac:dyDescent="0.35">
      <c r="A1720" t="s">
        <v>1719</v>
      </c>
      <c r="B1720" t="s">
        <v>2078</v>
      </c>
      <c r="C1720" t="s">
        <v>2460</v>
      </c>
      <c r="D1720" t="s">
        <v>2467</v>
      </c>
      <c r="E1720" t="str">
        <f t="shared" si="52"/>
        <v>ASHFORD</v>
      </c>
      <c r="F1720" t="s">
        <v>2480</v>
      </c>
      <c r="G1720">
        <v>0.88</v>
      </c>
      <c r="H1720" t="s">
        <v>2487</v>
      </c>
      <c r="I1720">
        <v>0.88</v>
      </c>
      <c r="J1720">
        <v>0.97</v>
      </c>
      <c r="K1720" s="9">
        <f t="shared" si="53"/>
        <v>45777</v>
      </c>
      <c r="L1720" t="s">
        <v>2557</v>
      </c>
      <c r="M1720" t="s">
        <v>2932</v>
      </c>
    </row>
    <row r="1721" spans="1:13" hidden="1" x14ac:dyDescent="0.35">
      <c r="A1721" t="s">
        <v>1720</v>
      </c>
      <c r="B1721" t="s">
        <v>2159</v>
      </c>
      <c r="C1721" t="s">
        <v>2457</v>
      </c>
      <c r="D1721" t="s">
        <v>2472</v>
      </c>
      <c r="E1721" t="str">
        <f t="shared" si="52"/>
        <v>VERNIER</v>
      </c>
      <c r="F1721" t="s">
        <v>2484</v>
      </c>
      <c r="G1721">
        <v>6.61</v>
      </c>
      <c r="I1721">
        <v>6</v>
      </c>
      <c r="J1721">
        <v>7.5</v>
      </c>
      <c r="K1721" s="9">
        <f t="shared" si="53"/>
        <v>45511</v>
      </c>
      <c r="L1721" t="s">
        <v>2633</v>
      </c>
      <c r="M1721" t="s">
        <v>2923</v>
      </c>
    </row>
    <row r="1722" spans="1:13" hidden="1" x14ac:dyDescent="0.35">
      <c r="A1722" t="s">
        <v>1721</v>
      </c>
      <c r="B1722" t="s">
        <v>2261</v>
      </c>
      <c r="C1722" t="s">
        <v>2457</v>
      </c>
      <c r="D1722" t="s">
        <v>2475</v>
      </c>
      <c r="E1722" t="str">
        <f t="shared" si="52"/>
        <v>ASHFORD</v>
      </c>
      <c r="F1722" t="s">
        <v>2484</v>
      </c>
      <c r="G1722">
        <v>6.66</v>
      </c>
      <c r="I1722">
        <v>6</v>
      </c>
      <c r="J1722">
        <v>7.5</v>
      </c>
      <c r="K1722" s="9">
        <f t="shared" si="53"/>
        <v>45409</v>
      </c>
      <c r="L1722" t="s">
        <v>2512</v>
      </c>
      <c r="M1722" t="s">
        <v>2930</v>
      </c>
    </row>
    <row r="1723" spans="1:13" hidden="1" x14ac:dyDescent="0.35">
      <c r="A1723" t="s">
        <v>1722</v>
      </c>
      <c r="B1723" t="s">
        <v>2262</v>
      </c>
      <c r="C1723" t="s">
        <v>2459</v>
      </c>
      <c r="D1723" t="s">
        <v>2472</v>
      </c>
      <c r="E1723" t="str">
        <f t="shared" si="52"/>
        <v>VERNIER</v>
      </c>
      <c r="F1723" t="s">
        <v>2484</v>
      </c>
      <c r="G1723">
        <v>7.18</v>
      </c>
      <c r="I1723">
        <v>6</v>
      </c>
      <c r="J1723">
        <v>7.5</v>
      </c>
      <c r="K1723" s="9">
        <f t="shared" si="53"/>
        <v>45659</v>
      </c>
      <c r="L1723" t="s">
        <v>2815</v>
      </c>
      <c r="M1723" t="s">
        <v>2925</v>
      </c>
    </row>
    <row r="1724" spans="1:13" hidden="1" x14ac:dyDescent="0.35">
      <c r="A1724" t="s">
        <v>1723</v>
      </c>
      <c r="B1724" t="s">
        <v>2345</v>
      </c>
      <c r="C1724" t="s">
        <v>2458</v>
      </c>
      <c r="D1724" t="s">
        <v>2477</v>
      </c>
      <c r="E1724" t="str">
        <f t="shared" si="52"/>
        <v>BUDAPEST</v>
      </c>
      <c r="F1724" t="s">
        <v>2483</v>
      </c>
      <c r="G1724">
        <v>0.37</v>
      </c>
      <c r="H1724" t="s">
        <v>2489</v>
      </c>
      <c r="I1724">
        <v>0</v>
      </c>
      <c r="J1724">
        <v>1</v>
      </c>
      <c r="K1724" s="9">
        <f t="shared" si="53"/>
        <v>45379</v>
      </c>
      <c r="L1724" t="s">
        <v>2772</v>
      </c>
      <c r="M1724" t="s">
        <v>2931</v>
      </c>
    </row>
    <row r="1725" spans="1:13" hidden="1" x14ac:dyDescent="0.35">
      <c r="A1725" t="s">
        <v>1724</v>
      </c>
      <c r="B1725" t="s">
        <v>2226</v>
      </c>
      <c r="C1725" t="s">
        <v>2457</v>
      </c>
      <c r="D1725" t="s">
        <v>2476</v>
      </c>
      <c r="E1725" t="str">
        <f t="shared" si="52"/>
        <v>BUDAPEST SITE</v>
      </c>
      <c r="F1725" t="s">
        <v>2485</v>
      </c>
      <c r="G1725">
        <v>26.29</v>
      </c>
      <c r="H1725" t="s">
        <v>2490</v>
      </c>
      <c r="I1725">
        <v>0</v>
      </c>
      <c r="J1725">
        <v>100</v>
      </c>
      <c r="K1725" s="9">
        <f t="shared" si="53"/>
        <v>45595</v>
      </c>
      <c r="L1725" t="s">
        <v>2631</v>
      </c>
      <c r="M1725" t="s">
        <v>2926</v>
      </c>
    </row>
    <row r="1726" spans="1:13" hidden="1" x14ac:dyDescent="0.35">
      <c r="A1726" t="s">
        <v>1725</v>
      </c>
      <c r="B1726" t="s">
        <v>2357</v>
      </c>
      <c r="C1726" t="s">
        <v>2459</v>
      </c>
      <c r="D1726" t="s">
        <v>2462</v>
      </c>
      <c r="E1726" t="str">
        <f t="shared" si="52"/>
        <v>ASHFORD UK</v>
      </c>
      <c r="F1726" t="s">
        <v>2484</v>
      </c>
      <c r="G1726">
        <v>6.73</v>
      </c>
      <c r="I1726">
        <v>6</v>
      </c>
      <c r="J1726">
        <v>7.5</v>
      </c>
      <c r="K1726" s="9">
        <f t="shared" si="53"/>
        <v>45388</v>
      </c>
      <c r="L1726" t="s">
        <v>2583</v>
      </c>
      <c r="M1726" t="s">
        <v>2928</v>
      </c>
    </row>
    <row r="1727" spans="1:13" hidden="1" x14ac:dyDescent="0.35">
      <c r="A1727" t="s">
        <v>1726</v>
      </c>
      <c r="B1727" t="s">
        <v>2240</v>
      </c>
      <c r="C1727" t="s">
        <v>2457</v>
      </c>
      <c r="D1727" t="s">
        <v>2478</v>
      </c>
      <c r="E1727" t="str">
        <f t="shared" si="52"/>
        <v>BUD</v>
      </c>
      <c r="F1727" t="s">
        <v>2485</v>
      </c>
      <c r="G1727">
        <v>28.51</v>
      </c>
      <c r="H1727" t="s">
        <v>2490</v>
      </c>
      <c r="I1727">
        <v>0</v>
      </c>
      <c r="J1727">
        <v>100</v>
      </c>
      <c r="K1727" s="9">
        <f t="shared" si="53"/>
        <v>45904</v>
      </c>
      <c r="L1727" t="s">
        <v>2611</v>
      </c>
      <c r="M1727" t="s">
        <v>2923</v>
      </c>
    </row>
    <row r="1728" spans="1:13" hidden="1" x14ac:dyDescent="0.35">
      <c r="A1728" t="s">
        <v>1727</v>
      </c>
      <c r="B1728" t="s">
        <v>2181</v>
      </c>
      <c r="C1728" t="s">
        <v>2459</v>
      </c>
      <c r="D1728" t="s">
        <v>2463</v>
      </c>
      <c r="E1728" t="str">
        <f t="shared" si="52"/>
        <v>VERNIER</v>
      </c>
      <c r="F1728" t="s">
        <v>2485</v>
      </c>
      <c r="G1728">
        <v>-0.8</v>
      </c>
      <c r="H1728" t="s">
        <v>2490</v>
      </c>
      <c r="I1728">
        <v>0</v>
      </c>
      <c r="J1728">
        <v>100</v>
      </c>
      <c r="K1728" s="9">
        <f t="shared" si="53"/>
        <v>45500</v>
      </c>
      <c r="L1728" t="s">
        <v>2653</v>
      </c>
      <c r="M1728" t="s">
        <v>2930</v>
      </c>
    </row>
    <row r="1729" spans="1:13" hidden="1" x14ac:dyDescent="0.35">
      <c r="A1729" t="s">
        <v>1728</v>
      </c>
      <c r="B1729" t="s">
        <v>2259</v>
      </c>
      <c r="C1729" t="s">
        <v>2457</v>
      </c>
      <c r="D1729" t="s">
        <v>2465</v>
      </c>
      <c r="E1729" t="str">
        <f t="shared" si="52"/>
        <v>VERNIER</v>
      </c>
      <c r="F1729" t="s">
        <v>2483</v>
      </c>
      <c r="G1729">
        <v>0.53</v>
      </c>
      <c r="H1729" t="s">
        <v>2489</v>
      </c>
      <c r="I1729">
        <v>0</v>
      </c>
      <c r="J1729">
        <v>1</v>
      </c>
      <c r="K1729" s="9">
        <f t="shared" si="53"/>
        <v>45863</v>
      </c>
      <c r="L1729" t="s">
        <v>2711</v>
      </c>
      <c r="M1729" t="s">
        <v>2923</v>
      </c>
    </row>
    <row r="1730" spans="1:13" hidden="1" x14ac:dyDescent="0.35">
      <c r="A1730" t="s">
        <v>430</v>
      </c>
      <c r="B1730" t="s">
        <v>2307</v>
      </c>
      <c r="C1730" t="s">
        <v>2460</v>
      </c>
      <c r="D1730" t="s">
        <v>2465</v>
      </c>
      <c r="E1730" t="str">
        <f t="shared" si="52"/>
        <v>VERNIER</v>
      </c>
      <c r="F1730" t="s">
        <v>2481</v>
      </c>
      <c r="G1730">
        <v>259.14</v>
      </c>
      <c r="H1730" t="s">
        <v>2488</v>
      </c>
      <c r="I1730">
        <v>150</v>
      </c>
      <c r="J1730">
        <v>400</v>
      </c>
      <c r="K1730" s="9">
        <f t="shared" si="53"/>
        <v>45622</v>
      </c>
      <c r="L1730" t="s">
        <v>2743</v>
      </c>
      <c r="M1730" t="s">
        <v>2930</v>
      </c>
    </row>
    <row r="1731" spans="1:13" hidden="1" x14ac:dyDescent="0.35">
      <c r="A1731" t="s">
        <v>1729</v>
      </c>
      <c r="B1731" t="s">
        <v>2447</v>
      </c>
      <c r="C1731" t="s">
        <v>2457</v>
      </c>
      <c r="D1731" t="s">
        <v>2474</v>
      </c>
      <c r="E1731" t="str">
        <f t="shared" ref="E1731:E1794" si="54">UPPER(D1731)</f>
        <v>DORTMUND DE</v>
      </c>
      <c r="F1731" t="s">
        <v>2482</v>
      </c>
      <c r="G1731">
        <v>98.22</v>
      </c>
      <c r="H1731" t="s">
        <v>2489</v>
      </c>
      <c r="I1731">
        <v>97</v>
      </c>
      <c r="J1731">
        <v>100</v>
      </c>
      <c r="K1731" s="9">
        <f t="shared" ref="K1731:K1794" si="55">IF(L1731="","",
IF(MID(L1731,5,1)="-",
DATE(LEFT(L1731,4),MID(L1731,6,2),RIGHT(L1731,2)),
DATE(RIGHT(L1731,4),MID(L1731,4,2),LEFT(L1731,2))
))</f>
        <v>45888</v>
      </c>
      <c r="L1731" t="s">
        <v>2871</v>
      </c>
      <c r="M1731" t="s">
        <v>2928</v>
      </c>
    </row>
    <row r="1732" spans="1:13" hidden="1" x14ac:dyDescent="0.35">
      <c r="A1732" t="s">
        <v>1730</v>
      </c>
      <c r="B1732" t="s">
        <v>2434</v>
      </c>
      <c r="C1732" t="s">
        <v>2461</v>
      </c>
      <c r="D1732" t="s">
        <v>2463</v>
      </c>
      <c r="E1732" t="str">
        <f t="shared" si="54"/>
        <v>VERNIER</v>
      </c>
      <c r="F1732" t="s">
        <v>2484</v>
      </c>
      <c r="G1732">
        <v>7.27</v>
      </c>
      <c r="I1732">
        <v>6</v>
      </c>
      <c r="J1732">
        <v>7.5</v>
      </c>
      <c r="K1732" s="9">
        <f t="shared" si="55"/>
        <v>45506</v>
      </c>
      <c r="L1732" t="s">
        <v>2849</v>
      </c>
      <c r="M1732" t="s">
        <v>2924</v>
      </c>
    </row>
    <row r="1733" spans="1:13" hidden="1" x14ac:dyDescent="0.35">
      <c r="A1733" t="s">
        <v>1731</v>
      </c>
      <c r="B1733" t="s">
        <v>2019</v>
      </c>
      <c r="C1733" t="s">
        <v>2461</v>
      </c>
      <c r="D1733" t="s">
        <v>2464</v>
      </c>
      <c r="E1733" t="str">
        <f t="shared" si="54"/>
        <v>EAST HANOVER</v>
      </c>
      <c r="F1733" t="s">
        <v>2480</v>
      </c>
      <c r="G1733">
        <v>0.94</v>
      </c>
      <c r="H1733" t="s">
        <v>2487</v>
      </c>
      <c r="I1733">
        <v>0.88</v>
      </c>
      <c r="J1733">
        <v>0.97</v>
      </c>
      <c r="K1733" s="9">
        <f t="shared" si="55"/>
        <v>45881</v>
      </c>
      <c r="L1733" t="s">
        <v>2499</v>
      </c>
      <c r="M1733" t="s">
        <v>2924</v>
      </c>
    </row>
    <row r="1734" spans="1:13" hidden="1" x14ac:dyDescent="0.35">
      <c r="A1734" t="s">
        <v>1732</v>
      </c>
      <c r="B1734" t="s">
        <v>2378</v>
      </c>
      <c r="C1734" t="s">
        <v>2457</v>
      </c>
      <c r="D1734" t="s">
        <v>2470</v>
      </c>
      <c r="E1734" t="str">
        <f t="shared" si="54"/>
        <v>E. HANOVER</v>
      </c>
      <c r="F1734" t="s">
        <v>2480</v>
      </c>
      <c r="G1734">
        <v>0.93</v>
      </c>
      <c r="H1734" t="s">
        <v>2487</v>
      </c>
      <c r="I1734">
        <v>0.88</v>
      </c>
      <c r="J1734">
        <v>0.97</v>
      </c>
      <c r="K1734" s="9">
        <f t="shared" si="55"/>
        <v>45394</v>
      </c>
      <c r="L1734" t="s">
        <v>2797</v>
      </c>
      <c r="M1734" t="s">
        <v>2929</v>
      </c>
    </row>
    <row r="1735" spans="1:13" hidden="1" x14ac:dyDescent="0.35">
      <c r="A1735" t="s">
        <v>1733</v>
      </c>
      <c r="B1735" t="s">
        <v>2336</v>
      </c>
      <c r="C1735" t="s">
        <v>2460</v>
      </c>
      <c r="D1735" t="s">
        <v>2463</v>
      </c>
      <c r="E1735" t="str">
        <f t="shared" si="54"/>
        <v>VERNIER</v>
      </c>
      <c r="F1735" t="s">
        <v>2484</v>
      </c>
      <c r="G1735">
        <v>5.66</v>
      </c>
      <c r="I1735">
        <v>6</v>
      </c>
      <c r="J1735">
        <v>7.5</v>
      </c>
      <c r="K1735" s="9">
        <f t="shared" si="55"/>
        <v>45661</v>
      </c>
      <c r="L1735" t="s">
        <v>2612</v>
      </c>
      <c r="M1735" t="s">
        <v>2930</v>
      </c>
    </row>
    <row r="1736" spans="1:13" hidden="1" x14ac:dyDescent="0.35">
      <c r="A1736" t="s">
        <v>1051</v>
      </c>
      <c r="B1736" t="s">
        <v>2197</v>
      </c>
      <c r="C1736" t="s">
        <v>2459</v>
      </c>
      <c r="D1736" t="s">
        <v>2464</v>
      </c>
      <c r="E1736" t="str">
        <f t="shared" si="54"/>
        <v>EAST HANOVER</v>
      </c>
      <c r="F1736" t="s">
        <v>2483</v>
      </c>
      <c r="G1736">
        <v>0.35</v>
      </c>
      <c r="H1736" t="s">
        <v>2489</v>
      </c>
      <c r="I1736">
        <v>0</v>
      </c>
      <c r="J1736">
        <v>1</v>
      </c>
      <c r="K1736" s="9">
        <f t="shared" si="55"/>
        <v>45854</v>
      </c>
      <c r="L1736" t="s">
        <v>2667</v>
      </c>
      <c r="M1736" t="s">
        <v>2930</v>
      </c>
    </row>
    <row r="1737" spans="1:13" hidden="1" x14ac:dyDescent="0.35">
      <c r="A1737" t="s">
        <v>1734</v>
      </c>
      <c r="B1737" t="s">
        <v>2362</v>
      </c>
      <c r="C1737" t="s">
        <v>2457</v>
      </c>
      <c r="D1737" t="s">
        <v>2474</v>
      </c>
      <c r="E1737" t="str">
        <f t="shared" si="54"/>
        <v>DORTMUND DE</v>
      </c>
      <c r="F1737" t="s">
        <v>2482</v>
      </c>
      <c r="G1737">
        <v>98.87</v>
      </c>
      <c r="H1737" t="s">
        <v>2489</v>
      </c>
      <c r="I1737">
        <v>97</v>
      </c>
      <c r="J1737">
        <v>100</v>
      </c>
      <c r="K1737" s="9">
        <f t="shared" si="55"/>
        <v>45320</v>
      </c>
      <c r="L1737" t="s">
        <v>2786</v>
      </c>
      <c r="M1737" t="s">
        <v>2931</v>
      </c>
    </row>
    <row r="1738" spans="1:13" hidden="1" x14ac:dyDescent="0.35">
      <c r="A1738" t="s">
        <v>1735</v>
      </c>
      <c r="B1738" t="s">
        <v>2296</v>
      </c>
      <c r="C1738" t="s">
        <v>2459</v>
      </c>
      <c r="D1738" t="s">
        <v>2477</v>
      </c>
      <c r="E1738" t="str">
        <f t="shared" si="54"/>
        <v>BUDAPEST</v>
      </c>
      <c r="F1738" t="s">
        <v>2481</v>
      </c>
      <c r="G1738">
        <v>278.45</v>
      </c>
      <c r="H1738" t="s">
        <v>2488</v>
      </c>
      <c r="I1738">
        <v>150</v>
      </c>
      <c r="J1738">
        <v>400</v>
      </c>
      <c r="K1738" s="9">
        <f t="shared" si="55"/>
        <v>45697</v>
      </c>
      <c r="L1738" t="s">
        <v>2694</v>
      </c>
      <c r="M1738" t="s">
        <v>2930</v>
      </c>
    </row>
    <row r="1739" spans="1:13" hidden="1" x14ac:dyDescent="0.35">
      <c r="A1739" t="s">
        <v>1736</v>
      </c>
      <c r="B1739" t="s">
        <v>2012</v>
      </c>
      <c r="C1739" t="s">
        <v>2458</v>
      </c>
      <c r="D1739" t="s">
        <v>2465</v>
      </c>
      <c r="E1739" t="str">
        <f t="shared" si="54"/>
        <v>VERNIER</v>
      </c>
      <c r="F1739" t="s">
        <v>2484</v>
      </c>
      <c r="G1739">
        <v>7.2</v>
      </c>
      <c r="I1739">
        <v>6</v>
      </c>
      <c r="J1739">
        <v>7.5</v>
      </c>
      <c r="K1739" s="9">
        <f t="shared" si="55"/>
        <v>45399</v>
      </c>
      <c r="L1739" t="s">
        <v>2492</v>
      </c>
      <c r="M1739" t="s">
        <v>2931</v>
      </c>
    </row>
    <row r="1740" spans="1:13" hidden="1" x14ac:dyDescent="0.35">
      <c r="A1740" t="s">
        <v>1737</v>
      </c>
      <c r="B1740" t="s">
        <v>2335</v>
      </c>
      <c r="C1740" t="s">
        <v>2459</v>
      </c>
      <c r="D1740" t="s">
        <v>2464</v>
      </c>
      <c r="E1740" t="str">
        <f t="shared" si="54"/>
        <v>EAST HANOVER</v>
      </c>
      <c r="F1740" t="s">
        <v>2480</v>
      </c>
      <c r="G1740">
        <v>0.94</v>
      </c>
      <c r="H1740" t="s">
        <v>2487</v>
      </c>
      <c r="I1740">
        <v>0.88</v>
      </c>
      <c r="J1740">
        <v>0.97</v>
      </c>
      <c r="K1740" s="9">
        <f t="shared" si="55"/>
        <v>45419</v>
      </c>
      <c r="L1740" t="s">
        <v>2765</v>
      </c>
      <c r="M1740" t="s">
        <v>2926</v>
      </c>
    </row>
    <row r="1741" spans="1:13" hidden="1" x14ac:dyDescent="0.35">
      <c r="A1741" t="s">
        <v>1738</v>
      </c>
      <c r="B1741" t="s">
        <v>2235</v>
      </c>
      <c r="C1741" t="s">
        <v>2459</v>
      </c>
      <c r="D1741" t="s">
        <v>2474</v>
      </c>
      <c r="E1741" t="str">
        <f t="shared" si="54"/>
        <v>DORTMUND DE</v>
      </c>
      <c r="F1741" t="s">
        <v>2482</v>
      </c>
      <c r="G1741">
        <v>95.2</v>
      </c>
      <c r="H1741" t="s">
        <v>2489</v>
      </c>
      <c r="I1741">
        <v>97</v>
      </c>
      <c r="J1741">
        <v>100</v>
      </c>
      <c r="K1741" s="9">
        <f t="shared" si="55"/>
        <v>45854</v>
      </c>
      <c r="L1741" t="s">
        <v>2670</v>
      </c>
      <c r="M1741" t="s">
        <v>2929</v>
      </c>
    </row>
    <row r="1742" spans="1:13" hidden="1" x14ac:dyDescent="0.35">
      <c r="A1742" t="s">
        <v>1739</v>
      </c>
      <c r="B1742" t="s">
        <v>2319</v>
      </c>
      <c r="C1742" t="s">
        <v>2458</v>
      </c>
      <c r="D1742" t="s">
        <v>2474</v>
      </c>
      <c r="E1742" t="str">
        <f t="shared" si="54"/>
        <v>DORTMUND DE</v>
      </c>
      <c r="F1742" t="s">
        <v>2483</v>
      </c>
      <c r="G1742">
        <v>0.15</v>
      </c>
      <c r="H1742" t="s">
        <v>2489</v>
      </c>
      <c r="I1742">
        <v>0</v>
      </c>
      <c r="J1742">
        <v>1</v>
      </c>
      <c r="K1742" s="9">
        <f t="shared" si="55"/>
        <v>45477</v>
      </c>
      <c r="L1742" t="s">
        <v>2751</v>
      </c>
      <c r="M1742" t="s">
        <v>2924</v>
      </c>
    </row>
    <row r="1743" spans="1:13" hidden="1" x14ac:dyDescent="0.35">
      <c r="A1743" t="s">
        <v>1740</v>
      </c>
      <c r="B1743" t="s">
        <v>2271</v>
      </c>
      <c r="C1743" t="s">
        <v>2459</v>
      </c>
      <c r="D1743" t="s">
        <v>2478</v>
      </c>
      <c r="E1743" t="str">
        <f t="shared" si="54"/>
        <v>BUD</v>
      </c>
      <c r="F1743" t="s">
        <v>2485</v>
      </c>
      <c r="G1743">
        <v>23.8</v>
      </c>
      <c r="H1743" t="s">
        <v>2490</v>
      </c>
      <c r="I1743">
        <v>0</v>
      </c>
      <c r="J1743">
        <v>100</v>
      </c>
      <c r="K1743" s="9">
        <f t="shared" si="55"/>
        <v>45583</v>
      </c>
      <c r="L1743" t="s">
        <v>2719</v>
      </c>
      <c r="M1743" t="s">
        <v>2928</v>
      </c>
    </row>
    <row r="1744" spans="1:13" hidden="1" x14ac:dyDescent="0.35">
      <c r="A1744" t="s">
        <v>1741</v>
      </c>
      <c r="B1744" t="s">
        <v>2101</v>
      </c>
      <c r="C1744" t="s">
        <v>2458</v>
      </c>
      <c r="D1744" t="s">
        <v>2474</v>
      </c>
      <c r="E1744" t="str">
        <f t="shared" si="54"/>
        <v>DORTMUND DE</v>
      </c>
      <c r="F1744" t="s">
        <v>2485</v>
      </c>
      <c r="G1744">
        <v>12.35</v>
      </c>
      <c r="H1744" t="s">
        <v>2490</v>
      </c>
      <c r="I1744">
        <v>0</v>
      </c>
      <c r="J1744">
        <v>100</v>
      </c>
      <c r="K1744" s="9">
        <f t="shared" si="55"/>
        <v>46013</v>
      </c>
      <c r="L1744" t="s">
        <v>2579</v>
      </c>
      <c r="M1744" t="s">
        <v>2932</v>
      </c>
    </row>
    <row r="1745" spans="1:13" hidden="1" x14ac:dyDescent="0.35">
      <c r="A1745" t="s">
        <v>1742</v>
      </c>
      <c r="B1745" t="s">
        <v>2400</v>
      </c>
      <c r="C1745" t="s">
        <v>2457</v>
      </c>
      <c r="D1745" t="s">
        <v>2473</v>
      </c>
      <c r="E1745" t="str">
        <f t="shared" si="54"/>
        <v>DORTMUND</v>
      </c>
      <c r="F1745" t="s">
        <v>2481</v>
      </c>
      <c r="G1745">
        <v>264.10000000000002</v>
      </c>
      <c r="H1745" t="s">
        <v>2488</v>
      </c>
      <c r="I1745">
        <v>150</v>
      </c>
      <c r="J1745">
        <v>400</v>
      </c>
      <c r="K1745" s="9">
        <f t="shared" si="55"/>
        <v>45810</v>
      </c>
      <c r="L1745" t="s">
        <v>2655</v>
      </c>
      <c r="M1745" t="s">
        <v>2926</v>
      </c>
    </row>
    <row r="1746" spans="1:13" hidden="1" x14ac:dyDescent="0.35">
      <c r="A1746" t="s">
        <v>1743</v>
      </c>
      <c r="B1746" t="s">
        <v>2169</v>
      </c>
      <c r="C1746" t="s">
        <v>2458</v>
      </c>
      <c r="D1746" t="s">
        <v>2463</v>
      </c>
      <c r="E1746" t="str">
        <f t="shared" si="54"/>
        <v>VERNIER</v>
      </c>
      <c r="F1746" t="s">
        <v>2485</v>
      </c>
      <c r="G1746">
        <v>11.76</v>
      </c>
      <c r="H1746" t="s">
        <v>2490</v>
      </c>
      <c r="I1746">
        <v>0</v>
      </c>
      <c r="J1746">
        <v>100</v>
      </c>
      <c r="K1746" s="9">
        <f t="shared" si="55"/>
        <v>45571</v>
      </c>
      <c r="L1746" t="s">
        <v>2754</v>
      </c>
      <c r="M1746" t="s">
        <v>2928</v>
      </c>
    </row>
    <row r="1747" spans="1:13" hidden="1" x14ac:dyDescent="0.35">
      <c r="A1747" t="s">
        <v>1744</v>
      </c>
      <c r="B1747" t="s">
        <v>2374</v>
      </c>
      <c r="C1747" t="s">
        <v>2460</v>
      </c>
      <c r="D1747" t="s">
        <v>2462</v>
      </c>
      <c r="E1747" t="str">
        <f t="shared" si="54"/>
        <v>ASHFORD UK</v>
      </c>
      <c r="F1747" t="s">
        <v>2485</v>
      </c>
      <c r="G1747">
        <v>-32.380000000000003</v>
      </c>
      <c r="H1747" t="s">
        <v>2490</v>
      </c>
      <c r="I1747">
        <v>0</v>
      </c>
      <c r="J1747">
        <v>100</v>
      </c>
      <c r="K1747" s="9">
        <f t="shared" si="55"/>
        <v>45494</v>
      </c>
      <c r="L1747" t="s">
        <v>2793</v>
      </c>
      <c r="M1747" t="s">
        <v>2927</v>
      </c>
    </row>
    <row r="1748" spans="1:13" hidden="1" x14ac:dyDescent="0.35">
      <c r="A1748" t="s">
        <v>1745</v>
      </c>
      <c r="B1748" t="s">
        <v>2067</v>
      </c>
      <c r="C1748" t="s">
        <v>2459</v>
      </c>
      <c r="D1748" t="s">
        <v>2475</v>
      </c>
      <c r="E1748" t="str">
        <f t="shared" si="54"/>
        <v>ASHFORD</v>
      </c>
      <c r="F1748" t="s">
        <v>2483</v>
      </c>
      <c r="G1748">
        <v>0.25</v>
      </c>
      <c r="H1748" t="s">
        <v>2489</v>
      </c>
      <c r="I1748">
        <v>0</v>
      </c>
      <c r="J1748">
        <v>1</v>
      </c>
      <c r="K1748" s="9">
        <f t="shared" si="55"/>
        <v>45844</v>
      </c>
      <c r="L1748" t="s">
        <v>2546</v>
      </c>
      <c r="M1748" t="s">
        <v>2923</v>
      </c>
    </row>
    <row r="1749" spans="1:13" hidden="1" x14ac:dyDescent="0.35">
      <c r="A1749" t="s">
        <v>1746</v>
      </c>
      <c r="B1749" t="s">
        <v>2198</v>
      </c>
      <c r="C1749" t="s">
        <v>2459</v>
      </c>
      <c r="D1749" t="s">
        <v>2466</v>
      </c>
      <c r="E1749" t="str">
        <f t="shared" si="54"/>
        <v>EAST HANOVER</v>
      </c>
      <c r="F1749" t="s">
        <v>2484</v>
      </c>
      <c r="G1749">
        <v>6.85</v>
      </c>
      <c r="I1749">
        <v>6</v>
      </c>
      <c r="J1749">
        <v>7.5</v>
      </c>
      <c r="K1749" s="9">
        <f t="shared" si="55"/>
        <v>45704</v>
      </c>
      <c r="L1749" t="s">
        <v>2669</v>
      </c>
      <c r="M1749" t="s">
        <v>2927</v>
      </c>
    </row>
    <row r="1750" spans="1:13" hidden="1" x14ac:dyDescent="0.35">
      <c r="A1750" t="s">
        <v>1747</v>
      </c>
      <c r="B1750" t="s">
        <v>2176</v>
      </c>
      <c r="C1750" t="s">
        <v>2461</v>
      </c>
      <c r="D1750" t="s">
        <v>2473</v>
      </c>
      <c r="E1750" t="str">
        <f t="shared" si="54"/>
        <v>DORTMUND</v>
      </c>
      <c r="F1750" t="s">
        <v>2483</v>
      </c>
      <c r="G1750">
        <v>0.25</v>
      </c>
      <c r="H1750" t="s">
        <v>2489</v>
      </c>
      <c r="I1750">
        <v>0</v>
      </c>
      <c r="J1750">
        <v>1</v>
      </c>
      <c r="K1750" s="9">
        <f t="shared" si="55"/>
        <v>45312</v>
      </c>
      <c r="L1750" t="s">
        <v>2648</v>
      </c>
      <c r="M1750" t="s">
        <v>2931</v>
      </c>
    </row>
    <row r="1751" spans="1:13" hidden="1" x14ac:dyDescent="0.35">
      <c r="A1751" t="s">
        <v>1748</v>
      </c>
      <c r="B1751" t="s">
        <v>2405</v>
      </c>
      <c r="C1751" t="s">
        <v>2457</v>
      </c>
      <c r="D1751" t="s">
        <v>2466</v>
      </c>
      <c r="E1751" t="str">
        <f t="shared" si="54"/>
        <v>EAST HANOVER</v>
      </c>
      <c r="F1751" t="s">
        <v>2482</v>
      </c>
      <c r="G1751">
        <v>98.7</v>
      </c>
      <c r="H1751" t="s">
        <v>2489</v>
      </c>
      <c r="I1751">
        <v>97</v>
      </c>
      <c r="J1751">
        <v>100</v>
      </c>
      <c r="K1751" s="9">
        <f t="shared" si="55"/>
        <v>45926</v>
      </c>
      <c r="L1751" t="s">
        <v>2907</v>
      </c>
      <c r="M1751" t="s">
        <v>2929</v>
      </c>
    </row>
    <row r="1752" spans="1:13" hidden="1" x14ac:dyDescent="0.35">
      <c r="A1752" t="s">
        <v>1749</v>
      </c>
      <c r="B1752" t="s">
        <v>2366</v>
      </c>
      <c r="C1752" t="s">
        <v>2461</v>
      </c>
      <c r="D1752" t="s">
        <v>2471</v>
      </c>
      <c r="E1752" t="str">
        <f t="shared" si="54"/>
        <v>BUDAPEST</v>
      </c>
      <c r="F1752" t="s">
        <v>2483</v>
      </c>
      <c r="G1752">
        <v>0.36</v>
      </c>
      <c r="H1752" t="s">
        <v>2489</v>
      </c>
      <c r="I1752">
        <v>0</v>
      </c>
      <c r="J1752">
        <v>1</v>
      </c>
      <c r="K1752" s="9">
        <f t="shared" si="55"/>
        <v>45629</v>
      </c>
      <c r="L1752" t="s">
        <v>2644</v>
      </c>
      <c r="M1752" t="s">
        <v>2930</v>
      </c>
    </row>
    <row r="1753" spans="1:13" hidden="1" x14ac:dyDescent="0.35">
      <c r="A1753" t="s">
        <v>1750</v>
      </c>
      <c r="B1753" t="s">
        <v>2279</v>
      </c>
      <c r="C1753" t="s">
        <v>2457</v>
      </c>
      <c r="D1753" t="s">
        <v>2468</v>
      </c>
      <c r="E1753" t="str">
        <f t="shared" si="54"/>
        <v>VERNIER CH</v>
      </c>
      <c r="F1753" t="s">
        <v>2482</v>
      </c>
      <c r="G1753">
        <v>98.54</v>
      </c>
      <c r="H1753" t="s">
        <v>2489</v>
      </c>
      <c r="I1753">
        <v>97</v>
      </c>
      <c r="J1753">
        <v>100</v>
      </c>
      <c r="K1753" s="9">
        <f t="shared" si="55"/>
        <v>45485</v>
      </c>
      <c r="L1753" t="s">
        <v>2727</v>
      </c>
      <c r="M1753" t="s">
        <v>2929</v>
      </c>
    </row>
    <row r="1754" spans="1:13" hidden="1" x14ac:dyDescent="0.35">
      <c r="A1754" t="s">
        <v>1751</v>
      </c>
      <c r="B1754" t="s">
        <v>2078</v>
      </c>
      <c r="C1754" t="s">
        <v>2460</v>
      </c>
      <c r="D1754" t="s">
        <v>2462</v>
      </c>
      <c r="E1754" t="str">
        <f t="shared" si="54"/>
        <v>ASHFORD UK</v>
      </c>
      <c r="F1754" t="s">
        <v>2479</v>
      </c>
      <c r="G1754">
        <v>38.81</v>
      </c>
      <c r="H1754" t="s">
        <v>2486</v>
      </c>
      <c r="I1754">
        <v>0</v>
      </c>
      <c r="J1754">
        <v>120</v>
      </c>
      <c r="K1754" s="9">
        <f t="shared" si="55"/>
        <v>45777</v>
      </c>
      <c r="L1754" t="s">
        <v>2908</v>
      </c>
      <c r="M1754" t="s">
        <v>2924</v>
      </c>
    </row>
    <row r="1755" spans="1:13" hidden="1" x14ac:dyDescent="0.35">
      <c r="A1755" t="s">
        <v>1752</v>
      </c>
      <c r="B1755" t="s">
        <v>2012</v>
      </c>
      <c r="C1755" t="s">
        <v>2458</v>
      </c>
      <c r="D1755" t="s">
        <v>2468</v>
      </c>
      <c r="E1755" t="str">
        <f t="shared" si="54"/>
        <v>VERNIER CH</v>
      </c>
      <c r="F1755" t="s">
        <v>2485</v>
      </c>
      <c r="G1755">
        <v>27.78</v>
      </c>
      <c r="H1755" t="s">
        <v>2490</v>
      </c>
      <c r="I1755">
        <v>0</v>
      </c>
      <c r="J1755">
        <v>100</v>
      </c>
      <c r="K1755" s="9">
        <f t="shared" si="55"/>
        <v>45399</v>
      </c>
      <c r="L1755" t="s">
        <v>2909</v>
      </c>
      <c r="M1755" t="s">
        <v>2932</v>
      </c>
    </row>
    <row r="1756" spans="1:13" hidden="1" x14ac:dyDescent="0.35">
      <c r="A1756" t="s">
        <v>1753</v>
      </c>
      <c r="B1756" t="s">
        <v>2178</v>
      </c>
      <c r="C1756" t="s">
        <v>2457</v>
      </c>
      <c r="D1756" t="s">
        <v>2475</v>
      </c>
      <c r="E1756" t="str">
        <f t="shared" si="54"/>
        <v>ASHFORD</v>
      </c>
      <c r="F1756" t="s">
        <v>2481</v>
      </c>
      <c r="G1756">
        <v>216.45</v>
      </c>
      <c r="H1756" t="s">
        <v>2488</v>
      </c>
      <c r="I1756">
        <v>150</v>
      </c>
      <c r="J1756">
        <v>400</v>
      </c>
      <c r="K1756" s="9">
        <f t="shared" si="55"/>
        <v>45816</v>
      </c>
      <c r="L1756" t="s">
        <v>2650</v>
      </c>
      <c r="M1756" t="s">
        <v>2931</v>
      </c>
    </row>
    <row r="1757" spans="1:13" hidden="1" x14ac:dyDescent="0.35">
      <c r="A1757" t="s">
        <v>1754</v>
      </c>
      <c r="B1757" t="s">
        <v>2374</v>
      </c>
      <c r="C1757" t="s">
        <v>2460</v>
      </c>
      <c r="D1757" t="s">
        <v>2462</v>
      </c>
      <c r="E1757" t="str">
        <f t="shared" si="54"/>
        <v>ASHFORD UK</v>
      </c>
      <c r="F1757" t="s">
        <v>2481</v>
      </c>
      <c r="G1757">
        <v>199.7</v>
      </c>
      <c r="H1757" t="s">
        <v>2488</v>
      </c>
      <c r="I1757">
        <v>150</v>
      </c>
      <c r="J1757">
        <v>400</v>
      </c>
      <c r="K1757" s="9">
        <f t="shared" si="55"/>
        <v>45494</v>
      </c>
      <c r="L1757" t="s">
        <v>2793</v>
      </c>
      <c r="M1757" t="s">
        <v>2929</v>
      </c>
    </row>
    <row r="1758" spans="1:13" hidden="1" x14ac:dyDescent="0.35">
      <c r="A1758" t="s">
        <v>1388</v>
      </c>
      <c r="B1758" t="s">
        <v>2454</v>
      </c>
      <c r="C1758" t="s">
        <v>2461</v>
      </c>
      <c r="D1758" t="s">
        <v>2469</v>
      </c>
      <c r="E1758" t="str">
        <f t="shared" si="54"/>
        <v>DORTMUND</v>
      </c>
      <c r="F1758" t="s">
        <v>2485</v>
      </c>
      <c r="G1758">
        <v>-11.84</v>
      </c>
      <c r="H1758" t="s">
        <v>2490</v>
      </c>
      <c r="I1758">
        <v>0</v>
      </c>
      <c r="J1758">
        <v>100</v>
      </c>
      <c r="K1758" s="9">
        <f t="shared" si="55"/>
        <v>45502</v>
      </c>
      <c r="L1758" t="s">
        <v>2889</v>
      </c>
      <c r="M1758" t="s">
        <v>2924</v>
      </c>
    </row>
    <row r="1759" spans="1:13" hidden="1" x14ac:dyDescent="0.35">
      <c r="A1759" t="s">
        <v>1755</v>
      </c>
      <c r="B1759" t="s">
        <v>2180</v>
      </c>
      <c r="C1759" t="s">
        <v>2461</v>
      </c>
      <c r="D1759" t="s">
        <v>2464</v>
      </c>
      <c r="E1759" t="str">
        <f t="shared" si="54"/>
        <v>EAST HANOVER</v>
      </c>
      <c r="F1759" t="s">
        <v>2483</v>
      </c>
      <c r="G1759">
        <v>0.24</v>
      </c>
      <c r="H1759" t="s">
        <v>2489</v>
      </c>
      <c r="I1759">
        <v>0</v>
      </c>
      <c r="J1759">
        <v>1</v>
      </c>
      <c r="K1759" s="9">
        <f t="shared" si="55"/>
        <v>45649</v>
      </c>
      <c r="L1759" t="s">
        <v>2652</v>
      </c>
      <c r="M1759" t="s">
        <v>2929</v>
      </c>
    </row>
    <row r="1760" spans="1:13" hidden="1" x14ac:dyDescent="0.35">
      <c r="A1760" t="s">
        <v>1756</v>
      </c>
      <c r="B1760" t="s">
        <v>2415</v>
      </c>
      <c r="C1760" t="s">
        <v>2460</v>
      </c>
      <c r="D1760" t="s">
        <v>2463</v>
      </c>
      <c r="E1760" t="str">
        <f t="shared" si="54"/>
        <v>VERNIER</v>
      </c>
      <c r="F1760" t="s">
        <v>2480</v>
      </c>
      <c r="G1760">
        <v>0.93</v>
      </c>
      <c r="H1760" t="s">
        <v>2487</v>
      </c>
      <c r="I1760">
        <v>0.88</v>
      </c>
      <c r="J1760">
        <v>0.97</v>
      </c>
      <c r="K1760" s="9">
        <f t="shared" si="55"/>
        <v>45618</v>
      </c>
      <c r="L1760" t="s">
        <v>2910</v>
      </c>
      <c r="M1760" t="s">
        <v>2925</v>
      </c>
    </row>
    <row r="1761" spans="1:13" hidden="1" x14ac:dyDescent="0.35">
      <c r="A1761" t="s">
        <v>1757</v>
      </c>
      <c r="B1761" t="s">
        <v>2107</v>
      </c>
      <c r="C1761" t="s">
        <v>2459</v>
      </c>
      <c r="D1761" t="s">
        <v>2464</v>
      </c>
      <c r="E1761" t="str">
        <f t="shared" si="54"/>
        <v>EAST HANOVER</v>
      </c>
      <c r="F1761" t="s">
        <v>2480</v>
      </c>
      <c r="G1761">
        <v>0.97</v>
      </c>
      <c r="H1761" t="s">
        <v>2487</v>
      </c>
      <c r="I1761">
        <v>0.88</v>
      </c>
      <c r="J1761">
        <v>0.97</v>
      </c>
      <c r="K1761" s="9">
        <f t="shared" si="55"/>
        <v>45633</v>
      </c>
      <c r="L1761" t="s">
        <v>2584</v>
      </c>
      <c r="M1761" t="s">
        <v>2931</v>
      </c>
    </row>
    <row r="1762" spans="1:13" hidden="1" x14ac:dyDescent="0.35">
      <c r="A1762" t="s">
        <v>1758</v>
      </c>
      <c r="B1762" t="s">
        <v>2034</v>
      </c>
      <c r="C1762" t="s">
        <v>2461</v>
      </c>
      <c r="D1762" t="s">
        <v>2467</v>
      </c>
      <c r="E1762" t="str">
        <f t="shared" si="54"/>
        <v>ASHFORD</v>
      </c>
      <c r="F1762" t="s">
        <v>2481</v>
      </c>
      <c r="G1762">
        <v>259.02999999999997</v>
      </c>
      <c r="H1762" t="s">
        <v>2488</v>
      </c>
      <c r="I1762">
        <v>150</v>
      </c>
      <c r="J1762">
        <v>400</v>
      </c>
      <c r="K1762" s="9">
        <f t="shared" si="55"/>
        <v>45615</v>
      </c>
      <c r="L1762" t="s">
        <v>2514</v>
      </c>
      <c r="M1762" t="s">
        <v>2925</v>
      </c>
    </row>
    <row r="1763" spans="1:13" hidden="1" x14ac:dyDescent="0.35">
      <c r="A1763" t="s">
        <v>1759</v>
      </c>
      <c r="B1763" t="s">
        <v>2075</v>
      </c>
      <c r="C1763" t="s">
        <v>2461</v>
      </c>
      <c r="D1763" t="s">
        <v>2476</v>
      </c>
      <c r="E1763" t="str">
        <f t="shared" si="54"/>
        <v>BUDAPEST SITE</v>
      </c>
      <c r="F1763" t="s">
        <v>2484</v>
      </c>
      <c r="G1763">
        <v>6.77</v>
      </c>
      <c r="I1763">
        <v>6</v>
      </c>
      <c r="J1763">
        <v>7.5</v>
      </c>
      <c r="K1763" s="9">
        <f t="shared" si="55"/>
        <v>45686</v>
      </c>
      <c r="L1763" t="s">
        <v>2554</v>
      </c>
      <c r="M1763" t="s">
        <v>2924</v>
      </c>
    </row>
    <row r="1764" spans="1:13" hidden="1" x14ac:dyDescent="0.35">
      <c r="A1764" t="s">
        <v>1760</v>
      </c>
      <c r="B1764" t="s">
        <v>2401</v>
      </c>
      <c r="C1764" t="s">
        <v>2457</v>
      </c>
      <c r="D1764" t="s">
        <v>2478</v>
      </c>
      <c r="E1764" t="str">
        <f t="shared" si="54"/>
        <v>BUD</v>
      </c>
      <c r="F1764" t="s">
        <v>2483</v>
      </c>
      <c r="G1764">
        <v>0.26</v>
      </c>
      <c r="H1764" t="s">
        <v>2489</v>
      </c>
      <c r="I1764">
        <v>0</v>
      </c>
      <c r="J1764">
        <v>1</v>
      </c>
      <c r="K1764" s="9">
        <f t="shared" si="55"/>
        <v>45660</v>
      </c>
      <c r="L1764" t="s">
        <v>2817</v>
      </c>
      <c r="M1764" t="s">
        <v>2924</v>
      </c>
    </row>
    <row r="1765" spans="1:13" hidden="1" x14ac:dyDescent="0.35">
      <c r="A1765" t="s">
        <v>1761</v>
      </c>
      <c r="B1765" t="s">
        <v>2427</v>
      </c>
      <c r="C1765" t="s">
        <v>2461</v>
      </c>
      <c r="D1765" t="s">
        <v>2478</v>
      </c>
      <c r="E1765" t="str">
        <f t="shared" si="54"/>
        <v>BUD</v>
      </c>
      <c r="F1765" t="s">
        <v>2482</v>
      </c>
      <c r="G1765">
        <v>98.55</v>
      </c>
      <c r="H1765" t="s">
        <v>2489</v>
      </c>
      <c r="I1765">
        <v>97</v>
      </c>
      <c r="J1765">
        <v>100</v>
      </c>
      <c r="K1765" s="9">
        <f t="shared" si="55"/>
        <v>45590</v>
      </c>
      <c r="L1765" t="s">
        <v>2837</v>
      </c>
      <c r="M1765" t="s">
        <v>2925</v>
      </c>
    </row>
    <row r="1766" spans="1:13" hidden="1" x14ac:dyDescent="0.35">
      <c r="A1766" t="s">
        <v>1762</v>
      </c>
      <c r="B1766" t="s">
        <v>2313</v>
      </c>
      <c r="C1766" t="s">
        <v>2459</v>
      </c>
      <c r="D1766" t="s">
        <v>2476</v>
      </c>
      <c r="E1766" t="str">
        <f t="shared" si="54"/>
        <v>BUDAPEST SITE</v>
      </c>
      <c r="F1766" t="s">
        <v>2480</v>
      </c>
      <c r="G1766">
        <v>0.79</v>
      </c>
      <c r="H1766" t="s">
        <v>2487</v>
      </c>
      <c r="I1766">
        <v>0.88</v>
      </c>
      <c r="J1766">
        <v>0.97</v>
      </c>
      <c r="K1766" s="9">
        <f t="shared" si="55"/>
        <v>45742</v>
      </c>
      <c r="L1766" t="s">
        <v>2746</v>
      </c>
      <c r="M1766" t="s">
        <v>2925</v>
      </c>
    </row>
    <row r="1767" spans="1:13" hidden="1" x14ac:dyDescent="0.35">
      <c r="A1767" t="s">
        <v>1763</v>
      </c>
      <c r="B1767" t="s">
        <v>2093</v>
      </c>
      <c r="C1767" t="s">
        <v>2459</v>
      </c>
      <c r="D1767" t="s">
        <v>2464</v>
      </c>
      <c r="E1767" t="str">
        <f t="shared" si="54"/>
        <v>EAST HANOVER</v>
      </c>
      <c r="F1767" t="s">
        <v>2484</v>
      </c>
      <c r="G1767">
        <v>6.89</v>
      </c>
      <c r="I1767">
        <v>6</v>
      </c>
      <c r="J1767">
        <v>7.5</v>
      </c>
      <c r="K1767" s="9">
        <f t="shared" si="55"/>
        <v>45542</v>
      </c>
      <c r="L1767" t="s">
        <v>2571</v>
      </c>
      <c r="M1767" t="s">
        <v>2926</v>
      </c>
    </row>
    <row r="1768" spans="1:13" hidden="1" x14ac:dyDescent="0.35">
      <c r="A1768" t="s">
        <v>1764</v>
      </c>
      <c r="B1768" t="s">
        <v>2315</v>
      </c>
      <c r="C1768" t="s">
        <v>2460</v>
      </c>
      <c r="D1768" t="s">
        <v>2472</v>
      </c>
      <c r="E1768" t="str">
        <f t="shared" si="54"/>
        <v>VERNIER</v>
      </c>
      <c r="F1768" t="s">
        <v>2485</v>
      </c>
      <c r="G1768">
        <v>20.38</v>
      </c>
      <c r="H1768" t="s">
        <v>2490</v>
      </c>
      <c r="I1768">
        <v>0</v>
      </c>
      <c r="J1768">
        <v>100</v>
      </c>
      <c r="K1768" s="9">
        <f t="shared" si="55"/>
        <v>46011</v>
      </c>
      <c r="L1768" t="s">
        <v>2747</v>
      </c>
      <c r="M1768" t="s">
        <v>2926</v>
      </c>
    </row>
    <row r="1769" spans="1:13" hidden="1" x14ac:dyDescent="0.35">
      <c r="A1769" t="s">
        <v>1765</v>
      </c>
      <c r="B1769" t="s">
        <v>2186</v>
      </c>
      <c r="C1769" t="s">
        <v>2457</v>
      </c>
      <c r="D1769" t="s">
        <v>2476</v>
      </c>
      <c r="E1769" t="str">
        <f t="shared" si="54"/>
        <v>BUDAPEST SITE</v>
      </c>
      <c r="F1769" t="s">
        <v>2480</v>
      </c>
      <c r="G1769">
        <v>0.95</v>
      </c>
      <c r="H1769" t="s">
        <v>2487</v>
      </c>
      <c r="I1769">
        <v>0.88</v>
      </c>
      <c r="J1769">
        <v>0.97</v>
      </c>
      <c r="K1769" s="9">
        <f t="shared" si="55"/>
        <v>45579</v>
      </c>
      <c r="L1769" t="s">
        <v>2708</v>
      </c>
      <c r="M1769" t="s">
        <v>2930</v>
      </c>
    </row>
    <row r="1770" spans="1:13" hidden="1" x14ac:dyDescent="0.35">
      <c r="A1770" t="s">
        <v>1766</v>
      </c>
      <c r="B1770" t="s">
        <v>2311</v>
      </c>
      <c r="C1770" t="s">
        <v>2459</v>
      </c>
      <c r="D1770" t="s">
        <v>2470</v>
      </c>
      <c r="E1770" t="str">
        <f t="shared" si="54"/>
        <v>E. HANOVER</v>
      </c>
      <c r="F1770" t="s">
        <v>2483</v>
      </c>
      <c r="G1770">
        <v>0.3</v>
      </c>
      <c r="H1770" t="s">
        <v>2489</v>
      </c>
      <c r="I1770">
        <v>0</v>
      </c>
      <c r="J1770">
        <v>1</v>
      </c>
      <c r="K1770" s="9">
        <f t="shared" si="55"/>
        <v>45958</v>
      </c>
      <c r="L1770" t="s">
        <v>2627</v>
      </c>
      <c r="M1770" t="s">
        <v>2927</v>
      </c>
    </row>
    <row r="1771" spans="1:13" hidden="1" x14ac:dyDescent="0.35">
      <c r="A1771" t="s">
        <v>1767</v>
      </c>
      <c r="B1771" t="s">
        <v>2202</v>
      </c>
      <c r="C1771" t="s">
        <v>2460</v>
      </c>
      <c r="D1771" t="s">
        <v>2467</v>
      </c>
      <c r="E1771" t="str">
        <f t="shared" si="54"/>
        <v>ASHFORD</v>
      </c>
      <c r="F1771" t="s">
        <v>2482</v>
      </c>
      <c r="G1771">
        <v>98.61</v>
      </c>
      <c r="H1771" t="s">
        <v>2489</v>
      </c>
      <c r="I1771">
        <v>97</v>
      </c>
      <c r="J1771">
        <v>100</v>
      </c>
      <c r="K1771" s="9">
        <f t="shared" si="55"/>
        <v>45393</v>
      </c>
      <c r="L1771" t="s">
        <v>2632</v>
      </c>
      <c r="M1771" t="s">
        <v>2923</v>
      </c>
    </row>
    <row r="1772" spans="1:13" hidden="1" x14ac:dyDescent="0.35">
      <c r="A1772" t="s">
        <v>1768</v>
      </c>
      <c r="B1772" t="s">
        <v>2376</v>
      </c>
      <c r="C1772" t="s">
        <v>2459</v>
      </c>
      <c r="D1772" t="s">
        <v>2462</v>
      </c>
      <c r="E1772" t="str">
        <f t="shared" si="54"/>
        <v>ASHFORD UK</v>
      </c>
      <c r="F1772" t="s">
        <v>2484</v>
      </c>
      <c r="G1772">
        <v>5.93</v>
      </c>
      <c r="I1772">
        <v>6</v>
      </c>
      <c r="J1772">
        <v>7.5</v>
      </c>
      <c r="K1772" s="9">
        <f t="shared" si="55"/>
        <v>45780</v>
      </c>
      <c r="L1772" t="s">
        <v>2796</v>
      </c>
      <c r="M1772" t="s">
        <v>2932</v>
      </c>
    </row>
    <row r="1773" spans="1:13" hidden="1" x14ac:dyDescent="0.35">
      <c r="A1773" t="s">
        <v>1769</v>
      </c>
      <c r="B1773" t="s">
        <v>2408</v>
      </c>
      <c r="C1773" t="s">
        <v>2461</v>
      </c>
      <c r="D1773" t="s">
        <v>2465</v>
      </c>
      <c r="E1773" t="str">
        <f t="shared" si="54"/>
        <v>VERNIER</v>
      </c>
      <c r="F1773" t="s">
        <v>2483</v>
      </c>
      <c r="G1773">
        <v>0.28999999999999998</v>
      </c>
      <c r="H1773" t="s">
        <v>2489</v>
      </c>
      <c r="I1773">
        <v>0</v>
      </c>
      <c r="J1773">
        <v>1</v>
      </c>
      <c r="K1773" s="9">
        <f t="shared" si="55"/>
        <v>45702</v>
      </c>
      <c r="L1773" t="s">
        <v>2825</v>
      </c>
      <c r="M1773" t="s">
        <v>2928</v>
      </c>
    </row>
    <row r="1774" spans="1:13" hidden="1" x14ac:dyDescent="0.35">
      <c r="A1774" t="s">
        <v>1770</v>
      </c>
      <c r="B1774" t="s">
        <v>2426</v>
      </c>
      <c r="C1774" t="s">
        <v>2461</v>
      </c>
      <c r="D1774" t="s">
        <v>2474</v>
      </c>
      <c r="E1774" t="str">
        <f t="shared" si="54"/>
        <v>DORTMUND DE</v>
      </c>
      <c r="F1774" t="s">
        <v>2482</v>
      </c>
      <c r="G1774">
        <v>98.18</v>
      </c>
      <c r="H1774" t="s">
        <v>2489</v>
      </c>
      <c r="I1774">
        <v>97</v>
      </c>
      <c r="J1774">
        <v>100</v>
      </c>
      <c r="K1774" s="9">
        <f t="shared" si="55"/>
        <v>45834</v>
      </c>
      <c r="L1774" t="s">
        <v>2836</v>
      </c>
      <c r="M1774" t="s">
        <v>2929</v>
      </c>
    </row>
    <row r="1775" spans="1:13" hidden="1" x14ac:dyDescent="0.35">
      <c r="A1775" t="s">
        <v>1771</v>
      </c>
      <c r="B1775" t="s">
        <v>2362</v>
      </c>
      <c r="C1775" t="s">
        <v>2457</v>
      </c>
      <c r="D1775" t="s">
        <v>2469</v>
      </c>
      <c r="E1775" t="str">
        <f t="shared" si="54"/>
        <v>DORTMUND</v>
      </c>
      <c r="F1775" t="s">
        <v>2479</v>
      </c>
      <c r="G1775">
        <v>52.52</v>
      </c>
      <c r="H1775" t="s">
        <v>2486</v>
      </c>
      <c r="I1775">
        <v>0</v>
      </c>
      <c r="J1775">
        <v>120</v>
      </c>
      <c r="K1775" s="9">
        <f t="shared" si="55"/>
        <v>45320</v>
      </c>
      <c r="L1775" t="s">
        <v>2786</v>
      </c>
      <c r="M1775" t="s">
        <v>2930</v>
      </c>
    </row>
    <row r="1776" spans="1:13" hidden="1" x14ac:dyDescent="0.35">
      <c r="A1776" t="s">
        <v>1772</v>
      </c>
      <c r="B1776" t="s">
        <v>2405</v>
      </c>
      <c r="C1776" t="s">
        <v>2457</v>
      </c>
      <c r="D1776" t="s">
        <v>2464</v>
      </c>
      <c r="E1776" t="str">
        <f t="shared" si="54"/>
        <v>EAST HANOVER</v>
      </c>
      <c r="F1776" t="s">
        <v>2483</v>
      </c>
      <c r="G1776">
        <v>0.39</v>
      </c>
      <c r="H1776" t="s">
        <v>2489</v>
      </c>
      <c r="I1776">
        <v>0</v>
      </c>
      <c r="J1776">
        <v>1</v>
      </c>
      <c r="K1776" s="9">
        <f t="shared" si="55"/>
        <v>45926</v>
      </c>
      <c r="L1776" t="s">
        <v>2822</v>
      </c>
      <c r="M1776" t="s">
        <v>2931</v>
      </c>
    </row>
    <row r="1777" spans="1:13" hidden="1" x14ac:dyDescent="0.35">
      <c r="A1777" t="s">
        <v>1773</v>
      </c>
      <c r="B1777" t="s">
        <v>2226</v>
      </c>
      <c r="C1777" t="s">
        <v>2457</v>
      </c>
      <c r="D1777" t="s">
        <v>2476</v>
      </c>
      <c r="E1777" t="str">
        <f t="shared" si="54"/>
        <v>BUDAPEST SITE</v>
      </c>
      <c r="F1777" t="s">
        <v>2479</v>
      </c>
      <c r="G1777">
        <v>45.55</v>
      </c>
      <c r="H1777" t="s">
        <v>2486</v>
      </c>
      <c r="I1777">
        <v>0</v>
      </c>
      <c r="J1777">
        <v>120</v>
      </c>
      <c r="K1777" s="9">
        <f t="shared" si="55"/>
        <v>45595</v>
      </c>
      <c r="L1777" t="s">
        <v>2631</v>
      </c>
      <c r="M1777" t="s">
        <v>2928</v>
      </c>
    </row>
    <row r="1778" spans="1:13" hidden="1" x14ac:dyDescent="0.35">
      <c r="A1778" t="s">
        <v>1774</v>
      </c>
      <c r="B1778" t="s">
        <v>2444</v>
      </c>
      <c r="C1778" t="s">
        <v>2459</v>
      </c>
      <c r="D1778" t="s">
        <v>2476</v>
      </c>
      <c r="E1778" t="str">
        <f t="shared" si="54"/>
        <v>BUDAPEST SITE</v>
      </c>
      <c r="F1778" t="s">
        <v>2481</v>
      </c>
      <c r="G1778">
        <v>313.58999999999997</v>
      </c>
      <c r="H1778" t="s">
        <v>2488</v>
      </c>
      <c r="I1778">
        <v>150</v>
      </c>
      <c r="J1778">
        <v>400</v>
      </c>
      <c r="K1778" s="9">
        <f t="shared" si="55"/>
        <v>45946</v>
      </c>
      <c r="L1778" t="s">
        <v>2867</v>
      </c>
      <c r="M1778" t="s">
        <v>2927</v>
      </c>
    </row>
    <row r="1779" spans="1:13" hidden="1" x14ac:dyDescent="0.35">
      <c r="A1779" t="s">
        <v>1775</v>
      </c>
      <c r="B1779" t="s">
        <v>2159</v>
      </c>
      <c r="C1779" t="s">
        <v>2457</v>
      </c>
      <c r="D1779" t="s">
        <v>2468</v>
      </c>
      <c r="E1779" t="str">
        <f t="shared" si="54"/>
        <v>VERNIER CH</v>
      </c>
      <c r="F1779" t="s">
        <v>2482</v>
      </c>
      <c r="G1779">
        <v>98.59</v>
      </c>
      <c r="H1779" t="s">
        <v>2489</v>
      </c>
      <c r="I1779">
        <v>97</v>
      </c>
      <c r="J1779">
        <v>100</v>
      </c>
      <c r="K1779" s="9">
        <f t="shared" si="55"/>
        <v>45511</v>
      </c>
      <c r="L1779" t="s">
        <v>2633</v>
      </c>
      <c r="M1779" t="s">
        <v>2926</v>
      </c>
    </row>
    <row r="1780" spans="1:13" hidden="1" x14ac:dyDescent="0.35">
      <c r="A1780" t="s">
        <v>1776</v>
      </c>
      <c r="B1780" t="s">
        <v>2276</v>
      </c>
      <c r="C1780" t="s">
        <v>2457</v>
      </c>
      <c r="D1780" t="s">
        <v>2471</v>
      </c>
      <c r="E1780" t="str">
        <f t="shared" si="54"/>
        <v>BUDAPEST</v>
      </c>
      <c r="F1780" t="s">
        <v>2483</v>
      </c>
      <c r="G1780">
        <v>0.49</v>
      </c>
      <c r="H1780" t="s">
        <v>2489</v>
      </c>
      <c r="I1780">
        <v>0</v>
      </c>
      <c r="J1780">
        <v>1</v>
      </c>
      <c r="K1780" s="9">
        <f t="shared" si="55"/>
        <v>45685</v>
      </c>
      <c r="L1780" t="s">
        <v>2724</v>
      </c>
      <c r="M1780" t="s">
        <v>2928</v>
      </c>
    </row>
    <row r="1781" spans="1:13" hidden="1" x14ac:dyDescent="0.35">
      <c r="A1781" t="s">
        <v>1777</v>
      </c>
      <c r="B1781" t="s">
        <v>2413</v>
      </c>
      <c r="C1781" t="s">
        <v>2458</v>
      </c>
      <c r="D1781" t="s">
        <v>2462</v>
      </c>
      <c r="E1781" t="str">
        <f t="shared" si="54"/>
        <v>ASHFORD UK</v>
      </c>
      <c r="F1781" t="s">
        <v>2483</v>
      </c>
      <c r="G1781">
        <v>0.48</v>
      </c>
      <c r="H1781" t="s">
        <v>2489</v>
      </c>
      <c r="I1781">
        <v>0</v>
      </c>
      <c r="J1781">
        <v>1</v>
      </c>
      <c r="K1781" s="9">
        <f t="shared" si="55"/>
        <v>45419</v>
      </c>
      <c r="L1781" t="s">
        <v>2765</v>
      </c>
      <c r="M1781" t="s">
        <v>2932</v>
      </c>
    </row>
    <row r="1782" spans="1:13" hidden="1" x14ac:dyDescent="0.35">
      <c r="A1782" t="s">
        <v>1778</v>
      </c>
      <c r="B1782" t="s">
        <v>2149</v>
      </c>
      <c r="C1782" t="s">
        <v>2458</v>
      </c>
      <c r="D1782" t="s">
        <v>2468</v>
      </c>
      <c r="E1782" t="str">
        <f t="shared" si="54"/>
        <v>VERNIER CH</v>
      </c>
      <c r="F1782" t="s">
        <v>2479</v>
      </c>
      <c r="G1782">
        <v>58.01</v>
      </c>
      <c r="H1782" t="s">
        <v>2486</v>
      </c>
      <c r="I1782">
        <v>0</v>
      </c>
      <c r="J1782">
        <v>120</v>
      </c>
      <c r="K1782" s="9">
        <f t="shared" si="55"/>
        <v>45916</v>
      </c>
      <c r="L1782" t="s">
        <v>2624</v>
      </c>
      <c r="M1782" t="s">
        <v>2925</v>
      </c>
    </row>
    <row r="1783" spans="1:13" hidden="1" x14ac:dyDescent="0.35">
      <c r="A1783" t="s">
        <v>1779</v>
      </c>
      <c r="B1783" t="s">
        <v>2036</v>
      </c>
      <c r="C1783" t="s">
        <v>2459</v>
      </c>
      <c r="D1783" t="s">
        <v>2472</v>
      </c>
      <c r="E1783" t="str">
        <f t="shared" si="54"/>
        <v>VERNIER</v>
      </c>
      <c r="F1783" t="s">
        <v>2480</v>
      </c>
      <c r="G1783">
        <v>0.94</v>
      </c>
      <c r="H1783" t="s">
        <v>2487</v>
      </c>
      <c r="I1783">
        <v>0.88</v>
      </c>
      <c r="J1783">
        <v>0.97</v>
      </c>
      <c r="K1783" s="9">
        <f t="shared" si="55"/>
        <v>45769</v>
      </c>
      <c r="L1783" t="s">
        <v>2516</v>
      </c>
      <c r="M1783" t="s">
        <v>2930</v>
      </c>
    </row>
    <row r="1784" spans="1:13" hidden="1" x14ac:dyDescent="0.35">
      <c r="A1784" t="s">
        <v>1780</v>
      </c>
      <c r="B1784" t="s">
        <v>2376</v>
      </c>
      <c r="C1784" t="s">
        <v>2459</v>
      </c>
      <c r="D1784" t="s">
        <v>2475</v>
      </c>
      <c r="E1784" t="str">
        <f t="shared" si="54"/>
        <v>ASHFORD</v>
      </c>
      <c r="F1784" t="s">
        <v>2480</v>
      </c>
      <c r="G1784">
        <v>0.93</v>
      </c>
      <c r="H1784" t="s">
        <v>2487</v>
      </c>
      <c r="I1784">
        <v>0.88</v>
      </c>
      <c r="J1784">
        <v>0.97</v>
      </c>
      <c r="K1784" s="9">
        <f t="shared" si="55"/>
        <v>45780</v>
      </c>
      <c r="L1784" t="s">
        <v>2796</v>
      </c>
      <c r="M1784" t="s">
        <v>2929</v>
      </c>
    </row>
    <row r="1785" spans="1:13" hidden="1" x14ac:dyDescent="0.35">
      <c r="A1785" t="s">
        <v>1781</v>
      </c>
      <c r="B1785" t="s">
        <v>2337</v>
      </c>
      <c r="C1785" t="s">
        <v>2461</v>
      </c>
      <c r="D1785" t="s">
        <v>2466</v>
      </c>
      <c r="E1785" t="str">
        <f t="shared" si="54"/>
        <v>EAST HANOVER</v>
      </c>
      <c r="F1785" t="s">
        <v>2480</v>
      </c>
      <c r="G1785">
        <v>0.95</v>
      </c>
      <c r="H1785" t="s">
        <v>2487</v>
      </c>
      <c r="I1785">
        <v>0.88</v>
      </c>
      <c r="J1785">
        <v>0.97</v>
      </c>
      <c r="K1785" s="9">
        <f t="shared" si="55"/>
        <v>45545</v>
      </c>
      <c r="L1785" t="s">
        <v>2767</v>
      </c>
      <c r="M1785" t="s">
        <v>2923</v>
      </c>
    </row>
    <row r="1786" spans="1:13" hidden="1" x14ac:dyDescent="0.35">
      <c r="A1786" t="s">
        <v>1782</v>
      </c>
      <c r="B1786" t="s">
        <v>2337</v>
      </c>
      <c r="C1786" t="s">
        <v>2461</v>
      </c>
      <c r="D1786" t="s">
        <v>2470</v>
      </c>
      <c r="E1786" t="str">
        <f t="shared" si="54"/>
        <v>E. HANOVER</v>
      </c>
      <c r="F1786" t="s">
        <v>2481</v>
      </c>
      <c r="G1786">
        <v>254.38</v>
      </c>
      <c r="H1786" t="s">
        <v>2488</v>
      </c>
      <c r="I1786">
        <v>150</v>
      </c>
      <c r="J1786">
        <v>400</v>
      </c>
      <c r="K1786" s="9">
        <f t="shared" si="55"/>
        <v>45545</v>
      </c>
      <c r="L1786" t="s">
        <v>2767</v>
      </c>
      <c r="M1786" t="s">
        <v>2931</v>
      </c>
    </row>
    <row r="1787" spans="1:13" hidden="1" x14ac:dyDescent="0.35">
      <c r="A1787" t="s">
        <v>1783</v>
      </c>
      <c r="B1787" t="s">
        <v>2126</v>
      </c>
      <c r="C1787" t="s">
        <v>2461</v>
      </c>
      <c r="D1787" t="s">
        <v>2466</v>
      </c>
      <c r="E1787" t="str">
        <f t="shared" si="54"/>
        <v>EAST HANOVER</v>
      </c>
      <c r="F1787" t="s">
        <v>2484</v>
      </c>
      <c r="G1787">
        <v>6.95</v>
      </c>
      <c r="I1787">
        <v>6</v>
      </c>
      <c r="J1787">
        <v>7.5</v>
      </c>
      <c r="K1787" s="9">
        <f t="shared" si="55"/>
        <v>45366</v>
      </c>
      <c r="L1787" t="s">
        <v>2855</v>
      </c>
      <c r="M1787" t="s">
        <v>2929</v>
      </c>
    </row>
    <row r="1788" spans="1:13" hidden="1" x14ac:dyDescent="0.35">
      <c r="A1788" t="s">
        <v>1784</v>
      </c>
      <c r="B1788" t="s">
        <v>2100</v>
      </c>
      <c r="C1788" t="s">
        <v>2461</v>
      </c>
      <c r="D1788" t="s">
        <v>2477</v>
      </c>
      <c r="E1788" t="str">
        <f t="shared" si="54"/>
        <v>BUDAPEST</v>
      </c>
      <c r="F1788" t="s">
        <v>2481</v>
      </c>
      <c r="G1788">
        <v>307.97000000000003</v>
      </c>
      <c r="H1788" t="s">
        <v>2488</v>
      </c>
      <c r="I1788">
        <v>150</v>
      </c>
      <c r="J1788">
        <v>400</v>
      </c>
      <c r="K1788" s="9">
        <f t="shared" si="55"/>
        <v>45413</v>
      </c>
      <c r="L1788" t="s">
        <v>2578</v>
      </c>
      <c r="M1788" t="s">
        <v>2932</v>
      </c>
    </row>
    <row r="1789" spans="1:13" hidden="1" x14ac:dyDescent="0.35">
      <c r="A1789" t="s">
        <v>1785</v>
      </c>
      <c r="B1789" t="s">
        <v>2184</v>
      </c>
      <c r="C1789" t="s">
        <v>2461</v>
      </c>
      <c r="D1789" t="s">
        <v>2467</v>
      </c>
      <c r="E1789" t="str">
        <f t="shared" si="54"/>
        <v>ASHFORD</v>
      </c>
      <c r="F1789" t="s">
        <v>2479</v>
      </c>
      <c r="G1789">
        <v>84.65</v>
      </c>
      <c r="H1789" t="s">
        <v>2486</v>
      </c>
      <c r="I1789">
        <v>0</v>
      </c>
      <c r="J1789">
        <v>120</v>
      </c>
      <c r="K1789" s="9">
        <f t="shared" si="55"/>
        <v>45662</v>
      </c>
      <c r="L1789" t="s">
        <v>2656</v>
      </c>
      <c r="M1789" t="s">
        <v>2930</v>
      </c>
    </row>
    <row r="1790" spans="1:13" hidden="1" x14ac:dyDescent="0.35">
      <c r="A1790" t="s">
        <v>1786</v>
      </c>
      <c r="B1790" t="s">
        <v>2039</v>
      </c>
      <c r="C1790" t="s">
        <v>2458</v>
      </c>
      <c r="D1790" t="s">
        <v>2477</v>
      </c>
      <c r="E1790" t="str">
        <f t="shared" si="54"/>
        <v>BUDAPEST</v>
      </c>
      <c r="F1790" t="s">
        <v>2479</v>
      </c>
      <c r="G1790">
        <v>58.4</v>
      </c>
      <c r="H1790" t="s">
        <v>2486</v>
      </c>
      <c r="I1790">
        <v>0</v>
      </c>
      <c r="J1790">
        <v>120</v>
      </c>
      <c r="K1790" s="9">
        <f t="shared" si="55"/>
        <v>45969</v>
      </c>
      <c r="L1790" t="s">
        <v>2519</v>
      </c>
      <c r="M1790" t="s">
        <v>2925</v>
      </c>
    </row>
    <row r="1791" spans="1:13" hidden="1" x14ac:dyDescent="0.35">
      <c r="A1791" t="s">
        <v>1787</v>
      </c>
      <c r="B1791" t="s">
        <v>2092</v>
      </c>
      <c r="C1791" t="s">
        <v>2459</v>
      </c>
      <c r="D1791" t="s">
        <v>2466</v>
      </c>
      <c r="E1791" t="str">
        <f t="shared" si="54"/>
        <v>EAST HANOVER</v>
      </c>
      <c r="F1791" t="s">
        <v>2483</v>
      </c>
      <c r="G1791">
        <v>-0.45</v>
      </c>
      <c r="H1791" t="s">
        <v>2489</v>
      </c>
      <c r="I1791">
        <v>0</v>
      </c>
      <c r="J1791">
        <v>1</v>
      </c>
      <c r="K1791" s="9">
        <f t="shared" si="55"/>
        <v>45889</v>
      </c>
      <c r="L1791" t="s">
        <v>2570</v>
      </c>
      <c r="M1791" t="s">
        <v>2924</v>
      </c>
    </row>
    <row r="1792" spans="1:13" hidden="1" x14ac:dyDescent="0.35">
      <c r="A1792" t="s">
        <v>1788</v>
      </c>
      <c r="B1792" t="s">
        <v>2172</v>
      </c>
      <c r="C1792" t="s">
        <v>2459</v>
      </c>
      <c r="D1792" t="s">
        <v>2473</v>
      </c>
      <c r="E1792" t="str">
        <f t="shared" si="54"/>
        <v>DORTMUND</v>
      </c>
      <c r="F1792" t="s">
        <v>2485</v>
      </c>
      <c r="G1792">
        <v>-22.45</v>
      </c>
      <c r="H1792" t="s">
        <v>2490</v>
      </c>
      <c r="I1792">
        <v>0</v>
      </c>
      <c r="J1792">
        <v>100</v>
      </c>
      <c r="K1792" s="9">
        <f t="shared" si="55"/>
        <v>45453</v>
      </c>
      <c r="L1792" t="s">
        <v>2645</v>
      </c>
      <c r="M1792" t="s">
        <v>2927</v>
      </c>
    </row>
    <row r="1793" spans="1:13" hidden="1" x14ac:dyDescent="0.35">
      <c r="A1793" t="s">
        <v>1789</v>
      </c>
      <c r="B1793" t="s">
        <v>2351</v>
      </c>
      <c r="C1793" t="s">
        <v>2459</v>
      </c>
      <c r="D1793" t="s">
        <v>2465</v>
      </c>
      <c r="E1793" t="str">
        <f t="shared" si="54"/>
        <v>VERNIER</v>
      </c>
      <c r="F1793" t="s">
        <v>2482</v>
      </c>
      <c r="G1793">
        <v>98.72</v>
      </c>
      <c r="H1793" t="s">
        <v>2489</v>
      </c>
      <c r="I1793">
        <v>97</v>
      </c>
      <c r="J1793">
        <v>100</v>
      </c>
      <c r="K1793" s="9">
        <f t="shared" si="55"/>
        <v>45984</v>
      </c>
      <c r="L1793" t="s">
        <v>2864</v>
      </c>
      <c r="M1793" t="s">
        <v>2931</v>
      </c>
    </row>
    <row r="1794" spans="1:13" hidden="1" x14ac:dyDescent="0.35">
      <c r="A1794" t="s">
        <v>1790</v>
      </c>
      <c r="B1794" t="s">
        <v>2060</v>
      </c>
      <c r="C1794" t="s">
        <v>2458</v>
      </c>
      <c r="D1794" t="s">
        <v>2466</v>
      </c>
      <c r="E1794" t="str">
        <f t="shared" si="54"/>
        <v>EAST HANOVER</v>
      </c>
      <c r="F1794" t="s">
        <v>2484</v>
      </c>
      <c r="G1794">
        <v>7.55</v>
      </c>
      <c r="I1794">
        <v>6</v>
      </c>
      <c r="J1794">
        <v>7.5</v>
      </c>
      <c r="K1794" s="9">
        <f t="shared" si="55"/>
        <v>45751</v>
      </c>
      <c r="L1794" t="s">
        <v>2539</v>
      </c>
      <c r="M1794" t="s">
        <v>2927</v>
      </c>
    </row>
    <row r="1795" spans="1:13" hidden="1" x14ac:dyDescent="0.35">
      <c r="A1795" t="s">
        <v>1791</v>
      </c>
      <c r="B1795" t="s">
        <v>2155</v>
      </c>
      <c r="C1795" t="s">
        <v>2461</v>
      </c>
      <c r="D1795" t="s">
        <v>2474</v>
      </c>
      <c r="E1795" t="str">
        <f t="shared" ref="E1795:E1858" si="56">UPPER(D1795)</f>
        <v>DORTMUND DE</v>
      </c>
      <c r="F1795" t="s">
        <v>2481</v>
      </c>
      <c r="G1795">
        <v>191.79</v>
      </c>
      <c r="H1795" t="s">
        <v>2488</v>
      </c>
      <c r="I1795">
        <v>150</v>
      </c>
      <c r="J1795">
        <v>400</v>
      </c>
      <c r="K1795" s="9">
        <f t="shared" ref="K1795:K1858" si="57">IF(L1795="","",
IF(MID(L1795,5,1)="-",
DATE(LEFT(L1795,4),MID(L1795,6,2),RIGHT(L1795,2)),
DATE(RIGHT(L1795,4),MID(L1795,4,2),LEFT(L1795,2))
))</f>
        <v>45358</v>
      </c>
      <c r="L1795" t="s">
        <v>2582</v>
      </c>
      <c r="M1795" t="s">
        <v>2925</v>
      </c>
    </row>
    <row r="1796" spans="1:13" hidden="1" x14ac:dyDescent="0.35">
      <c r="A1796" t="s">
        <v>1792</v>
      </c>
      <c r="B1796" t="s">
        <v>2433</v>
      </c>
      <c r="C1796" t="s">
        <v>2461</v>
      </c>
      <c r="D1796" t="s">
        <v>2468</v>
      </c>
      <c r="E1796" t="str">
        <f t="shared" si="56"/>
        <v>VERNIER CH</v>
      </c>
      <c r="F1796" t="s">
        <v>2485</v>
      </c>
      <c r="G1796">
        <v>34.76</v>
      </c>
      <c r="H1796" t="s">
        <v>2490</v>
      </c>
      <c r="I1796">
        <v>0</v>
      </c>
      <c r="J1796">
        <v>100</v>
      </c>
      <c r="K1796" s="9">
        <f t="shared" si="57"/>
        <v>45503</v>
      </c>
      <c r="L1796" t="s">
        <v>2846</v>
      </c>
      <c r="M1796" t="s">
        <v>2929</v>
      </c>
    </row>
    <row r="1797" spans="1:13" hidden="1" x14ac:dyDescent="0.35">
      <c r="A1797" t="s">
        <v>1793</v>
      </c>
      <c r="B1797" t="s">
        <v>2044</v>
      </c>
      <c r="C1797" t="s">
        <v>2459</v>
      </c>
      <c r="D1797" t="s">
        <v>2477</v>
      </c>
      <c r="E1797" t="str">
        <f t="shared" si="56"/>
        <v>BUDAPEST</v>
      </c>
      <c r="F1797" t="s">
        <v>2484</v>
      </c>
      <c r="G1797">
        <v>6.04</v>
      </c>
      <c r="I1797">
        <v>6</v>
      </c>
      <c r="J1797">
        <v>7.5</v>
      </c>
      <c r="K1797" s="9">
        <f t="shared" si="57"/>
        <v>45350</v>
      </c>
      <c r="L1797" t="s">
        <v>2524</v>
      </c>
      <c r="M1797" t="s">
        <v>2926</v>
      </c>
    </row>
    <row r="1798" spans="1:13" hidden="1" x14ac:dyDescent="0.35">
      <c r="A1798" t="s">
        <v>1794</v>
      </c>
      <c r="B1798" t="s">
        <v>2371</v>
      </c>
      <c r="C1798" t="s">
        <v>2459</v>
      </c>
      <c r="D1798" t="s">
        <v>2473</v>
      </c>
      <c r="E1798" t="str">
        <f t="shared" si="56"/>
        <v>DORTMUND</v>
      </c>
      <c r="F1798" t="s">
        <v>2481</v>
      </c>
      <c r="G1798">
        <v>209.63</v>
      </c>
      <c r="H1798" t="s">
        <v>2488</v>
      </c>
      <c r="I1798">
        <v>150</v>
      </c>
      <c r="J1798">
        <v>400</v>
      </c>
      <c r="K1798" s="9">
        <f t="shared" si="57"/>
        <v>45519</v>
      </c>
      <c r="L1798" t="s">
        <v>2791</v>
      </c>
      <c r="M1798" t="s">
        <v>2927</v>
      </c>
    </row>
    <row r="1799" spans="1:13" hidden="1" x14ac:dyDescent="0.35">
      <c r="A1799" t="s">
        <v>1795</v>
      </c>
      <c r="B1799" t="s">
        <v>2217</v>
      </c>
      <c r="C1799" t="s">
        <v>2458</v>
      </c>
      <c r="D1799" t="s">
        <v>2476</v>
      </c>
      <c r="E1799" t="str">
        <f t="shared" si="56"/>
        <v>BUDAPEST SITE</v>
      </c>
      <c r="F1799" t="s">
        <v>2483</v>
      </c>
      <c r="G1799">
        <v>0.31</v>
      </c>
      <c r="H1799" t="s">
        <v>2489</v>
      </c>
      <c r="I1799">
        <v>0</v>
      </c>
      <c r="J1799">
        <v>1</v>
      </c>
      <c r="K1799" s="9">
        <f t="shared" si="57"/>
        <v>45368</v>
      </c>
      <c r="L1799" t="s">
        <v>2684</v>
      </c>
      <c r="M1799" t="s">
        <v>2931</v>
      </c>
    </row>
    <row r="1800" spans="1:13" hidden="1" x14ac:dyDescent="0.35">
      <c r="A1800" t="s">
        <v>1796</v>
      </c>
      <c r="B1800" t="s">
        <v>2431</v>
      </c>
      <c r="C1800" t="s">
        <v>2460</v>
      </c>
      <c r="D1800" t="s">
        <v>2462</v>
      </c>
      <c r="E1800" t="str">
        <f t="shared" si="56"/>
        <v>ASHFORD UK</v>
      </c>
      <c r="F1800" t="s">
        <v>2479</v>
      </c>
      <c r="G1800">
        <v>28.34</v>
      </c>
      <c r="H1800" t="s">
        <v>2486</v>
      </c>
      <c r="I1800">
        <v>0</v>
      </c>
      <c r="J1800">
        <v>120</v>
      </c>
      <c r="K1800" s="9">
        <f t="shared" si="57"/>
        <v>45462</v>
      </c>
      <c r="L1800" t="s">
        <v>2844</v>
      </c>
      <c r="M1800" t="s">
        <v>2923</v>
      </c>
    </row>
    <row r="1801" spans="1:13" hidden="1" x14ac:dyDescent="0.35">
      <c r="A1801" t="s">
        <v>1797</v>
      </c>
      <c r="B1801" t="s">
        <v>2145</v>
      </c>
      <c r="C1801" t="s">
        <v>2458</v>
      </c>
      <c r="D1801" t="s">
        <v>2476</v>
      </c>
      <c r="E1801" t="str">
        <f t="shared" si="56"/>
        <v>BUDAPEST SITE</v>
      </c>
      <c r="F1801" t="s">
        <v>2479</v>
      </c>
      <c r="G1801">
        <v>23.78</v>
      </c>
      <c r="H1801" t="s">
        <v>2486</v>
      </c>
      <c r="I1801">
        <v>0</v>
      </c>
      <c r="J1801">
        <v>120</v>
      </c>
      <c r="K1801" s="9">
        <f t="shared" si="57"/>
        <v>45819</v>
      </c>
      <c r="L1801" t="s">
        <v>2911</v>
      </c>
      <c r="M1801" t="s">
        <v>2929</v>
      </c>
    </row>
    <row r="1802" spans="1:13" hidden="1" x14ac:dyDescent="0.35">
      <c r="A1802" t="s">
        <v>1798</v>
      </c>
      <c r="B1802" t="s">
        <v>2333</v>
      </c>
      <c r="C1802" t="s">
        <v>2460</v>
      </c>
      <c r="D1802" t="s">
        <v>2464</v>
      </c>
      <c r="E1802" t="str">
        <f t="shared" si="56"/>
        <v>EAST HANOVER</v>
      </c>
      <c r="F1802" t="s">
        <v>2485</v>
      </c>
      <c r="G1802">
        <v>44.16</v>
      </c>
      <c r="H1802" t="s">
        <v>2490</v>
      </c>
      <c r="I1802">
        <v>0</v>
      </c>
      <c r="J1802">
        <v>100</v>
      </c>
      <c r="K1802" s="9">
        <f t="shared" si="57"/>
        <v>45452</v>
      </c>
      <c r="L1802" t="s">
        <v>2528</v>
      </c>
      <c r="M1802" t="s">
        <v>2924</v>
      </c>
    </row>
    <row r="1803" spans="1:13" hidden="1" x14ac:dyDescent="0.35">
      <c r="A1803" t="s">
        <v>1799</v>
      </c>
      <c r="B1803" t="s">
        <v>2314</v>
      </c>
      <c r="C1803" t="s">
        <v>2460</v>
      </c>
      <c r="D1803" t="s">
        <v>2462</v>
      </c>
      <c r="E1803" t="str">
        <f t="shared" si="56"/>
        <v>ASHFORD UK</v>
      </c>
      <c r="F1803" t="s">
        <v>2480</v>
      </c>
      <c r="G1803">
        <v>0.86</v>
      </c>
      <c r="H1803" t="s">
        <v>2487</v>
      </c>
      <c r="I1803">
        <v>0.88</v>
      </c>
      <c r="J1803">
        <v>0.97</v>
      </c>
      <c r="K1803" s="9">
        <f t="shared" si="57"/>
        <v>45671</v>
      </c>
      <c r="L1803" t="s">
        <v>2598</v>
      </c>
      <c r="M1803" t="s">
        <v>2929</v>
      </c>
    </row>
    <row r="1804" spans="1:13" hidden="1" x14ac:dyDescent="0.35">
      <c r="A1804" t="s">
        <v>1800</v>
      </c>
      <c r="B1804" t="s">
        <v>2410</v>
      </c>
      <c r="C1804" t="s">
        <v>2457</v>
      </c>
      <c r="D1804" t="s">
        <v>2473</v>
      </c>
      <c r="E1804" t="str">
        <f t="shared" si="56"/>
        <v>DORTMUND</v>
      </c>
      <c r="F1804" t="s">
        <v>2484</v>
      </c>
      <c r="G1804">
        <v>6.37</v>
      </c>
      <c r="I1804">
        <v>6</v>
      </c>
      <c r="J1804">
        <v>7.5</v>
      </c>
      <c r="K1804" s="9">
        <f t="shared" si="57"/>
        <v>45832</v>
      </c>
      <c r="L1804" t="s">
        <v>2826</v>
      </c>
      <c r="M1804" t="s">
        <v>2926</v>
      </c>
    </row>
    <row r="1805" spans="1:13" hidden="1" x14ac:dyDescent="0.35">
      <c r="A1805" t="s">
        <v>1801</v>
      </c>
      <c r="B1805" t="s">
        <v>2391</v>
      </c>
      <c r="C1805" t="s">
        <v>2458</v>
      </c>
      <c r="D1805" t="s">
        <v>2475</v>
      </c>
      <c r="E1805" t="str">
        <f t="shared" si="56"/>
        <v>ASHFORD</v>
      </c>
      <c r="F1805" t="s">
        <v>2479</v>
      </c>
      <c r="G1805">
        <v>40.69</v>
      </c>
      <c r="H1805" t="s">
        <v>2486</v>
      </c>
      <c r="I1805">
        <v>0</v>
      </c>
      <c r="J1805">
        <v>120</v>
      </c>
      <c r="K1805" s="9">
        <f t="shared" si="57"/>
        <v>45743</v>
      </c>
      <c r="L1805" t="s">
        <v>2538</v>
      </c>
      <c r="M1805" t="s">
        <v>2926</v>
      </c>
    </row>
    <row r="1806" spans="1:13" hidden="1" x14ac:dyDescent="0.35">
      <c r="A1806" t="s">
        <v>1802</v>
      </c>
      <c r="B1806" t="s">
        <v>2020</v>
      </c>
      <c r="C1806" t="s">
        <v>2458</v>
      </c>
      <c r="D1806" t="s">
        <v>2476</v>
      </c>
      <c r="E1806" t="str">
        <f t="shared" si="56"/>
        <v>BUDAPEST SITE</v>
      </c>
      <c r="F1806" t="s">
        <v>2480</v>
      </c>
      <c r="G1806">
        <v>0.96</v>
      </c>
      <c r="H1806" t="s">
        <v>2487</v>
      </c>
      <c r="I1806">
        <v>0.88</v>
      </c>
      <c r="J1806">
        <v>0.97</v>
      </c>
      <c r="K1806" s="9">
        <f t="shared" si="57"/>
        <v>45655</v>
      </c>
      <c r="L1806" t="s">
        <v>2500</v>
      </c>
      <c r="M1806" t="s">
        <v>2932</v>
      </c>
    </row>
    <row r="1807" spans="1:13" hidden="1" x14ac:dyDescent="0.35">
      <c r="A1807" t="s">
        <v>1803</v>
      </c>
      <c r="B1807" t="s">
        <v>2047</v>
      </c>
      <c r="C1807" t="s">
        <v>2460</v>
      </c>
      <c r="D1807" t="s">
        <v>2476</v>
      </c>
      <c r="E1807" t="str">
        <f t="shared" si="56"/>
        <v>BUDAPEST SITE</v>
      </c>
      <c r="F1807" t="s">
        <v>2480</v>
      </c>
      <c r="G1807">
        <v>0.94</v>
      </c>
      <c r="H1807" t="s">
        <v>2487</v>
      </c>
      <c r="I1807">
        <v>0.88</v>
      </c>
      <c r="J1807">
        <v>0.97</v>
      </c>
      <c r="K1807" s="9">
        <f t="shared" si="57"/>
        <v>45543</v>
      </c>
      <c r="L1807" t="s">
        <v>2526</v>
      </c>
      <c r="M1807" t="s">
        <v>2931</v>
      </c>
    </row>
    <row r="1808" spans="1:13" hidden="1" x14ac:dyDescent="0.35">
      <c r="A1808" t="s">
        <v>1804</v>
      </c>
      <c r="B1808" t="s">
        <v>2202</v>
      </c>
      <c r="C1808" t="s">
        <v>2460</v>
      </c>
      <c r="D1808" t="s">
        <v>2475</v>
      </c>
      <c r="E1808" t="str">
        <f t="shared" si="56"/>
        <v>ASHFORD</v>
      </c>
      <c r="F1808" t="s">
        <v>2483</v>
      </c>
      <c r="G1808">
        <v>0.36</v>
      </c>
      <c r="H1808" t="s">
        <v>2489</v>
      </c>
      <c r="I1808">
        <v>0</v>
      </c>
      <c r="J1808">
        <v>1</v>
      </c>
      <c r="K1808" s="9">
        <f t="shared" si="57"/>
        <v>45393</v>
      </c>
      <c r="L1808" t="s">
        <v>2632</v>
      </c>
      <c r="M1808" t="s">
        <v>2923</v>
      </c>
    </row>
    <row r="1809" spans="1:13" hidden="1" x14ac:dyDescent="0.35">
      <c r="A1809" t="s">
        <v>1805</v>
      </c>
      <c r="B1809" t="s">
        <v>2316</v>
      </c>
      <c r="C1809" t="s">
        <v>2460</v>
      </c>
      <c r="D1809" t="s">
        <v>2473</v>
      </c>
      <c r="E1809" t="str">
        <f t="shared" si="56"/>
        <v>DORTMUND</v>
      </c>
      <c r="F1809" t="s">
        <v>2479</v>
      </c>
      <c r="G1809">
        <v>32.54</v>
      </c>
      <c r="H1809" t="s">
        <v>2486</v>
      </c>
      <c r="I1809">
        <v>0</v>
      </c>
      <c r="J1809">
        <v>120</v>
      </c>
      <c r="K1809" s="9">
        <f t="shared" si="57"/>
        <v>45524</v>
      </c>
      <c r="L1809" t="s">
        <v>2748</v>
      </c>
      <c r="M1809" t="s">
        <v>2925</v>
      </c>
    </row>
    <row r="1810" spans="1:13" hidden="1" x14ac:dyDescent="0.35">
      <c r="A1810" t="s">
        <v>1806</v>
      </c>
      <c r="B1810" t="s">
        <v>2390</v>
      </c>
      <c r="C1810" t="s">
        <v>2459</v>
      </c>
      <c r="D1810" t="s">
        <v>2472</v>
      </c>
      <c r="E1810" t="str">
        <f t="shared" si="56"/>
        <v>VERNIER</v>
      </c>
      <c r="F1810" t="s">
        <v>2481</v>
      </c>
      <c r="G1810">
        <v>277.47000000000003</v>
      </c>
      <c r="H1810" t="s">
        <v>2488</v>
      </c>
      <c r="I1810">
        <v>150</v>
      </c>
      <c r="J1810">
        <v>400</v>
      </c>
      <c r="K1810" s="9">
        <f t="shared" si="57"/>
        <v>45571</v>
      </c>
      <c r="L1810" t="s">
        <v>2754</v>
      </c>
      <c r="M1810" t="s">
        <v>2925</v>
      </c>
    </row>
    <row r="1811" spans="1:13" hidden="1" x14ac:dyDescent="0.35">
      <c r="A1811" t="s">
        <v>1807</v>
      </c>
      <c r="B1811" t="s">
        <v>2413</v>
      </c>
      <c r="C1811" t="s">
        <v>2458</v>
      </c>
      <c r="D1811" t="s">
        <v>2475</v>
      </c>
      <c r="E1811" t="str">
        <f t="shared" si="56"/>
        <v>ASHFORD</v>
      </c>
      <c r="F1811" t="s">
        <v>2485</v>
      </c>
      <c r="G1811">
        <v>-11.08</v>
      </c>
      <c r="H1811" t="s">
        <v>2490</v>
      </c>
      <c r="I1811">
        <v>0</v>
      </c>
      <c r="J1811">
        <v>100</v>
      </c>
      <c r="K1811" s="9">
        <f t="shared" si="57"/>
        <v>45419</v>
      </c>
      <c r="L1811" t="s">
        <v>2765</v>
      </c>
      <c r="M1811" t="s">
        <v>2928</v>
      </c>
    </row>
    <row r="1812" spans="1:13" hidden="1" x14ac:dyDescent="0.35">
      <c r="A1812" t="s">
        <v>1808</v>
      </c>
      <c r="B1812" t="s">
        <v>2366</v>
      </c>
      <c r="C1812" t="s">
        <v>2461</v>
      </c>
      <c r="D1812" t="s">
        <v>2478</v>
      </c>
      <c r="E1812" t="str">
        <f t="shared" si="56"/>
        <v>BUD</v>
      </c>
      <c r="F1812" t="s">
        <v>2480</v>
      </c>
      <c r="G1812">
        <v>0.89</v>
      </c>
      <c r="H1812" t="s">
        <v>2487</v>
      </c>
      <c r="I1812">
        <v>0.88</v>
      </c>
      <c r="J1812">
        <v>0.97</v>
      </c>
      <c r="K1812" s="9">
        <f t="shared" si="57"/>
        <v>45629</v>
      </c>
      <c r="L1812" t="s">
        <v>2644</v>
      </c>
      <c r="M1812" t="s">
        <v>2930</v>
      </c>
    </row>
    <row r="1813" spans="1:13" hidden="1" x14ac:dyDescent="0.35">
      <c r="A1813" t="s">
        <v>1809</v>
      </c>
      <c r="B1813" t="s">
        <v>2403</v>
      </c>
      <c r="C1813" t="s">
        <v>2460</v>
      </c>
      <c r="D1813" t="s">
        <v>2464</v>
      </c>
      <c r="E1813" t="str">
        <f t="shared" si="56"/>
        <v>EAST HANOVER</v>
      </c>
      <c r="F1813" t="s">
        <v>2479</v>
      </c>
      <c r="G1813">
        <v>43.42</v>
      </c>
      <c r="H1813" t="s">
        <v>2486</v>
      </c>
      <c r="I1813">
        <v>0</v>
      </c>
      <c r="J1813">
        <v>120</v>
      </c>
      <c r="K1813" s="9">
        <f t="shared" si="57"/>
        <v>45567</v>
      </c>
      <c r="L1813" t="s">
        <v>2820</v>
      </c>
      <c r="M1813" t="s">
        <v>2924</v>
      </c>
    </row>
    <row r="1814" spans="1:13" hidden="1" x14ac:dyDescent="0.35">
      <c r="A1814" t="s">
        <v>1810</v>
      </c>
      <c r="B1814" t="s">
        <v>2114</v>
      </c>
      <c r="C1814" t="s">
        <v>2460</v>
      </c>
      <c r="D1814" t="s">
        <v>2470</v>
      </c>
      <c r="E1814" t="str">
        <f t="shared" si="56"/>
        <v>E. HANOVER</v>
      </c>
      <c r="F1814" t="s">
        <v>2479</v>
      </c>
      <c r="G1814">
        <v>63.23</v>
      </c>
      <c r="H1814" t="s">
        <v>2486</v>
      </c>
      <c r="I1814">
        <v>0</v>
      </c>
      <c r="J1814">
        <v>120</v>
      </c>
      <c r="K1814" s="9">
        <f t="shared" si="57"/>
        <v>45654</v>
      </c>
      <c r="L1814" t="s">
        <v>2508</v>
      </c>
      <c r="M1814" t="s">
        <v>2931</v>
      </c>
    </row>
    <row r="1815" spans="1:13" hidden="1" x14ac:dyDescent="0.35">
      <c r="A1815" t="s">
        <v>1811</v>
      </c>
      <c r="B1815" t="s">
        <v>2022</v>
      </c>
      <c r="C1815" t="s">
        <v>2457</v>
      </c>
      <c r="D1815" t="s">
        <v>2465</v>
      </c>
      <c r="E1815" t="str">
        <f t="shared" si="56"/>
        <v>VERNIER</v>
      </c>
      <c r="F1815" t="s">
        <v>2482</v>
      </c>
      <c r="G1815">
        <v>98.89</v>
      </c>
      <c r="H1815" t="s">
        <v>2489</v>
      </c>
      <c r="I1815">
        <v>97</v>
      </c>
      <c r="J1815">
        <v>100</v>
      </c>
      <c r="K1815" s="9">
        <f t="shared" si="57"/>
        <v>45530</v>
      </c>
      <c r="L1815" t="s">
        <v>2502</v>
      </c>
      <c r="M1815" t="s">
        <v>2928</v>
      </c>
    </row>
    <row r="1816" spans="1:13" hidden="1" x14ac:dyDescent="0.35">
      <c r="A1816" t="s">
        <v>1812</v>
      </c>
      <c r="B1816" t="s">
        <v>2175</v>
      </c>
      <c r="C1816" t="s">
        <v>2457</v>
      </c>
      <c r="D1816" t="s">
        <v>2475</v>
      </c>
      <c r="E1816" t="str">
        <f t="shared" si="56"/>
        <v>ASHFORD</v>
      </c>
      <c r="F1816" t="s">
        <v>2485</v>
      </c>
      <c r="G1816">
        <v>17.82</v>
      </c>
      <c r="H1816" t="s">
        <v>2490</v>
      </c>
      <c r="I1816">
        <v>0</v>
      </c>
      <c r="J1816">
        <v>100</v>
      </c>
      <c r="K1816" s="9">
        <f t="shared" si="57"/>
        <v>45921</v>
      </c>
      <c r="L1816" t="s">
        <v>2647</v>
      </c>
      <c r="M1816" t="s">
        <v>2931</v>
      </c>
    </row>
    <row r="1817" spans="1:13" hidden="1" x14ac:dyDescent="0.35">
      <c r="A1817" t="s">
        <v>1813</v>
      </c>
      <c r="B1817" t="s">
        <v>2301</v>
      </c>
      <c r="C1817" t="s">
        <v>2460</v>
      </c>
      <c r="D1817" t="s">
        <v>2468</v>
      </c>
      <c r="E1817" t="str">
        <f t="shared" si="56"/>
        <v>VERNIER CH</v>
      </c>
      <c r="F1817" t="s">
        <v>2484</v>
      </c>
      <c r="G1817">
        <v>7.46</v>
      </c>
      <c r="I1817">
        <v>6</v>
      </c>
      <c r="J1817">
        <v>7.5</v>
      </c>
      <c r="K1817" s="9">
        <f t="shared" si="57"/>
        <v>45595</v>
      </c>
      <c r="L1817" t="s">
        <v>2631</v>
      </c>
      <c r="M1817" t="s">
        <v>2931</v>
      </c>
    </row>
    <row r="1818" spans="1:13" hidden="1" x14ac:dyDescent="0.35">
      <c r="A1818" t="s">
        <v>1814</v>
      </c>
      <c r="B1818" t="s">
        <v>2377</v>
      </c>
      <c r="C1818" t="s">
        <v>2460</v>
      </c>
      <c r="D1818" t="s">
        <v>2463</v>
      </c>
      <c r="E1818" t="str">
        <f t="shared" si="56"/>
        <v>VERNIER</v>
      </c>
      <c r="F1818" t="s">
        <v>2479</v>
      </c>
      <c r="G1818">
        <v>23.84</v>
      </c>
      <c r="H1818" t="s">
        <v>2486</v>
      </c>
      <c r="I1818">
        <v>0</v>
      </c>
      <c r="J1818">
        <v>120</v>
      </c>
      <c r="K1818" s="9">
        <f t="shared" si="57"/>
        <v>45398</v>
      </c>
      <c r="L1818" t="s">
        <v>2529</v>
      </c>
      <c r="M1818" t="s">
        <v>2930</v>
      </c>
    </row>
    <row r="1819" spans="1:13" hidden="1" x14ac:dyDescent="0.35">
      <c r="A1819" t="s">
        <v>1815</v>
      </c>
      <c r="B1819" t="s">
        <v>2247</v>
      </c>
      <c r="C1819" t="s">
        <v>2461</v>
      </c>
      <c r="D1819" t="s">
        <v>2475</v>
      </c>
      <c r="E1819" t="str">
        <f t="shared" si="56"/>
        <v>ASHFORD</v>
      </c>
      <c r="F1819" t="s">
        <v>2484</v>
      </c>
      <c r="G1819">
        <v>6.84</v>
      </c>
      <c r="I1819">
        <v>6</v>
      </c>
      <c r="J1819">
        <v>7.5</v>
      </c>
      <c r="K1819" s="9">
        <f t="shared" si="57"/>
        <v>45307</v>
      </c>
      <c r="L1819" t="s">
        <v>2700</v>
      </c>
      <c r="M1819" t="s">
        <v>2929</v>
      </c>
    </row>
    <row r="1820" spans="1:13" hidden="1" x14ac:dyDescent="0.35">
      <c r="A1820" t="s">
        <v>1816</v>
      </c>
      <c r="B1820" t="s">
        <v>2266</v>
      </c>
      <c r="C1820" t="s">
        <v>2460</v>
      </c>
      <c r="D1820" t="s">
        <v>2475</v>
      </c>
      <c r="E1820" t="str">
        <f t="shared" si="56"/>
        <v>ASHFORD</v>
      </c>
      <c r="F1820" t="s">
        <v>2481</v>
      </c>
      <c r="G1820">
        <v>303.14999999999998</v>
      </c>
      <c r="H1820" t="s">
        <v>2488</v>
      </c>
      <c r="I1820">
        <v>150</v>
      </c>
      <c r="J1820">
        <v>400</v>
      </c>
      <c r="K1820" s="9">
        <f t="shared" si="57"/>
        <v>45819</v>
      </c>
      <c r="L1820" t="s">
        <v>2620</v>
      </c>
      <c r="M1820" t="s">
        <v>2927</v>
      </c>
    </row>
    <row r="1821" spans="1:13" hidden="1" x14ac:dyDescent="0.35">
      <c r="A1821" t="s">
        <v>1817</v>
      </c>
      <c r="B1821" t="s">
        <v>2224</v>
      </c>
      <c r="C1821" t="s">
        <v>2460</v>
      </c>
      <c r="D1821" t="s">
        <v>2464</v>
      </c>
      <c r="E1821" t="str">
        <f t="shared" si="56"/>
        <v>EAST HANOVER</v>
      </c>
      <c r="F1821" t="s">
        <v>2483</v>
      </c>
      <c r="G1821">
        <v>0.23</v>
      </c>
      <c r="H1821" t="s">
        <v>2489</v>
      </c>
      <c r="I1821">
        <v>0</v>
      </c>
      <c r="J1821">
        <v>1</v>
      </c>
      <c r="K1821" s="9">
        <f t="shared" si="57"/>
        <v>45831</v>
      </c>
      <c r="L1821" t="s">
        <v>2540</v>
      </c>
      <c r="M1821" t="s">
        <v>2931</v>
      </c>
    </row>
    <row r="1822" spans="1:13" hidden="1" x14ac:dyDescent="0.35">
      <c r="A1822" t="s">
        <v>1818</v>
      </c>
      <c r="B1822" t="s">
        <v>2033</v>
      </c>
      <c r="C1822" t="s">
        <v>2459</v>
      </c>
      <c r="D1822" t="s">
        <v>2466</v>
      </c>
      <c r="E1822" t="str">
        <f t="shared" si="56"/>
        <v>EAST HANOVER</v>
      </c>
      <c r="F1822" t="s">
        <v>2482</v>
      </c>
      <c r="G1822">
        <v>98.4</v>
      </c>
      <c r="H1822" t="s">
        <v>2489</v>
      </c>
      <c r="I1822">
        <v>97</v>
      </c>
      <c r="J1822">
        <v>100</v>
      </c>
      <c r="K1822" s="9">
        <f t="shared" si="57"/>
        <v>45330</v>
      </c>
      <c r="L1822" t="s">
        <v>2513</v>
      </c>
      <c r="M1822" t="s">
        <v>2923</v>
      </c>
    </row>
    <row r="1823" spans="1:13" hidden="1" x14ac:dyDescent="0.35">
      <c r="A1823" t="s">
        <v>1819</v>
      </c>
      <c r="B1823" t="s">
        <v>2414</v>
      </c>
      <c r="C1823" t="s">
        <v>2460</v>
      </c>
      <c r="D1823" t="s">
        <v>2462</v>
      </c>
      <c r="E1823" t="str">
        <f t="shared" si="56"/>
        <v>ASHFORD UK</v>
      </c>
      <c r="F1823" t="s">
        <v>2485</v>
      </c>
      <c r="G1823">
        <v>19.63</v>
      </c>
      <c r="H1823" t="s">
        <v>2490</v>
      </c>
      <c r="I1823">
        <v>0</v>
      </c>
      <c r="J1823">
        <v>100</v>
      </c>
      <c r="K1823" s="9">
        <f t="shared" si="57"/>
        <v>45983</v>
      </c>
      <c r="L1823" t="s">
        <v>2830</v>
      </c>
      <c r="M1823" t="s">
        <v>2927</v>
      </c>
    </row>
    <row r="1824" spans="1:13" hidden="1" x14ac:dyDescent="0.35">
      <c r="A1824" t="s">
        <v>1820</v>
      </c>
      <c r="B1824" t="s">
        <v>2327</v>
      </c>
      <c r="C1824" t="s">
        <v>2458</v>
      </c>
      <c r="D1824" t="s">
        <v>2477</v>
      </c>
      <c r="E1824" t="str">
        <f t="shared" si="56"/>
        <v>BUDAPEST</v>
      </c>
      <c r="F1824" t="s">
        <v>2485</v>
      </c>
      <c r="G1824">
        <v>50.25</v>
      </c>
      <c r="H1824" t="s">
        <v>2490</v>
      </c>
      <c r="I1824">
        <v>0</v>
      </c>
      <c r="J1824">
        <v>100</v>
      </c>
      <c r="K1824" s="9">
        <f t="shared" si="57"/>
        <v>45699</v>
      </c>
      <c r="L1824" t="s">
        <v>2756</v>
      </c>
      <c r="M1824" t="s">
        <v>2924</v>
      </c>
    </row>
    <row r="1825" spans="1:13" hidden="1" x14ac:dyDescent="0.35">
      <c r="A1825" t="s">
        <v>1821</v>
      </c>
      <c r="B1825" t="s">
        <v>2285</v>
      </c>
      <c r="C1825" t="s">
        <v>2457</v>
      </c>
      <c r="D1825" t="s">
        <v>2463</v>
      </c>
      <c r="E1825" t="str">
        <f t="shared" si="56"/>
        <v>VERNIER</v>
      </c>
      <c r="F1825" t="s">
        <v>2481</v>
      </c>
      <c r="G1825">
        <v>228.76</v>
      </c>
      <c r="H1825" t="s">
        <v>2488</v>
      </c>
      <c r="I1825">
        <v>150</v>
      </c>
      <c r="J1825">
        <v>400</v>
      </c>
      <c r="K1825" s="9">
        <f t="shared" si="57"/>
        <v>45960</v>
      </c>
      <c r="L1825" t="s">
        <v>2678</v>
      </c>
      <c r="M1825" t="s">
        <v>2923</v>
      </c>
    </row>
    <row r="1826" spans="1:13" hidden="1" x14ac:dyDescent="0.35">
      <c r="A1826" t="s">
        <v>1822</v>
      </c>
      <c r="B1826" t="s">
        <v>2442</v>
      </c>
      <c r="C1826" t="s">
        <v>2458</v>
      </c>
      <c r="D1826" t="s">
        <v>2463</v>
      </c>
      <c r="E1826" t="str">
        <f t="shared" si="56"/>
        <v>VERNIER</v>
      </c>
      <c r="F1826" t="s">
        <v>2482</v>
      </c>
      <c r="G1826">
        <v>99.17</v>
      </c>
      <c r="H1826" t="s">
        <v>2489</v>
      </c>
      <c r="I1826">
        <v>97</v>
      </c>
      <c r="J1826">
        <v>100</v>
      </c>
      <c r="K1826" s="9">
        <f t="shared" si="57"/>
        <v>45385</v>
      </c>
      <c r="L1826" t="s">
        <v>2574</v>
      </c>
      <c r="M1826" t="s">
        <v>2930</v>
      </c>
    </row>
    <row r="1827" spans="1:13" hidden="1" x14ac:dyDescent="0.35">
      <c r="A1827" t="s">
        <v>1823</v>
      </c>
      <c r="B1827" t="s">
        <v>2098</v>
      </c>
      <c r="C1827" t="s">
        <v>2460</v>
      </c>
      <c r="D1827" t="s">
        <v>2470</v>
      </c>
      <c r="E1827" t="str">
        <f t="shared" si="56"/>
        <v>E. HANOVER</v>
      </c>
      <c r="F1827" t="s">
        <v>2479</v>
      </c>
      <c r="G1827">
        <v>40.47</v>
      </c>
      <c r="H1827" t="s">
        <v>2486</v>
      </c>
      <c r="I1827">
        <v>0</v>
      </c>
      <c r="J1827">
        <v>120</v>
      </c>
      <c r="K1827" s="9">
        <f t="shared" si="57"/>
        <v>45460</v>
      </c>
      <c r="L1827" t="s">
        <v>2576</v>
      </c>
      <c r="M1827" t="s">
        <v>2930</v>
      </c>
    </row>
    <row r="1828" spans="1:13" hidden="1" x14ac:dyDescent="0.35">
      <c r="A1828" t="s">
        <v>1824</v>
      </c>
      <c r="B1828" t="s">
        <v>2100</v>
      </c>
      <c r="C1828" t="s">
        <v>2461</v>
      </c>
      <c r="D1828" t="s">
        <v>2478</v>
      </c>
      <c r="E1828" t="str">
        <f t="shared" si="56"/>
        <v>BUD</v>
      </c>
      <c r="F1828" t="s">
        <v>2480</v>
      </c>
      <c r="G1828">
        <v>0.94</v>
      </c>
      <c r="H1828" t="s">
        <v>2487</v>
      </c>
      <c r="I1828">
        <v>0.88</v>
      </c>
      <c r="J1828">
        <v>0.97</v>
      </c>
      <c r="K1828" s="9">
        <f t="shared" si="57"/>
        <v>45413</v>
      </c>
      <c r="L1828" t="s">
        <v>2578</v>
      </c>
      <c r="M1828" t="s">
        <v>2926</v>
      </c>
    </row>
    <row r="1829" spans="1:13" hidden="1" x14ac:dyDescent="0.35">
      <c r="A1829" t="s">
        <v>1825</v>
      </c>
      <c r="B1829" t="s">
        <v>2129</v>
      </c>
      <c r="C1829" t="s">
        <v>2461</v>
      </c>
      <c r="D1829" t="s">
        <v>2473</v>
      </c>
      <c r="E1829" t="str">
        <f t="shared" si="56"/>
        <v>DORTMUND</v>
      </c>
      <c r="F1829" t="s">
        <v>2481</v>
      </c>
      <c r="G1829">
        <v>260.33</v>
      </c>
      <c r="H1829" t="s">
        <v>2488</v>
      </c>
      <c r="I1829">
        <v>150</v>
      </c>
      <c r="J1829">
        <v>400</v>
      </c>
      <c r="K1829" s="9">
        <f t="shared" si="57"/>
        <v>45617</v>
      </c>
      <c r="L1829" t="s">
        <v>2605</v>
      </c>
      <c r="M1829" t="s">
        <v>2924</v>
      </c>
    </row>
    <row r="1830" spans="1:13" hidden="1" x14ac:dyDescent="0.35">
      <c r="A1830" t="s">
        <v>1826</v>
      </c>
      <c r="B1830" t="s">
        <v>2224</v>
      </c>
      <c r="C1830" t="s">
        <v>2460</v>
      </c>
      <c r="D1830" t="s">
        <v>2466</v>
      </c>
      <c r="E1830" t="str">
        <f t="shared" si="56"/>
        <v>EAST HANOVER</v>
      </c>
      <c r="F1830" t="s">
        <v>2479</v>
      </c>
      <c r="G1830">
        <v>33.96</v>
      </c>
      <c r="H1830" t="s">
        <v>2486</v>
      </c>
      <c r="I1830">
        <v>0</v>
      </c>
      <c r="J1830">
        <v>120</v>
      </c>
      <c r="K1830" s="9">
        <f t="shared" si="57"/>
        <v>45831</v>
      </c>
      <c r="L1830" t="s">
        <v>2540</v>
      </c>
      <c r="M1830" t="s">
        <v>2927</v>
      </c>
    </row>
    <row r="1831" spans="1:13" hidden="1" x14ac:dyDescent="0.35">
      <c r="A1831" t="s">
        <v>1827</v>
      </c>
      <c r="B1831" t="s">
        <v>2306</v>
      </c>
      <c r="C1831" t="s">
        <v>2461</v>
      </c>
      <c r="D1831" t="s">
        <v>2477</v>
      </c>
      <c r="E1831" t="str">
        <f t="shared" si="56"/>
        <v>BUDAPEST</v>
      </c>
      <c r="F1831" t="s">
        <v>2484</v>
      </c>
      <c r="G1831">
        <v>6.89</v>
      </c>
      <c r="I1831">
        <v>6</v>
      </c>
      <c r="J1831">
        <v>7.5</v>
      </c>
      <c r="K1831" s="9">
        <f t="shared" si="57"/>
        <v>45909</v>
      </c>
      <c r="L1831" t="s">
        <v>2827</v>
      </c>
      <c r="M1831" t="s">
        <v>2927</v>
      </c>
    </row>
    <row r="1832" spans="1:13" hidden="1" x14ac:dyDescent="0.35">
      <c r="A1832" t="s">
        <v>1828</v>
      </c>
      <c r="B1832" t="s">
        <v>2174</v>
      </c>
      <c r="C1832" t="s">
        <v>2459</v>
      </c>
      <c r="D1832" t="s">
        <v>2470</v>
      </c>
      <c r="E1832" t="str">
        <f t="shared" si="56"/>
        <v>E. HANOVER</v>
      </c>
      <c r="F1832" t="s">
        <v>2484</v>
      </c>
      <c r="G1832">
        <v>6.86</v>
      </c>
      <c r="I1832">
        <v>6</v>
      </c>
      <c r="J1832">
        <v>7.5</v>
      </c>
      <c r="K1832" s="9">
        <f t="shared" si="57"/>
        <v>45634</v>
      </c>
      <c r="L1832" t="s">
        <v>2594</v>
      </c>
      <c r="M1832" t="s">
        <v>2928</v>
      </c>
    </row>
    <row r="1833" spans="1:13" hidden="1" x14ac:dyDescent="0.35">
      <c r="A1833" t="s">
        <v>1829</v>
      </c>
      <c r="B1833" t="s">
        <v>2455</v>
      </c>
      <c r="C1833" t="s">
        <v>2461</v>
      </c>
      <c r="D1833" t="s">
        <v>2465</v>
      </c>
      <c r="E1833" t="str">
        <f t="shared" si="56"/>
        <v>VERNIER</v>
      </c>
      <c r="F1833" t="s">
        <v>2485</v>
      </c>
      <c r="G1833">
        <v>32.6</v>
      </c>
      <c r="H1833" t="s">
        <v>2490</v>
      </c>
      <c r="I1833">
        <v>0</v>
      </c>
      <c r="J1833">
        <v>100</v>
      </c>
      <c r="K1833" s="9">
        <f t="shared" si="57"/>
        <v>45988</v>
      </c>
      <c r="L1833" t="s">
        <v>2890</v>
      </c>
      <c r="M1833" t="s">
        <v>2927</v>
      </c>
    </row>
    <row r="1834" spans="1:13" hidden="1" x14ac:dyDescent="0.35">
      <c r="A1834" t="s">
        <v>1830</v>
      </c>
      <c r="B1834" t="s">
        <v>2274</v>
      </c>
      <c r="C1834" t="s">
        <v>2458</v>
      </c>
      <c r="D1834" t="s">
        <v>2464</v>
      </c>
      <c r="E1834" t="str">
        <f t="shared" si="56"/>
        <v>EAST HANOVER</v>
      </c>
      <c r="F1834" t="s">
        <v>2479</v>
      </c>
      <c r="G1834">
        <v>100.35</v>
      </c>
      <c r="H1834" t="s">
        <v>2486</v>
      </c>
      <c r="I1834">
        <v>0</v>
      </c>
      <c r="J1834">
        <v>120</v>
      </c>
      <c r="K1834" s="9">
        <f t="shared" si="57"/>
        <v>45910</v>
      </c>
      <c r="L1834" t="s">
        <v>2722</v>
      </c>
      <c r="M1834" t="s">
        <v>2926</v>
      </c>
    </row>
    <row r="1835" spans="1:13" hidden="1" x14ac:dyDescent="0.35">
      <c r="A1835" t="s">
        <v>1831</v>
      </c>
      <c r="B1835" t="s">
        <v>2176</v>
      </c>
      <c r="C1835" t="s">
        <v>2461</v>
      </c>
      <c r="D1835" t="s">
        <v>2469</v>
      </c>
      <c r="E1835" t="str">
        <f t="shared" si="56"/>
        <v>DORTMUND</v>
      </c>
      <c r="F1835" t="s">
        <v>2482</v>
      </c>
      <c r="G1835">
        <v>98.89</v>
      </c>
      <c r="H1835" t="s">
        <v>2489</v>
      </c>
      <c r="I1835">
        <v>97</v>
      </c>
      <c r="J1835">
        <v>100</v>
      </c>
      <c r="K1835" s="9">
        <f t="shared" si="57"/>
        <v>45312</v>
      </c>
      <c r="L1835" t="s">
        <v>2648</v>
      </c>
      <c r="M1835" t="s">
        <v>2929</v>
      </c>
    </row>
    <row r="1836" spans="1:13" hidden="1" x14ac:dyDescent="0.35">
      <c r="A1836" t="s">
        <v>1832</v>
      </c>
      <c r="B1836" t="s">
        <v>2196</v>
      </c>
      <c r="C1836" t="s">
        <v>2457</v>
      </c>
      <c r="D1836" t="s">
        <v>2468</v>
      </c>
      <c r="E1836" t="str">
        <f t="shared" si="56"/>
        <v>VERNIER CH</v>
      </c>
      <c r="F1836" t="s">
        <v>2483</v>
      </c>
      <c r="G1836">
        <v>0.35</v>
      </c>
      <c r="H1836" t="s">
        <v>2489</v>
      </c>
      <c r="I1836">
        <v>0</v>
      </c>
      <c r="J1836">
        <v>1</v>
      </c>
      <c r="K1836" s="9">
        <f t="shared" si="57"/>
        <v>45740</v>
      </c>
      <c r="L1836" t="s">
        <v>2509</v>
      </c>
      <c r="M1836" t="s">
        <v>2928</v>
      </c>
    </row>
    <row r="1837" spans="1:13" hidden="1" x14ac:dyDescent="0.35">
      <c r="A1837" t="s">
        <v>1833</v>
      </c>
      <c r="B1837" t="s">
        <v>2145</v>
      </c>
      <c r="C1837" t="s">
        <v>2458</v>
      </c>
      <c r="D1837" t="s">
        <v>2476</v>
      </c>
      <c r="E1837" t="str">
        <f t="shared" si="56"/>
        <v>BUDAPEST SITE</v>
      </c>
      <c r="F1837" t="s">
        <v>2480</v>
      </c>
      <c r="G1837">
        <v>0.92</v>
      </c>
      <c r="H1837" t="s">
        <v>2487</v>
      </c>
      <c r="I1837">
        <v>0.88</v>
      </c>
      <c r="J1837">
        <v>0.97</v>
      </c>
      <c r="K1837" s="9">
        <f t="shared" si="57"/>
        <v>45819</v>
      </c>
      <c r="L1837" t="s">
        <v>2620</v>
      </c>
      <c r="M1837" t="s">
        <v>2927</v>
      </c>
    </row>
    <row r="1838" spans="1:13" x14ac:dyDescent="0.35">
      <c r="A1838" t="s">
        <v>1834</v>
      </c>
      <c r="B1838" t="s">
        <v>2283</v>
      </c>
      <c r="C1838" t="s">
        <v>2461</v>
      </c>
      <c r="D1838" t="s">
        <v>2463</v>
      </c>
      <c r="E1838" t="str">
        <f t="shared" si="56"/>
        <v>VERNIER</v>
      </c>
      <c r="F1838" t="s">
        <v>2484</v>
      </c>
      <c r="I1838">
        <v>6</v>
      </c>
      <c r="J1838">
        <v>7.5</v>
      </c>
      <c r="K1838" s="9">
        <f t="shared" si="57"/>
        <v>45487</v>
      </c>
      <c r="L1838" t="s">
        <v>2729</v>
      </c>
      <c r="M1838" t="s">
        <v>2930</v>
      </c>
    </row>
    <row r="1839" spans="1:13" hidden="1" x14ac:dyDescent="0.35">
      <c r="A1839" t="s">
        <v>1835</v>
      </c>
      <c r="B1839" t="s">
        <v>2177</v>
      </c>
      <c r="C1839" t="s">
        <v>2457</v>
      </c>
      <c r="D1839" t="s">
        <v>2463</v>
      </c>
      <c r="E1839" t="str">
        <f t="shared" si="56"/>
        <v>VERNIER</v>
      </c>
      <c r="F1839" t="s">
        <v>2485</v>
      </c>
      <c r="G1839">
        <v>-11.85</v>
      </c>
      <c r="H1839" t="s">
        <v>2490</v>
      </c>
      <c r="I1839">
        <v>0</v>
      </c>
      <c r="J1839">
        <v>100</v>
      </c>
      <c r="K1839" s="9">
        <f t="shared" si="57"/>
        <v>45520</v>
      </c>
      <c r="L1839" t="s">
        <v>2649</v>
      </c>
      <c r="M1839" t="s">
        <v>2923</v>
      </c>
    </row>
    <row r="1840" spans="1:13" hidden="1" x14ac:dyDescent="0.35">
      <c r="A1840" t="s">
        <v>1836</v>
      </c>
      <c r="B1840" t="s">
        <v>2028</v>
      </c>
      <c r="C1840" t="s">
        <v>2459</v>
      </c>
      <c r="D1840" t="s">
        <v>2474</v>
      </c>
      <c r="E1840" t="str">
        <f t="shared" si="56"/>
        <v>DORTMUND DE</v>
      </c>
      <c r="F1840" t="s">
        <v>2483</v>
      </c>
      <c r="G1840">
        <v>0.11</v>
      </c>
      <c r="H1840" t="s">
        <v>2489</v>
      </c>
      <c r="I1840">
        <v>0</v>
      </c>
      <c r="J1840">
        <v>1</v>
      </c>
      <c r="K1840" s="9">
        <f t="shared" si="57"/>
        <v>45654</v>
      </c>
      <c r="L1840" t="s">
        <v>2508</v>
      </c>
      <c r="M1840" t="s">
        <v>2929</v>
      </c>
    </row>
    <row r="1841" spans="1:13" hidden="1" x14ac:dyDescent="0.35">
      <c r="A1841" t="s">
        <v>1837</v>
      </c>
      <c r="B1841" t="s">
        <v>2315</v>
      </c>
      <c r="C1841" t="s">
        <v>2460</v>
      </c>
      <c r="D1841" t="s">
        <v>2463</v>
      </c>
      <c r="E1841" t="str">
        <f t="shared" si="56"/>
        <v>VERNIER</v>
      </c>
      <c r="F1841" t="s">
        <v>2482</v>
      </c>
      <c r="G1841">
        <v>98.26</v>
      </c>
      <c r="H1841" t="s">
        <v>2489</v>
      </c>
      <c r="I1841">
        <v>97</v>
      </c>
      <c r="J1841">
        <v>100</v>
      </c>
      <c r="K1841" s="9">
        <f t="shared" si="57"/>
        <v>46011</v>
      </c>
      <c r="L1841" t="s">
        <v>2747</v>
      </c>
      <c r="M1841" t="s">
        <v>2927</v>
      </c>
    </row>
    <row r="1842" spans="1:13" hidden="1" x14ac:dyDescent="0.35">
      <c r="A1842" t="s">
        <v>1838</v>
      </c>
      <c r="B1842" t="s">
        <v>2157</v>
      </c>
      <c r="C1842" t="s">
        <v>2458</v>
      </c>
      <c r="D1842" t="s">
        <v>2477</v>
      </c>
      <c r="E1842" t="str">
        <f t="shared" si="56"/>
        <v>BUDAPEST</v>
      </c>
      <c r="F1842" t="s">
        <v>2479</v>
      </c>
      <c r="G1842">
        <v>-60</v>
      </c>
      <c r="H1842" t="s">
        <v>2486</v>
      </c>
      <c r="I1842">
        <v>0</v>
      </c>
      <c r="J1842">
        <v>120</v>
      </c>
      <c r="K1842" s="9">
        <f t="shared" si="57"/>
        <v>45595</v>
      </c>
      <c r="L1842" t="s">
        <v>2631</v>
      </c>
      <c r="M1842" t="s">
        <v>2927</v>
      </c>
    </row>
    <row r="1843" spans="1:13" hidden="1" x14ac:dyDescent="0.35">
      <c r="A1843" t="s">
        <v>1839</v>
      </c>
      <c r="B1843" t="s">
        <v>2423</v>
      </c>
      <c r="C1843" t="s">
        <v>2461</v>
      </c>
      <c r="D1843" t="s">
        <v>2466</v>
      </c>
      <c r="E1843" t="str">
        <f t="shared" si="56"/>
        <v>EAST HANOVER</v>
      </c>
      <c r="F1843" t="s">
        <v>2485</v>
      </c>
      <c r="G1843">
        <v>34.74</v>
      </c>
      <c r="H1843" t="s">
        <v>2490</v>
      </c>
      <c r="I1843">
        <v>0</v>
      </c>
      <c r="J1843">
        <v>100</v>
      </c>
      <c r="K1843" s="9">
        <f t="shared" si="57"/>
        <v>45916</v>
      </c>
      <c r="L1843" t="s">
        <v>2624</v>
      </c>
      <c r="M1843" t="s">
        <v>2924</v>
      </c>
    </row>
    <row r="1844" spans="1:13" hidden="1" x14ac:dyDescent="0.35">
      <c r="A1844" t="s">
        <v>1840</v>
      </c>
      <c r="B1844" t="s">
        <v>2165</v>
      </c>
      <c r="C1844" t="s">
        <v>2458</v>
      </c>
      <c r="D1844" t="s">
        <v>2471</v>
      </c>
      <c r="E1844" t="str">
        <f t="shared" si="56"/>
        <v>BUDAPEST</v>
      </c>
      <c r="F1844" t="s">
        <v>2482</v>
      </c>
      <c r="G1844">
        <v>98.64</v>
      </c>
      <c r="H1844" t="s">
        <v>2489</v>
      </c>
      <c r="I1844">
        <v>97</v>
      </c>
      <c r="J1844">
        <v>100</v>
      </c>
      <c r="K1844" s="9">
        <f t="shared" si="57"/>
        <v>45886</v>
      </c>
      <c r="L1844" t="s">
        <v>2638</v>
      </c>
      <c r="M1844" t="s">
        <v>2932</v>
      </c>
    </row>
    <row r="1845" spans="1:13" hidden="1" x14ac:dyDescent="0.35">
      <c r="A1845" t="s">
        <v>1841</v>
      </c>
      <c r="B1845" t="s">
        <v>2038</v>
      </c>
      <c r="C1845" t="s">
        <v>2457</v>
      </c>
      <c r="D1845" t="s">
        <v>2466</v>
      </c>
      <c r="E1845" t="str">
        <f t="shared" si="56"/>
        <v>EAST HANOVER</v>
      </c>
      <c r="F1845" t="s">
        <v>2483</v>
      </c>
      <c r="G1845">
        <v>0.64</v>
      </c>
      <c r="H1845" t="s">
        <v>2489</v>
      </c>
      <c r="I1845">
        <v>0</v>
      </c>
      <c r="J1845">
        <v>1</v>
      </c>
      <c r="K1845" s="9">
        <f t="shared" si="57"/>
        <v>45374</v>
      </c>
      <c r="L1845" t="s">
        <v>2518</v>
      </c>
      <c r="M1845" t="s">
        <v>2930</v>
      </c>
    </row>
    <row r="1846" spans="1:13" hidden="1" x14ac:dyDescent="0.35">
      <c r="A1846" t="s">
        <v>1842</v>
      </c>
      <c r="B1846" t="s">
        <v>2154</v>
      </c>
      <c r="C1846" t="s">
        <v>2461</v>
      </c>
      <c r="D1846" t="s">
        <v>2478</v>
      </c>
      <c r="E1846" t="str">
        <f t="shared" si="56"/>
        <v>BUD</v>
      </c>
      <c r="F1846" t="s">
        <v>2479</v>
      </c>
      <c r="G1846">
        <v>180</v>
      </c>
      <c r="H1846" t="s">
        <v>2486</v>
      </c>
      <c r="I1846">
        <v>0</v>
      </c>
      <c r="J1846">
        <v>120</v>
      </c>
      <c r="K1846" s="9">
        <f t="shared" si="57"/>
        <v>45349</v>
      </c>
      <c r="L1846" t="s">
        <v>2629</v>
      </c>
      <c r="M1846" t="s">
        <v>2926</v>
      </c>
    </row>
    <row r="1847" spans="1:13" hidden="1" x14ac:dyDescent="0.35">
      <c r="A1847" t="s">
        <v>1843</v>
      </c>
      <c r="B1847" t="s">
        <v>2361</v>
      </c>
      <c r="C1847" t="s">
        <v>2461</v>
      </c>
      <c r="D1847" t="s">
        <v>2476</v>
      </c>
      <c r="E1847" t="str">
        <f t="shared" si="56"/>
        <v>BUDAPEST SITE</v>
      </c>
      <c r="F1847" t="s">
        <v>2480</v>
      </c>
      <c r="G1847">
        <v>0.93</v>
      </c>
      <c r="H1847" t="s">
        <v>2487</v>
      </c>
      <c r="I1847">
        <v>0.88</v>
      </c>
      <c r="J1847">
        <v>0.97</v>
      </c>
      <c r="K1847" s="9">
        <f t="shared" si="57"/>
        <v>45779</v>
      </c>
      <c r="L1847" t="s">
        <v>2785</v>
      </c>
      <c r="M1847" t="s">
        <v>2929</v>
      </c>
    </row>
    <row r="1848" spans="1:13" hidden="1" x14ac:dyDescent="0.35">
      <c r="A1848" t="s">
        <v>1844</v>
      </c>
      <c r="B1848" t="s">
        <v>2406</v>
      </c>
      <c r="C1848" t="s">
        <v>2459</v>
      </c>
      <c r="D1848" t="s">
        <v>2463</v>
      </c>
      <c r="E1848" t="str">
        <f t="shared" si="56"/>
        <v>VERNIER</v>
      </c>
      <c r="F1848" t="s">
        <v>2479</v>
      </c>
      <c r="G1848">
        <v>35.520000000000003</v>
      </c>
      <c r="H1848" t="s">
        <v>2486</v>
      </c>
      <c r="I1848">
        <v>0</v>
      </c>
      <c r="J1848">
        <v>120</v>
      </c>
      <c r="K1848" s="9">
        <f t="shared" si="57"/>
        <v>45345</v>
      </c>
      <c r="L1848" t="s">
        <v>2589</v>
      </c>
      <c r="M1848" t="s">
        <v>2931</v>
      </c>
    </row>
    <row r="1849" spans="1:13" hidden="1" x14ac:dyDescent="0.35">
      <c r="A1849" t="s">
        <v>1845</v>
      </c>
      <c r="B1849" t="s">
        <v>2055</v>
      </c>
      <c r="C1849" t="s">
        <v>2461</v>
      </c>
      <c r="D1849" t="s">
        <v>2477</v>
      </c>
      <c r="E1849" t="str">
        <f t="shared" si="56"/>
        <v>BUDAPEST</v>
      </c>
      <c r="F1849" t="s">
        <v>2484</v>
      </c>
      <c r="G1849">
        <v>7.26</v>
      </c>
      <c r="I1849">
        <v>6</v>
      </c>
      <c r="J1849">
        <v>7.5</v>
      </c>
      <c r="K1849" s="9">
        <f t="shared" si="57"/>
        <v>46020</v>
      </c>
      <c r="L1849" t="s">
        <v>2912</v>
      </c>
      <c r="M1849" t="s">
        <v>2931</v>
      </c>
    </row>
    <row r="1850" spans="1:13" hidden="1" x14ac:dyDescent="0.35">
      <c r="A1850" t="s">
        <v>1846</v>
      </c>
      <c r="B1850" t="s">
        <v>2121</v>
      </c>
      <c r="C1850" t="s">
        <v>2457</v>
      </c>
      <c r="D1850" t="s">
        <v>2466</v>
      </c>
      <c r="E1850" t="str">
        <f t="shared" si="56"/>
        <v>EAST HANOVER</v>
      </c>
      <c r="F1850" t="s">
        <v>2484</v>
      </c>
      <c r="G1850">
        <v>6.97</v>
      </c>
      <c r="I1850">
        <v>6</v>
      </c>
      <c r="J1850">
        <v>7.5</v>
      </c>
      <c r="K1850" s="9">
        <f t="shared" si="57"/>
        <v>45690</v>
      </c>
      <c r="L1850" t="s">
        <v>2597</v>
      </c>
      <c r="M1850" t="s">
        <v>2931</v>
      </c>
    </row>
    <row r="1851" spans="1:13" hidden="1" x14ac:dyDescent="0.35">
      <c r="A1851" t="s">
        <v>1847</v>
      </c>
      <c r="B1851" t="s">
        <v>2013</v>
      </c>
      <c r="C1851" t="s">
        <v>2457</v>
      </c>
      <c r="D1851" t="s">
        <v>2464</v>
      </c>
      <c r="E1851" t="str">
        <f t="shared" si="56"/>
        <v>EAST HANOVER</v>
      </c>
      <c r="F1851" t="s">
        <v>2484</v>
      </c>
      <c r="G1851">
        <v>6.31</v>
      </c>
      <c r="I1851">
        <v>6</v>
      </c>
      <c r="J1851">
        <v>7.5</v>
      </c>
      <c r="K1851" s="9">
        <f t="shared" si="57"/>
        <v>45924</v>
      </c>
      <c r="L1851" t="s">
        <v>2565</v>
      </c>
      <c r="M1851" t="s">
        <v>2925</v>
      </c>
    </row>
    <row r="1852" spans="1:13" hidden="1" x14ac:dyDescent="0.35">
      <c r="A1852" t="s">
        <v>1848</v>
      </c>
      <c r="B1852" t="s">
        <v>2169</v>
      </c>
      <c r="C1852" t="s">
        <v>2458</v>
      </c>
      <c r="D1852" t="s">
        <v>2465</v>
      </c>
      <c r="E1852" t="str">
        <f t="shared" si="56"/>
        <v>VERNIER</v>
      </c>
      <c r="F1852" t="s">
        <v>2484</v>
      </c>
      <c r="G1852">
        <v>6.64</v>
      </c>
      <c r="I1852">
        <v>6</v>
      </c>
      <c r="J1852">
        <v>7.5</v>
      </c>
      <c r="K1852" s="9">
        <f t="shared" si="57"/>
        <v>45571</v>
      </c>
      <c r="L1852" t="s">
        <v>2754</v>
      </c>
      <c r="M1852" t="s">
        <v>2924</v>
      </c>
    </row>
    <row r="1853" spans="1:13" hidden="1" x14ac:dyDescent="0.35">
      <c r="A1853" t="s">
        <v>1849</v>
      </c>
      <c r="B1853" t="s">
        <v>2320</v>
      </c>
      <c r="C1853" t="s">
        <v>2457</v>
      </c>
      <c r="D1853" t="s">
        <v>2464</v>
      </c>
      <c r="E1853" t="str">
        <f t="shared" si="56"/>
        <v>EAST HANOVER</v>
      </c>
      <c r="F1853" t="s">
        <v>2482</v>
      </c>
      <c r="G1853">
        <v>99.02</v>
      </c>
      <c r="H1853" t="s">
        <v>2489</v>
      </c>
      <c r="I1853">
        <v>97</v>
      </c>
      <c r="J1853">
        <v>100</v>
      </c>
      <c r="K1853" s="9">
        <f t="shared" si="57"/>
        <v>45595</v>
      </c>
      <c r="L1853" t="s">
        <v>2631</v>
      </c>
      <c r="M1853" t="s">
        <v>2930</v>
      </c>
    </row>
    <row r="1854" spans="1:13" hidden="1" x14ac:dyDescent="0.35">
      <c r="A1854" t="s">
        <v>1850</v>
      </c>
      <c r="B1854" t="s">
        <v>2300</v>
      </c>
      <c r="C1854" t="s">
        <v>2459</v>
      </c>
      <c r="D1854" t="s">
        <v>2463</v>
      </c>
      <c r="E1854" t="str">
        <f t="shared" si="56"/>
        <v>VERNIER</v>
      </c>
      <c r="F1854" t="s">
        <v>2482</v>
      </c>
      <c r="G1854">
        <v>97.79</v>
      </c>
      <c r="H1854" t="s">
        <v>2489</v>
      </c>
      <c r="I1854">
        <v>97</v>
      </c>
      <c r="J1854">
        <v>100</v>
      </c>
      <c r="K1854" s="9">
        <f t="shared" si="57"/>
        <v>45595</v>
      </c>
      <c r="L1854" t="s">
        <v>2631</v>
      </c>
      <c r="M1854" t="s">
        <v>2932</v>
      </c>
    </row>
    <row r="1855" spans="1:13" hidden="1" x14ac:dyDescent="0.35">
      <c r="A1855" t="s">
        <v>1851</v>
      </c>
      <c r="B1855" t="s">
        <v>2049</v>
      </c>
      <c r="C1855" t="s">
        <v>2458</v>
      </c>
      <c r="D1855" t="s">
        <v>2474</v>
      </c>
      <c r="E1855" t="str">
        <f t="shared" si="56"/>
        <v>DORTMUND DE</v>
      </c>
      <c r="F1855" t="s">
        <v>2482</v>
      </c>
      <c r="G1855">
        <v>98.51</v>
      </c>
      <c r="H1855" t="s">
        <v>2489</v>
      </c>
      <c r="I1855">
        <v>97</v>
      </c>
      <c r="J1855">
        <v>100</v>
      </c>
      <c r="K1855" s="9">
        <f t="shared" si="57"/>
        <v>45452</v>
      </c>
      <c r="L1855" t="s">
        <v>2528</v>
      </c>
      <c r="M1855" t="s">
        <v>2927</v>
      </c>
    </row>
    <row r="1856" spans="1:13" hidden="1" x14ac:dyDescent="0.35">
      <c r="A1856" t="s">
        <v>1852</v>
      </c>
      <c r="B1856" t="s">
        <v>2293</v>
      </c>
      <c r="C1856" t="s">
        <v>2459</v>
      </c>
      <c r="D1856" t="s">
        <v>2464</v>
      </c>
      <c r="E1856" t="str">
        <f t="shared" si="56"/>
        <v>EAST HANOVER</v>
      </c>
      <c r="F1856" t="s">
        <v>2482</v>
      </c>
      <c r="G1856">
        <v>98.77</v>
      </c>
      <c r="H1856" t="s">
        <v>2489</v>
      </c>
      <c r="I1856">
        <v>97</v>
      </c>
      <c r="J1856">
        <v>100</v>
      </c>
      <c r="K1856" s="9">
        <f t="shared" si="57"/>
        <v>45970</v>
      </c>
      <c r="L1856" t="s">
        <v>2639</v>
      </c>
      <c r="M1856" t="s">
        <v>2927</v>
      </c>
    </row>
    <row r="1857" spans="1:13" hidden="1" x14ac:dyDescent="0.35">
      <c r="A1857" t="s">
        <v>1853</v>
      </c>
      <c r="B1857" t="s">
        <v>2333</v>
      </c>
      <c r="C1857" t="s">
        <v>2460</v>
      </c>
      <c r="D1857" t="s">
        <v>2470</v>
      </c>
      <c r="E1857" t="str">
        <f t="shared" si="56"/>
        <v>E. HANOVER</v>
      </c>
      <c r="F1857" t="s">
        <v>2484</v>
      </c>
      <c r="G1857">
        <v>6.68</v>
      </c>
      <c r="I1857">
        <v>6</v>
      </c>
      <c r="J1857">
        <v>7.5</v>
      </c>
      <c r="K1857" s="9">
        <f t="shared" si="57"/>
        <v>45452</v>
      </c>
      <c r="L1857" t="s">
        <v>2528</v>
      </c>
      <c r="M1857" t="s">
        <v>2925</v>
      </c>
    </row>
    <row r="1858" spans="1:13" hidden="1" x14ac:dyDescent="0.35">
      <c r="A1858" t="s">
        <v>1854</v>
      </c>
      <c r="B1858" t="s">
        <v>2448</v>
      </c>
      <c r="C1858" t="s">
        <v>2461</v>
      </c>
      <c r="D1858" t="s">
        <v>2467</v>
      </c>
      <c r="E1858" t="str">
        <f t="shared" si="56"/>
        <v>ASHFORD</v>
      </c>
      <c r="F1858" t="s">
        <v>2485</v>
      </c>
      <c r="G1858">
        <v>-16.04</v>
      </c>
      <c r="H1858" t="s">
        <v>2490</v>
      </c>
      <c r="I1858">
        <v>0</v>
      </c>
      <c r="J1858">
        <v>100</v>
      </c>
      <c r="K1858" s="9">
        <f t="shared" si="57"/>
        <v>45882</v>
      </c>
      <c r="L1858" t="s">
        <v>2874</v>
      </c>
      <c r="M1858" t="s">
        <v>2924</v>
      </c>
    </row>
    <row r="1859" spans="1:13" x14ac:dyDescent="0.35">
      <c r="A1859" t="s">
        <v>1855</v>
      </c>
      <c r="B1859" t="s">
        <v>2284</v>
      </c>
      <c r="C1859" t="s">
        <v>2461</v>
      </c>
      <c r="D1859" t="s">
        <v>2471</v>
      </c>
      <c r="E1859" t="str">
        <f t="shared" ref="E1859:E1922" si="58">UPPER(D1859)</f>
        <v>BUDAPEST</v>
      </c>
      <c r="F1859" t="s">
        <v>2480</v>
      </c>
      <c r="H1859" t="s">
        <v>2487</v>
      </c>
      <c r="I1859">
        <v>0.88</v>
      </c>
      <c r="J1859">
        <v>0.97</v>
      </c>
      <c r="K1859" s="9">
        <f t="shared" ref="K1859:K1922" si="59">IF(L1859="","",
IF(MID(L1859,5,1)="-",
DATE(LEFT(L1859,4),MID(L1859,6,2),RIGHT(L1859,2)),
DATE(RIGHT(L1859,4),MID(L1859,4,2),LEFT(L1859,2))
))</f>
        <v>45542</v>
      </c>
      <c r="L1859" t="s">
        <v>2571</v>
      </c>
      <c r="M1859" t="s">
        <v>2925</v>
      </c>
    </row>
    <row r="1860" spans="1:13" hidden="1" x14ac:dyDescent="0.35">
      <c r="A1860" t="s">
        <v>1856</v>
      </c>
      <c r="B1860" t="s">
        <v>2086</v>
      </c>
      <c r="C1860" t="s">
        <v>2459</v>
      </c>
      <c r="D1860" t="s">
        <v>2475</v>
      </c>
      <c r="E1860" t="str">
        <f t="shared" si="58"/>
        <v>ASHFORD</v>
      </c>
      <c r="F1860" t="s">
        <v>2485</v>
      </c>
      <c r="G1860">
        <v>2.5499999999999998</v>
      </c>
      <c r="H1860" t="s">
        <v>2490</v>
      </c>
      <c r="I1860">
        <v>0</v>
      </c>
      <c r="J1860">
        <v>100</v>
      </c>
      <c r="K1860" s="9">
        <f t="shared" si="59"/>
        <v>45668</v>
      </c>
      <c r="L1860" t="s">
        <v>2564</v>
      </c>
      <c r="M1860" t="s">
        <v>2923</v>
      </c>
    </row>
    <row r="1861" spans="1:13" hidden="1" x14ac:dyDescent="0.35">
      <c r="A1861" t="s">
        <v>1857</v>
      </c>
      <c r="B1861" t="s">
        <v>2063</v>
      </c>
      <c r="C1861" t="s">
        <v>2461</v>
      </c>
      <c r="D1861" t="s">
        <v>2470</v>
      </c>
      <c r="E1861" t="str">
        <f t="shared" si="58"/>
        <v>E. HANOVER</v>
      </c>
      <c r="F1861" t="s">
        <v>2484</v>
      </c>
      <c r="G1861">
        <v>6.33</v>
      </c>
      <c r="I1861">
        <v>6</v>
      </c>
      <c r="J1861">
        <v>7.5</v>
      </c>
      <c r="K1861" s="9">
        <f t="shared" si="59"/>
        <v>45884</v>
      </c>
      <c r="L1861" t="s">
        <v>2542</v>
      </c>
      <c r="M1861" t="s">
        <v>2925</v>
      </c>
    </row>
    <row r="1862" spans="1:13" hidden="1" x14ac:dyDescent="0.35">
      <c r="A1862" t="s">
        <v>1858</v>
      </c>
      <c r="B1862" t="s">
        <v>2416</v>
      </c>
      <c r="C1862" t="s">
        <v>2458</v>
      </c>
      <c r="D1862" t="s">
        <v>2464</v>
      </c>
      <c r="E1862" t="str">
        <f t="shared" si="58"/>
        <v>EAST HANOVER</v>
      </c>
      <c r="F1862" t="s">
        <v>2481</v>
      </c>
      <c r="G1862">
        <v>520</v>
      </c>
      <c r="H1862" t="s">
        <v>2488</v>
      </c>
      <c r="I1862">
        <v>150</v>
      </c>
      <c r="J1862">
        <v>400</v>
      </c>
      <c r="K1862" s="9">
        <f t="shared" si="59"/>
        <v>46003</v>
      </c>
      <c r="L1862" t="s">
        <v>2790</v>
      </c>
      <c r="M1862" t="s">
        <v>2924</v>
      </c>
    </row>
    <row r="1863" spans="1:13" hidden="1" x14ac:dyDescent="0.35">
      <c r="A1863" t="s">
        <v>1859</v>
      </c>
      <c r="B1863" t="s">
        <v>2384</v>
      </c>
      <c r="C1863" t="s">
        <v>2460</v>
      </c>
      <c r="D1863" t="s">
        <v>2471</v>
      </c>
      <c r="E1863" t="str">
        <f t="shared" si="58"/>
        <v>BUDAPEST</v>
      </c>
      <c r="F1863" t="s">
        <v>2484</v>
      </c>
      <c r="G1863">
        <v>7.04</v>
      </c>
      <c r="I1863">
        <v>6</v>
      </c>
      <c r="J1863">
        <v>7.5</v>
      </c>
      <c r="K1863" s="9">
        <f t="shared" si="59"/>
        <v>45554</v>
      </c>
      <c r="L1863" t="s">
        <v>2913</v>
      </c>
      <c r="M1863" t="s">
        <v>2924</v>
      </c>
    </row>
    <row r="1864" spans="1:13" hidden="1" x14ac:dyDescent="0.35">
      <c r="A1864" t="s">
        <v>1860</v>
      </c>
      <c r="B1864" t="s">
        <v>2283</v>
      </c>
      <c r="C1864" t="s">
        <v>2461</v>
      </c>
      <c r="D1864" t="s">
        <v>2468</v>
      </c>
      <c r="E1864" t="str">
        <f t="shared" si="58"/>
        <v>VERNIER CH</v>
      </c>
      <c r="F1864" t="s">
        <v>2480</v>
      </c>
      <c r="G1864">
        <v>0.92</v>
      </c>
      <c r="H1864" t="s">
        <v>2487</v>
      </c>
      <c r="I1864">
        <v>0.88</v>
      </c>
      <c r="J1864">
        <v>0.97</v>
      </c>
      <c r="K1864" s="9">
        <f t="shared" si="59"/>
        <v>45487</v>
      </c>
      <c r="L1864" t="s">
        <v>2729</v>
      </c>
      <c r="M1864" t="s">
        <v>2926</v>
      </c>
    </row>
    <row r="1865" spans="1:13" hidden="1" x14ac:dyDescent="0.35">
      <c r="A1865" t="s">
        <v>1861</v>
      </c>
      <c r="B1865" t="s">
        <v>2389</v>
      </c>
      <c r="C1865" t="s">
        <v>2460</v>
      </c>
      <c r="D1865" t="s">
        <v>2474</v>
      </c>
      <c r="E1865" t="str">
        <f t="shared" si="58"/>
        <v>DORTMUND DE</v>
      </c>
      <c r="F1865" t="s">
        <v>2479</v>
      </c>
      <c r="G1865">
        <v>55.19</v>
      </c>
      <c r="H1865" t="s">
        <v>2486</v>
      </c>
      <c r="I1865">
        <v>0</v>
      </c>
      <c r="J1865">
        <v>120</v>
      </c>
      <c r="K1865" s="9">
        <f t="shared" si="59"/>
        <v>45546</v>
      </c>
      <c r="L1865" t="s">
        <v>2806</v>
      </c>
      <c r="M1865" t="s">
        <v>2930</v>
      </c>
    </row>
    <row r="1866" spans="1:13" hidden="1" x14ac:dyDescent="0.35">
      <c r="A1866" t="s">
        <v>1862</v>
      </c>
      <c r="B1866" t="s">
        <v>2264</v>
      </c>
      <c r="C1866" t="s">
        <v>2459</v>
      </c>
      <c r="D1866" t="s">
        <v>2474</v>
      </c>
      <c r="E1866" t="str">
        <f t="shared" si="58"/>
        <v>DORTMUND DE</v>
      </c>
      <c r="F1866" t="s">
        <v>2482</v>
      </c>
      <c r="G1866">
        <v>97.97</v>
      </c>
      <c r="H1866" t="s">
        <v>2489</v>
      </c>
      <c r="I1866">
        <v>97</v>
      </c>
      <c r="J1866">
        <v>100</v>
      </c>
      <c r="K1866" s="9">
        <f t="shared" si="59"/>
        <v>45795</v>
      </c>
      <c r="L1866" t="s">
        <v>2862</v>
      </c>
      <c r="M1866" t="s">
        <v>2926</v>
      </c>
    </row>
    <row r="1867" spans="1:13" hidden="1" x14ac:dyDescent="0.35">
      <c r="A1867" t="s">
        <v>1863</v>
      </c>
      <c r="B1867" t="s">
        <v>2031</v>
      </c>
      <c r="C1867" t="s">
        <v>2459</v>
      </c>
      <c r="D1867" t="s">
        <v>2474</v>
      </c>
      <c r="E1867" t="str">
        <f t="shared" si="58"/>
        <v>DORTMUND DE</v>
      </c>
      <c r="F1867" t="s">
        <v>2485</v>
      </c>
      <c r="G1867">
        <v>4.79</v>
      </c>
      <c r="H1867" t="s">
        <v>2490</v>
      </c>
      <c r="I1867">
        <v>0</v>
      </c>
      <c r="J1867">
        <v>100</v>
      </c>
      <c r="K1867" s="9">
        <f t="shared" si="59"/>
        <v>45887</v>
      </c>
      <c r="L1867" t="s">
        <v>2511</v>
      </c>
      <c r="M1867" t="s">
        <v>2931</v>
      </c>
    </row>
    <row r="1868" spans="1:13" hidden="1" x14ac:dyDescent="0.35">
      <c r="A1868" t="s">
        <v>1864</v>
      </c>
      <c r="B1868" t="s">
        <v>2437</v>
      </c>
      <c r="C1868" t="s">
        <v>2457</v>
      </c>
      <c r="D1868" t="s">
        <v>2474</v>
      </c>
      <c r="E1868" t="str">
        <f t="shared" si="58"/>
        <v>DORTMUND DE</v>
      </c>
      <c r="F1868" t="s">
        <v>2482</v>
      </c>
      <c r="G1868">
        <v>97.8</v>
      </c>
      <c r="H1868" t="s">
        <v>2489</v>
      </c>
      <c r="I1868">
        <v>97</v>
      </c>
      <c r="J1868">
        <v>100</v>
      </c>
      <c r="K1868" s="9">
        <f t="shared" si="59"/>
        <v>45366</v>
      </c>
      <c r="L1868" t="s">
        <v>2855</v>
      </c>
      <c r="M1868" t="s">
        <v>2925</v>
      </c>
    </row>
    <row r="1869" spans="1:13" hidden="1" x14ac:dyDescent="0.35">
      <c r="A1869" t="s">
        <v>1865</v>
      </c>
      <c r="B1869" t="s">
        <v>2322</v>
      </c>
      <c r="C1869" t="s">
        <v>2461</v>
      </c>
      <c r="D1869" t="s">
        <v>2471</v>
      </c>
      <c r="E1869" t="str">
        <f t="shared" si="58"/>
        <v>BUDAPEST</v>
      </c>
      <c r="F1869" t="s">
        <v>2482</v>
      </c>
      <c r="G1869">
        <v>99.47</v>
      </c>
      <c r="H1869" t="s">
        <v>2489</v>
      </c>
      <c r="I1869">
        <v>97</v>
      </c>
      <c r="J1869">
        <v>100</v>
      </c>
      <c r="K1869" s="9">
        <f t="shared" si="59"/>
        <v>45813</v>
      </c>
      <c r="L1869" t="s">
        <v>2690</v>
      </c>
      <c r="M1869" t="s">
        <v>2924</v>
      </c>
    </row>
    <row r="1870" spans="1:13" hidden="1" x14ac:dyDescent="0.35">
      <c r="A1870" t="s">
        <v>1866</v>
      </c>
      <c r="B1870" t="s">
        <v>2278</v>
      </c>
      <c r="C1870" t="s">
        <v>2460</v>
      </c>
      <c r="D1870" t="s">
        <v>2475</v>
      </c>
      <c r="E1870" t="str">
        <f t="shared" si="58"/>
        <v>ASHFORD</v>
      </c>
      <c r="F1870" t="s">
        <v>2479</v>
      </c>
      <c r="G1870">
        <v>51.79</v>
      </c>
      <c r="H1870" t="s">
        <v>2486</v>
      </c>
      <c r="I1870">
        <v>0</v>
      </c>
      <c r="J1870">
        <v>120</v>
      </c>
      <c r="K1870" s="9">
        <f t="shared" si="59"/>
        <v>45658</v>
      </c>
      <c r="L1870" t="s">
        <v>2726</v>
      </c>
      <c r="M1870" t="s">
        <v>2923</v>
      </c>
    </row>
    <row r="1871" spans="1:13" x14ac:dyDescent="0.35">
      <c r="A1871" t="s">
        <v>1867</v>
      </c>
      <c r="B1871" t="s">
        <v>2145</v>
      </c>
      <c r="C1871" t="s">
        <v>2458</v>
      </c>
      <c r="D1871" t="s">
        <v>2478</v>
      </c>
      <c r="E1871" t="str">
        <f t="shared" si="58"/>
        <v>BUD</v>
      </c>
      <c r="F1871" t="s">
        <v>2483</v>
      </c>
      <c r="H1871" t="s">
        <v>2489</v>
      </c>
      <c r="I1871">
        <v>0</v>
      </c>
      <c r="J1871">
        <v>1</v>
      </c>
      <c r="K1871" s="9">
        <f t="shared" si="59"/>
        <v>45819</v>
      </c>
      <c r="L1871" t="s">
        <v>2620</v>
      </c>
      <c r="M1871" t="s">
        <v>2925</v>
      </c>
    </row>
    <row r="1872" spans="1:13" hidden="1" x14ac:dyDescent="0.35">
      <c r="A1872" t="s">
        <v>1868</v>
      </c>
      <c r="B1872" t="s">
        <v>2302</v>
      </c>
      <c r="C1872" t="s">
        <v>2460</v>
      </c>
      <c r="D1872" t="s">
        <v>2462</v>
      </c>
      <c r="E1872" t="str">
        <f t="shared" si="58"/>
        <v>ASHFORD UK</v>
      </c>
      <c r="F1872" t="s">
        <v>2483</v>
      </c>
      <c r="G1872">
        <v>0.67</v>
      </c>
      <c r="H1872" t="s">
        <v>2489</v>
      </c>
      <c r="I1872">
        <v>0</v>
      </c>
      <c r="J1872">
        <v>1</v>
      </c>
      <c r="K1872" s="9">
        <f t="shared" si="59"/>
        <v>45776</v>
      </c>
      <c r="L1872" t="s">
        <v>2740</v>
      </c>
      <c r="M1872" t="s">
        <v>2925</v>
      </c>
    </row>
    <row r="1873" spans="1:13" hidden="1" x14ac:dyDescent="0.35">
      <c r="A1873" t="s">
        <v>1869</v>
      </c>
      <c r="B1873" t="s">
        <v>2357</v>
      </c>
      <c r="C1873" t="s">
        <v>2459</v>
      </c>
      <c r="D1873" t="s">
        <v>2467</v>
      </c>
      <c r="E1873" t="str">
        <f t="shared" si="58"/>
        <v>ASHFORD</v>
      </c>
      <c r="F1873" t="s">
        <v>2480</v>
      </c>
      <c r="G1873">
        <v>0.94</v>
      </c>
      <c r="H1873" t="s">
        <v>2487</v>
      </c>
      <c r="I1873">
        <v>0.88</v>
      </c>
      <c r="J1873">
        <v>0.97</v>
      </c>
      <c r="K1873" s="9">
        <f t="shared" si="59"/>
        <v>45388</v>
      </c>
      <c r="L1873" t="s">
        <v>2583</v>
      </c>
      <c r="M1873" t="s">
        <v>2925</v>
      </c>
    </row>
    <row r="1874" spans="1:13" hidden="1" x14ac:dyDescent="0.35">
      <c r="A1874" t="s">
        <v>1870</v>
      </c>
      <c r="B1874" t="s">
        <v>2331</v>
      </c>
      <c r="C1874" t="s">
        <v>2457</v>
      </c>
      <c r="D1874" t="s">
        <v>2471</v>
      </c>
      <c r="E1874" t="str">
        <f t="shared" si="58"/>
        <v>BUDAPEST</v>
      </c>
      <c r="F1874" t="s">
        <v>2481</v>
      </c>
      <c r="G1874">
        <v>237.35</v>
      </c>
      <c r="H1874" t="s">
        <v>2488</v>
      </c>
      <c r="I1874">
        <v>150</v>
      </c>
      <c r="J1874">
        <v>400</v>
      </c>
      <c r="K1874" s="9">
        <f t="shared" si="59"/>
        <v>46019</v>
      </c>
      <c r="L1874" t="s">
        <v>2763</v>
      </c>
      <c r="M1874" t="s">
        <v>2927</v>
      </c>
    </row>
    <row r="1875" spans="1:13" hidden="1" x14ac:dyDescent="0.35">
      <c r="A1875" t="s">
        <v>1871</v>
      </c>
      <c r="B1875" t="s">
        <v>2243</v>
      </c>
      <c r="C1875" t="s">
        <v>2461</v>
      </c>
      <c r="D1875" t="s">
        <v>2469</v>
      </c>
      <c r="E1875" t="str">
        <f t="shared" si="58"/>
        <v>DORTMUND</v>
      </c>
      <c r="F1875" t="s">
        <v>2484</v>
      </c>
      <c r="G1875">
        <v>6.91</v>
      </c>
      <c r="I1875">
        <v>6</v>
      </c>
      <c r="J1875">
        <v>7.5</v>
      </c>
      <c r="K1875" s="9">
        <f t="shared" si="59"/>
        <v>45833</v>
      </c>
      <c r="L1875" t="s">
        <v>2697</v>
      </c>
      <c r="M1875" t="s">
        <v>2931</v>
      </c>
    </row>
    <row r="1876" spans="1:13" hidden="1" x14ac:dyDescent="0.35">
      <c r="A1876" t="s">
        <v>1872</v>
      </c>
      <c r="B1876" t="s">
        <v>2307</v>
      </c>
      <c r="C1876" t="s">
        <v>2460</v>
      </c>
      <c r="D1876" t="s">
        <v>2468</v>
      </c>
      <c r="E1876" t="str">
        <f t="shared" si="58"/>
        <v>VERNIER CH</v>
      </c>
      <c r="F1876" t="s">
        <v>2485</v>
      </c>
      <c r="G1876">
        <v>-27.71</v>
      </c>
      <c r="H1876" t="s">
        <v>2490</v>
      </c>
      <c r="I1876">
        <v>0</v>
      </c>
      <c r="J1876">
        <v>100</v>
      </c>
      <c r="K1876" s="9">
        <f t="shared" si="59"/>
        <v>45622</v>
      </c>
      <c r="L1876" t="s">
        <v>2743</v>
      </c>
      <c r="M1876" t="s">
        <v>2927</v>
      </c>
    </row>
    <row r="1877" spans="1:13" hidden="1" x14ac:dyDescent="0.35">
      <c r="A1877" t="s">
        <v>1873</v>
      </c>
      <c r="B1877" t="s">
        <v>2402</v>
      </c>
      <c r="C1877" t="s">
        <v>2461</v>
      </c>
      <c r="D1877" t="s">
        <v>2466</v>
      </c>
      <c r="E1877" t="str">
        <f t="shared" si="58"/>
        <v>EAST HANOVER</v>
      </c>
      <c r="F1877" t="s">
        <v>2483</v>
      </c>
      <c r="G1877">
        <v>0.41</v>
      </c>
      <c r="H1877" t="s">
        <v>2489</v>
      </c>
      <c r="I1877">
        <v>0</v>
      </c>
      <c r="J1877">
        <v>1</v>
      </c>
      <c r="K1877" s="9">
        <f t="shared" si="59"/>
        <v>45479</v>
      </c>
      <c r="L1877" t="s">
        <v>2914</v>
      </c>
      <c r="M1877" t="s">
        <v>2929</v>
      </c>
    </row>
    <row r="1878" spans="1:13" hidden="1" x14ac:dyDescent="0.35">
      <c r="A1878" t="s">
        <v>1874</v>
      </c>
      <c r="B1878" t="s">
        <v>2053</v>
      </c>
      <c r="C1878" t="s">
        <v>2460</v>
      </c>
      <c r="D1878" t="s">
        <v>2470</v>
      </c>
      <c r="E1878" t="str">
        <f t="shared" si="58"/>
        <v>E. HANOVER</v>
      </c>
      <c r="F1878" t="s">
        <v>2483</v>
      </c>
      <c r="G1878">
        <v>0.33</v>
      </c>
      <c r="H1878" t="s">
        <v>2489</v>
      </c>
      <c r="I1878">
        <v>0</v>
      </c>
      <c r="J1878">
        <v>1</v>
      </c>
      <c r="K1878" s="9">
        <f t="shared" si="59"/>
        <v>45703</v>
      </c>
      <c r="L1878" t="s">
        <v>2532</v>
      </c>
      <c r="M1878" t="s">
        <v>2924</v>
      </c>
    </row>
    <row r="1879" spans="1:13" hidden="1" x14ac:dyDescent="0.35">
      <c r="A1879" t="s">
        <v>1875</v>
      </c>
      <c r="B1879" t="s">
        <v>2393</v>
      </c>
      <c r="C1879" t="s">
        <v>2460</v>
      </c>
      <c r="D1879" t="s">
        <v>2468</v>
      </c>
      <c r="E1879" t="str">
        <f t="shared" si="58"/>
        <v>VERNIER CH</v>
      </c>
      <c r="F1879" t="s">
        <v>2479</v>
      </c>
      <c r="G1879">
        <v>48.06</v>
      </c>
      <c r="H1879" t="s">
        <v>2486</v>
      </c>
      <c r="I1879">
        <v>0</v>
      </c>
      <c r="J1879">
        <v>120</v>
      </c>
      <c r="K1879" s="9">
        <f t="shared" si="59"/>
        <v>45942</v>
      </c>
      <c r="L1879" t="s">
        <v>2617</v>
      </c>
      <c r="M1879" t="s">
        <v>2931</v>
      </c>
    </row>
    <row r="1880" spans="1:13" hidden="1" x14ac:dyDescent="0.35">
      <c r="A1880" t="s">
        <v>1876</v>
      </c>
      <c r="B1880" t="s">
        <v>2261</v>
      </c>
      <c r="C1880" t="s">
        <v>2457</v>
      </c>
      <c r="D1880" t="s">
        <v>2462</v>
      </c>
      <c r="E1880" t="str">
        <f t="shared" si="58"/>
        <v>ASHFORD UK</v>
      </c>
      <c r="F1880" t="s">
        <v>2482</v>
      </c>
      <c r="G1880">
        <v>99.03</v>
      </c>
      <c r="H1880" t="s">
        <v>2489</v>
      </c>
      <c r="I1880">
        <v>97</v>
      </c>
      <c r="J1880">
        <v>100</v>
      </c>
      <c r="K1880" s="9">
        <f t="shared" si="59"/>
        <v>45409</v>
      </c>
      <c r="L1880" t="s">
        <v>2512</v>
      </c>
      <c r="M1880" t="s">
        <v>2925</v>
      </c>
    </row>
    <row r="1881" spans="1:13" hidden="1" x14ac:dyDescent="0.35">
      <c r="A1881" t="s">
        <v>1877</v>
      </c>
      <c r="B1881" t="s">
        <v>2311</v>
      </c>
      <c r="C1881" t="s">
        <v>2459</v>
      </c>
      <c r="D1881" t="s">
        <v>2470</v>
      </c>
      <c r="E1881" t="str">
        <f t="shared" si="58"/>
        <v>E. HANOVER</v>
      </c>
      <c r="F1881" t="s">
        <v>2479</v>
      </c>
      <c r="G1881">
        <v>38.590000000000003</v>
      </c>
      <c r="H1881" t="s">
        <v>2486</v>
      </c>
      <c r="I1881">
        <v>0</v>
      </c>
      <c r="J1881">
        <v>120</v>
      </c>
      <c r="K1881" s="9">
        <f t="shared" si="59"/>
        <v>45958</v>
      </c>
      <c r="L1881" t="s">
        <v>2833</v>
      </c>
      <c r="M1881" t="s">
        <v>2923</v>
      </c>
    </row>
    <row r="1882" spans="1:13" hidden="1" x14ac:dyDescent="0.35">
      <c r="A1882" t="s">
        <v>1878</v>
      </c>
      <c r="B1882" t="s">
        <v>2370</v>
      </c>
      <c r="C1882" t="s">
        <v>2459</v>
      </c>
      <c r="D1882" t="s">
        <v>2473</v>
      </c>
      <c r="E1882" t="str">
        <f t="shared" si="58"/>
        <v>DORTMUND</v>
      </c>
      <c r="F1882" t="s">
        <v>2479</v>
      </c>
      <c r="G1882">
        <v>44.6</v>
      </c>
      <c r="H1882" t="s">
        <v>2486</v>
      </c>
      <c r="I1882">
        <v>0</v>
      </c>
      <c r="J1882">
        <v>120</v>
      </c>
      <c r="K1882" s="9">
        <f t="shared" si="59"/>
        <v>45318</v>
      </c>
      <c r="L1882" t="s">
        <v>2773</v>
      </c>
      <c r="M1882" t="s">
        <v>2930</v>
      </c>
    </row>
    <row r="1883" spans="1:13" hidden="1" x14ac:dyDescent="0.35">
      <c r="A1883" t="s">
        <v>1879</v>
      </c>
      <c r="B1883" t="s">
        <v>2134</v>
      </c>
      <c r="C1883" t="s">
        <v>2459</v>
      </c>
      <c r="D1883" t="s">
        <v>2472</v>
      </c>
      <c r="E1883" t="str">
        <f t="shared" si="58"/>
        <v>VERNIER</v>
      </c>
      <c r="F1883" t="s">
        <v>2485</v>
      </c>
      <c r="G1883">
        <v>41.89</v>
      </c>
      <c r="H1883" t="s">
        <v>2490</v>
      </c>
      <c r="I1883">
        <v>0</v>
      </c>
      <c r="J1883">
        <v>100</v>
      </c>
      <c r="K1883" s="9">
        <f t="shared" si="59"/>
        <v>45721</v>
      </c>
      <c r="L1883" t="s">
        <v>2915</v>
      </c>
      <c r="M1883" t="s">
        <v>2924</v>
      </c>
    </row>
    <row r="1884" spans="1:13" hidden="1" x14ac:dyDescent="0.35">
      <c r="A1884" t="s">
        <v>1880</v>
      </c>
      <c r="B1884" t="s">
        <v>2106</v>
      </c>
      <c r="C1884" t="s">
        <v>2461</v>
      </c>
      <c r="D1884" t="s">
        <v>2465</v>
      </c>
      <c r="E1884" t="str">
        <f t="shared" si="58"/>
        <v>VERNIER</v>
      </c>
      <c r="F1884" t="s">
        <v>2482</v>
      </c>
      <c r="G1884">
        <v>98.37</v>
      </c>
      <c r="H1884" t="s">
        <v>2489</v>
      </c>
      <c r="I1884">
        <v>97</v>
      </c>
      <c r="J1884">
        <v>100</v>
      </c>
      <c r="K1884" s="9">
        <f t="shared" si="59"/>
        <v>45388</v>
      </c>
      <c r="L1884" t="s">
        <v>2583</v>
      </c>
      <c r="M1884" t="s">
        <v>2929</v>
      </c>
    </row>
    <row r="1885" spans="1:13" hidden="1" x14ac:dyDescent="0.35">
      <c r="A1885" t="s">
        <v>1881</v>
      </c>
      <c r="B1885" t="s">
        <v>2181</v>
      </c>
      <c r="C1885" t="s">
        <v>2459</v>
      </c>
      <c r="D1885" t="s">
        <v>2463</v>
      </c>
      <c r="E1885" t="str">
        <f t="shared" si="58"/>
        <v>VERNIER</v>
      </c>
      <c r="F1885" t="s">
        <v>2481</v>
      </c>
      <c r="G1885">
        <v>228.57</v>
      </c>
      <c r="H1885" t="s">
        <v>2488</v>
      </c>
      <c r="I1885">
        <v>150</v>
      </c>
      <c r="J1885">
        <v>400</v>
      </c>
      <c r="K1885" s="9">
        <f t="shared" si="59"/>
        <v>45500</v>
      </c>
      <c r="L1885" t="s">
        <v>2653</v>
      </c>
      <c r="M1885" t="s">
        <v>2932</v>
      </c>
    </row>
    <row r="1886" spans="1:13" hidden="1" x14ac:dyDescent="0.35">
      <c r="A1886" t="s">
        <v>1882</v>
      </c>
      <c r="B1886" t="s">
        <v>2318</v>
      </c>
      <c r="C1886" t="s">
        <v>2461</v>
      </c>
      <c r="D1886" t="s">
        <v>2477</v>
      </c>
      <c r="E1886" t="str">
        <f t="shared" si="58"/>
        <v>BUDAPEST</v>
      </c>
      <c r="F1886" t="s">
        <v>2481</v>
      </c>
      <c r="G1886">
        <v>239.97</v>
      </c>
      <c r="H1886" t="s">
        <v>2488</v>
      </c>
      <c r="I1886">
        <v>150</v>
      </c>
      <c r="J1886">
        <v>400</v>
      </c>
      <c r="K1886" s="9">
        <f t="shared" si="59"/>
        <v>45458</v>
      </c>
      <c r="L1886" t="s">
        <v>2750</v>
      </c>
      <c r="M1886" t="s">
        <v>2928</v>
      </c>
    </row>
    <row r="1887" spans="1:13" hidden="1" x14ac:dyDescent="0.35">
      <c r="A1887" t="s">
        <v>1883</v>
      </c>
      <c r="B1887" t="s">
        <v>2435</v>
      </c>
      <c r="C1887" t="s">
        <v>2460</v>
      </c>
      <c r="D1887" t="s">
        <v>2475</v>
      </c>
      <c r="E1887" t="str">
        <f t="shared" si="58"/>
        <v>ASHFORD</v>
      </c>
      <c r="F1887" t="s">
        <v>2480</v>
      </c>
      <c r="G1887">
        <v>0.9</v>
      </c>
      <c r="H1887" t="s">
        <v>2487</v>
      </c>
      <c r="I1887">
        <v>0.88</v>
      </c>
      <c r="J1887">
        <v>0.97</v>
      </c>
      <c r="K1887" s="9">
        <f t="shared" si="59"/>
        <v>45806</v>
      </c>
      <c r="L1887" t="s">
        <v>2850</v>
      </c>
      <c r="M1887" t="s">
        <v>2929</v>
      </c>
    </row>
    <row r="1888" spans="1:13" hidden="1" x14ac:dyDescent="0.35">
      <c r="A1888" t="s">
        <v>1884</v>
      </c>
      <c r="B1888" t="s">
        <v>2405</v>
      </c>
      <c r="C1888" t="s">
        <v>2457</v>
      </c>
      <c r="D1888" t="s">
        <v>2464</v>
      </c>
      <c r="E1888" t="str">
        <f t="shared" si="58"/>
        <v>EAST HANOVER</v>
      </c>
      <c r="F1888" t="s">
        <v>2484</v>
      </c>
      <c r="G1888">
        <v>7.45</v>
      </c>
      <c r="I1888">
        <v>6</v>
      </c>
      <c r="J1888">
        <v>7.5</v>
      </c>
      <c r="K1888" s="9">
        <f t="shared" si="59"/>
        <v>45926</v>
      </c>
      <c r="L1888" t="s">
        <v>2822</v>
      </c>
      <c r="M1888" t="s">
        <v>2931</v>
      </c>
    </row>
    <row r="1889" spans="1:13" hidden="1" x14ac:dyDescent="0.35">
      <c r="A1889" t="s">
        <v>1885</v>
      </c>
      <c r="B1889" t="s">
        <v>2011</v>
      </c>
      <c r="C1889" t="s">
        <v>2457</v>
      </c>
      <c r="D1889" t="s">
        <v>2462</v>
      </c>
      <c r="E1889" t="str">
        <f t="shared" si="58"/>
        <v>ASHFORD UK</v>
      </c>
      <c r="F1889" t="s">
        <v>2480</v>
      </c>
      <c r="G1889">
        <v>0.96</v>
      </c>
      <c r="H1889" t="s">
        <v>2487</v>
      </c>
      <c r="I1889">
        <v>0.88</v>
      </c>
      <c r="J1889">
        <v>0.97</v>
      </c>
      <c r="K1889" s="9">
        <f t="shared" si="59"/>
        <v>45350</v>
      </c>
      <c r="L1889" t="s">
        <v>2524</v>
      </c>
      <c r="M1889" t="s">
        <v>2928</v>
      </c>
    </row>
    <row r="1890" spans="1:13" hidden="1" x14ac:dyDescent="0.35">
      <c r="A1890" t="s">
        <v>1886</v>
      </c>
      <c r="B1890" t="s">
        <v>2305</v>
      </c>
      <c r="C1890" t="s">
        <v>2458</v>
      </c>
      <c r="D1890" t="s">
        <v>2463</v>
      </c>
      <c r="E1890" t="str">
        <f t="shared" si="58"/>
        <v>VERNIER</v>
      </c>
      <c r="F1890" t="s">
        <v>2480</v>
      </c>
      <c r="G1890">
        <v>0.97</v>
      </c>
      <c r="H1890" t="s">
        <v>2487</v>
      </c>
      <c r="I1890">
        <v>0.88</v>
      </c>
      <c r="J1890">
        <v>0.97</v>
      </c>
      <c r="K1890" s="9">
        <f t="shared" si="59"/>
        <v>45959</v>
      </c>
      <c r="L1890" t="s">
        <v>2580</v>
      </c>
      <c r="M1890" t="s">
        <v>2925</v>
      </c>
    </row>
    <row r="1891" spans="1:13" hidden="1" x14ac:dyDescent="0.35">
      <c r="A1891" t="s">
        <v>1887</v>
      </c>
      <c r="B1891" t="s">
        <v>2284</v>
      </c>
      <c r="C1891" t="s">
        <v>2461</v>
      </c>
      <c r="D1891" t="s">
        <v>2478</v>
      </c>
      <c r="E1891" t="str">
        <f t="shared" si="58"/>
        <v>BUD</v>
      </c>
      <c r="F1891" t="s">
        <v>2481</v>
      </c>
      <c r="G1891">
        <v>241.13</v>
      </c>
      <c r="H1891" t="s">
        <v>2488</v>
      </c>
      <c r="I1891">
        <v>150</v>
      </c>
      <c r="J1891">
        <v>400</v>
      </c>
      <c r="K1891" s="9">
        <f t="shared" si="59"/>
        <v>45542</v>
      </c>
      <c r="L1891" t="s">
        <v>2571</v>
      </c>
      <c r="M1891" t="s">
        <v>2931</v>
      </c>
    </row>
    <row r="1892" spans="1:13" hidden="1" x14ac:dyDescent="0.35">
      <c r="A1892" t="s">
        <v>1888</v>
      </c>
      <c r="B1892" t="s">
        <v>2096</v>
      </c>
      <c r="C1892" t="s">
        <v>2460</v>
      </c>
      <c r="D1892" t="s">
        <v>2466</v>
      </c>
      <c r="E1892" t="str">
        <f t="shared" si="58"/>
        <v>EAST HANOVER</v>
      </c>
      <c r="F1892" t="s">
        <v>2482</v>
      </c>
      <c r="G1892">
        <v>99.29</v>
      </c>
      <c r="H1892" t="s">
        <v>2489</v>
      </c>
      <c r="I1892">
        <v>97</v>
      </c>
      <c r="J1892">
        <v>100</v>
      </c>
      <c r="K1892" s="9">
        <f t="shared" si="59"/>
        <v>45385</v>
      </c>
      <c r="L1892" t="s">
        <v>2574</v>
      </c>
      <c r="M1892" t="s">
        <v>2925</v>
      </c>
    </row>
    <row r="1893" spans="1:13" hidden="1" x14ac:dyDescent="0.35">
      <c r="A1893" t="s">
        <v>1889</v>
      </c>
      <c r="B1893" t="s">
        <v>2219</v>
      </c>
      <c r="C1893" t="s">
        <v>2460</v>
      </c>
      <c r="D1893" t="s">
        <v>2466</v>
      </c>
      <c r="E1893" t="str">
        <f t="shared" si="58"/>
        <v>EAST HANOVER</v>
      </c>
      <c r="F1893" t="s">
        <v>2483</v>
      </c>
      <c r="G1893">
        <v>0.43</v>
      </c>
      <c r="H1893" t="s">
        <v>2489</v>
      </c>
      <c r="I1893">
        <v>0</v>
      </c>
      <c r="J1893">
        <v>1</v>
      </c>
      <c r="K1893" s="9">
        <f t="shared" si="59"/>
        <v>45626</v>
      </c>
      <c r="L1893" t="s">
        <v>2686</v>
      </c>
      <c r="M1893" t="s">
        <v>2932</v>
      </c>
    </row>
    <row r="1894" spans="1:13" hidden="1" x14ac:dyDescent="0.35">
      <c r="A1894" t="s">
        <v>1890</v>
      </c>
      <c r="B1894" t="s">
        <v>2418</v>
      </c>
      <c r="C1894" t="s">
        <v>2458</v>
      </c>
      <c r="D1894" t="s">
        <v>2472</v>
      </c>
      <c r="E1894" t="str">
        <f t="shared" si="58"/>
        <v>VERNIER</v>
      </c>
      <c r="F1894" t="s">
        <v>2484</v>
      </c>
      <c r="G1894">
        <v>6.56</v>
      </c>
      <c r="I1894">
        <v>6</v>
      </c>
      <c r="J1894">
        <v>7.5</v>
      </c>
      <c r="K1894" s="9">
        <f t="shared" si="59"/>
        <v>45759</v>
      </c>
      <c r="L1894" t="s">
        <v>2728</v>
      </c>
      <c r="M1894" t="s">
        <v>2928</v>
      </c>
    </row>
    <row r="1895" spans="1:13" hidden="1" x14ac:dyDescent="0.35">
      <c r="A1895" t="s">
        <v>1891</v>
      </c>
      <c r="B1895" t="s">
        <v>2014</v>
      </c>
      <c r="C1895" t="s">
        <v>2459</v>
      </c>
      <c r="D1895" t="s">
        <v>2468</v>
      </c>
      <c r="E1895" t="str">
        <f t="shared" si="58"/>
        <v>VERNIER CH</v>
      </c>
      <c r="F1895" t="s">
        <v>2480</v>
      </c>
      <c r="G1895">
        <v>0.91</v>
      </c>
      <c r="H1895" t="s">
        <v>2487</v>
      </c>
      <c r="I1895">
        <v>0.88</v>
      </c>
      <c r="J1895">
        <v>0.97</v>
      </c>
      <c r="K1895" s="9">
        <f t="shared" si="59"/>
        <v>45982</v>
      </c>
      <c r="L1895" t="s">
        <v>2494</v>
      </c>
      <c r="M1895" t="s">
        <v>2924</v>
      </c>
    </row>
    <row r="1896" spans="1:13" hidden="1" x14ac:dyDescent="0.35">
      <c r="A1896" t="s">
        <v>1892</v>
      </c>
      <c r="B1896" t="s">
        <v>2385</v>
      </c>
      <c r="C1896" t="s">
        <v>2457</v>
      </c>
      <c r="D1896" t="s">
        <v>2466</v>
      </c>
      <c r="E1896" t="str">
        <f t="shared" si="58"/>
        <v>EAST HANOVER</v>
      </c>
      <c r="F1896" t="s">
        <v>2484</v>
      </c>
      <c r="G1896">
        <v>6.49</v>
      </c>
      <c r="I1896">
        <v>6</v>
      </c>
      <c r="J1896">
        <v>7.5</v>
      </c>
      <c r="K1896" s="9">
        <f t="shared" si="59"/>
        <v>45790</v>
      </c>
      <c r="L1896" t="s">
        <v>2916</v>
      </c>
      <c r="M1896" t="s">
        <v>2923</v>
      </c>
    </row>
    <row r="1897" spans="1:13" x14ac:dyDescent="0.35">
      <c r="A1897" t="s">
        <v>1893</v>
      </c>
      <c r="B1897" t="s">
        <v>2118</v>
      </c>
      <c r="C1897" t="s">
        <v>2457</v>
      </c>
      <c r="D1897" t="s">
        <v>2468</v>
      </c>
      <c r="E1897" t="str">
        <f t="shared" si="58"/>
        <v>VERNIER CH</v>
      </c>
      <c r="F1897" t="s">
        <v>2481</v>
      </c>
      <c r="H1897" t="s">
        <v>2488</v>
      </c>
      <c r="I1897">
        <v>150</v>
      </c>
      <c r="J1897">
        <v>400</v>
      </c>
      <c r="K1897" s="9">
        <f t="shared" si="59"/>
        <v>45634</v>
      </c>
      <c r="L1897" t="s">
        <v>2594</v>
      </c>
      <c r="M1897" t="s">
        <v>2923</v>
      </c>
    </row>
    <row r="1898" spans="1:13" hidden="1" x14ac:dyDescent="0.35">
      <c r="A1898" t="s">
        <v>1894</v>
      </c>
      <c r="B1898" t="s">
        <v>2387</v>
      </c>
      <c r="C1898" t="s">
        <v>2457</v>
      </c>
      <c r="D1898" t="s">
        <v>2475</v>
      </c>
      <c r="E1898" t="str">
        <f t="shared" si="58"/>
        <v>ASHFORD</v>
      </c>
      <c r="F1898" t="s">
        <v>2484</v>
      </c>
      <c r="G1898">
        <v>6.94</v>
      </c>
      <c r="I1898">
        <v>6</v>
      </c>
      <c r="J1898">
        <v>7.5</v>
      </c>
      <c r="K1898" s="9">
        <f t="shared" si="59"/>
        <v>45621</v>
      </c>
      <c r="L1898" t="s">
        <v>2685</v>
      </c>
      <c r="M1898" t="s">
        <v>2931</v>
      </c>
    </row>
    <row r="1899" spans="1:13" hidden="1" x14ac:dyDescent="0.35">
      <c r="A1899" t="s">
        <v>1895</v>
      </c>
      <c r="B1899" t="s">
        <v>2189</v>
      </c>
      <c r="C1899" t="s">
        <v>2461</v>
      </c>
      <c r="D1899" t="s">
        <v>2476</v>
      </c>
      <c r="E1899" t="str">
        <f t="shared" si="58"/>
        <v>BUDAPEST SITE</v>
      </c>
      <c r="F1899" t="s">
        <v>2480</v>
      </c>
      <c r="G1899">
        <v>0.9</v>
      </c>
      <c r="H1899" t="s">
        <v>2487</v>
      </c>
      <c r="I1899">
        <v>0.88</v>
      </c>
      <c r="J1899">
        <v>0.97</v>
      </c>
      <c r="K1899" s="9">
        <f t="shared" si="59"/>
        <v>45691</v>
      </c>
      <c r="L1899" t="s">
        <v>2660</v>
      </c>
      <c r="M1899" t="s">
        <v>2926</v>
      </c>
    </row>
    <row r="1900" spans="1:13" hidden="1" x14ac:dyDescent="0.35">
      <c r="A1900" t="s">
        <v>1896</v>
      </c>
      <c r="B1900" t="s">
        <v>2265</v>
      </c>
      <c r="C1900" t="s">
        <v>2460</v>
      </c>
      <c r="D1900" t="s">
        <v>2476</v>
      </c>
      <c r="E1900" t="str">
        <f t="shared" si="58"/>
        <v>BUDAPEST SITE</v>
      </c>
      <c r="F1900" t="s">
        <v>2485</v>
      </c>
      <c r="G1900">
        <v>44.96</v>
      </c>
      <c r="H1900" t="s">
        <v>2490</v>
      </c>
      <c r="I1900">
        <v>0</v>
      </c>
      <c r="J1900">
        <v>100</v>
      </c>
      <c r="K1900" s="9">
        <f t="shared" si="59"/>
        <v>45521</v>
      </c>
      <c r="L1900" t="s">
        <v>2715</v>
      </c>
      <c r="M1900" t="s">
        <v>2926</v>
      </c>
    </row>
    <row r="1901" spans="1:13" hidden="1" x14ac:dyDescent="0.35">
      <c r="A1901" t="s">
        <v>1897</v>
      </c>
      <c r="B1901" t="s">
        <v>2079</v>
      </c>
      <c r="C1901" t="s">
        <v>2459</v>
      </c>
      <c r="D1901" t="s">
        <v>2475</v>
      </c>
      <c r="E1901" t="str">
        <f t="shared" si="58"/>
        <v>ASHFORD</v>
      </c>
      <c r="F1901" t="s">
        <v>2480</v>
      </c>
      <c r="G1901">
        <v>0.93</v>
      </c>
      <c r="H1901" t="s">
        <v>2487</v>
      </c>
      <c r="I1901">
        <v>0.88</v>
      </c>
      <c r="J1901">
        <v>0.97</v>
      </c>
      <c r="K1901" s="9">
        <f t="shared" si="59"/>
        <v>45860</v>
      </c>
      <c r="L1901" t="s">
        <v>2558</v>
      </c>
      <c r="M1901" t="s">
        <v>2923</v>
      </c>
    </row>
    <row r="1902" spans="1:13" hidden="1" x14ac:dyDescent="0.35">
      <c r="A1902" t="s">
        <v>1898</v>
      </c>
      <c r="B1902" t="s">
        <v>2125</v>
      </c>
      <c r="C1902" t="s">
        <v>2460</v>
      </c>
      <c r="D1902" t="s">
        <v>2478</v>
      </c>
      <c r="E1902" t="str">
        <f t="shared" si="58"/>
        <v>BUD</v>
      </c>
      <c r="F1902" t="s">
        <v>2479</v>
      </c>
      <c r="G1902">
        <v>33.409999999999997</v>
      </c>
      <c r="H1902" t="s">
        <v>2486</v>
      </c>
      <c r="I1902">
        <v>0</v>
      </c>
      <c r="J1902">
        <v>120</v>
      </c>
      <c r="K1902" s="9">
        <f t="shared" si="59"/>
        <v>45544</v>
      </c>
      <c r="L1902" t="s">
        <v>2551</v>
      </c>
      <c r="M1902" t="s">
        <v>2926</v>
      </c>
    </row>
    <row r="1903" spans="1:13" hidden="1" x14ac:dyDescent="0.35">
      <c r="A1903" t="s">
        <v>1899</v>
      </c>
      <c r="B1903" t="s">
        <v>2363</v>
      </c>
      <c r="C1903" t="s">
        <v>2459</v>
      </c>
      <c r="D1903" t="s">
        <v>2474</v>
      </c>
      <c r="E1903" t="str">
        <f t="shared" si="58"/>
        <v>DORTMUND DE</v>
      </c>
      <c r="F1903" t="s">
        <v>2485</v>
      </c>
      <c r="G1903">
        <v>17.5</v>
      </c>
      <c r="H1903" t="s">
        <v>2490</v>
      </c>
      <c r="I1903">
        <v>0</v>
      </c>
      <c r="J1903">
        <v>100</v>
      </c>
      <c r="K1903" s="9">
        <f t="shared" si="59"/>
        <v>45789</v>
      </c>
      <c r="L1903" t="s">
        <v>2567</v>
      </c>
      <c r="M1903" t="s">
        <v>2929</v>
      </c>
    </row>
    <row r="1904" spans="1:13" hidden="1" x14ac:dyDescent="0.35">
      <c r="A1904" t="s">
        <v>1900</v>
      </c>
      <c r="B1904" t="s">
        <v>2086</v>
      </c>
      <c r="C1904" t="s">
        <v>2459</v>
      </c>
      <c r="D1904" t="s">
        <v>2462</v>
      </c>
      <c r="E1904" t="str">
        <f t="shared" si="58"/>
        <v>ASHFORD UK</v>
      </c>
      <c r="F1904" t="s">
        <v>2482</v>
      </c>
      <c r="G1904">
        <v>98.15</v>
      </c>
      <c r="H1904" t="s">
        <v>2489</v>
      </c>
      <c r="I1904">
        <v>97</v>
      </c>
      <c r="J1904">
        <v>100</v>
      </c>
      <c r="K1904" s="9">
        <f t="shared" si="59"/>
        <v>45668</v>
      </c>
      <c r="L1904" t="s">
        <v>2564</v>
      </c>
      <c r="M1904" t="s">
        <v>2928</v>
      </c>
    </row>
    <row r="1905" spans="1:13" x14ac:dyDescent="0.35">
      <c r="A1905" t="s">
        <v>1901</v>
      </c>
      <c r="B1905" t="s">
        <v>2261</v>
      </c>
      <c r="C1905" t="s">
        <v>2457</v>
      </c>
      <c r="D1905" t="s">
        <v>2467</v>
      </c>
      <c r="E1905" t="str">
        <f t="shared" si="58"/>
        <v>ASHFORD</v>
      </c>
      <c r="F1905" t="s">
        <v>2481</v>
      </c>
      <c r="H1905" t="s">
        <v>2488</v>
      </c>
      <c r="I1905">
        <v>150</v>
      </c>
      <c r="J1905">
        <v>400</v>
      </c>
      <c r="K1905" s="9">
        <f t="shared" si="59"/>
        <v>45409</v>
      </c>
      <c r="L1905" t="s">
        <v>2512</v>
      </c>
      <c r="M1905" t="s">
        <v>2925</v>
      </c>
    </row>
    <row r="1906" spans="1:13" hidden="1" x14ac:dyDescent="0.35">
      <c r="A1906" t="s">
        <v>1902</v>
      </c>
      <c r="B1906" t="s">
        <v>2160</v>
      </c>
      <c r="C1906" t="s">
        <v>2458</v>
      </c>
      <c r="D1906" t="s">
        <v>2469</v>
      </c>
      <c r="E1906" t="str">
        <f t="shared" si="58"/>
        <v>DORTMUND</v>
      </c>
      <c r="F1906" t="s">
        <v>2481</v>
      </c>
      <c r="G1906">
        <v>175.5</v>
      </c>
      <c r="H1906" t="s">
        <v>2488</v>
      </c>
      <c r="I1906">
        <v>150</v>
      </c>
      <c r="J1906">
        <v>400</v>
      </c>
      <c r="K1906" s="9">
        <f t="shared" si="59"/>
        <v>45476</v>
      </c>
      <c r="L1906" t="s">
        <v>2621</v>
      </c>
      <c r="M1906" t="s">
        <v>2924</v>
      </c>
    </row>
    <row r="1907" spans="1:13" hidden="1" x14ac:dyDescent="0.35">
      <c r="A1907" t="s">
        <v>1903</v>
      </c>
      <c r="B1907" t="s">
        <v>2373</v>
      </c>
      <c r="C1907" t="s">
        <v>2458</v>
      </c>
      <c r="D1907" t="s">
        <v>2476</v>
      </c>
      <c r="E1907" t="str">
        <f t="shared" si="58"/>
        <v>BUDAPEST SITE</v>
      </c>
      <c r="F1907" t="s">
        <v>2480</v>
      </c>
      <c r="G1907">
        <v>0.94</v>
      </c>
      <c r="H1907" t="s">
        <v>2487</v>
      </c>
      <c r="I1907">
        <v>0.88</v>
      </c>
      <c r="J1907">
        <v>0.97</v>
      </c>
      <c r="K1907" s="9">
        <f t="shared" si="59"/>
        <v>45953</v>
      </c>
      <c r="L1907" t="s">
        <v>2792</v>
      </c>
      <c r="M1907" t="s">
        <v>2924</v>
      </c>
    </row>
    <row r="1908" spans="1:13" hidden="1" x14ac:dyDescent="0.35">
      <c r="A1908" t="s">
        <v>1904</v>
      </c>
      <c r="B1908" t="s">
        <v>2013</v>
      </c>
      <c r="C1908" t="s">
        <v>2457</v>
      </c>
      <c r="D1908" t="s">
        <v>2464</v>
      </c>
      <c r="E1908" t="str">
        <f t="shared" si="58"/>
        <v>EAST HANOVER</v>
      </c>
      <c r="F1908" t="s">
        <v>2479</v>
      </c>
      <c r="G1908">
        <v>36.520000000000003</v>
      </c>
      <c r="H1908" t="s">
        <v>2486</v>
      </c>
      <c r="I1908">
        <v>0</v>
      </c>
      <c r="J1908">
        <v>120</v>
      </c>
      <c r="K1908" s="9">
        <f t="shared" si="59"/>
        <v>45924</v>
      </c>
      <c r="L1908" t="s">
        <v>2565</v>
      </c>
      <c r="M1908" t="s">
        <v>2931</v>
      </c>
    </row>
    <row r="1909" spans="1:13" hidden="1" x14ac:dyDescent="0.35">
      <c r="A1909" t="s">
        <v>1905</v>
      </c>
      <c r="B1909" t="s">
        <v>2164</v>
      </c>
      <c r="C1909" t="s">
        <v>2460</v>
      </c>
      <c r="D1909" t="s">
        <v>2475</v>
      </c>
      <c r="E1909" t="str">
        <f t="shared" si="58"/>
        <v>ASHFORD</v>
      </c>
      <c r="F1909" t="s">
        <v>2480</v>
      </c>
      <c r="G1909">
        <v>0.96</v>
      </c>
      <c r="H1909" t="s">
        <v>2487</v>
      </c>
      <c r="I1909">
        <v>0.88</v>
      </c>
      <c r="J1909">
        <v>0.97</v>
      </c>
      <c r="K1909" s="9">
        <f t="shared" si="59"/>
        <v>45912</v>
      </c>
      <c r="L1909" t="s">
        <v>2637</v>
      </c>
      <c r="M1909" t="s">
        <v>2925</v>
      </c>
    </row>
    <row r="1910" spans="1:13" x14ac:dyDescent="0.35">
      <c r="A1910" t="s">
        <v>1906</v>
      </c>
      <c r="B1910" t="s">
        <v>2167</v>
      </c>
      <c r="C1910" t="s">
        <v>2460</v>
      </c>
      <c r="D1910" t="s">
        <v>2465</v>
      </c>
      <c r="E1910" t="str">
        <f t="shared" si="58"/>
        <v>VERNIER</v>
      </c>
      <c r="F1910" t="s">
        <v>2485</v>
      </c>
      <c r="H1910" t="s">
        <v>2490</v>
      </c>
      <c r="I1910">
        <v>0</v>
      </c>
      <c r="J1910">
        <v>100</v>
      </c>
      <c r="K1910" s="9">
        <f t="shared" si="59"/>
        <v>45528</v>
      </c>
      <c r="L1910" t="s">
        <v>2640</v>
      </c>
      <c r="M1910" t="s">
        <v>2931</v>
      </c>
    </row>
    <row r="1911" spans="1:13" hidden="1" x14ac:dyDescent="0.35">
      <c r="A1911" t="s">
        <v>1907</v>
      </c>
      <c r="B1911" t="s">
        <v>2432</v>
      </c>
      <c r="C1911" t="s">
        <v>2459</v>
      </c>
      <c r="D1911" t="s">
        <v>2470</v>
      </c>
      <c r="E1911" t="str">
        <f t="shared" si="58"/>
        <v>E. HANOVER</v>
      </c>
      <c r="F1911" t="s">
        <v>2481</v>
      </c>
      <c r="G1911">
        <v>212.09</v>
      </c>
      <c r="H1911" t="s">
        <v>2488</v>
      </c>
      <c r="I1911">
        <v>150</v>
      </c>
      <c r="J1911">
        <v>400</v>
      </c>
      <c r="K1911" s="9">
        <f t="shared" si="59"/>
        <v>45457</v>
      </c>
      <c r="L1911" t="s">
        <v>2845</v>
      </c>
      <c r="M1911" t="s">
        <v>2925</v>
      </c>
    </row>
    <row r="1912" spans="1:13" hidden="1" x14ac:dyDescent="0.35">
      <c r="A1912" t="s">
        <v>1908</v>
      </c>
      <c r="B1912" t="s">
        <v>2217</v>
      </c>
      <c r="C1912" t="s">
        <v>2458</v>
      </c>
      <c r="D1912" t="s">
        <v>2477</v>
      </c>
      <c r="E1912" t="str">
        <f t="shared" si="58"/>
        <v>BUDAPEST</v>
      </c>
      <c r="F1912" t="s">
        <v>2484</v>
      </c>
      <c r="G1912">
        <v>4.8</v>
      </c>
      <c r="I1912">
        <v>6</v>
      </c>
      <c r="J1912">
        <v>7.5</v>
      </c>
      <c r="K1912" s="9">
        <f t="shared" si="59"/>
        <v>45368</v>
      </c>
      <c r="L1912" t="s">
        <v>2684</v>
      </c>
      <c r="M1912" t="s">
        <v>2932</v>
      </c>
    </row>
    <row r="1913" spans="1:13" hidden="1" x14ac:dyDescent="0.35">
      <c r="A1913" t="s">
        <v>1909</v>
      </c>
      <c r="B1913" t="s">
        <v>2108</v>
      </c>
      <c r="C1913" t="s">
        <v>2458</v>
      </c>
      <c r="D1913" t="s">
        <v>2467</v>
      </c>
      <c r="E1913" t="str">
        <f t="shared" si="58"/>
        <v>ASHFORD</v>
      </c>
      <c r="F1913" t="s">
        <v>2483</v>
      </c>
      <c r="G1913">
        <v>0.24</v>
      </c>
      <c r="H1913" t="s">
        <v>2489</v>
      </c>
      <c r="I1913">
        <v>0</v>
      </c>
      <c r="J1913">
        <v>1</v>
      </c>
      <c r="K1913" s="9">
        <f t="shared" si="59"/>
        <v>45362</v>
      </c>
      <c r="L1913" t="s">
        <v>2585</v>
      </c>
      <c r="M1913" t="s">
        <v>2930</v>
      </c>
    </row>
    <row r="1914" spans="1:13" hidden="1" x14ac:dyDescent="0.35">
      <c r="A1914" t="s">
        <v>1336</v>
      </c>
      <c r="B1914" t="s">
        <v>2056</v>
      </c>
      <c r="C1914" t="s">
        <v>2459</v>
      </c>
      <c r="D1914" t="s">
        <v>2471</v>
      </c>
      <c r="E1914" t="str">
        <f t="shared" si="58"/>
        <v>BUDAPEST</v>
      </c>
      <c r="F1914" t="s">
        <v>2484</v>
      </c>
      <c r="G1914">
        <v>6.33</v>
      </c>
      <c r="I1914">
        <v>6</v>
      </c>
      <c r="J1914">
        <v>7.5</v>
      </c>
      <c r="K1914" s="9">
        <f t="shared" si="59"/>
        <v>45997</v>
      </c>
      <c r="L1914" t="s">
        <v>2535</v>
      </c>
      <c r="M1914" t="s">
        <v>2932</v>
      </c>
    </row>
    <row r="1915" spans="1:13" hidden="1" x14ac:dyDescent="0.35">
      <c r="A1915" t="s">
        <v>1910</v>
      </c>
      <c r="B1915" t="s">
        <v>2371</v>
      </c>
      <c r="C1915" t="s">
        <v>2459</v>
      </c>
      <c r="D1915" t="s">
        <v>2473</v>
      </c>
      <c r="E1915" t="str">
        <f t="shared" si="58"/>
        <v>DORTMUND</v>
      </c>
      <c r="F1915" t="s">
        <v>2482</v>
      </c>
      <c r="G1915">
        <v>98.75</v>
      </c>
      <c r="H1915" t="s">
        <v>2489</v>
      </c>
      <c r="I1915">
        <v>97</v>
      </c>
      <c r="J1915">
        <v>100</v>
      </c>
      <c r="K1915" s="9">
        <f t="shared" si="59"/>
        <v>45519</v>
      </c>
      <c r="L1915" t="s">
        <v>2791</v>
      </c>
      <c r="M1915" t="s">
        <v>2930</v>
      </c>
    </row>
    <row r="1916" spans="1:13" hidden="1" x14ac:dyDescent="0.35">
      <c r="A1916" t="s">
        <v>1911</v>
      </c>
      <c r="B1916" t="s">
        <v>2133</v>
      </c>
      <c r="C1916" t="s">
        <v>2457</v>
      </c>
      <c r="D1916" t="s">
        <v>2465</v>
      </c>
      <c r="E1916" t="str">
        <f t="shared" si="58"/>
        <v>VERNIER</v>
      </c>
      <c r="F1916" t="s">
        <v>2481</v>
      </c>
      <c r="G1916">
        <v>314.07</v>
      </c>
      <c r="H1916" t="s">
        <v>2488</v>
      </c>
      <c r="I1916">
        <v>150</v>
      </c>
      <c r="J1916">
        <v>400</v>
      </c>
      <c r="K1916" s="9">
        <f t="shared" si="59"/>
        <v>45805</v>
      </c>
      <c r="L1916" t="s">
        <v>2609</v>
      </c>
      <c r="M1916" t="s">
        <v>2926</v>
      </c>
    </row>
    <row r="1917" spans="1:13" hidden="1" x14ac:dyDescent="0.35">
      <c r="A1917" t="s">
        <v>1912</v>
      </c>
      <c r="B1917" t="s">
        <v>2433</v>
      </c>
      <c r="C1917" t="s">
        <v>2461</v>
      </c>
      <c r="D1917" t="s">
        <v>2463</v>
      </c>
      <c r="E1917" t="str">
        <f t="shared" si="58"/>
        <v>VERNIER</v>
      </c>
      <c r="F1917" t="s">
        <v>2479</v>
      </c>
      <c r="G1917">
        <v>48.02</v>
      </c>
      <c r="H1917" t="s">
        <v>2486</v>
      </c>
      <c r="I1917">
        <v>0</v>
      </c>
      <c r="J1917">
        <v>120</v>
      </c>
      <c r="K1917" s="9">
        <f t="shared" si="59"/>
        <v>45503</v>
      </c>
      <c r="L1917" t="s">
        <v>2846</v>
      </c>
      <c r="M1917" t="s">
        <v>2930</v>
      </c>
    </row>
    <row r="1918" spans="1:13" hidden="1" x14ac:dyDescent="0.35">
      <c r="A1918" t="s">
        <v>1913</v>
      </c>
      <c r="B1918" t="s">
        <v>2281</v>
      </c>
      <c r="C1918" t="s">
        <v>2458</v>
      </c>
      <c r="D1918" t="s">
        <v>2470</v>
      </c>
      <c r="E1918" t="str">
        <f t="shared" si="58"/>
        <v>E. HANOVER</v>
      </c>
      <c r="F1918" t="s">
        <v>2485</v>
      </c>
      <c r="G1918">
        <v>22.69</v>
      </c>
      <c r="H1918" t="s">
        <v>2490</v>
      </c>
      <c r="I1918">
        <v>0</v>
      </c>
      <c r="J1918">
        <v>100</v>
      </c>
      <c r="K1918" s="9">
        <f t="shared" si="59"/>
        <v>45759</v>
      </c>
      <c r="L1918" t="s">
        <v>2728</v>
      </c>
      <c r="M1918" t="s">
        <v>2924</v>
      </c>
    </row>
    <row r="1919" spans="1:13" hidden="1" x14ac:dyDescent="0.35">
      <c r="A1919" t="s">
        <v>1914</v>
      </c>
      <c r="B1919" t="s">
        <v>2134</v>
      </c>
      <c r="C1919" t="s">
        <v>2459</v>
      </c>
      <c r="D1919" t="s">
        <v>2472</v>
      </c>
      <c r="E1919" t="str">
        <f t="shared" si="58"/>
        <v>VERNIER</v>
      </c>
      <c r="F1919" t="s">
        <v>2480</v>
      </c>
      <c r="G1919">
        <v>0.94</v>
      </c>
      <c r="H1919" t="s">
        <v>2487</v>
      </c>
      <c r="I1919">
        <v>0.88</v>
      </c>
      <c r="J1919">
        <v>0.97</v>
      </c>
      <c r="K1919" s="9">
        <f t="shared" si="59"/>
        <v>45721</v>
      </c>
      <c r="L1919" t="s">
        <v>2610</v>
      </c>
      <c r="M1919" t="s">
        <v>2923</v>
      </c>
    </row>
    <row r="1920" spans="1:13" hidden="1" x14ac:dyDescent="0.35">
      <c r="A1920" t="s">
        <v>1915</v>
      </c>
      <c r="B1920" t="s">
        <v>2370</v>
      </c>
      <c r="C1920" t="s">
        <v>2459</v>
      </c>
      <c r="D1920" t="s">
        <v>2469</v>
      </c>
      <c r="E1920" t="str">
        <f t="shared" si="58"/>
        <v>DORTMUND</v>
      </c>
      <c r="F1920" t="s">
        <v>2483</v>
      </c>
      <c r="G1920">
        <v>0.06</v>
      </c>
      <c r="H1920" t="s">
        <v>2489</v>
      </c>
      <c r="I1920">
        <v>0</v>
      </c>
      <c r="J1920">
        <v>1</v>
      </c>
      <c r="K1920" s="9">
        <f t="shared" si="59"/>
        <v>45318</v>
      </c>
      <c r="L1920" t="s">
        <v>2773</v>
      </c>
      <c r="M1920" t="s">
        <v>2928</v>
      </c>
    </row>
    <row r="1921" spans="1:13" hidden="1" x14ac:dyDescent="0.35">
      <c r="A1921" t="s">
        <v>1916</v>
      </c>
      <c r="B1921" t="s">
        <v>2439</v>
      </c>
      <c r="C1921" t="s">
        <v>2458</v>
      </c>
      <c r="D1921" t="s">
        <v>2475</v>
      </c>
      <c r="E1921" t="str">
        <f t="shared" si="58"/>
        <v>ASHFORD</v>
      </c>
      <c r="F1921" t="s">
        <v>2481</v>
      </c>
      <c r="G1921">
        <v>309.13</v>
      </c>
      <c r="H1921" t="s">
        <v>2488</v>
      </c>
      <c r="I1921">
        <v>150</v>
      </c>
      <c r="J1921">
        <v>400</v>
      </c>
      <c r="K1921" s="9">
        <f t="shared" si="59"/>
        <v>45549</v>
      </c>
      <c r="L1921" t="s">
        <v>2858</v>
      </c>
      <c r="M1921" t="s">
        <v>2932</v>
      </c>
    </row>
    <row r="1922" spans="1:13" hidden="1" x14ac:dyDescent="0.35">
      <c r="A1922" t="s">
        <v>1917</v>
      </c>
      <c r="B1922" t="s">
        <v>2145</v>
      </c>
      <c r="C1922" t="s">
        <v>2458</v>
      </c>
      <c r="D1922" t="s">
        <v>2477</v>
      </c>
      <c r="E1922" t="str">
        <f t="shared" si="58"/>
        <v>BUDAPEST</v>
      </c>
      <c r="F1922" t="s">
        <v>2484</v>
      </c>
      <c r="G1922">
        <v>7.39</v>
      </c>
      <c r="I1922">
        <v>6</v>
      </c>
      <c r="J1922">
        <v>7.5</v>
      </c>
      <c r="K1922" s="9">
        <f t="shared" si="59"/>
        <v>45819</v>
      </c>
      <c r="L1922" t="s">
        <v>2620</v>
      </c>
      <c r="M1922" t="s">
        <v>2924</v>
      </c>
    </row>
    <row r="1923" spans="1:13" hidden="1" x14ac:dyDescent="0.35">
      <c r="A1923" t="s">
        <v>1918</v>
      </c>
      <c r="B1923" t="s">
        <v>2250</v>
      </c>
      <c r="C1923" t="s">
        <v>2460</v>
      </c>
      <c r="D1923" t="s">
        <v>2477</v>
      </c>
      <c r="E1923" t="str">
        <f t="shared" ref="E1923:E1986" si="60">UPPER(D1923)</f>
        <v>BUDAPEST</v>
      </c>
      <c r="F1923" t="s">
        <v>2479</v>
      </c>
      <c r="G1923">
        <v>67.540000000000006</v>
      </c>
      <c r="H1923" t="s">
        <v>2486</v>
      </c>
      <c r="I1923">
        <v>0</v>
      </c>
      <c r="J1923">
        <v>120</v>
      </c>
      <c r="K1923" s="9">
        <f t="shared" ref="K1923:K1986" si="61">IF(L1923="","",
IF(MID(L1923,5,1)="-",
DATE(LEFT(L1923,4),MID(L1923,6,2),RIGHT(L1923,2)),
DATE(RIGHT(L1923,4),MID(L1923,4,2),LEFT(L1923,2))
))</f>
        <v>45670</v>
      </c>
      <c r="L1923" t="s">
        <v>2703</v>
      </c>
      <c r="M1923" t="s">
        <v>2928</v>
      </c>
    </row>
    <row r="1924" spans="1:13" hidden="1" x14ac:dyDescent="0.35">
      <c r="A1924" t="s">
        <v>1919</v>
      </c>
      <c r="B1924" t="s">
        <v>2256</v>
      </c>
      <c r="C1924" t="s">
        <v>2461</v>
      </c>
      <c r="D1924" t="s">
        <v>2466</v>
      </c>
      <c r="E1924" t="str">
        <f t="shared" si="60"/>
        <v>EAST HANOVER</v>
      </c>
      <c r="F1924" t="s">
        <v>2483</v>
      </c>
      <c r="G1924">
        <v>0.23</v>
      </c>
      <c r="H1924" t="s">
        <v>2489</v>
      </c>
      <c r="I1924">
        <v>0</v>
      </c>
      <c r="J1924">
        <v>1</v>
      </c>
      <c r="K1924" s="9">
        <f t="shared" si="61"/>
        <v>45676</v>
      </c>
      <c r="L1924" t="s">
        <v>2707</v>
      </c>
      <c r="M1924" t="s">
        <v>2932</v>
      </c>
    </row>
    <row r="1925" spans="1:13" hidden="1" x14ac:dyDescent="0.35">
      <c r="A1925" t="s">
        <v>1920</v>
      </c>
      <c r="B1925" t="s">
        <v>2403</v>
      </c>
      <c r="C1925" t="s">
        <v>2460</v>
      </c>
      <c r="D1925" t="s">
        <v>2464</v>
      </c>
      <c r="E1925" t="str">
        <f t="shared" si="60"/>
        <v>EAST HANOVER</v>
      </c>
      <c r="F1925" t="s">
        <v>2485</v>
      </c>
      <c r="G1925">
        <v>26.58</v>
      </c>
      <c r="H1925" t="s">
        <v>2490</v>
      </c>
      <c r="I1925">
        <v>0</v>
      </c>
      <c r="J1925">
        <v>100</v>
      </c>
      <c r="K1925" s="9">
        <f t="shared" si="61"/>
        <v>45567</v>
      </c>
      <c r="L1925" t="s">
        <v>2820</v>
      </c>
      <c r="M1925" t="s">
        <v>2927</v>
      </c>
    </row>
    <row r="1926" spans="1:13" hidden="1" x14ac:dyDescent="0.35">
      <c r="A1926" t="s">
        <v>1921</v>
      </c>
      <c r="B1926" t="s">
        <v>2341</v>
      </c>
      <c r="C1926" t="s">
        <v>2459</v>
      </c>
      <c r="D1926" t="s">
        <v>2464</v>
      </c>
      <c r="E1926" t="str">
        <f t="shared" si="60"/>
        <v>EAST HANOVER</v>
      </c>
      <c r="F1926" t="s">
        <v>2483</v>
      </c>
      <c r="G1926">
        <v>0.38</v>
      </c>
      <c r="H1926" t="s">
        <v>2489</v>
      </c>
      <c r="I1926">
        <v>0</v>
      </c>
      <c r="J1926">
        <v>1</v>
      </c>
      <c r="K1926" s="9">
        <f t="shared" si="61"/>
        <v>45812</v>
      </c>
      <c r="L1926" t="s">
        <v>2770</v>
      </c>
      <c r="M1926" t="s">
        <v>2925</v>
      </c>
    </row>
    <row r="1927" spans="1:13" hidden="1" x14ac:dyDescent="0.35">
      <c r="A1927" t="s">
        <v>1922</v>
      </c>
      <c r="B1927" t="s">
        <v>2321</v>
      </c>
      <c r="C1927" t="s">
        <v>2457</v>
      </c>
      <c r="D1927" t="s">
        <v>2478</v>
      </c>
      <c r="E1927" t="str">
        <f t="shared" si="60"/>
        <v>BUD</v>
      </c>
      <c r="F1927" t="s">
        <v>2483</v>
      </c>
      <c r="G1927">
        <v>0.43</v>
      </c>
      <c r="H1927" t="s">
        <v>2489</v>
      </c>
      <c r="I1927">
        <v>0</v>
      </c>
      <c r="J1927">
        <v>1</v>
      </c>
      <c r="K1927" s="9">
        <f t="shared" si="61"/>
        <v>45491</v>
      </c>
      <c r="L1927" t="s">
        <v>2753</v>
      </c>
      <c r="M1927" t="s">
        <v>2925</v>
      </c>
    </row>
    <row r="1928" spans="1:13" hidden="1" x14ac:dyDescent="0.35">
      <c r="A1928" t="s">
        <v>1923</v>
      </c>
      <c r="B1928" t="s">
        <v>2118</v>
      </c>
      <c r="C1928" t="s">
        <v>2457</v>
      </c>
      <c r="D1928" t="s">
        <v>2463</v>
      </c>
      <c r="E1928" t="str">
        <f t="shared" si="60"/>
        <v>VERNIER</v>
      </c>
      <c r="F1928" t="s">
        <v>2480</v>
      </c>
      <c r="G1928">
        <v>0.97</v>
      </c>
      <c r="H1928" t="s">
        <v>2487</v>
      </c>
      <c r="I1928">
        <v>0.88</v>
      </c>
      <c r="J1928">
        <v>0.97</v>
      </c>
      <c r="K1928" s="9">
        <f t="shared" si="61"/>
        <v>45634</v>
      </c>
      <c r="L1928" t="s">
        <v>2594</v>
      </c>
      <c r="M1928" t="s">
        <v>2928</v>
      </c>
    </row>
    <row r="1929" spans="1:13" hidden="1" x14ac:dyDescent="0.35">
      <c r="A1929" t="s">
        <v>1924</v>
      </c>
      <c r="B1929" t="s">
        <v>2225</v>
      </c>
      <c r="C1929" t="s">
        <v>2458</v>
      </c>
      <c r="D1929" t="s">
        <v>2465</v>
      </c>
      <c r="E1929" t="str">
        <f t="shared" si="60"/>
        <v>VERNIER</v>
      </c>
      <c r="F1929" t="s">
        <v>2483</v>
      </c>
      <c r="G1929">
        <v>0.35</v>
      </c>
      <c r="H1929" t="s">
        <v>2489</v>
      </c>
      <c r="I1929">
        <v>0</v>
      </c>
      <c r="J1929">
        <v>1</v>
      </c>
      <c r="K1929" s="9">
        <f t="shared" si="61"/>
        <v>45516</v>
      </c>
      <c r="L1929" t="s">
        <v>2689</v>
      </c>
      <c r="M1929" t="s">
        <v>2924</v>
      </c>
    </row>
    <row r="1930" spans="1:13" hidden="1" x14ac:dyDescent="0.35">
      <c r="A1930" t="s">
        <v>1925</v>
      </c>
      <c r="B1930" t="s">
        <v>2235</v>
      </c>
      <c r="C1930" t="s">
        <v>2459</v>
      </c>
      <c r="D1930" t="s">
        <v>2474</v>
      </c>
      <c r="E1930" t="str">
        <f t="shared" si="60"/>
        <v>DORTMUND DE</v>
      </c>
      <c r="F1930" t="s">
        <v>2480</v>
      </c>
      <c r="G1930">
        <v>0.79</v>
      </c>
      <c r="H1930" t="s">
        <v>2487</v>
      </c>
      <c r="I1930">
        <v>0.88</v>
      </c>
      <c r="J1930">
        <v>0.97</v>
      </c>
      <c r="K1930" s="9">
        <f t="shared" si="61"/>
        <v>45854</v>
      </c>
      <c r="L1930" t="s">
        <v>2667</v>
      </c>
      <c r="M1930" t="s">
        <v>2925</v>
      </c>
    </row>
    <row r="1931" spans="1:13" hidden="1" x14ac:dyDescent="0.35">
      <c r="A1931" t="s">
        <v>1926</v>
      </c>
      <c r="B1931" t="s">
        <v>2147</v>
      </c>
      <c r="C1931" t="s">
        <v>2458</v>
      </c>
      <c r="D1931" t="s">
        <v>2468</v>
      </c>
      <c r="E1931" t="str">
        <f t="shared" si="60"/>
        <v>VERNIER CH</v>
      </c>
      <c r="F1931" t="s">
        <v>2483</v>
      </c>
      <c r="G1931">
        <v>0.51</v>
      </c>
      <c r="H1931" t="s">
        <v>2489</v>
      </c>
      <c r="I1931">
        <v>0</v>
      </c>
      <c r="J1931">
        <v>1</v>
      </c>
      <c r="K1931" s="9">
        <f t="shared" si="61"/>
        <v>45371</v>
      </c>
      <c r="L1931" t="s">
        <v>2622</v>
      </c>
      <c r="M1931" t="s">
        <v>2923</v>
      </c>
    </row>
    <row r="1932" spans="1:13" hidden="1" x14ac:dyDescent="0.35">
      <c r="A1932" t="s">
        <v>1927</v>
      </c>
      <c r="B1932" t="s">
        <v>2251</v>
      </c>
      <c r="C1932" t="s">
        <v>2461</v>
      </c>
      <c r="D1932" t="s">
        <v>2462</v>
      </c>
      <c r="E1932" t="str">
        <f t="shared" si="60"/>
        <v>ASHFORD UK</v>
      </c>
      <c r="F1932" t="s">
        <v>2481</v>
      </c>
      <c r="G1932">
        <v>242.47</v>
      </c>
      <c r="H1932" t="s">
        <v>2488</v>
      </c>
      <c r="I1932">
        <v>150</v>
      </c>
      <c r="J1932">
        <v>400</v>
      </c>
      <c r="K1932" s="9">
        <f t="shared" si="61"/>
        <v>45441</v>
      </c>
      <c r="L1932" t="s">
        <v>2699</v>
      </c>
      <c r="M1932" t="s">
        <v>2927</v>
      </c>
    </row>
    <row r="1933" spans="1:13" hidden="1" x14ac:dyDescent="0.35">
      <c r="A1933" t="s">
        <v>1928</v>
      </c>
      <c r="B1933" t="s">
        <v>2182</v>
      </c>
      <c r="C1933" t="s">
        <v>2457</v>
      </c>
      <c r="D1933" t="s">
        <v>2467</v>
      </c>
      <c r="E1933" t="str">
        <f t="shared" si="60"/>
        <v>ASHFORD</v>
      </c>
      <c r="F1933" t="s">
        <v>2481</v>
      </c>
      <c r="G1933">
        <v>211.63</v>
      </c>
      <c r="H1933" t="s">
        <v>2488</v>
      </c>
      <c r="I1933">
        <v>150</v>
      </c>
      <c r="J1933">
        <v>400</v>
      </c>
      <c r="K1933" s="9">
        <f t="shared" si="61"/>
        <v>45681</v>
      </c>
      <c r="L1933" t="s">
        <v>2654</v>
      </c>
      <c r="M1933" t="s">
        <v>2931</v>
      </c>
    </row>
    <row r="1934" spans="1:13" hidden="1" x14ac:dyDescent="0.35">
      <c r="A1934" t="s">
        <v>1929</v>
      </c>
      <c r="B1934" t="s">
        <v>2326</v>
      </c>
      <c r="C1934" t="s">
        <v>2459</v>
      </c>
      <c r="D1934" t="s">
        <v>2475</v>
      </c>
      <c r="E1934" t="str">
        <f t="shared" si="60"/>
        <v>ASHFORD</v>
      </c>
      <c r="F1934" t="s">
        <v>2484</v>
      </c>
      <c r="G1934">
        <v>7.1</v>
      </c>
      <c r="I1934">
        <v>6</v>
      </c>
      <c r="J1934">
        <v>7.5</v>
      </c>
      <c r="K1934" s="9">
        <f t="shared" si="61"/>
        <v>45676</v>
      </c>
      <c r="L1934" t="s">
        <v>2917</v>
      </c>
      <c r="M1934" t="s">
        <v>2929</v>
      </c>
    </row>
    <row r="1935" spans="1:13" hidden="1" x14ac:dyDescent="0.35">
      <c r="A1935" t="s">
        <v>1930</v>
      </c>
      <c r="B1935" t="s">
        <v>2043</v>
      </c>
      <c r="C1935" t="s">
        <v>2461</v>
      </c>
      <c r="D1935" t="s">
        <v>2463</v>
      </c>
      <c r="E1935" t="str">
        <f t="shared" si="60"/>
        <v>VERNIER</v>
      </c>
      <c r="F1935" t="s">
        <v>2482</v>
      </c>
      <c r="G1935">
        <v>98.68</v>
      </c>
      <c r="H1935" t="s">
        <v>2489</v>
      </c>
      <c r="I1935">
        <v>97</v>
      </c>
      <c r="J1935">
        <v>100</v>
      </c>
      <c r="K1935" s="9">
        <f t="shared" si="61"/>
        <v>45431</v>
      </c>
      <c r="L1935" t="s">
        <v>2523</v>
      </c>
      <c r="M1935" t="s">
        <v>2923</v>
      </c>
    </row>
    <row r="1936" spans="1:13" hidden="1" x14ac:dyDescent="0.35">
      <c r="A1936" t="s">
        <v>1931</v>
      </c>
      <c r="B1936" t="s">
        <v>2258</v>
      </c>
      <c r="C1936" t="s">
        <v>2460</v>
      </c>
      <c r="D1936" t="s">
        <v>2463</v>
      </c>
      <c r="E1936" t="str">
        <f t="shared" si="60"/>
        <v>VERNIER</v>
      </c>
      <c r="F1936" t="s">
        <v>2479</v>
      </c>
      <c r="G1936">
        <v>18.96</v>
      </c>
      <c r="H1936" t="s">
        <v>2486</v>
      </c>
      <c r="I1936">
        <v>0</v>
      </c>
      <c r="J1936">
        <v>120</v>
      </c>
      <c r="K1936" s="9">
        <f t="shared" si="61"/>
        <v>45883</v>
      </c>
      <c r="L1936" t="s">
        <v>2710</v>
      </c>
      <c r="M1936" t="s">
        <v>2931</v>
      </c>
    </row>
    <row r="1937" spans="1:13" hidden="1" x14ac:dyDescent="0.35">
      <c r="A1937" t="s">
        <v>1932</v>
      </c>
      <c r="B1937" t="s">
        <v>2199</v>
      </c>
      <c r="C1937" t="s">
        <v>2460</v>
      </c>
      <c r="D1937" t="s">
        <v>2467</v>
      </c>
      <c r="E1937" t="str">
        <f t="shared" si="60"/>
        <v>ASHFORD</v>
      </c>
      <c r="F1937" t="s">
        <v>2483</v>
      </c>
      <c r="G1937">
        <v>0.54</v>
      </c>
      <c r="H1937" t="s">
        <v>2489</v>
      </c>
      <c r="I1937">
        <v>0</v>
      </c>
      <c r="J1937">
        <v>1</v>
      </c>
      <c r="K1937" s="9">
        <f t="shared" si="61"/>
        <v>45413</v>
      </c>
      <c r="L1937" t="s">
        <v>2578</v>
      </c>
      <c r="M1937" t="s">
        <v>2925</v>
      </c>
    </row>
    <row r="1938" spans="1:13" hidden="1" x14ac:dyDescent="0.35">
      <c r="A1938" t="s">
        <v>1933</v>
      </c>
      <c r="B1938" t="s">
        <v>2175</v>
      </c>
      <c r="C1938" t="s">
        <v>2457</v>
      </c>
      <c r="D1938" t="s">
        <v>2462</v>
      </c>
      <c r="E1938" t="str">
        <f t="shared" si="60"/>
        <v>ASHFORD UK</v>
      </c>
      <c r="F1938" t="s">
        <v>2483</v>
      </c>
      <c r="G1938">
        <v>-0.08</v>
      </c>
      <c r="H1938" t="s">
        <v>2489</v>
      </c>
      <c r="I1938">
        <v>0</v>
      </c>
      <c r="J1938">
        <v>1</v>
      </c>
      <c r="K1938" s="9">
        <f t="shared" si="61"/>
        <v>45921</v>
      </c>
      <c r="L1938" t="s">
        <v>2647</v>
      </c>
      <c r="M1938" t="s">
        <v>2925</v>
      </c>
    </row>
    <row r="1939" spans="1:13" hidden="1" x14ac:dyDescent="0.35">
      <c r="A1939" t="s">
        <v>1934</v>
      </c>
      <c r="B1939" t="s">
        <v>2241</v>
      </c>
      <c r="C1939" t="s">
        <v>2460</v>
      </c>
      <c r="D1939" t="s">
        <v>2473</v>
      </c>
      <c r="E1939" t="str">
        <f t="shared" si="60"/>
        <v>DORTMUND</v>
      </c>
      <c r="F1939" t="s">
        <v>2479</v>
      </c>
      <c r="G1939">
        <v>60.93</v>
      </c>
      <c r="H1939" t="s">
        <v>2486</v>
      </c>
      <c r="I1939">
        <v>0</v>
      </c>
      <c r="J1939">
        <v>120</v>
      </c>
      <c r="K1939" s="9">
        <f t="shared" si="61"/>
        <v>45781</v>
      </c>
      <c r="L1939" t="s">
        <v>2918</v>
      </c>
      <c r="M1939" t="s">
        <v>2929</v>
      </c>
    </row>
    <row r="1940" spans="1:13" hidden="1" x14ac:dyDescent="0.35">
      <c r="A1940" t="s">
        <v>1935</v>
      </c>
      <c r="B1940" t="s">
        <v>2191</v>
      </c>
      <c r="C1940" t="s">
        <v>2460</v>
      </c>
      <c r="D1940" t="s">
        <v>2474</v>
      </c>
      <c r="E1940" t="str">
        <f t="shared" si="60"/>
        <v>DORTMUND DE</v>
      </c>
      <c r="F1940" t="s">
        <v>2480</v>
      </c>
      <c r="G1940">
        <v>0.94</v>
      </c>
      <c r="H1940" t="s">
        <v>2487</v>
      </c>
      <c r="I1940">
        <v>0.88</v>
      </c>
      <c r="J1940">
        <v>0.97</v>
      </c>
      <c r="K1940" s="9">
        <f t="shared" si="61"/>
        <v>45483</v>
      </c>
      <c r="L1940" t="s">
        <v>2663</v>
      </c>
      <c r="M1940" t="s">
        <v>2929</v>
      </c>
    </row>
    <row r="1941" spans="1:13" hidden="1" x14ac:dyDescent="0.35">
      <c r="A1941" t="s">
        <v>1936</v>
      </c>
      <c r="B1941" t="s">
        <v>2058</v>
      </c>
      <c r="C1941" t="s">
        <v>2460</v>
      </c>
      <c r="D1941" t="s">
        <v>2471</v>
      </c>
      <c r="E1941" t="str">
        <f t="shared" si="60"/>
        <v>BUDAPEST</v>
      </c>
      <c r="F1941" t="s">
        <v>2483</v>
      </c>
      <c r="G1941">
        <v>0.37</v>
      </c>
      <c r="H1941" t="s">
        <v>2489</v>
      </c>
      <c r="I1941">
        <v>0</v>
      </c>
      <c r="J1941">
        <v>1</v>
      </c>
      <c r="K1941" s="9">
        <f t="shared" si="61"/>
        <v>45695</v>
      </c>
      <c r="L1941" t="s">
        <v>2537</v>
      </c>
      <c r="M1941" t="s">
        <v>2924</v>
      </c>
    </row>
    <row r="1942" spans="1:13" hidden="1" x14ac:dyDescent="0.35">
      <c r="A1942" t="s">
        <v>1937</v>
      </c>
      <c r="B1942" t="s">
        <v>2045</v>
      </c>
      <c r="C1942" t="s">
        <v>2457</v>
      </c>
      <c r="D1942" t="s">
        <v>2471</v>
      </c>
      <c r="E1942" t="str">
        <f t="shared" si="60"/>
        <v>BUDAPEST</v>
      </c>
      <c r="F1942" t="s">
        <v>2485</v>
      </c>
      <c r="G1942">
        <v>14.28</v>
      </c>
      <c r="H1942" t="s">
        <v>2490</v>
      </c>
      <c r="I1942">
        <v>0</v>
      </c>
      <c r="J1942">
        <v>100</v>
      </c>
      <c r="K1942" s="9">
        <f t="shared" si="61"/>
        <v>45655</v>
      </c>
      <c r="L1942" t="s">
        <v>2500</v>
      </c>
      <c r="M1942" t="s">
        <v>2926</v>
      </c>
    </row>
    <row r="1943" spans="1:13" hidden="1" x14ac:dyDescent="0.35">
      <c r="A1943" t="s">
        <v>1938</v>
      </c>
      <c r="B1943" t="s">
        <v>2456</v>
      </c>
      <c r="C1943" t="s">
        <v>2459</v>
      </c>
      <c r="D1943" t="s">
        <v>2476</v>
      </c>
      <c r="E1943" t="str">
        <f t="shared" si="60"/>
        <v>BUDAPEST SITE</v>
      </c>
      <c r="F1943" t="s">
        <v>2484</v>
      </c>
      <c r="G1943">
        <v>6.84</v>
      </c>
      <c r="I1943">
        <v>6</v>
      </c>
      <c r="J1943">
        <v>7.5</v>
      </c>
      <c r="K1943" s="9">
        <f t="shared" si="61"/>
        <v>45779</v>
      </c>
      <c r="L1943" t="s">
        <v>2785</v>
      </c>
      <c r="M1943" t="s">
        <v>2932</v>
      </c>
    </row>
    <row r="1944" spans="1:13" hidden="1" x14ac:dyDescent="0.35">
      <c r="A1944" t="s">
        <v>1939</v>
      </c>
      <c r="B1944" t="s">
        <v>2356</v>
      </c>
      <c r="C1944" t="s">
        <v>2458</v>
      </c>
      <c r="D1944" t="s">
        <v>2470</v>
      </c>
      <c r="E1944" t="str">
        <f t="shared" si="60"/>
        <v>E. HANOVER</v>
      </c>
      <c r="F1944" t="s">
        <v>2481</v>
      </c>
      <c r="G1944">
        <v>256.55</v>
      </c>
      <c r="H1944" t="s">
        <v>2488</v>
      </c>
      <c r="I1944">
        <v>150</v>
      </c>
      <c r="J1944">
        <v>400</v>
      </c>
      <c r="K1944" s="9">
        <f t="shared" si="61"/>
        <v>45765</v>
      </c>
      <c r="L1944" t="s">
        <v>2779</v>
      </c>
      <c r="M1944" t="s">
        <v>2930</v>
      </c>
    </row>
    <row r="1945" spans="1:13" hidden="1" x14ac:dyDescent="0.35">
      <c r="A1945" t="s">
        <v>1940</v>
      </c>
      <c r="B1945" t="s">
        <v>2117</v>
      </c>
      <c r="C1945" t="s">
        <v>2457</v>
      </c>
      <c r="D1945" t="s">
        <v>2475</v>
      </c>
      <c r="E1945" t="str">
        <f t="shared" si="60"/>
        <v>ASHFORD</v>
      </c>
      <c r="F1945" t="s">
        <v>2485</v>
      </c>
      <c r="G1945">
        <v>-7.46</v>
      </c>
      <c r="H1945" t="s">
        <v>2490</v>
      </c>
      <c r="I1945">
        <v>0</v>
      </c>
      <c r="J1945">
        <v>100</v>
      </c>
      <c r="K1945" s="9">
        <f t="shared" si="61"/>
        <v>45951</v>
      </c>
      <c r="L1945" t="s">
        <v>2592</v>
      </c>
      <c r="M1945" t="s">
        <v>2926</v>
      </c>
    </row>
    <row r="1946" spans="1:13" hidden="1" x14ac:dyDescent="0.35">
      <c r="A1946" t="s">
        <v>1941</v>
      </c>
      <c r="B1946" t="s">
        <v>2381</v>
      </c>
      <c r="C1946" t="s">
        <v>2457</v>
      </c>
      <c r="D1946" t="s">
        <v>2463</v>
      </c>
      <c r="E1946" t="str">
        <f t="shared" si="60"/>
        <v>VERNIER</v>
      </c>
      <c r="F1946" t="s">
        <v>2482</v>
      </c>
      <c r="G1946">
        <v>98.4</v>
      </c>
      <c r="H1946" t="s">
        <v>2489</v>
      </c>
      <c r="I1946">
        <v>97</v>
      </c>
      <c r="J1946">
        <v>100</v>
      </c>
      <c r="K1946" s="9">
        <f t="shared" si="61"/>
        <v>45355</v>
      </c>
      <c r="L1946" t="s">
        <v>2799</v>
      </c>
      <c r="M1946" t="s">
        <v>2931</v>
      </c>
    </row>
    <row r="1947" spans="1:13" hidden="1" x14ac:dyDescent="0.35">
      <c r="A1947" t="s">
        <v>1942</v>
      </c>
      <c r="B1947" t="s">
        <v>2087</v>
      </c>
      <c r="C1947" t="s">
        <v>2459</v>
      </c>
      <c r="D1947" t="s">
        <v>2462</v>
      </c>
      <c r="E1947" t="str">
        <f t="shared" si="60"/>
        <v>ASHFORD UK</v>
      </c>
      <c r="F1947" t="s">
        <v>2479</v>
      </c>
      <c r="G1947">
        <v>59.69</v>
      </c>
      <c r="H1947" t="s">
        <v>2486</v>
      </c>
      <c r="I1947">
        <v>0</v>
      </c>
      <c r="J1947">
        <v>120</v>
      </c>
      <c r="K1947" s="9">
        <f t="shared" si="61"/>
        <v>45399</v>
      </c>
      <c r="L1947" t="s">
        <v>2492</v>
      </c>
      <c r="M1947" t="s">
        <v>2932</v>
      </c>
    </row>
    <row r="1948" spans="1:13" hidden="1" x14ac:dyDescent="0.35">
      <c r="A1948" t="s">
        <v>1943</v>
      </c>
      <c r="B1948" t="s">
        <v>2369</v>
      </c>
      <c r="C1948" t="s">
        <v>2458</v>
      </c>
      <c r="D1948" t="s">
        <v>2467</v>
      </c>
      <c r="E1948" t="str">
        <f t="shared" si="60"/>
        <v>ASHFORD</v>
      </c>
      <c r="F1948" t="s">
        <v>2479</v>
      </c>
      <c r="G1948">
        <v>16.57</v>
      </c>
      <c r="H1948" t="s">
        <v>2486</v>
      </c>
      <c r="I1948">
        <v>0</v>
      </c>
      <c r="J1948">
        <v>120</v>
      </c>
      <c r="K1948" s="9">
        <f t="shared" si="61"/>
        <v>46003</v>
      </c>
      <c r="L1948" t="s">
        <v>2790</v>
      </c>
      <c r="M1948" t="s">
        <v>2924</v>
      </c>
    </row>
    <row r="1949" spans="1:13" hidden="1" x14ac:dyDescent="0.35">
      <c r="A1949" t="s">
        <v>1944</v>
      </c>
      <c r="B1949" t="s">
        <v>2223</v>
      </c>
      <c r="C1949" t="s">
        <v>2458</v>
      </c>
      <c r="D1949" t="s">
        <v>2466</v>
      </c>
      <c r="E1949" t="str">
        <f t="shared" si="60"/>
        <v>EAST HANOVER</v>
      </c>
      <c r="F1949" t="s">
        <v>2484</v>
      </c>
      <c r="G1949">
        <v>7.02</v>
      </c>
      <c r="I1949">
        <v>6</v>
      </c>
      <c r="J1949">
        <v>7.5</v>
      </c>
      <c r="K1949" s="9">
        <f t="shared" si="61"/>
        <v>45496</v>
      </c>
      <c r="L1949" t="s">
        <v>2688</v>
      </c>
      <c r="M1949" t="s">
        <v>2926</v>
      </c>
    </row>
    <row r="1950" spans="1:13" x14ac:dyDescent="0.35">
      <c r="A1950" t="s">
        <v>1945</v>
      </c>
      <c r="B1950" t="s">
        <v>2026</v>
      </c>
      <c r="C1950" t="s">
        <v>2461</v>
      </c>
      <c r="D1950" t="s">
        <v>2463</v>
      </c>
      <c r="E1950" t="str">
        <f t="shared" si="60"/>
        <v>VERNIER</v>
      </c>
      <c r="F1950" t="s">
        <v>2479</v>
      </c>
      <c r="H1950" t="s">
        <v>2486</v>
      </c>
      <c r="I1950">
        <v>0</v>
      </c>
      <c r="J1950">
        <v>120</v>
      </c>
      <c r="K1950" s="9">
        <f t="shared" si="61"/>
        <v>45294</v>
      </c>
      <c r="L1950" t="s">
        <v>2506</v>
      </c>
      <c r="M1950" t="s">
        <v>2930</v>
      </c>
    </row>
    <row r="1951" spans="1:13" hidden="1" x14ac:dyDescent="0.35">
      <c r="A1951" t="s">
        <v>1946</v>
      </c>
      <c r="B1951" t="s">
        <v>2218</v>
      </c>
      <c r="C1951" t="s">
        <v>2457</v>
      </c>
      <c r="D1951" t="s">
        <v>2473</v>
      </c>
      <c r="E1951" t="str">
        <f t="shared" si="60"/>
        <v>DORTMUND</v>
      </c>
      <c r="F1951" t="s">
        <v>2485</v>
      </c>
      <c r="G1951">
        <v>-29.52</v>
      </c>
      <c r="H1951" t="s">
        <v>2490</v>
      </c>
      <c r="I1951">
        <v>0</v>
      </c>
      <c r="J1951">
        <v>100</v>
      </c>
      <c r="K1951" s="9">
        <f t="shared" si="61"/>
        <v>45621</v>
      </c>
      <c r="L1951" t="s">
        <v>2685</v>
      </c>
      <c r="M1951" t="s">
        <v>2924</v>
      </c>
    </row>
    <row r="1952" spans="1:13" hidden="1" x14ac:dyDescent="0.35">
      <c r="A1952" t="s">
        <v>1947</v>
      </c>
      <c r="B1952" t="s">
        <v>2222</v>
      </c>
      <c r="C1952" t="s">
        <v>2459</v>
      </c>
      <c r="D1952" t="s">
        <v>2462</v>
      </c>
      <c r="E1952" t="str">
        <f t="shared" si="60"/>
        <v>ASHFORD UK</v>
      </c>
      <c r="F1952" t="s">
        <v>2479</v>
      </c>
      <c r="G1952">
        <v>34.020000000000003</v>
      </c>
      <c r="H1952" t="s">
        <v>2486</v>
      </c>
      <c r="I1952">
        <v>0</v>
      </c>
      <c r="J1952">
        <v>120</v>
      </c>
      <c r="K1952" s="9">
        <f t="shared" si="61"/>
        <v>45317</v>
      </c>
      <c r="L1952" t="s">
        <v>2687</v>
      </c>
      <c r="M1952" t="s">
        <v>2925</v>
      </c>
    </row>
    <row r="1953" spans="1:13" hidden="1" x14ac:dyDescent="0.35">
      <c r="A1953" t="s">
        <v>1948</v>
      </c>
      <c r="B1953" t="s">
        <v>2367</v>
      </c>
      <c r="C1953" t="s">
        <v>2461</v>
      </c>
      <c r="D1953" t="s">
        <v>2473</v>
      </c>
      <c r="E1953" t="str">
        <f t="shared" si="60"/>
        <v>DORTMUND</v>
      </c>
      <c r="F1953" t="s">
        <v>2484</v>
      </c>
      <c r="G1953">
        <v>6.81</v>
      </c>
      <c r="I1953">
        <v>6</v>
      </c>
      <c r="J1953">
        <v>7.5</v>
      </c>
      <c r="K1953" s="9">
        <f t="shared" si="61"/>
        <v>45794</v>
      </c>
      <c r="L1953" t="s">
        <v>2788</v>
      </c>
      <c r="M1953" t="s">
        <v>2929</v>
      </c>
    </row>
    <row r="1954" spans="1:13" hidden="1" x14ac:dyDescent="0.35">
      <c r="A1954" t="s">
        <v>1949</v>
      </c>
      <c r="B1954" t="s">
        <v>2041</v>
      </c>
      <c r="C1954" t="s">
        <v>2460</v>
      </c>
      <c r="D1954" t="s">
        <v>2475</v>
      </c>
      <c r="E1954" t="str">
        <f t="shared" si="60"/>
        <v>ASHFORD</v>
      </c>
      <c r="F1954" t="s">
        <v>2484</v>
      </c>
      <c r="G1954">
        <v>6.64</v>
      </c>
      <c r="I1954">
        <v>6</v>
      </c>
      <c r="J1954">
        <v>7.5</v>
      </c>
      <c r="K1954" s="9">
        <f t="shared" si="61"/>
        <v>45824</v>
      </c>
      <c r="L1954" t="s">
        <v>2521</v>
      </c>
      <c r="M1954" t="s">
        <v>2924</v>
      </c>
    </row>
    <row r="1955" spans="1:13" hidden="1" x14ac:dyDescent="0.35">
      <c r="A1955" t="s">
        <v>1950</v>
      </c>
      <c r="B1955" t="s">
        <v>2439</v>
      </c>
      <c r="C1955" t="s">
        <v>2458</v>
      </c>
      <c r="D1955" t="s">
        <v>2467</v>
      </c>
      <c r="E1955" t="str">
        <f t="shared" si="60"/>
        <v>ASHFORD</v>
      </c>
      <c r="F1955" t="s">
        <v>2484</v>
      </c>
      <c r="G1955">
        <v>6.81</v>
      </c>
      <c r="I1955">
        <v>6</v>
      </c>
      <c r="J1955">
        <v>7.5</v>
      </c>
      <c r="K1955" s="9">
        <f t="shared" si="61"/>
        <v>45549</v>
      </c>
      <c r="L1955" t="s">
        <v>2858</v>
      </c>
      <c r="M1955" t="s">
        <v>2926</v>
      </c>
    </row>
    <row r="1956" spans="1:13" hidden="1" x14ac:dyDescent="0.35">
      <c r="A1956" t="s">
        <v>1951</v>
      </c>
      <c r="B1956" t="s">
        <v>2061</v>
      </c>
      <c r="C1956" t="s">
        <v>2457</v>
      </c>
      <c r="D1956" t="s">
        <v>2477</v>
      </c>
      <c r="E1956" t="str">
        <f t="shared" si="60"/>
        <v>BUDAPEST</v>
      </c>
      <c r="F1956" t="s">
        <v>2482</v>
      </c>
      <c r="G1956">
        <v>98.21</v>
      </c>
      <c r="H1956" t="s">
        <v>2489</v>
      </c>
      <c r="I1956">
        <v>97</v>
      </c>
      <c r="J1956">
        <v>100</v>
      </c>
      <c r="K1956" s="9">
        <f t="shared" si="61"/>
        <v>45831</v>
      </c>
      <c r="L1956" t="s">
        <v>2540</v>
      </c>
      <c r="M1956" t="s">
        <v>2927</v>
      </c>
    </row>
    <row r="1957" spans="1:13" hidden="1" x14ac:dyDescent="0.35">
      <c r="A1957" t="s">
        <v>1952</v>
      </c>
      <c r="B1957" t="s">
        <v>2406</v>
      </c>
      <c r="C1957" t="s">
        <v>2459</v>
      </c>
      <c r="D1957" t="s">
        <v>2468</v>
      </c>
      <c r="E1957" t="str">
        <f t="shared" si="60"/>
        <v>VERNIER CH</v>
      </c>
      <c r="F1957" t="s">
        <v>2481</v>
      </c>
      <c r="G1957">
        <v>252.88</v>
      </c>
      <c r="H1957" t="s">
        <v>2488</v>
      </c>
      <c r="I1957">
        <v>150</v>
      </c>
      <c r="J1957">
        <v>400</v>
      </c>
      <c r="K1957" s="9">
        <f t="shared" si="61"/>
        <v>45345</v>
      </c>
      <c r="L1957" t="s">
        <v>2589</v>
      </c>
      <c r="M1957" t="s">
        <v>2927</v>
      </c>
    </row>
    <row r="1958" spans="1:13" hidden="1" x14ac:dyDescent="0.35">
      <c r="A1958" t="s">
        <v>1953</v>
      </c>
      <c r="B1958" t="s">
        <v>2298</v>
      </c>
      <c r="C1958" t="s">
        <v>2458</v>
      </c>
      <c r="D1958" t="s">
        <v>2474</v>
      </c>
      <c r="E1958" t="str">
        <f t="shared" si="60"/>
        <v>DORTMUND DE</v>
      </c>
      <c r="F1958" t="s">
        <v>2481</v>
      </c>
      <c r="G1958">
        <v>241.04</v>
      </c>
      <c r="H1958" t="s">
        <v>2488</v>
      </c>
      <c r="I1958">
        <v>150</v>
      </c>
      <c r="J1958">
        <v>400</v>
      </c>
      <c r="K1958" s="9">
        <f t="shared" si="61"/>
        <v>45323</v>
      </c>
      <c r="L1958" t="s">
        <v>2738</v>
      </c>
      <c r="M1958" t="s">
        <v>2931</v>
      </c>
    </row>
    <row r="1959" spans="1:13" hidden="1" x14ac:dyDescent="0.35">
      <c r="A1959" t="s">
        <v>1954</v>
      </c>
      <c r="B1959" t="s">
        <v>2433</v>
      </c>
      <c r="C1959" t="s">
        <v>2461</v>
      </c>
      <c r="D1959" t="s">
        <v>2472</v>
      </c>
      <c r="E1959" t="str">
        <f t="shared" si="60"/>
        <v>VERNIER</v>
      </c>
      <c r="F1959" t="s">
        <v>2482</v>
      </c>
      <c r="G1959">
        <v>98.11</v>
      </c>
      <c r="H1959" t="s">
        <v>2489</v>
      </c>
      <c r="I1959">
        <v>97</v>
      </c>
      <c r="J1959">
        <v>100</v>
      </c>
      <c r="K1959" s="9">
        <f t="shared" si="61"/>
        <v>45503</v>
      </c>
      <c r="L1959" t="s">
        <v>2846</v>
      </c>
      <c r="M1959" t="s">
        <v>2928</v>
      </c>
    </row>
    <row r="1960" spans="1:13" hidden="1" x14ac:dyDescent="0.35">
      <c r="A1960" t="s">
        <v>1955</v>
      </c>
      <c r="B1960" t="s">
        <v>2399</v>
      </c>
      <c r="C1960" t="s">
        <v>2459</v>
      </c>
      <c r="D1960" t="s">
        <v>2466</v>
      </c>
      <c r="E1960" t="str">
        <f t="shared" si="60"/>
        <v>EAST HANOVER</v>
      </c>
      <c r="F1960" t="s">
        <v>2485</v>
      </c>
      <c r="G1960">
        <v>-16.37</v>
      </c>
      <c r="H1960" t="s">
        <v>2490</v>
      </c>
      <c r="I1960">
        <v>0</v>
      </c>
      <c r="J1960">
        <v>100</v>
      </c>
      <c r="K1960" s="9">
        <f t="shared" si="61"/>
        <v>45669</v>
      </c>
      <c r="L1960" t="s">
        <v>2816</v>
      </c>
      <c r="M1960" t="s">
        <v>2924</v>
      </c>
    </row>
    <row r="1961" spans="1:13" hidden="1" x14ac:dyDescent="0.35">
      <c r="A1961" t="s">
        <v>1956</v>
      </c>
      <c r="B1961" t="s">
        <v>2014</v>
      </c>
      <c r="C1961" t="s">
        <v>2459</v>
      </c>
      <c r="D1961" t="s">
        <v>2472</v>
      </c>
      <c r="E1961" t="str">
        <f t="shared" si="60"/>
        <v>VERNIER</v>
      </c>
      <c r="F1961" t="s">
        <v>2479</v>
      </c>
      <c r="G1961">
        <v>48.63</v>
      </c>
      <c r="H1961" t="s">
        <v>2486</v>
      </c>
      <c r="I1961">
        <v>0</v>
      </c>
      <c r="J1961">
        <v>120</v>
      </c>
      <c r="K1961" s="9">
        <f t="shared" si="61"/>
        <v>45982</v>
      </c>
      <c r="L1961" t="s">
        <v>2494</v>
      </c>
      <c r="M1961" t="s">
        <v>2927</v>
      </c>
    </row>
    <row r="1962" spans="1:13" hidden="1" x14ac:dyDescent="0.35">
      <c r="A1962" t="s">
        <v>1957</v>
      </c>
      <c r="B1962" t="s">
        <v>2050</v>
      </c>
      <c r="C1962" t="s">
        <v>2461</v>
      </c>
      <c r="D1962" t="s">
        <v>2466</v>
      </c>
      <c r="E1962" t="str">
        <f t="shared" si="60"/>
        <v>EAST HANOVER</v>
      </c>
      <c r="F1962" t="s">
        <v>2483</v>
      </c>
      <c r="G1962">
        <v>0.24</v>
      </c>
      <c r="H1962" t="s">
        <v>2489</v>
      </c>
      <c r="I1962">
        <v>0</v>
      </c>
      <c r="J1962">
        <v>1</v>
      </c>
      <c r="K1962" s="9">
        <f t="shared" si="61"/>
        <v>45398</v>
      </c>
      <c r="L1962" t="s">
        <v>2529</v>
      </c>
      <c r="M1962" t="s">
        <v>2926</v>
      </c>
    </row>
    <row r="1963" spans="1:13" hidden="1" x14ac:dyDescent="0.35">
      <c r="A1963" t="s">
        <v>1958</v>
      </c>
      <c r="B1963" t="s">
        <v>2114</v>
      </c>
      <c r="C1963" t="s">
        <v>2460</v>
      </c>
      <c r="D1963" t="s">
        <v>2464</v>
      </c>
      <c r="E1963" t="str">
        <f t="shared" si="60"/>
        <v>EAST HANOVER</v>
      </c>
      <c r="F1963" t="s">
        <v>2485</v>
      </c>
      <c r="G1963">
        <v>25.01</v>
      </c>
      <c r="H1963" t="s">
        <v>2490</v>
      </c>
      <c r="I1963">
        <v>0</v>
      </c>
      <c r="J1963">
        <v>100</v>
      </c>
      <c r="K1963" s="9">
        <f t="shared" si="61"/>
        <v>45654</v>
      </c>
      <c r="L1963" t="s">
        <v>2508</v>
      </c>
      <c r="M1963" t="s">
        <v>2931</v>
      </c>
    </row>
    <row r="1964" spans="1:13" hidden="1" x14ac:dyDescent="0.35">
      <c r="A1964" t="s">
        <v>1959</v>
      </c>
      <c r="B1964" t="s">
        <v>2290</v>
      </c>
      <c r="C1964" t="s">
        <v>2461</v>
      </c>
      <c r="D1964" t="s">
        <v>2474</v>
      </c>
      <c r="E1964" t="str">
        <f t="shared" si="60"/>
        <v>DORTMUND DE</v>
      </c>
      <c r="F1964" t="s">
        <v>2480</v>
      </c>
      <c r="G1964">
        <v>0.92</v>
      </c>
      <c r="H1964" t="s">
        <v>2487</v>
      </c>
      <c r="I1964">
        <v>0.88</v>
      </c>
      <c r="J1964">
        <v>0.97</v>
      </c>
      <c r="K1964" s="9">
        <f t="shared" si="61"/>
        <v>45864</v>
      </c>
      <c r="L1964" t="s">
        <v>2919</v>
      </c>
      <c r="M1964" t="s">
        <v>2928</v>
      </c>
    </row>
    <row r="1965" spans="1:13" hidden="1" x14ac:dyDescent="0.35">
      <c r="A1965" t="s">
        <v>1960</v>
      </c>
      <c r="B1965" t="s">
        <v>2338</v>
      </c>
      <c r="C1965" t="s">
        <v>2458</v>
      </c>
      <c r="D1965" t="s">
        <v>2476</v>
      </c>
      <c r="E1965" t="str">
        <f t="shared" si="60"/>
        <v>BUDAPEST SITE</v>
      </c>
      <c r="F1965" t="s">
        <v>2479</v>
      </c>
      <c r="G1965">
        <v>29.36</v>
      </c>
      <c r="H1965" t="s">
        <v>2486</v>
      </c>
      <c r="I1965">
        <v>0</v>
      </c>
      <c r="J1965">
        <v>120</v>
      </c>
      <c r="K1965" s="9">
        <f t="shared" si="61"/>
        <v>45311</v>
      </c>
      <c r="L1965" t="s">
        <v>2768</v>
      </c>
      <c r="M1965" t="s">
        <v>2924</v>
      </c>
    </row>
    <row r="1966" spans="1:13" hidden="1" x14ac:dyDescent="0.35">
      <c r="A1966" t="s">
        <v>1961</v>
      </c>
      <c r="B1966" t="s">
        <v>2075</v>
      </c>
      <c r="C1966" t="s">
        <v>2461</v>
      </c>
      <c r="D1966" t="s">
        <v>2476</v>
      </c>
      <c r="E1966" t="str">
        <f t="shared" si="60"/>
        <v>BUDAPEST SITE</v>
      </c>
      <c r="F1966" t="s">
        <v>2480</v>
      </c>
      <c r="G1966">
        <v>0.88</v>
      </c>
      <c r="H1966" t="s">
        <v>2487</v>
      </c>
      <c r="I1966">
        <v>0.88</v>
      </c>
      <c r="J1966">
        <v>0.97</v>
      </c>
      <c r="K1966" s="9">
        <f t="shared" si="61"/>
        <v>45686</v>
      </c>
      <c r="L1966" t="s">
        <v>2554</v>
      </c>
      <c r="M1966" t="s">
        <v>2925</v>
      </c>
    </row>
    <row r="1967" spans="1:13" hidden="1" x14ac:dyDescent="0.35">
      <c r="A1967" t="s">
        <v>1962</v>
      </c>
      <c r="B1967" t="s">
        <v>2423</v>
      </c>
      <c r="C1967" t="s">
        <v>2461</v>
      </c>
      <c r="D1967" t="s">
        <v>2466</v>
      </c>
      <c r="E1967" t="str">
        <f t="shared" si="60"/>
        <v>EAST HANOVER</v>
      </c>
      <c r="F1967" t="s">
        <v>2481</v>
      </c>
      <c r="G1967">
        <v>221.97</v>
      </c>
      <c r="H1967" t="s">
        <v>2488</v>
      </c>
      <c r="I1967">
        <v>150</v>
      </c>
      <c r="J1967">
        <v>400</v>
      </c>
      <c r="K1967" s="9">
        <f t="shared" si="61"/>
        <v>45916</v>
      </c>
      <c r="L1967" t="s">
        <v>2624</v>
      </c>
      <c r="M1967" t="s">
        <v>2927</v>
      </c>
    </row>
    <row r="1968" spans="1:13" hidden="1" x14ac:dyDescent="0.35">
      <c r="A1968" t="s">
        <v>1963</v>
      </c>
      <c r="B1968" t="s">
        <v>2375</v>
      </c>
      <c r="C1968" t="s">
        <v>2458</v>
      </c>
      <c r="D1968" t="s">
        <v>2471</v>
      </c>
      <c r="E1968" t="str">
        <f t="shared" si="60"/>
        <v>BUDAPEST</v>
      </c>
      <c r="F1968" t="s">
        <v>2480</v>
      </c>
      <c r="G1968">
        <v>0.93</v>
      </c>
      <c r="H1968" t="s">
        <v>2487</v>
      </c>
      <c r="I1968">
        <v>0.88</v>
      </c>
      <c r="J1968">
        <v>0.97</v>
      </c>
      <c r="K1968" s="9">
        <f t="shared" si="61"/>
        <v>45427</v>
      </c>
      <c r="L1968" t="s">
        <v>2794</v>
      </c>
      <c r="M1968" t="s">
        <v>2931</v>
      </c>
    </row>
    <row r="1969" spans="1:13" hidden="1" x14ac:dyDescent="0.35">
      <c r="A1969" t="s">
        <v>1964</v>
      </c>
      <c r="B1969" t="s">
        <v>2437</v>
      </c>
      <c r="C1969" t="s">
        <v>2457</v>
      </c>
      <c r="D1969" t="s">
        <v>2469</v>
      </c>
      <c r="E1969" t="str">
        <f t="shared" si="60"/>
        <v>DORTMUND</v>
      </c>
      <c r="F1969" t="s">
        <v>2481</v>
      </c>
      <c r="G1969">
        <v>213.81</v>
      </c>
      <c r="H1969" t="s">
        <v>2488</v>
      </c>
      <c r="I1969">
        <v>150</v>
      </c>
      <c r="J1969">
        <v>400</v>
      </c>
      <c r="K1969" s="9">
        <f t="shared" si="61"/>
        <v>45366</v>
      </c>
      <c r="L1969" t="s">
        <v>2855</v>
      </c>
      <c r="M1969" t="s">
        <v>2923</v>
      </c>
    </row>
    <row r="1970" spans="1:13" hidden="1" x14ac:dyDescent="0.35">
      <c r="A1970" t="s">
        <v>1965</v>
      </c>
      <c r="B1970" t="s">
        <v>2442</v>
      </c>
      <c r="C1970" t="s">
        <v>2458</v>
      </c>
      <c r="D1970" t="s">
        <v>2463</v>
      </c>
      <c r="E1970" t="str">
        <f t="shared" si="60"/>
        <v>VERNIER</v>
      </c>
      <c r="F1970" t="s">
        <v>2485</v>
      </c>
      <c r="G1970">
        <v>-30.91</v>
      </c>
      <c r="H1970" t="s">
        <v>2490</v>
      </c>
      <c r="I1970">
        <v>0</v>
      </c>
      <c r="J1970">
        <v>100</v>
      </c>
      <c r="K1970" s="9">
        <f t="shared" si="61"/>
        <v>45385</v>
      </c>
      <c r="L1970" t="s">
        <v>2574</v>
      </c>
      <c r="M1970" t="s">
        <v>2924</v>
      </c>
    </row>
    <row r="1971" spans="1:13" hidden="1" x14ac:dyDescent="0.35">
      <c r="A1971" t="s">
        <v>1966</v>
      </c>
      <c r="B1971" t="s">
        <v>2449</v>
      </c>
      <c r="C1971" t="s">
        <v>2460</v>
      </c>
      <c r="D1971" t="s">
        <v>2476</v>
      </c>
      <c r="E1971" t="str">
        <f t="shared" si="60"/>
        <v>BUDAPEST SITE</v>
      </c>
      <c r="F1971" t="s">
        <v>2479</v>
      </c>
      <c r="G1971">
        <v>52.14</v>
      </c>
      <c r="H1971" t="s">
        <v>2486</v>
      </c>
      <c r="I1971">
        <v>0</v>
      </c>
      <c r="J1971">
        <v>120</v>
      </c>
      <c r="K1971" s="9">
        <f t="shared" si="61"/>
        <v>45526</v>
      </c>
      <c r="L1971" t="s">
        <v>2879</v>
      </c>
      <c r="M1971" t="s">
        <v>2923</v>
      </c>
    </row>
    <row r="1972" spans="1:13" hidden="1" x14ac:dyDescent="0.35">
      <c r="A1972" t="s">
        <v>1967</v>
      </c>
      <c r="B1972" t="s">
        <v>2221</v>
      </c>
      <c r="C1972" t="s">
        <v>2458</v>
      </c>
      <c r="D1972" t="s">
        <v>2473</v>
      </c>
      <c r="E1972" t="str">
        <f t="shared" si="60"/>
        <v>DORTMUND</v>
      </c>
      <c r="F1972" t="s">
        <v>2484</v>
      </c>
      <c r="G1972">
        <v>7.06</v>
      </c>
      <c r="I1972">
        <v>6</v>
      </c>
      <c r="J1972">
        <v>7.5</v>
      </c>
      <c r="K1972" s="9">
        <f t="shared" si="61"/>
        <v>45520</v>
      </c>
      <c r="L1972" t="s">
        <v>2649</v>
      </c>
      <c r="M1972" t="s">
        <v>2927</v>
      </c>
    </row>
    <row r="1973" spans="1:13" hidden="1" x14ac:dyDescent="0.35">
      <c r="A1973" t="s">
        <v>1968</v>
      </c>
      <c r="B1973" t="s">
        <v>2205</v>
      </c>
      <c r="C1973" t="s">
        <v>2457</v>
      </c>
      <c r="D1973" t="s">
        <v>2463</v>
      </c>
      <c r="E1973" t="str">
        <f t="shared" si="60"/>
        <v>VERNIER</v>
      </c>
      <c r="F1973" t="s">
        <v>2482</v>
      </c>
      <c r="G1973">
        <v>99.28</v>
      </c>
      <c r="H1973" t="s">
        <v>2489</v>
      </c>
      <c r="I1973">
        <v>97</v>
      </c>
      <c r="J1973">
        <v>100</v>
      </c>
      <c r="K1973" s="9">
        <f t="shared" si="61"/>
        <v>45661</v>
      </c>
      <c r="L1973" t="s">
        <v>2612</v>
      </c>
      <c r="M1973" t="s">
        <v>2932</v>
      </c>
    </row>
    <row r="1974" spans="1:13" hidden="1" x14ac:dyDescent="0.35">
      <c r="A1974" t="s">
        <v>1969</v>
      </c>
      <c r="B1974" t="s">
        <v>2252</v>
      </c>
      <c r="C1974" t="s">
        <v>2461</v>
      </c>
      <c r="D1974" t="s">
        <v>2471</v>
      </c>
      <c r="E1974" t="str">
        <f t="shared" si="60"/>
        <v>BUDAPEST</v>
      </c>
      <c r="F1974" t="s">
        <v>2482</v>
      </c>
      <c r="G1974">
        <v>98.18</v>
      </c>
      <c r="H1974" t="s">
        <v>2489</v>
      </c>
      <c r="I1974">
        <v>97</v>
      </c>
      <c r="J1974">
        <v>100</v>
      </c>
      <c r="K1974" s="9">
        <f t="shared" si="61"/>
        <v>45344</v>
      </c>
      <c r="L1974" t="s">
        <v>2705</v>
      </c>
      <c r="M1974" t="s">
        <v>2930</v>
      </c>
    </row>
    <row r="1975" spans="1:13" hidden="1" x14ac:dyDescent="0.35">
      <c r="A1975" t="s">
        <v>1970</v>
      </c>
      <c r="B1975" t="s">
        <v>2410</v>
      </c>
      <c r="C1975" t="s">
        <v>2457</v>
      </c>
      <c r="D1975" t="s">
        <v>2473</v>
      </c>
      <c r="E1975" t="str">
        <f t="shared" si="60"/>
        <v>DORTMUND</v>
      </c>
      <c r="F1975" t="s">
        <v>2479</v>
      </c>
      <c r="G1975">
        <v>48.91</v>
      </c>
      <c r="H1975" t="s">
        <v>2486</v>
      </c>
      <c r="I1975">
        <v>0</v>
      </c>
      <c r="J1975">
        <v>120</v>
      </c>
      <c r="K1975" s="9">
        <f t="shared" si="61"/>
        <v>45832</v>
      </c>
      <c r="L1975" t="s">
        <v>2826</v>
      </c>
      <c r="M1975" t="s">
        <v>2925</v>
      </c>
    </row>
    <row r="1976" spans="1:13" hidden="1" x14ac:dyDescent="0.35">
      <c r="A1976" t="s">
        <v>1971</v>
      </c>
      <c r="B1976" t="s">
        <v>2436</v>
      </c>
      <c r="C1976" t="s">
        <v>2461</v>
      </c>
      <c r="D1976" t="s">
        <v>2475</v>
      </c>
      <c r="E1976" t="str">
        <f t="shared" si="60"/>
        <v>ASHFORD</v>
      </c>
      <c r="F1976" t="s">
        <v>2481</v>
      </c>
      <c r="G1976">
        <v>347.39</v>
      </c>
      <c r="H1976" t="s">
        <v>2488</v>
      </c>
      <c r="I1976">
        <v>150</v>
      </c>
      <c r="J1976">
        <v>400</v>
      </c>
      <c r="K1976" s="9">
        <f t="shared" si="61"/>
        <v>45332</v>
      </c>
      <c r="L1976" t="s">
        <v>2852</v>
      </c>
      <c r="M1976" t="s">
        <v>2923</v>
      </c>
    </row>
    <row r="1977" spans="1:13" hidden="1" x14ac:dyDescent="0.35">
      <c r="A1977" t="s">
        <v>1972</v>
      </c>
      <c r="B1977" t="s">
        <v>2367</v>
      </c>
      <c r="C1977" t="s">
        <v>2461</v>
      </c>
      <c r="D1977" t="s">
        <v>2474</v>
      </c>
      <c r="E1977" t="str">
        <f t="shared" si="60"/>
        <v>DORTMUND DE</v>
      </c>
      <c r="F1977" t="s">
        <v>2481</v>
      </c>
      <c r="G1977">
        <v>250.35</v>
      </c>
      <c r="H1977" t="s">
        <v>2488</v>
      </c>
      <c r="I1977">
        <v>150</v>
      </c>
      <c r="J1977">
        <v>400</v>
      </c>
      <c r="K1977" s="9">
        <f t="shared" si="61"/>
        <v>45794</v>
      </c>
      <c r="L1977" t="s">
        <v>2788</v>
      </c>
      <c r="M1977" t="s">
        <v>2929</v>
      </c>
    </row>
    <row r="1978" spans="1:13" hidden="1" x14ac:dyDescent="0.35">
      <c r="A1978" t="s">
        <v>1973</v>
      </c>
      <c r="B1978" t="s">
        <v>2163</v>
      </c>
      <c r="C1978" t="s">
        <v>2460</v>
      </c>
      <c r="D1978" t="s">
        <v>2470</v>
      </c>
      <c r="E1978" t="str">
        <f t="shared" si="60"/>
        <v>E. HANOVER</v>
      </c>
      <c r="F1978" t="s">
        <v>2479</v>
      </c>
      <c r="G1978">
        <v>45.25</v>
      </c>
      <c r="H1978" t="s">
        <v>2486</v>
      </c>
      <c r="I1978">
        <v>0</v>
      </c>
      <c r="J1978">
        <v>120</v>
      </c>
      <c r="K1978" s="9">
        <f t="shared" si="61"/>
        <v>45698</v>
      </c>
      <c r="L1978" t="s">
        <v>2636</v>
      </c>
      <c r="M1978" t="s">
        <v>2927</v>
      </c>
    </row>
    <row r="1979" spans="1:13" hidden="1" x14ac:dyDescent="0.35">
      <c r="A1979" t="s">
        <v>1974</v>
      </c>
      <c r="B1979" t="s">
        <v>2343</v>
      </c>
      <c r="C1979" t="s">
        <v>2457</v>
      </c>
      <c r="D1979" t="s">
        <v>2466</v>
      </c>
      <c r="E1979" t="str">
        <f t="shared" si="60"/>
        <v>EAST HANOVER</v>
      </c>
      <c r="F1979" t="s">
        <v>2485</v>
      </c>
      <c r="G1979">
        <v>34.72</v>
      </c>
      <c r="H1979" t="s">
        <v>2490</v>
      </c>
      <c r="I1979">
        <v>0</v>
      </c>
      <c r="J1979">
        <v>100</v>
      </c>
      <c r="K1979" s="9">
        <f t="shared" si="61"/>
        <v>45531</v>
      </c>
      <c r="L1979" t="s">
        <v>2771</v>
      </c>
      <c r="M1979" t="s">
        <v>2926</v>
      </c>
    </row>
    <row r="1980" spans="1:13" hidden="1" x14ac:dyDescent="0.35">
      <c r="A1980" t="s">
        <v>1975</v>
      </c>
      <c r="B1980" t="s">
        <v>2196</v>
      </c>
      <c r="C1980" t="s">
        <v>2457</v>
      </c>
      <c r="D1980" t="s">
        <v>2472</v>
      </c>
      <c r="E1980" t="str">
        <f t="shared" si="60"/>
        <v>VERNIER</v>
      </c>
      <c r="F1980" t="s">
        <v>2485</v>
      </c>
      <c r="G1980">
        <v>33.909999999999997</v>
      </c>
      <c r="H1980" t="s">
        <v>2490</v>
      </c>
      <c r="I1980">
        <v>0</v>
      </c>
      <c r="J1980">
        <v>100</v>
      </c>
      <c r="K1980" s="9">
        <f t="shared" si="61"/>
        <v>45740</v>
      </c>
      <c r="L1980" t="s">
        <v>2509</v>
      </c>
      <c r="M1980" t="s">
        <v>2932</v>
      </c>
    </row>
    <row r="1981" spans="1:13" hidden="1" x14ac:dyDescent="0.35">
      <c r="A1981" t="s">
        <v>1976</v>
      </c>
      <c r="B1981" t="s">
        <v>2356</v>
      </c>
      <c r="C1981" t="s">
        <v>2458</v>
      </c>
      <c r="D1981" t="s">
        <v>2466</v>
      </c>
      <c r="E1981" t="str">
        <f t="shared" si="60"/>
        <v>EAST HANOVER</v>
      </c>
      <c r="F1981" t="s">
        <v>2483</v>
      </c>
      <c r="G1981">
        <v>0.34</v>
      </c>
      <c r="H1981" t="s">
        <v>2489</v>
      </c>
      <c r="I1981">
        <v>0</v>
      </c>
      <c r="J1981">
        <v>1</v>
      </c>
      <c r="K1981" s="9">
        <f t="shared" si="61"/>
        <v>45765</v>
      </c>
      <c r="L1981" t="s">
        <v>2920</v>
      </c>
      <c r="M1981" t="s">
        <v>2926</v>
      </c>
    </row>
    <row r="1982" spans="1:13" hidden="1" x14ac:dyDescent="0.35">
      <c r="A1982" t="s">
        <v>1977</v>
      </c>
      <c r="B1982" t="s">
        <v>2152</v>
      </c>
      <c r="C1982" t="s">
        <v>2461</v>
      </c>
      <c r="D1982" t="s">
        <v>2471</v>
      </c>
      <c r="E1982" t="str">
        <f t="shared" si="60"/>
        <v>BUDAPEST</v>
      </c>
      <c r="F1982" t="s">
        <v>2484</v>
      </c>
      <c r="G1982">
        <v>6.98</v>
      </c>
      <c r="I1982">
        <v>6</v>
      </c>
      <c r="J1982">
        <v>7.5</v>
      </c>
      <c r="K1982" s="9">
        <f t="shared" si="61"/>
        <v>45958</v>
      </c>
      <c r="L1982" t="s">
        <v>2627</v>
      </c>
      <c r="M1982" t="s">
        <v>2926</v>
      </c>
    </row>
    <row r="1983" spans="1:13" hidden="1" x14ac:dyDescent="0.35">
      <c r="A1983" t="s">
        <v>1978</v>
      </c>
      <c r="B1983" t="s">
        <v>2304</v>
      </c>
      <c r="C1983" t="s">
        <v>2460</v>
      </c>
      <c r="D1983" t="s">
        <v>2470</v>
      </c>
      <c r="E1983" t="str">
        <f t="shared" si="60"/>
        <v>E. HANOVER</v>
      </c>
      <c r="F1983" t="s">
        <v>2482</v>
      </c>
      <c r="G1983">
        <v>98.62</v>
      </c>
      <c r="H1983" t="s">
        <v>2489</v>
      </c>
      <c r="I1983">
        <v>97</v>
      </c>
      <c r="J1983">
        <v>100</v>
      </c>
      <c r="K1983" s="9">
        <f t="shared" si="61"/>
        <v>45398</v>
      </c>
      <c r="L1983" t="s">
        <v>2529</v>
      </c>
      <c r="M1983" t="s">
        <v>2930</v>
      </c>
    </row>
    <row r="1984" spans="1:13" hidden="1" x14ac:dyDescent="0.35">
      <c r="A1984" t="s">
        <v>1979</v>
      </c>
      <c r="B1984" t="s">
        <v>2201</v>
      </c>
      <c r="C1984" t="s">
        <v>2460</v>
      </c>
      <c r="D1984" t="s">
        <v>2467</v>
      </c>
      <c r="E1984" t="str">
        <f t="shared" si="60"/>
        <v>ASHFORD</v>
      </c>
      <c r="F1984" t="s">
        <v>2484</v>
      </c>
      <c r="G1984">
        <v>6.61</v>
      </c>
      <c r="I1984">
        <v>6</v>
      </c>
      <c r="J1984">
        <v>7.5</v>
      </c>
      <c r="K1984" s="9">
        <f t="shared" si="61"/>
        <v>45947</v>
      </c>
      <c r="L1984" t="s">
        <v>2672</v>
      </c>
      <c r="M1984" t="s">
        <v>2928</v>
      </c>
    </row>
    <row r="1985" spans="1:13" hidden="1" x14ac:dyDescent="0.35">
      <c r="A1985" t="s">
        <v>1980</v>
      </c>
      <c r="B1985" t="s">
        <v>2351</v>
      </c>
      <c r="C1985" t="s">
        <v>2459</v>
      </c>
      <c r="D1985" t="s">
        <v>2468</v>
      </c>
      <c r="E1985" t="str">
        <f t="shared" si="60"/>
        <v>VERNIER CH</v>
      </c>
      <c r="F1985" t="s">
        <v>2481</v>
      </c>
      <c r="G1985">
        <v>297.48</v>
      </c>
      <c r="H1985" t="s">
        <v>2488</v>
      </c>
      <c r="I1985">
        <v>150</v>
      </c>
      <c r="J1985">
        <v>400</v>
      </c>
      <c r="K1985" s="9">
        <f t="shared" si="61"/>
        <v>45984</v>
      </c>
      <c r="L1985" t="s">
        <v>2864</v>
      </c>
      <c r="M1985" t="s">
        <v>2928</v>
      </c>
    </row>
    <row r="1986" spans="1:13" hidden="1" x14ac:dyDescent="0.35">
      <c r="A1986" t="s">
        <v>1196</v>
      </c>
      <c r="B1986" t="s">
        <v>2095</v>
      </c>
      <c r="C1986" t="s">
        <v>2459</v>
      </c>
      <c r="D1986" t="s">
        <v>2467</v>
      </c>
      <c r="E1986" t="str">
        <f t="shared" si="60"/>
        <v>ASHFORD</v>
      </c>
      <c r="F1986" t="s">
        <v>2483</v>
      </c>
      <c r="G1986">
        <v>0.53</v>
      </c>
      <c r="H1986" t="s">
        <v>2489</v>
      </c>
      <c r="I1986">
        <v>0</v>
      </c>
      <c r="J1986">
        <v>1</v>
      </c>
      <c r="K1986" s="9">
        <f t="shared" si="61"/>
        <v>45825</v>
      </c>
      <c r="L1986" t="s">
        <v>2573</v>
      </c>
      <c r="M1986" t="s">
        <v>2925</v>
      </c>
    </row>
    <row r="1987" spans="1:13" hidden="1" x14ac:dyDescent="0.35">
      <c r="A1987" t="s">
        <v>1981</v>
      </c>
      <c r="B1987" t="s">
        <v>2236</v>
      </c>
      <c r="C1987" t="s">
        <v>2457</v>
      </c>
      <c r="D1987" t="s">
        <v>2477</v>
      </c>
      <c r="E1987" t="str">
        <f t="shared" ref="E1987:E2016" si="62">UPPER(D1987)</f>
        <v>BUDAPEST</v>
      </c>
      <c r="F1987" t="s">
        <v>2481</v>
      </c>
      <c r="G1987">
        <v>257.58999999999997</v>
      </c>
      <c r="H1987" t="s">
        <v>2488</v>
      </c>
      <c r="I1987">
        <v>150</v>
      </c>
      <c r="J1987">
        <v>400</v>
      </c>
      <c r="K1987" s="9">
        <f t="shared" ref="K1987:K2016" si="63">IF(L1987="","",
IF(MID(L1987,5,1)="-",
DATE(LEFT(L1987,4),MID(L1987,6,2),RIGHT(L1987,2)),
DATE(RIGHT(L1987,4),MID(L1987,4,2),LEFT(L1987,2))
))</f>
        <v>45536</v>
      </c>
      <c r="L1987" t="s">
        <v>2693</v>
      </c>
      <c r="M1987" t="s">
        <v>2932</v>
      </c>
    </row>
    <row r="1988" spans="1:13" hidden="1" x14ac:dyDescent="0.35">
      <c r="A1988" t="s">
        <v>1982</v>
      </c>
      <c r="B1988" t="s">
        <v>2401</v>
      </c>
      <c r="C1988" t="s">
        <v>2457</v>
      </c>
      <c r="D1988" t="s">
        <v>2476</v>
      </c>
      <c r="E1988" t="str">
        <f t="shared" si="62"/>
        <v>BUDAPEST SITE</v>
      </c>
      <c r="F1988" t="s">
        <v>2479</v>
      </c>
      <c r="G1988">
        <v>81.23</v>
      </c>
      <c r="H1988" t="s">
        <v>2486</v>
      </c>
      <c r="I1988">
        <v>0</v>
      </c>
      <c r="J1988">
        <v>120</v>
      </c>
      <c r="K1988" s="9">
        <f t="shared" si="63"/>
        <v>45660</v>
      </c>
      <c r="L1988" t="s">
        <v>2817</v>
      </c>
      <c r="M1988" t="s">
        <v>2932</v>
      </c>
    </row>
    <row r="1989" spans="1:13" hidden="1" x14ac:dyDescent="0.35">
      <c r="A1989" t="s">
        <v>1983</v>
      </c>
      <c r="B1989" t="s">
        <v>2266</v>
      </c>
      <c r="C1989" t="s">
        <v>2460</v>
      </c>
      <c r="D1989" t="s">
        <v>2462</v>
      </c>
      <c r="E1989" t="str">
        <f t="shared" si="62"/>
        <v>ASHFORD UK</v>
      </c>
      <c r="F1989" t="s">
        <v>2485</v>
      </c>
      <c r="G1989">
        <v>51.84</v>
      </c>
      <c r="H1989" t="s">
        <v>2490</v>
      </c>
      <c r="I1989">
        <v>0</v>
      </c>
      <c r="J1989">
        <v>100</v>
      </c>
      <c r="K1989" s="9">
        <f t="shared" si="63"/>
        <v>45819</v>
      </c>
      <c r="L1989" t="s">
        <v>2620</v>
      </c>
      <c r="M1989" t="s">
        <v>2923</v>
      </c>
    </row>
    <row r="1990" spans="1:13" hidden="1" x14ac:dyDescent="0.35">
      <c r="A1990" t="s">
        <v>1984</v>
      </c>
      <c r="B1990" t="s">
        <v>2415</v>
      </c>
      <c r="C1990" t="s">
        <v>2460</v>
      </c>
      <c r="D1990" t="s">
        <v>2468</v>
      </c>
      <c r="E1990" t="str">
        <f t="shared" si="62"/>
        <v>VERNIER CH</v>
      </c>
      <c r="F1990" t="s">
        <v>2479</v>
      </c>
      <c r="G1990">
        <v>52.33</v>
      </c>
      <c r="H1990" t="s">
        <v>2486</v>
      </c>
      <c r="I1990">
        <v>0</v>
      </c>
      <c r="J1990">
        <v>120</v>
      </c>
      <c r="K1990" s="9">
        <f t="shared" si="63"/>
        <v>45618</v>
      </c>
      <c r="L1990" t="s">
        <v>2831</v>
      </c>
      <c r="M1990" t="s">
        <v>2926</v>
      </c>
    </row>
    <row r="1991" spans="1:13" hidden="1" x14ac:dyDescent="0.35">
      <c r="A1991" t="s">
        <v>1985</v>
      </c>
      <c r="B1991" t="s">
        <v>2301</v>
      </c>
      <c r="C1991" t="s">
        <v>2460</v>
      </c>
      <c r="D1991" t="s">
        <v>2468</v>
      </c>
      <c r="E1991" t="str">
        <f t="shared" si="62"/>
        <v>VERNIER CH</v>
      </c>
      <c r="F1991" t="s">
        <v>2480</v>
      </c>
      <c r="G1991">
        <v>0.92</v>
      </c>
      <c r="H1991" t="s">
        <v>2487</v>
      </c>
      <c r="I1991">
        <v>0.88</v>
      </c>
      <c r="J1991">
        <v>0.97</v>
      </c>
      <c r="K1991" s="9">
        <f t="shared" si="63"/>
        <v>45595</v>
      </c>
      <c r="L1991" t="s">
        <v>2631</v>
      </c>
      <c r="M1991" t="s">
        <v>2930</v>
      </c>
    </row>
    <row r="1992" spans="1:13" hidden="1" x14ac:dyDescent="0.35">
      <c r="A1992" t="s">
        <v>1986</v>
      </c>
      <c r="B1992" t="s">
        <v>2383</v>
      </c>
      <c r="C1992" t="s">
        <v>2458</v>
      </c>
      <c r="D1992" t="s">
        <v>2478</v>
      </c>
      <c r="E1992" t="str">
        <f t="shared" si="62"/>
        <v>BUD</v>
      </c>
      <c r="F1992" t="s">
        <v>2484</v>
      </c>
      <c r="G1992">
        <v>6.81</v>
      </c>
      <c r="I1992">
        <v>6</v>
      </c>
      <c r="J1992">
        <v>7.5</v>
      </c>
      <c r="K1992" s="9">
        <f t="shared" si="63"/>
        <v>45347</v>
      </c>
      <c r="L1992" t="s">
        <v>2800</v>
      </c>
      <c r="M1992" t="s">
        <v>2930</v>
      </c>
    </row>
    <row r="1993" spans="1:13" hidden="1" x14ac:dyDescent="0.35">
      <c r="A1993" t="s">
        <v>1987</v>
      </c>
      <c r="B1993" t="s">
        <v>2453</v>
      </c>
      <c r="C1993" t="s">
        <v>2459</v>
      </c>
      <c r="D1993" t="s">
        <v>2462</v>
      </c>
      <c r="E1993" t="str">
        <f t="shared" si="62"/>
        <v>ASHFORD UK</v>
      </c>
      <c r="F1993" t="s">
        <v>2485</v>
      </c>
      <c r="G1993">
        <v>27.78</v>
      </c>
      <c r="H1993" t="s">
        <v>2490</v>
      </c>
      <c r="I1993">
        <v>0</v>
      </c>
      <c r="J1993">
        <v>100</v>
      </c>
      <c r="K1993" s="9">
        <f t="shared" si="63"/>
        <v>46013</v>
      </c>
      <c r="L1993" t="s">
        <v>2579</v>
      </c>
      <c r="M1993" t="s">
        <v>2926</v>
      </c>
    </row>
    <row r="1994" spans="1:13" hidden="1" x14ac:dyDescent="0.35">
      <c r="A1994" t="s">
        <v>1988</v>
      </c>
      <c r="B1994" t="s">
        <v>2227</v>
      </c>
      <c r="C1994" t="s">
        <v>2457</v>
      </c>
      <c r="D1994" t="s">
        <v>2469</v>
      </c>
      <c r="E1994" t="str">
        <f t="shared" si="62"/>
        <v>DORTMUND</v>
      </c>
      <c r="F1994" t="s">
        <v>2480</v>
      </c>
      <c r="G1994">
        <v>0.87</v>
      </c>
      <c r="H1994" t="s">
        <v>2487</v>
      </c>
      <c r="I1994">
        <v>0.88</v>
      </c>
      <c r="J1994">
        <v>0.97</v>
      </c>
      <c r="K1994" s="9">
        <f t="shared" si="63"/>
        <v>45635</v>
      </c>
      <c r="L1994" t="s">
        <v>2619</v>
      </c>
      <c r="M1994" t="s">
        <v>2927</v>
      </c>
    </row>
    <row r="1995" spans="1:13" hidden="1" x14ac:dyDescent="0.35">
      <c r="A1995" t="s">
        <v>1989</v>
      </c>
      <c r="B1995" t="s">
        <v>2021</v>
      </c>
      <c r="C1995" t="s">
        <v>2457</v>
      </c>
      <c r="D1995" t="s">
        <v>2470</v>
      </c>
      <c r="E1995" t="str">
        <f t="shared" si="62"/>
        <v>E. HANOVER</v>
      </c>
      <c r="F1995" t="s">
        <v>2480</v>
      </c>
      <c r="G1995">
        <v>0.9</v>
      </c>
      <c r="H1995" t="s">
        <v>2487</v>
      </c>
      <c r="I1995">
        <v>0.88</v>
      </c>
      <c r="J1995">
        <v>0.97</v>
      </c>
      <c r="K1995" s="9">
        <f t="shared" si="63"/>
        <v>45577</v>
      </c>
      <c r="L1995" t="s">
        <v>2501</v>
      </c>
      <c r="M1995" t="s">
        <v>2925</v>
      </c>
    </row>
    <row r="1996" spans="1:13" hidden="1" x14ac:dyDescent="0.35">
      <c r="A1996" t="s">
        <v>1990</v>
      </c>
      <c r="B1996" t="s">
        <v>2348</v>
      </c>
      <c r="C1996" t="s">
        <v>2459</v>
      </c>
      <c r="D1996" t="s">
        <v>2467</v>
      </c>
      <c r="E1996" t="str">
        <f t="shared" si="62"/>
        <v>ASHFORD</v>
      </c>
      <c r="F1996" t="s">
        <v>2483</v>
      </c>
      <c r="G1996">
        <v>-0.45</v>
      </c>
      <c r="H1996" t="s">
        <v>2489</v>
      </c>
      <c r="I1996">
        <v>0</v>
      </c>
      <c r="J1996">
        <v>1</v>
      </c>
      <c r="K1996" s="9">
        <f t="shared" si="63"/>
        <v>45461</v>
      </c>
      <c r="L1996" t="s">
        <v>2531</v>
      </c>
      <c r="M1996" t="s">
        <v>2930</v>
      </c>
    </row>
    <row r="1997" spans="1:13" hidden="1" x14ac:dyDescent="0.35">
      <c r="A1997" t="s">
        <v>1991</v>
      </c>
      <c r="B1997" t="s">
        <v>2027</v>
      </c>
      <c r="C1997" t="s">
        <v>2458</v>
      </c>
      <c r="D1997" t="s">
        <v>2464</v>
      </c>
      <c r="E1997" t="str">
        <f t="shared" si="62"/>
        <v>EAST HANOVER</v>
      </c>
      <c r="F1997" t="s">
        <v>2482</v>
      </c>
      <c r="G1997">
        <v>98.41</v>
      </c>
      <c r="H1997" t="s">
        <v>2489</v>
      </c>
      <c r="I1997">
        <v>97</v>
      </c>
      <c r="J1997">
        <v>100</v>
      </c>
      <c r="K1997" s="9">
        <f t="shared" si="63"/>
        <v>45827</v>
      </c>
      <c r="L1997" t="s">
        <v>2808</v>
      </c>
      <c r="M1997" t="s">
        <v>2927</v>
      </c>
    </row>
    <row r="1998" spans="1:13" hidden="1" x14ac:dyDescent="0.35">
      <c r="A1998" t="s">
        <v>1992</v>
      </c>
      <c r="B1998" t="s">
        <v>2135</v>
      </c>
      <c r="C1998" t="s">
        <v>2461</v>
      </c>
      <c r="D1998" t="s">
        <v>2478</v>
      </c>
      <c r="E1998" t="str">
        <f t="shared" si="62"/>
        <v>BUD</v>
      </c>
      <c r="F1998" t="s">
        <v>2480</v>
      </c>
      <c r="G1998">
        <v>0.91</v>
      </c>
      <c r="H1998" t="s">
        <v>2487</v>
      </c>
      <c r="I1998">
        <v>0.88</v>
      </c>
      <c r="J1998">
        <v>0.97</v>
      </c>
      <c r="K1998" s="9">
        <f t="shared" si="63"/>
        <v>45904</v>
      </c>
      <c r="L1998" t="s">
        <v>2611</v>
      </c>
      <c r="M1998" t="s">
        <v>2926</v>
      </c>
    </row>
    <row r="1999" spans="1:13" hidden="1" x14ac:dyDescent="0.35">
      <c r="A1999" t="s">
        <v>1993</v>
      </c>
      <c r="B1999" t="s">
        <v>2071</v>
      </c>
      <c r="C1999" t="s">
        <v>2457</v>
      </c>
      <c r="D1999" t="s">
        <v>2463</v>
      </c>
      <c r="E1999" t="str">
        <f t="shared" si="62"/>
        <v>VERNIER</v>
      </c>
      <c r="F1999" t="s">
        <v>2485</v>
      </c>
      <c r="G1999">
        <v>-20.97</v>
      </c>
      <c r="H1999" t="s">
        <v>2490</v>
      </c>
      <c r="I1999">
        <v>0</v>
      </c>
      <c r="J1999">
        <v>100</v>
      </c>
      <c r="K1999" s="9">
        <f t="shared" si="63"/>
        <v>45864</v>
      </c>
      <c r="L1999" t="s">
        <v>2550</v>
      </c>
      <c r="M1999" t="s">
        <v>2931</v>
      </c>
    </row>
    <row r="2000" spans="1:13" hidden="1" x14ac:dyDescent="0.35">
      <c r="A2000" t="s">
        <v>1994</v>
      </c>
      <c r="B2000" t="s">
        <v>2142</v>
      </c>
      <c r="C2000" t="s">
        <v>2458</v>
      </c>
      <c r="D2000" t="s">
        <v>2466</v>
      </c>
      <c r="E2000" t="str">
        <f t="shared" si="62"/>
        <v>EAST HANOVER</v>
      </c>
      <c r="F2000" t="s">
        <v>2484</v>
      </c>
      <c r="G2000">
        <v>6.31</v>
      </c>
      <c r="I2000">
        <v>6</v>
      </c>
      <c r="J2000">
        <v>7.5</v>
      </c>
      <c r="K2000" s="9">
        <f t="shared" si="63"/>
        <v>45942</v>
      </c>
      <c r="L2000" t="s">
        <v>2617</v>
      </c>
      <c r="M2000" t="s">
        <v>2927</v>
      </c>
    </row>
    <row r="2001" spans="1:13" hidden="1" x14ac:dyDescent="0.35">
      <c r="A2001" t="s">
        <v>1995</v>
      </c>
      <c r="B2001" t="s">
        <v>2325</v>
      </c>
      <c r="C2001" t="s">
        <v>2458</v>
      </c>
      <c r="D2001" t="s">
        <v>2465</v>
      </c>
      <c r="E2001" t="str">
        <f t="shared" si="62"/>
        <v>VERNIER</v>
      </c>
      <c r="F2001" t="s">
        <v>2481</v>
      </c>
      <c r="G2001">
        <v>231.02</v>
      </c>
      <c r="H2001" t="s">
        <v>2488</v>
      </c>
      <c r="I2001">
        <v>150</v>
      </c>
      <c r="J2001">
        <v>400</v>
      </c>
      <c r="K2001" s="9">
        <f t="shared" si="63"/>
        <v>45491</v>
      </c>
      <c r="L2001" t="s">
        <v>2753</v>
      </c>
      <c r="M2001" t="s">
        <v>2926</v>
      </c>
    </row>
    <row r="2002" spans="1:13" hidden="1" x14ac:dyDescent="0.35">
      <c r="A2002" t="s">
        <v>1996</v>
      </c>
      <c r="B2002" t="s">
        <v>2035</v>
      </c>
      <c r="C2002" t="s">
        <v>2461</v>
      </c>
      <c r="D2002" t="s">
        <v>2462</v>
      </c>
      <c r="E2002" t="str">
        <f t="shared" si="62"/>
        <v>ASHFORD UK</v>
      </c>
      <c r="F2002" t="s">
        <v>2480</v>
      </c>
      <c r="G2002">
        <v>0.92</v>
      </c>
      <c r="H2002" t="s">
        <v>2487</v>
      </c>
      <c r="I2002">
        <v>0.88</v>
      </c>
      <c r="J2002">
        <v>0.97</v>
      </c>
      <c r="K2002" s="9">
        <f t="shared" si="63"/>
        <v>45853</v>
      </c>
      <c r="L2002" t="s">
        <v>2515</v>
      </c>
      <c r="M2002" t="s">
        <v>2930</v>
      </c>
    </row>
    <row r="2003" spans="1:13" hidden="1" x14ac:dyDescent="0.35">
      <c r="A2003" t="s">
        <v>1997</v>
      </c>
      <c r="B2003" t="s">
        <v>2270</v>
      </c>
      <c r="C2003" t="s">
        <v>2459</v>
      </c>
      <c r="D2003" t="s">
        <v>2466</v>
      </c>
      <c r="E2003" t="str">
        <f t="shared" si="62"/>
        <v>EAST HANOVER</v>
      </c>
      <c r="F2003" t="s">
        <v>2483</v>
      </c>
      <c r="G2003">
        <v>0.28000000000000003</v>
      </c>
      <c r="H2003" t="s">
        <v>2489</v>
      </c>
      <c r="I2003">
        <v>0</v>
      </c>
      <c r="J2003">
        <v>1</v>
      </c>
      <c r="K2003" s="9">
        <f t="shared" si="63"/>
        <v>45799</v>
      </c>
      <c r="L2003" t="s">
        <v>2718</v>
      </c>
      <c r="M2003" t="s">
        <v>2925</v>
      </c>
    </row>
    <row r="2004" spans="1:13" hidden="1" x14ac:dyDescent="0.35">
      <c r="A2004" t="s">
        <v>1998</v>
      </c>
      <c r="B2004" t="s">
        <v>2222</v>
      </c>
      <c r="C2004" t="s">
        <v>2459</v>
      </c>
      <c r="D2004" t="s">
        <v>2467</v>
      </c>
      <c r="E2004" t="str">
        <f t="shared" si="62"/>
        <v>ASHFORD</v>
      </c>
      <c r="F2004" t="s">
        <v>2484</v>
      </c>
      <c r="G2004">
        <v>7.09</v>
      </c>
      <c r="I2004">
        <v>6</v>
      </c>
      <c r="J2004">
        <v>7.5</v>
      </c>
      <c r="K2004" s="9">
        <f t="shared" si="63"/>
        <v>45317</v>
      </c>
      <c r="L2004" t="s">
        <v>2687</v>
      </c>
      <c r="M2004" t="s">
        <v>2925</v>
      </c>
    </row>
    <row r="2005" spans="1:13" hidden="1" x14ac:dyDescent="0.35">
      <c r="A2005" t="s">
        <v>1999</v>
      </c>
      <c r="B2005" t="s">
        <v>2388</v>
      </c>
      <c r="C2005" t="s">
        <v>2457</v>
      </c>
      <c r="D2005" t="s">
        <v>2466</v>
      </c>
      <c r="E2005" t="str">
        <f t="shared" si="62"/>
        <v>EAST HANOVER</v>
      </c>
      <c r="F2005" t="s">
        <v>2479</v>
      </c>
      <c r="G2005">
        <v>53.45</v>
      </c>
      <c r="H2005" t="s">
        <v>2486</v>
      </c>
      <c r="I2005">
        <v>0</v>
      </c>
      <c r="J2005">
        <v>120</v>
      </c>
      <c r="K2005" s="9">
        <f t="shared" si="63"/>
        <v>45336</v>
      </c>
      <c r="L2005" t="s">
        <v>2805</v>
      </c>
      <c r="M2005" t="s">
        <v>2930</v>
      </c>
    </row>
    <row r="2006" spans="1:13" hidden="1" x14ac:dyDescent="0.35">
      <c r="A2006" t="s">
        <v>2000</v>
      </c>
      <c r="B2006" t="s">
        <v>2354</v>
      </c>
      <c r="C2006" t="s">
        <v>2458</v>
      </c>
      <c r="D2006" t="s">
        <v>2478</v>
      </c>
      <c r="E2006" t="str">
        <f t="shared" si="62"/>
        <v>BUD</v>
      </c>
      <c r="F2006" t="s">
        <v>2481</v>
      </c>
      <c r="G2006">
        <v>297.67</v>
      </c>
      <c r="H2006" t="s">
        <v>2488</v>
      </c>
      <c r="I2006">
        <v>150</v>
      </c>
      <c r="J2006">
        <v>400</v>
      </c>
      <c r="K2006" s="9">
        <f t="shared" si="63"/>
        <v>45587</v>
      </c>
      <c r="L2006" t="s">
        <v>2725</v>
      </c>
      <c r="M2006" t="s">
        <v>2928</v>
      </c>
    </row>
    <row r="2007" spans="1:13" x14ac:dyDescent="0.35">
      <c r="A2007" t="s">
        <v>2001</v>
      </c>
      <c r="B2007" t="s">
        <v>2247</v>
      </c>
      <c r="C2007" t="s">
        <v>2461</v>
      </c>
      <c r="D2007" t="s">
        <v>2467</v>
      </c>
      <c r="E2007" t="str">
        <f t="shared" si="62"/>
        <v>ASHFORD</v>
      </c>
      <c r="F2007" t="s">
        <v>2479</v>
      </c>
      <c r="H2007" t="s">
        <v>2486</v>
      </c>
      <c r="I2007">
        <v>0</v>
      </c>
      <c r="J2007">
        <v>120</v>
      </c>
      <c r="K2007" s="9">
        <f t="shared" si="63"/>
        <v>45307</v>
      </c>
      <c r="L2007" t="s">
        <v>2700</v>
      </c>
      <c r="M2007" t="s">
        <v>2932</v>
      </c>
    </row>
    <row r="2008" spans="1:13" hidden="1" x14ac:dyDescent="0.35">
      <c r="A2008" t="s">
        <v>2002</v>
      </c>
      <c r="B2008" t="s">
        <v>2061</v>
      </c>
      <c r="C2008" t="s">
        <v>2457</v>
      </c>
      <c r="D2008" t="s">
        <v>2476</v>
      </c>
      <c r="E2008" t="str">
        <f t="shared" si="62"/>
        <v>BUDAPEST SITE</v>
      </c>
      <c r="F2008" t="s">
        <v>2485</v>
      </c>
      <c r="G2008">
        <v>33.83</v>
      </c>
      <c r="H2008" t="s">
        <v>2490</v>
      </c>
      <c r="I2008">
        <v>0</v>
      </c>
      <c r="J2008">
        <v>100</v>
      </c>
      <c r="K2008" s="9">
        <f t="shared" si="63"/>
        <v>45831</v>
      </c>
      <c r="L2008" t="s">
        <v>2540</v>
      </c>
      <c r="M2008" t="s">
        <v>2924</v>
      </c>
    </row>
    <row r="2009" spans="1:13" hidden="1" x14ac:dyDescent="0.35">
      <c r="A2009" t="s">
        <v>2003</v>
      </c>
      <c r="B2009" t="s">
        <v>2081</v>
      </c>
      <c r="C2009" t="s">
        <v>2458</v>
      </c>
      <c r="D2009" t="s">
        <v>2469</v>
      </c>
      <c r="E2009" t="str">
        <f t="shared" si="62"/>
        <v>DORTMUND</v>
      </c>
      <c r="F2009" t="s">
        <v>2483</v>
      </c>
      <c r="G2009">
        <v>0.54</v>
      </c>
      <c r="H2009" t="s">
        <v>2489</v>
      </c>
      <c r="I2009">
        <v>0</v>
      </c>
      <c r="J2009">
        <v>1</v>
      </c>
      <c r="K2009" s="9">
        <f t="shared" si="63"/>
        <v>45610</v>
      </c>
      <c r="L2009" t="s">
        <v>2921</v>
      </c>
      <c r="M2009" t="s">
        <v>2926</v>
      </c>
    </row>
    <row r="2010" spans="1:13" x14ac:dyDescent="0.35">
      <c r="A2010" t="s">
        <v>2004</v>
      </c>
      <c r="B2010" t="s">
        <v>2147</v>
      </c>
      <c r="C2010" t="s">
        <v>2458</v>
      </c>
      <c r="D2010" t="s">
        <v>2472</v>
      </c>
      <c r="E2010" t="str">
        <f t="shared" si="62"/>
        <v>VERNIER</v>
      </c>
      <c r="F2010" t="s">
        <v>2480</v>
      </c>
      <c r="H2010" t="s">
        <v>2487</v>
      </c>
      <c r="I2010">
        <v>0.88</v>
      </c>
      <c r="J2010">
        <v>0.97</v>
      </c>
      <c r="K2010" s="9">
        <f t="shared" si="63"/>
        <v>45371</v>
      </c>
      <c r="L2010" t="s">
        <v>2622</v>
      </c>
      <c r="M2010" t="s">
        <v>2932</v>
      </c>
    </row>
    <row r="2011" spans="1:13" hidden="1" x14ac:dyDescent="0.35">
      <c r="A2011" t="s">
        <v>2005</v>
      </c>
      <c r="B2011" t="s">
        <v>2276</v>
      </c>
      <c r="C2011" t="s">
        <v>2457</v>
      </c>
      <c r="D2011" t="s">
        <v>2471</v>
      </c>
      <c r="E2011" t="str">
        <f t="shared" si="62"/>
        <v>BUDAPEST</v>
      </c>
      <c r="F2011" t="s">
        <v>2481</v>
      </c>
      <c r="G2011">
        <v>189.71</v>
      </c>
      <c r="H2011" t="s">
        <v>2488</v>
      </c>
      <c r="I2011">
        <v>150</v>
      </c>
      <c r="J2011">
        <v>400</v>
      </c>
      <c r="K2011" s="9">
        <f t="shared" si="63"/>
        <v>45685</v>
      </c>
      <c r="L2011" t="s">
        <v>2724</v>
      </c>
      <c r="M2011" t="s">
        <v>2926</v>
      </c>
    </row>
    <row r="2012" spans="1:13" hidden="1" x14ac:dyDescent="0.35">
      <c r="A2012" t="s">
        <v>2006</v>
      </c>
      <c r="B2012" t="s">
        <v>2094</v>
      </c>
      <c r="C2012" t="s">
        <v>2460</v>
      </c>
      <c r="D2012" t="s">
        <v>2462</v>
      </c>
      <c r="E2012" t="str">
        <f t="shared" si="62"/>
        <v>ASHFORD UK</v>
      </c>
      <c r="F2012" t="s">
        <v>2481</v>
      </c>
      <c r="G2012">
        <v>331.9</v>
      </c>
      <c r="H2012" t="s">
        <v>2488</v>
      </c>
      <c r="I2012">
        <v>150</v>
      </c>
      <c r="J2012">
        <v>400</v>
      </c>
      <c r="K2012" s="9">
        <f t="shared" si="63"/>
        <v>45316</v>
      </c>
      <c r="L2012" t="s">
        <v>2572</v>
      </c>
      <c r="M2012" t="s">
        <v>2931</v>
      </c>
    </row>
    <row r="2013" spans="1:13" hidden="1" x14ac:dyDescent="0.35">
      <c r="A2013" t="s">
        <v>2007</v>
      </c>
      <c r="B2013" t="s">
        <v>2209</v>
      </c>
      <c r="C2013" t="s">
        <v>2458</v>
      </c>
      <c r="D2013" t="s">
        <v>2462</v>
      </c>
      <c r="E2013" t="str">
        <f t="shared" si="62"/>
        <v>ASHFORD UK</v>
      </c>
      <c r="F2013" t="s">
        <v>2483</v>
      </c>
      <c r="G2013">
        <v>0.33</v>
      </c>
      <c r="H2013" t="s">
        <v>2489</v>
      </c>
      <c r="I2013">
        <v>0</v>
      </c>
      <c r="J2013">
        <v>1</v>
      </c>
      <c r="K2013" s="9">
        <f t="shared" si="63"/>
        <v>45673</v>
      </c>
      <c r="L2013" t="s">
        <v>2922</v>
      </c>
      <c r="M2013" t="s">
        <v>2923</v>
      </c>
    </row>
    <row r="2014" spans="1:13" hidden="1" x14ac:dyDescent="0.35">
      <c r="A2014" t="s">
        <v>2008</v>
      </c>
      <c r="B2014" t="s">
        <v>2353</v>
      </c>
      <c r="C2014" t="s">
        <v>2461</v>
      </c>
      <c r="D2014" t="s">
        <v>2473</v>
      </c>
      <c r="E2014" t="str">
        <f t="shared" si="62"/>
        <v>DORTMUND</v>
      </c>
      <c r="F2014" t="s">
        <v>2483</v>
      </c>
      <c r="G2014">
        <v>0.16</v>
      </c>
      <c r="H2014" t="s">
        <v>2489</v>
      </c>
      <c r="I2014">
        <v>0</v>
      </c>
      <c r="J2014">
        <v>1</v>
      </c>
      <c r="K2014" s="9">
        <f t="shared" si="63"/>
        <v>45610</v>
      </c>
      <c r="L2014" t="s">
        <v>2560</v>
      </c>
      <c r="M2014" t="s">
        <v>2927</v>
      </c>
    </row>
    <row r="2015" spans="1:13" hidden="1" x14ac:dyDescent="0.35">
      <c r="A2015" t="s">
        <v>2009</v>
      </c>
      <c r="B2015" t="s">
        <v>2338</v>
      </c>
      <c r="C2015" t="s">
        <v>2458</v>
      </c>
      <c r="D2015" t="s">
        <v>2477</v>
      </c>
      <c r="E2015" t="str">
        <f t="shared" si="62"/>
        <v>BUDAPEST</v>
      </c>
      <c r="F2015" t="s">
        <v>2484</v>
      </c>
      <c r="G2015">
        <v>6.9</v>
      </c>
      <c r="I2015">
        <v>6</v>
      </c>
      <c r="J2015">
        <v>7.5</v>
      </c>
      <c r="K2015" s="9">
        <f t="shared" si="63"/>
        <v>45311</v>
      </c>
      <c r="L2015" t="s">
        <v>2768</v>
      </c>
      <c r="M2015" t="s">
        <v>2927</v>
      </c>
    </row>
    <row r="2016" spans="1:13" hidden="1" x14ac:dyDescent="0.35">
      <c r="A2016" t="s">
        <v>2010</v>
      </c>
      <c r="B2016" t="s">
        <v>2101</v>
      </c>
      <c r="C2016" t="s">
        <v>2458</v>
      </c>
      <c r="D2016" t="s">
        <v>2474</v>
      </c>
      <c r="E2016" t="str">
        <f t="shared" si="62"/>
        <v>DORTMUND DE</v>
      </c>
      <c r="F2016" t="s">
        <v>2484</v>
      </c>
      <c r="G2016">
        <v>6.5</v>
      </c>
      <c r="I2016">
        <v>6</v>
      </c>
      <c r="J2016">
        <v>7.5</v>
      </c>
      <c r="K2016" s="9">
        <f t="shared" si="63"/>
        <v>46013</v>
      </c>
      <c r="L2016" t="s">
        <v>2579</v>
      </c>
      <c r="M2016" t="s">
        <v>2923</v>
      </c>
    </row>
  </sheetData>
  <autoFilter ref="G1:G2016" xr:uid="{00000000-0001-0000-0000-000000000000}">
    <filterColumn colId="0">
      <filters blank="1"/>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C30EC-E37C-4A4D-92E3-1D2DC446D363}">
  <dimension ref="A3:E10"/>
  <sheetViews>
    <sheetView workbookViewId="0">
      <selection activeCell="C10" sqref="C10"/>
    </sheetView>
  </sheetViews>
  <sheetFormatPr defaultRowHeight="14.5" x14ac:dyDescent="0.35"/>
  <cols>
    <col min="1" max="1" width="23.1796875" bestFit="1" customWidth="1"/>
    <col min="2" max="2" width="15.26953125" bestFit="1" customWidth="1"/>
    <col min="3" max="3" width="6.81640625" bestFit="1" customWidth="1"/>
    <col min="4" max="4" width="7.54296875" bestFit="1" customWidth="1"/>
    <col min="5" max="5" width="10.7265625" bestFit="1" customWidth="1"/>
  </cols>
  <sheetData>
    <row r="3" spans="1:5" x14ac:dyDescent="0.35">
      <c r="A3" s="1" t="s">
        <v>2959</v>
      </c>
      <c r="B3" s="1" t="s">
        <v>2955</v>
      </c>
    </row>
    <row r="4" spans="1:5" x14ac:dyDescent="0.35">
      <c r="A4" s="1" t="s">
        <v>2933</v>
      </c>
      <c r="B4" t="s">
        <v>2956</v>
      </c>
      <c r="C4" t="s">
        <v>2957</v>
      </c>
      <c r="D4" t="s">
        <v>2958</v>
      </c>
      <c r="E4" t="s">
        <v>2935</v>
      </c>
    </row>
    <row r="5" spans="1:5" x14ac:dyDescent="0.35">
      <c r="A5" s="2" t="s">
        <v>2462</v>
      </c>
      <c r="B5" s="10">
        <v>0.31707317073170732</v>
      </c>
      <c r="C5" s="10">
        <v>0.59756097560975607</v>
      </c>
      <c r="D5" s="10">
        <v>8.5365853658536592E-2</v>
      </c>
      <c r="E5" s="10">
        <v>1</v>
      </c>
    </row>
    <row r="6" spans="1:5" x14ac:dyDescent="0.35">
      <c r="A6" s="2" t="s">
        <v>2471</v>
      </c>
      <c r="B6" s="10">
        <v>0.21875</v>
      </c>
      <c r="C6" s="10">
        <v>0.6875</v>
      </c>
      <c r="D6" s="10">
        <v>9.375E-2</v>
      </c>
      <c r="E6" s="10">
        <v>1</v>
      </c>
    </row>
    <row r="7" spans="1:5" x14ac:dyDescent="0.35">
      <c r="A7" s="2" t="s">
        <v>2474</v>
      </c>
      <c r="B7" s="10">
        <v>0.36046511627906974</v>
      </c>
      <c r="C7" s="10">
        <v>0.58139534883720934</v>
      </c>
      <c r="D7" s="10">
        <v>5.8139534883720929E-2</v>
      </c>
      <c r="E7" s="10">
        <v>1</v>
      </c>
    </row>
    <row r="8" spans="1:5" x14ac:dyDescent="0.35">
      <c r="A8" s="2" t="s">
        <v>2464</v>
      </c>
      <c r="B8" s="10">
        <v>0.34693877551020408</v>
      </c>
      <c r="C8" s="10">
        <v>0.61224489795918369</v>
      </c>
      <c r="D8" s="10">
        <v>4.0816326530612242E-2</v>
      </c>
      <c r="E8" s="10">
        <v>1</v>
      </c>
    </row>
    <row r="9" spans="1:5" x14ac:dyDescent="0.35">
      <c r="A9" s="2" t="s">
        <v>2468</v>
      </c>
      <c r="B9" s="10">
        <v>0.35714285714285715</v>
      </c>
      <c r="C9" s="10">
        <v>0.5357142857142857</v>
      </c>
      <c r="D9" s="10">
        <v>0.10714285714285714</v>
      </c>
      <c r="E9" s="10">
        <v>1</v>
      </c>
    </row>
    <row r="10" spans="1:5" x14ac:dyDescent="0.35">
      <c r="A10" s="2" t="s">
        <v>2935</v>
      </c>
      <c r="B10" s="10">
        <v>0.31838565022421522</v>
      </c>
      <c r="C10" s="10">
        <v>0.60538116591928248</v>
      </c>
      <c r="D10" s="10">
        <v>7.623318385650224E-2</v>
      </c>
      <c r="E10" s="1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9F778-778F-4C50-91C1-C396568BD41D}">
  <dimension ref="A3:F12"/>
  <sheetViews>
    <sheetView workbookViewId="0">
      <selection activeCell="B7" sqref="B7"/>
    </sheetView>
  </sheetViews>
  <sheetFormatPr defaultRowHeight="14.5" x14ac:dyDescent="0.35"/>
  <cols>
    <col min="1" max="1" width="21.08984375" bestFit="1" customWidth="1"/>
    <col min="2" max="2" width="15.26953125" bestFit="1" customWidth="1"/>
    <col min="3" max="3" width="7.08984375" bestFit="1" customWidth="1"/>
    <col min="4" max="4" width="4.81640625" bestFit="1" customWidth="1"/>
    <col min="5" max="5" width="10.7265625" bestFit="1" customWidth="1"/>
  </cols>
  <sheetData>
    <row r="3" spans="1:6" x14ac:dyDescent="0.35">
      <c r="A3" s="1" t="s">
        <v>2962</v>
      </c>
      <c r="B3" s="1" t="s">
        <v>2955</v>
      </c>
      <c r="F3" s="11"/>
    </row>
    <row r="4" spans="1:6" x14ac:dyDescent="0.35">
      <c r="A4" s="1" t="s">
        <v>2960</v>
      </c>
      <c r="B4" t="s">
        <v>2956</v>
      </c>
      <c r="C4" t="s">
        <v>2961</v>
      </c>
      <c r="D4" t="s">
        <v>2957</v>
      </c>
      <c r="E4" t="s">
        <v>2935</v>
      </c>
      <c r="F4" s="12" t="s">
        <v>2963</v>
      </c>
    </row>
    <row r="5" spans="1:6" x14ac:dyDescent="0.35">
      <c r="A5" s="2" t="s">
        <v>2480</v>
      </c>
      <c r="B5">
        <v>31</v>
      </c>
      <c r="C5">
        <v>6</v>
      </c>
      <c r="D5">
        <v>248</v>
      </c>
      <c r="E5">
        <v>285</v>
      </c>
      <c r="F5" s="24">
        <f>D5/E5</f>
        <v>0.87017543859649127</v>
      </c>
    </row>
    <row r="6" spans="1:6" x14ac:dyDescent="0.35">
      <c r="A6" s="2" t="s">
        <v>2485</v>
      </c>
      <c r="B6">
        <v>95</v>
      </c>
      <c r="C6">
        <v>3</v>
      </c>
      <c r="D6">
        <v>197</v>
      </c>
      <c r="E6">
        <v>295</v>
      </c>
      <c r="F6" s="24">
        <f t="shared" ref="F6:F11" si="0">D6/E6</f>
        <v>0.66779661016949154</v>
      </c>
    </row>
    <row r="7" spans="1:6" x14ac:dyDescent="0.35">
      <c r="A7" s="2" t="s">
        <v>2483</v>
      </c>
      <c r="B7">
        <v>7</v>
      </c>
      <c r="C7">
        <v>4</v>
      </c>
      <c r="D7">
        <v>268</v>
      </c>
      <c r="E7">
        <v>279</v>
      </c>
      <c r="F7" s="24">
        <f t="shared" si="0"/>
        <v>0.96057347670250892</v>
      </c>
    </row>
    <row r="8" spans="1:6" x14ac:dyDescent="0.35">
      <c r="A8" s="2" t="s">
        <v>2481</v>
      </c>
      <c r="B8">
        <v>11</v>
      </c>
      <c r="C8">
        <v>6</v>
      </c>
      <c r="D8">
        <v>294</v>
      </c>
      <c r="E8">
        <v>311</v>
      </c>
      <c r="F8" s="24">
        <f t="shared" si="0"/>
        <v>0.94533762057877813</v>
      </c>
    </row>
    <row r="9" spans="1:6" x14ac:dyDescent="0.35">
      <c r="A9" s="2" t="s">
        <v>2484</v>
      </c>
      <c r="B9">
        <v>23</v>
      </c>
      <c r="C9">
        <v>5</v>
      </c>
      <c r="D9">
        <v>236</v>
      </c>
      <c r="E9">
        <v>264</v>
      </c>
      <c r="F9" s="24">
        <f t="shared" si="0"/>
        <v>0.89393939393939392</v>
      </c>
    </row>
    <row r="10" spans="1:6" x14ac:dyDescent="0.35">
      <c r="A10" s="2" t="s">
        <v>2482</v>
      </c>
      <c r="B10">
        <v>14</v>
      </c>
      <c r="C10">
        <v>7</v>
      </c>
      <c r="D10">
        <v>265</v>
      </c>
      <c r="E10">
        <v>286</v>
      </c>
      <c r="F10" s="24">
        <f t="shared" si="0"/>
        <v>0.92657342657342656</v>
      </c>
    </row>
    <row r="11" spans="1:6" x14ac:dyDescent="0.35">
      <c r="A11" s="2" t="s">
        <v>2479</v>
      </c>
      <c r="B11">
        <v>12</v>
      </c>
      <c r="C11">
        <v>11</v>
      </c>
      <c r="D11">
        <v>272</v>
      </c>
      <c r="E11">
        <v>295</v>
      </c>
      <c r="F11" s="24">
        <f t="shared" si="0"/>
        <v>0.92203389830508475</v>
      </c>
    </row>
    <row r="12" spans="1:6" x14ac:dyDescent="0.35">
      <c r="A12" s="2" t="s">
        <v>2935</v>
      </c>
      <c r="B12">
        <v>193</v>
      </c>
      <c r="C12">
        <v>42</v>
      </c>
      <c r="D12">
        <v>1780</v>
      </c>
      <c r="E12">
        <v>2015</v>
      </c>
      <c r="F12" s="25">
        <f>D12/E12</f>
        <v>0.88337468982630274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ED5B-AAF8-4FE0-9014-EB3CA8A75EA6}">
  <dimension ref="A1:N2016"/>
  <sheetViews>
    <sheetView tabSelected="1" workbookViewId="0">
      <selection activeCell="I6" sqref="I6"/>
    </sheetView>
  </sheetViews>
  <sheetFormatPr defaultRowHeight="14.5" x14ac:dyDescent="0.35"/>
  <cols>
    <col min="1" max="1" width="11.7265625" customWidth="1"/>
    <col min="2" max="2" width="10.36328125" customWidth="1"/>
    <col min="3" max="3" width="14.81640625" bestFit="1" customWidth="1"/>
    <col min="4" max="4" width="20.36328125" bestFit="1" customWidth="1"/>
    <col min="5" max="5" width="13.7265625" bestFit="1" customWidth="1"/>
    <col min="6" max="6" width="21.08984375" bestFit="1" customWidth="1"/>
    <col min="7" max="9" width="21.08984375" customWidth="1"/>
    <col min="10" max="10" width="11.54296875" bestFit="1" customWidth="1"/>
    <col min="11" max="11" width="12.7265625" customWidth="1"/>
    <col min="12" max="12" width="12.81640625" customWidth="1"/>
    <col min="13" max="13" width="11.36328125" customWidth="1"/>
    <col min="14" max="14" width="10.453125" bestFit="1" customWidth="1"/>
    <col min="15" max="15" width="8.6328125" bestFit="1" customWidth="1"/>
  </cols>
  <sheetData>
    <row r="1" spans="1:14" x14ac:dyDescent="0.35">
      <c r="A1" s="13" t="s">
        <v>0</v>
      </c>
      <c r="B1" s="14" t="s">
        <v>1</v>
      </c>
      <c r="C1" s="14" t="s">
        <v>2</v>
      </c>
      <c r="D1" s="14" t="s">
        <v>3</v>
      </c>
      <c r="E1" s="14" t="s">
        <v>4</v>
      </c>
      <c r="F1" s="14" t="s">
        <v>2952</v>
      </c>
      <c r="G1" s="14" t="s">
        <v>2953</v>
      </c>
      <c r="H1" s="14" t="s">
        <v>2954</v>
      </c>
      <c r="I1" s="14" t="s">
        <v>5</v>
      </c>
      <c r="J1" s="14" t="s">
        <v>6</v>
      </c>
      <c r="K1" s="14" t="s">
        <v>7</v>
      </c>
      <c r="L1" s="14" t="s">
        <v>8</v>
      </c>
      <c r="M1" s="14" t="s">
        <v>9</v>
      </c>
      <c r="N1" s="15" t="s">
        <v>10</v>
      </c>
    </row>
    <row r="2" spans="1:14" x14ac:dyDescent="0.35">
      <c r="A2" s="16" t="s">
        <v>11</v>
      </c>
      <c r="B2" s="17" t="s">
        <v>2011</v>
      </c>
      <c r="C2" s="17" t="s">
        <v>2457</v>
      </c>
      <c r="D2" s="17" t="str">
        <f>_xlfn.XLOOKUP(Raw_LIMS_Export!E2,'mapping Site table'!$B$4:$B$14,'mapping Site table'!$C$4:$C$14,Raw_LIMS_Export!E2)</f>
        <v>Ashford UK</v>
      </c>
      <c r="E2" s="17" t="s">
        <v>2479</v>
      </c>
      <c r="F2" s="17">
        <f>IF(I2="",0,1)</f>
        <v>1</v>
      </c>
      <c r="G2" s="17" t="str">
        <f>IF(I2="", "Missing", IF(AND(I2&gt;=K2, I2&lt;=L2), "Pass", "Fail"))</f>
        <v>Pass</v>
      </c>
      <c r="H2" s="17" t="str">
        <f t="shared" ref="H2:H65" si="0">IF(COUNTIFS($B$2:$B$2016,B2,$G$2:$G$2016,"Fail")&gt;0,"Fail",
  IF(COUNTIFS($B$2:$B$2016,B2,$G$2:$G$2016,"Missing")&gt;0,"Pending",
    "Pass"))</f>
        <v>Pending</v>
      </c>
      <c r="I2" s="17">
        <v>18.09</v>
      </c>
      <c r="J2" s="17" t="s">
        <v>2486</v>
      </c>
      <c r="K2" s="17">
        <v>0</v>
      </c>
      <c r="L2" s="17">
        <v>120</v>
      </c>
      <c r="M2" s="18">
        <f>Raw_LIMS_Export!K2</f>
        <v>45350</v>
      </c>
      <c r="N2" s="19" t="s">
        <v>2923</v>
      </c>
    </row>
    <row r="3" spans="1:14" x14ac:dyDescent="0.35">
      <c r="A3" s="16" t="s">
        <v>12</v>
      </c>
      <c r="B3" s="17" t="s">
        <v>2012</v>
      </c>
      <c r="C3" s="17" t="s">
        <v>2458</v>
      </c>
      <c r="D3" s="17" t="str">
        <f>_xlfn.XLOOKUP(Raw_LIMS_Export!E3,'mapping Site table'!$B$4:$B$14,'mapping Site table'!$C$4:$C$14,Raw_LIMS_Export!E3)</f>
        <v>Vernier CH</v>
      </c>
      <c r="E3" s="17" t="s">
        <v>2480</v>
      </c>
      <c r="F3" s="17">
        <f t="shared" ref="F3:F66" si="1">IF(I3="",0,1)</f>
        <v>1</v>
      </c>
      <c r="G3" s="17" t="str">
        <f t="shared" ref="G3:G66" si="2">IF(I3="", "Missing", IF(AND(I3&gt;=K3, I3&lt;=L3), "Pass", "Fail"))</f>
        <v>Pass</v>
      </c>
      <c r="H3" s="17" t="str">
        <f t="shared" si="0"/>
        <v>Pass</v>
      </c>
      <c r="I3" s="17">
        <v>0.92</v>
      </c>
      <c r="J3" s="17" t="s">
        <v>2487</v>
      </c>
      <c r="K3" s="17">
        <v>0.88</v>
      </c>
      <c r="L3" s="17">
        <v>0.97</v>
      </c>
      <c r="M3" s="18">
        <f>Raw_LIMS_Export!K3</f>
        <v>45399</v>
      </c>
      <c r="N3" s="19" t="s">
        <v>2924</v>
      </c>
    </row>
    <row r="4" spans="1:14" x14ac:dyDescent="0.35">
      <c r="A4" s="16" t="s">
        <v>13</v>
      </c>
      <c r="B4" s="17" t="s">
        <v>2013</v>
      </c>
      <c r="C4" s="17" t="s">
        <v>2457</v>
      </c>
      <c r="D4" s="17" t="str">
        <f>_xlfn.XLOOKUP(Raw_LIMS_Export!E4,'mapping Site table'!$B$4:$B$14,'mapping Site table'!$C$4:$C$14,Raw_LIMS_Export!E4)</f>
        <v>East Hanover</v>
      </c>
      <c r="E4" s="17" t="s">
        <v>2481</v>
      </c>
      <c r="F4" s="17">
        <f t="shared" si="1"/>
        <v>1</v>
      </c>
      <c r="G4" s="17" t="str">
        <f t="shared" si="2"/>
        <v>Pass</v>
      </c>
      <c r="H4" s="17" t="str">
        <f t="shared" si="0"/>
        <v>Pass</v>
      </c>
      <c r="I4" s="17">
        <v>224.54</v>
      </c>
      <c r="J4" s="17" t="s">
        <v>2488</v>
      </c>
      <c r="K4" s="17">
        <v>150</v>
      </c>
      <c r="L4" s="17">
        <v>400</v>
      </c>
      <c r="M4" s="18">
        <f>Raw_LIMS_Export!K4</f>
        <v>45924</v>
      </c>
      <c r="N4" s="19" t="s">
        <v>2924</v>
      </c>
    </row>
    <row r="5" spans="1:14" x14ac:dyDescent="0.35">
      <c r="A5" s="16" t="s">
        <v>14</v>
      </c>
      <c r="B5" s="17" t="s">
        <v>2014</v>
      </c>
      <c r="C5" s="17" t="s">
        <v>2459</v>
      </c>
      <c r="D5" s="17" t="str">
        <f>_xlfn.XLOOKUP(Raw_LIMS_Export!E5,'mapping Site table'!$B$4:$B$14,'mapping Site table'!$C$4:$C$14,Raw_LIMS_Export!E5)</f>
        <v>Vernier CH</v>
      </c>
      <c r="E5" s="17" t="s">
        <v>2482</v>
      </c>
      <c r="F5" s="17">
        <f t="shared" si="1"/>
        <v>1</v>
      </c>
      <c r="G5" s="17" t="str">
        <f t="shared" si="2"/>
        <v>Pass</v>
      </c>
      <c r="H5" s="17" t="str">
        <f t="shared" si="0"/>
        <v>Pass</v>
      </c>
      <c r="I5" s="17">
        <v>97.98</v>
      </c>
      <c r="J5" s="17" t="s">
        <v>2489</v>
      </c>
      <c r="K5" s="17">
        <v>97</v>
      </c>
      <c r="L5" s="17">
        <v>100</v>
      </c>
      <c r="M5" s="18">
        <f>Raw_LIMS_Export!K5</f>
        <v>45982</v>
      </c>
      <c r="N5" s="19" t="s">
        <v>2923</v>
      </c>
    </row>
    <row r="6" spans="1:14" x14ac:dyDescent="0.35">
      <c r="A6" s="16" t="s">
        <v>15</v>
      </c>
      <c r="B6" s="17" t="s">
        <v>2015</v>
      </c>
      <c r="C6" s="17" t="s">
        <v>2457</v>
      </c>
      <c r="D6" s="17" t="str">
        <f>_xlfn.XLOOKUP(Raw_LIMS_Export!E6,'mapping Site table'!$B$4:$B$14,'mapping Site table'!$C$4:$C$14,Raw_LIMS_Export!E6)</f>
        <v>East Hanover</v>
      </c>
      <c r="E6" s="17" t="s">
        <v>2482</v>
      </c>
      <c r="F6" s="17">
        <f t="shared" si="1"/>
        <v>1</v>
      </c>
      <c r="G6" s="17" t="str">
        <f t="shared" si="2"/>
        <v>Fail</v>
      </c>
      <c r="H6" s="17" t="str">
        <f t="shared" si="0"/>
        <v>Fail</v>
      </c>
      <c r="I6" s="17">
        <v>95.2</v>
      </c>
      <c r="J6" s="17" t="s">
        <v>2489</v>
      </c>
      <c r="K6" s="17">
        <v>97</v>
      </c>
      <c r="L6" s="17">
        <v>100</v>
      </c>
      <c r="M6" s="18">
        <f>Raw_LIMS_Export!K6</f>
        <v>45488</v>
      </c>
      <c r="N6" s="19" t="s">
        <v>2925</v>
      </c>
    </row>
    <row r="7" spans="1:14" x14ac:dyDescent="0.35">
      <c r="A7" s="16" t="s">
        <v>16</v>
      </c>
      <c r="B7" s="17" t="s">
        <v>2016</v>
      </c>
      <c r="C7" s="17" t="s">
        <v>2458</v>
      </c>
      <c r="D7" s="17" t="str">
        <f>_xlfn.XLOOKUP(Raw_LIMS_Export!E7,'mapping Site table'!$B$4:$B$14,'mapping Site table'!$C$4:$C$14,Raw_LIMS_Export!E7)</f>
        <v>Ashford UK</v>
      </c>
      <c r="E7" s="17" t="s">
        <v>2481</v>
      </c>
      <c r="F7" s="17">
        <f t="shared" si="1"/>
        <v>1</v>
      </c>
      <c r="G7" s="17" t="str">
        <f t="shared" si="2"/>
        <v>Pass</v>
      </c>
      <c r="H7" s="17" t="str">
        <f t="shared" si="0"/>
        <v>Pass</v>
      </c>
      <c r="I7" s="17">
        <v>227.62</v>
      </c>
      <c r="J7" s="17" t="s">
        <v>2488</v>
      </c>
      <c r="K7" s="17">
        <v>150</v>
      </c>
      <c r="L7" s="17">
        <v>400</v>
      </c>
      <c r="M7" s="18">
        <f>Raw_LIMS_Export!K7</f>
        <v>45446</v>
      </c>
      <c r="N7" s="19" t="s">
        <v>2926</v>
      </c>
    </row>
    <row r="8" spans="1:14" x14ac:dyDescent="0.35">
      <c r="A8" s="16" t="s">
        <v>17</v>
      </c>
      <c r="B8" s="17" t="s">
        <v>2017</v>
      </c>
      <c r="C8" s="17" t="s">
        <v>2458</v>
      </c>
      <c r="D8" s="17" t="str">
        <f>_xlfn.XLOOKUP(Raw_LIMS_Export!E8,'mapping Site table'!$B$4:$B$14,'mapping Site table'!$C$4:$C$14,Raw_LIMS_Export!E8)</f>
        <v>Vernier CH</v>
      </c>
      <c r="E8" s="17" t="s">
        <v>2483</v>
      </c>
      <c r="F8" s="17">
        <f t="shared" si="1"/>
        <v>1</v>
      </c>
      <c r="G8" s="17" t="str">
        <f t="shared" si="2"/>
        <v>Pass</v>
      </c>
      <c r="H8" s="17" t="str">
        <f t="shared" si="0"/>
        <v>Fail</v>
      </c>
      <c r="I8" s="17">
        <v>0.38</v>
      </c>
      <c r="J8" s="17" t="s">
        <v>2489</v>
      </c>
      <c r="K8" s="17">
        <v>0</v>
      </c>
      <c r="L8" s="17">
        <v>1</v>
      </c>
      <c r="M8" s="18">
        <f>Raw_LIMS_Export!K8</f>
        <v>46008</v>
      </c>
      <c r="N8" s="19" t="s">
        <v>2924</v>
      </c>
    </row>
    <row r="9" spans="1:14" x14ac:dyDescent="0.35">
      <c r="A9" s="16" t="s">
        <v>18</v>
      </c>
      <c r="B9" s="17" t="s">
        <v>2018</v>
      </c>
      <c r="C9" s="17" t="s">
        <v>2460</v>
      </c>
      <c r="D9" s="17" t="str">
        <f>_xlfn.XLOOKUP(Raw_LIMS_Export!E9,'mapping Site table'!$B$4:$B$14,'mapping Site table'!$C$4:$C$14,Raw_LIMS_Export!E9)</f>
        <v>Dortmund DE</v>
      </c>
      <c r="E9" s="17" t="s">
        <v>2481</v>
      </c>
      <c r="F9" s="17">
        <f t="shared" si="1"/>
        <v>1</v>
      </c>
      <c r="G9" s="17" t="str">
        <f t="shared" si="2"/>
        <v>Pass</v>
      </c>
      <c r="H9" s="17" t="str">
        <f t="shared" si="0"/>
        <v>Fail</v>
      </c>
      <c r="I9" s="17">
        <v>318.47000000000003</v>
      </c>
      <c r="J9" s="17" t="s">
        <v>2488</v>
      </c>
      <c r="K9" s="17">
        <v>150</v>
      </c>
      <c r="L9" s="17">
        <v>400</v>
      </c>
      <c r="M9" s="18">
        <f>Raw_LIMS_Export!K9</f>
        <v>45501</v>
      </c>
      <c r="N9" s="19" t="s">
        <v>2923</v>
      </c>
    </row>
    <row r="10" spans="1:14" x14ac:dyDescent="0.35">
      <c r="A10" s="16" t="s">
        <v>19</v>
      </c>
      <c r="B10" s="17" t="s">
        <v>2019</v>
      </c>
      <c r="C10" s="17" t="s">
        <v>2461</v>
      </c>
      <c r="D10" s="17" t="str">
        <f>_xlfn.XLOOKUP(Raw_LIMS_Export!E10,'mapping Site table'!$B$4:$B$14,'mapping Site table'!$C$4:$C$14,Raw_LIMS_Export!E10)</f>
        <v>East Hanover</v>
      </c>
      <c r="E10" s="17" t="s">
        <v>2482</v>
      </c>
      <c r="F10" s="17">
        <f t="shared" si="1"/>
        <v>1</v>
      </c>
      <c r="G10" s="17" t="str">
        <f t="shared" si="2"/>
        <v>Pass</v>
      </c>
      <c r="H10" s="17" t="str">
        <f t="shared" si="0"/>
        <v>Pass</v>
      </c>
      <c r="I10" s="17">
        <v>98.21</v>
      </c>
      <c r="J10" s="17" t="s">
        <v>2489</v>
      </c>
      <c r="K10" s="17">
        <v>97</v>
      </c>
      <c r="L10" s="17">
        <v>100</v>
      </c>
      <c r="M10" s="18">
        <f>Raw_LIMS_Export!K10</f>
        <v>45881</v>
      </c>
      <c r="N10" s="19" t="s">
        <v>2924</v>
      </c>
    </row>
    <row r="11" spans="1:14" x14ac:dyDescent="0.35">
      <c r="A11" s="16" t="s">
        <v>20</v>
      </c>
      <c r="B11" s="17" t="s">
        <v>2020</v>
      </c>
      <c r="C11" s="17" t="s">
        <v>2458</v>
      </c>
      <c r="D11" s="17" t="str">
        <f>_xlfn.XLOOKUP(Raw_LIMS_Export!E11,'mapping Site table'!$B$4:$B$14,'mapping Site table'!$C$4:$C$14,Raw_LIMS_Export!E11)</f>
        <v>Budapest</v>
      </c>
      <c r="E11" s="17" t="s">
        <v>2479</v>
      </c>
      <c r="F11" s="17">
        <f t="shared" si="1"/>
        <v>1</v>
      </c>
      <c r="G11" s="17" t="str">
        <f t="shared" si="2"/>
        <v>Pass</v>
      </c>
      <c r="H11" s="17" t="str">
        <f t="shared" si="0"/>
        <v>Pass</v>
      </c>
      <c r="I11" s="17">
        <v>33.35</v>
      </c>
      <c r="J11" s="17" t="s">
        <v>2486</v>
      </c>
      <c r="K11" s="17">
        <v>0</v>
      </c>
      <c r="L11" s="17">
        <v>120</v>
      </c>
      <c r="M11" s="18">
        <f>Raw_LIMS_Export!K11</f>
        <v>45655</v>
      </c>
      <c r="N11" s="19" t="s">
        <v>2927</v>
      </c>
    </row>
    <row r="12" spans="1:14" x14ac:dyDescent="0.35">
      <c r="A12" s="16" t="s">
        <v>21</v>
      </c>
      <c r="B12" s="17" t="s">
        <v>2021</v>
      </c>
      <c r="C12" s="17" t="s">
        <v>2457</v>
      </c>
      <c r="D12" s="17" t="str">
        <f>_xlfn.XLOOKUP(Raw_LIMS_Export!E12,'mapping Site table'!$B$4:$B$14,'mapping Site table'!$C$4:$C$14,Raw_LIMS_Export!E12)</f>
        <v>East Hanover</v>
      </c>
      <c r="E12" s="17" t="s">
        <v>2482</v>
      </c>
      <c r="F12" s="17">
        <f t="shared" si="1"/>
        <v>1</v>
      </c>
      <c r="G12" s="17" t="str">
        <f t="shared" si="2"/>
        <v>Pass</v>
      </c>
      <c r="H12" s="17" t="str">
        <f t="shared" si="0"/>
        <v>Fail</v>
      </c>
      <c r="I12" s="17">
        <v>97.78</v>
      </c>
      <c r="J12" s="17" t="s">
        <v>2489</v>
      </c>
      <c r="K12" s="17">
        <v>97</v>
      </c>
      <c r="L12" s="17">
        <v>100</v>
      </c>
      <c r="M12" s="18">
        <f>Raw_LIMS_Export!K12</f>
        <v>45577</v>
      </c>
      <c r="N12" s="19" t="s">
        <v>2928</v>
      </c>
    </row>
    <row r="13" spans="1:14" x14ac:dyDescent="0.35">
      <c r="A13" s="16" t="s">
        <v>22</v>
      </c>
      <c r="B13" s="17" t="s">
        <v>2022</v>
      </c>
      <c r="C13" s="17" t="s">
        <v>2457</v>
      </c>
      <c r="D13" s="17" t="str">
        <f>_xlfn.XLOOKUP(Raw_LIMS_Export!E13,'mapping Site table'!$B$4:$B$14,'mapping Site table'!$C$4:$C$14,Raw_LIMS_Export!E13)</f>
        <v>Vernier CH</v>
      </c>
      <c r="E13" s="17" t="s">
        <v>2483</v>
      </c>
      <c r="F13" s="17">
        <f t="shared" si="1"/>
        <v>1</v>
      </c>
      <c r="G13" s="17" t="str">
        <f t="shared" si="2"/>
        <v>Pass</v>
      </c>
      <c r="H13" s="17" t="str">
        <f t="shared" si="0"/>
        <v>Pending</v>
      </c>
      <c r="I13" s="17">
        <v>0.37</v>
      </c>
      <c r="J13" s="17" t="s">
        <v>2489</v>
      </c>
      <c r="K13" s="17">
        <v>0</v>
      </c>
      <c r="L13" s="17">
        <v>1</v>
      </c>
      <c r="M13" s="18">
        <f>Raw_LIMS_Export!K13</f>
        <v>45530</v>
      </c>
      <c r="N13" s="19" t="s">
        <v>2925</v>
      </c>
    </row>
    <row r="14" spans="1:14" x14ac:dyDescent="0.35">
      <c r="A14" s="16" t="s">
        <v>23</v>
      </c>
      <c r="B14" s="17" t="s">
        <v>2023</v>
      </c>
      <c r="C14" s="17" t="s">
        <v>2460</v>
      </c>
      <c r="D14" s="17" t="str">
        <f>_xlfn.XLOOKUP(Raw_LIMS_Export!E14,'mapping Site table'!$B$4:$B$14,'mapping Site table'!$C$4:$C$14,Raw_LIMS_Export!E14)</f>
        <v>East Hanover</v>
      </c>
      <c r="E14" s="17" t="s">
        <v>2479</v>
      </c>
      <c r="F14" s="17">
        <f t="shared" si="1"/>
        <v>1</v>
      </c>
      <c r="G14" s="17" t="str">
        <f t="shared" si="2"/>
        <v>Pass</v>
      </c>
      <c r="H14" s="17" t="str">
        <f t="shared" si="0"/>
        <v>Pass</v>
      </c>
      <c r="I14" s="17">
        <v>34.119999999999997</v>
      </c>
      <c r="J14" s="17" t="s">
        <v>2486</v>
      </c>
      <c r="K14" s="17">
        <v>0</v>
      </c>
      <c r="L14" s="17">
        <v>120</v>
      </c>
      <c r="M14" s="18">
        <f>Raw_LIMS_Export!K14</f>
        <v>46016</v>
      </c>
      <c r="N14" s="19" t="s">
        <v>2928</v>
      </c>
    </row>
    <row r="15" spans="1:14" x14ac:dyDescent="0.35">
      <c r="A15" s="16" t="s">
        <v>24</v>
      </c>
      <c r="B15" s="17" t="s">
        <v>2024</v>
      </c>
      <c r="C15" s="17" t="s">
        <v>2457</v>
      </c>
      <c r="D15" s="17" t="str">
        <f>_xlfn.XLOOKUP(Raw_LIMS_Export!E15,'mapping Site table'!$B$4:$B$14,'mapping Site table'!$C$4:$C$14,Raw_LIMS_Export!E15)</f>
        <v>Vernier CH</v>
      </c>
      <c r="E15" s="17" t="s">
        <v>2479</v>
      </c>
      <c r="F15" s="17">
        <f t="shared" si="1"/>
        <v>1</v>
      </c>
      <c r="G15" s="17" t="str">
        <f t="shared" si="2"/>
        <v>Pass</v>
      </c>
      <c r="H15" s="17" t="str">
        <f t="shared" si="0"/>
        <v>Fail</v>
      </c>
      <c r="I15" s="17">
        <v>48.04</v>
      </c>
      <c r="J15" s="17" t="s">
        <v>2486</v>
      </c>
      <c r="K15" s="17">
        <v>0</v>
      </c>
      <c r="L15" s="17">
        <v>120</v>
      </c>
      <c r="M15" s="18">
        <f>Raw_LIMS_Export!K15</f>
        <v>45529</v>
      </c>
      <c r="N15" s="19" t="s">
        <v>2929</v>
      </c>
    </row>
    <row r="16" spans="1:14" x14ac:dyDescent="0.35">
      <c r="A16" s="16" t="s">
        <v>25</v>
      </c>
      <c r="B16" s="17" t="s">
        <v>2025</v>
      </c>
      <c r="C16" s="17" t="s">
        <v>2458</v>
      </c>
      <c r="D16" s="17" t="str">
        <f>_xlfn.XLOOKUP(Raw_LIMS_Export!E16,'mapping Site table'!$B$4:$B$14,'mapping Site table'!$C$4:$C$14,Raw_LIMS_Export!E16)</f>
        <v>East Hanover</v>
      </c>
      <c r="E16" s="17" t="s">
        <v>2484</v>
      </c>
      <c r="F16" s="17">
        <f t="shared" si="1"/>
        <v>1</v>
      </c>
      <c r="G16" s="17" t="str">
        <f t="shared" si="2"/>
        <v>Pass</v>
      </c>
      <c r="H16" s="17" t="str">
        <f t="shared" si="0"/>
        <v>Fail</v>
      </c>
      <c r="I16" s="17">
        <v>6.7</v>
      </c>
      <c r="J16" s="17"/>
      <c r="K16" s="17">
        <v>6</v>
      </c>
      <c r="L16" s="17">
        <v>7.5</v>
      </c>
      <c r="M16" s="18">
        <f>Raw_LIMS_Export!K16</f>
        <v>45351</v>
      </c>
      <c r="N16" s="19" t="s">
        <v>2930</v>
      </c>
    </row>
    <row r="17" spans="1:14" x14ac:dyDescent="0.35">
      <c r="A17" s="16" t="s">
        <v>26</v>
      </c>
      <c r="B17" s="17" t="s">
        <v>2026</v>
      </c>
      <c r="C17" s="17" t="s">
        <v>2461</v>
      </c>
      <c r="D17" s="17" t="str">
        <f>_xlfn.XLOOKUP(Raw_LIMS_Export!E17,'mapping Site table'!$B$4:$B$14,'mapping Site table'!$C$4:$C$14,Raw_LIMS_Export!E17)</f>
        <v>Vernier CH</v>
      </c>
      <c r="E17" s="17" t="s">
        <v>2482</v>
      </c>
      <c r="F17" s="17">
        <f t="shared" si="1"/>
        <v>1</v>
      </c>
      <c r="G17" s="17" t="str">
        <f t="shared" si="2"/>
        <v>Fail</v>
      </c>
      <c r="H17" s="17" t="str">
        <f t="shared" si="0"/>
        <v>Fail</v>
      </c>
      <c r="I17" s="17">
        <v>101.8</v>
      </c>
      <c r="J17" s="17" t="s">
        <v>2489</v>
      </c>
      <c r="K17" s="17">
        <v>97</v>
      </c>
      <c r="L17" s="17">
        <v>100</v>
      </c>
      <c r="M17" s="18">
        <f>Raw_LIMS_Export!K17</f>
        <v>45294</v>
      </c>
      <c r="N17" s="19" t="s">
        <v>2931</v>
      </c>
    </row>
    <row r="18" spans="1:14" x14ac:dyDescent="0.35">
      <c r="A18" s="16" t="s">
        <v>27</v>
      </c>
      <c r="B18" s="17" t="s">
        <v>2027</v>
      </c>
      <c r="C18" s="17" t="s">
        <v>2458</v>
      </c>
      <c r="D18" s="17" t="str">
        <f>_xlfn.XLOOKUP(Raw_LIMS_Export!E18,'mapping Site table'!$B$4:$B$14,'mapping Site table'!$C$4:$C$14,Raw_LIMS_Export!E18)</f>
        <v>East Hanover</v>
      </c>
      <c r="E18" s="17" t="s">
        <v>2481</v>
      </c>
      <c r="F18" s="17">
        <f t="shared" si="1"/>
        <v>1</v>
      </c>
      <c r="G18" s="17" t="str">
        <f t="shared" si="2"/>
        <v>Pass</v>
      </c>
      <c r="H18" s="17" t="str">
        <f t="shared" si="0"/>
        <v>Pass</v>
      </c>
      <c r="I18" s="17">
        <v>184.37</v>
      </c>
      <c r="J18" s="17" t="s">
        <v>2488</v>
      </c>
      <c r="K18" s="17">
        <v>150</v>
      </c>
      <c r="L18" s="17">
        <v>400</v>
      </c>
      <c r="M18" s="18">
        <f>Raw_LIMS_Export!K18</f>
        <v>45827</v>
      </c>
      <c r="N18" s="19" t="s">
        <v>2923</v>
      </c>
    </row>
    <row r="19" spans="1:14" x14ac:dyDescent="0.35">
      <c r="A19" s="16" t="s">
        <v>28</v>
      </c>
      <c r="B19" s="17" t="s">
        <v>2028</v>
      </c>
      <c r="C19" s="17" t="s">
        <v>2459</v>
      </c>
      <c r="D19" s="17" t="str">
        <f>_xlfn.XLOOKUP(Raw_LIMS_Export!E19,'mapping Site table'!$B$4:$B$14,'mapping Site table'!$C$4:$C$14,Raw_LIMS_Export!E19)</f>
        <v>Dortmund DE</v>
      </c>
      <c r="E19" s="17" t="s">
        <v>2480</v>
      </c>
      <c r="F19" s="17">
        <f t="shared" si="1"/>
        <v>1</v>
      </c>
      <c r="G19" s="17" t="str">
        <f t="shared" si="2"/>
        <v>Pass</v>
      </c>
      <c r="H19" s="17" t="str">
        <f t="shared" si="0"/>
        <v>Pass</v>
      </c>
      <c r="I19" s="17">
        <v>0.9</v>
      </c>
      <c r="J19" s="17" t="s">
        <v>2487</v>
      </c>
      <c r="K19" s="17">
        <v>0.88</v>
      </c>
      <c r="L19" s="17">
        <v>0.97</v>
      </c>
      <c r="M19" s="18">
        <f>Raw_LIMS_Export!K19</f>
        <v>45654</v>
      </c>
      <c r="N19" s="19" t="s">
        <v>2927</v>
      </c>
    </row>
    <row r="20" spans="1:14" x14ac:dyDescent="0.35">
      <c r="A20" s="16" t="s">
        <v>29</v>
      </c>
      <c r="B20" s="17" t="s">
        <v>2029</v>
      </c>
      <c r="C20" s="17" t="s">
        <v>2459</v>
      </c>
      <c r="D20" s="17" t="str">
        <f>_xlfn.XLOOKUP(Raw_LIMS_Export!E20,'mapping Site table'!$B$4:$B$14,'mapping Site table'!$C$4:$C$14,Raw_LIMS_Export!E20)</f>
        <v>Dortmund DE</v>
      </c>
      <c r="E20" s="17" t="s">
        <v>2481</v>
      </c>
      <c r="F20" s="17">
        <f t="shared" si="1"/>
        <v>1</v>
      </c>
      <c r="G20" s="17" t="str">
        <f t="shared" si="2"/>
        <v>Pass</v>
      </c>
      <c r="H20" s="17" t="str">
        <f t="shared" si="0"/>
        <v>Pass</v>
      </c>
      <c r="I20" s="17">
        <v>239.92</v>
      </c>
      <c r="J20" s="17" t="s">
        <v>2488</v>
      </c>
      <c r="K20" s="17">
        <v>150</v>
      </c>
      <c r="L20" s="17">
        <v>400</v>
      </c>
      <c r="M20" s="18">
        <f>Raw_LIMS_Export!K20</f>
        <v>45740</v>
      </c>
      <c r="N20" s="19" t="s">
        <v>2929</v>
      </c>
    </row>
    <row r="21" spans="1:14" x14ac:dyDescent="0.35">
      <c r="A21" s="16" t="s">
        <v>30</v>
      </c>
      <c r="B21" s="17" t="s">
        <v>2030</v>
      </c>
      <c r="C21" s="17" t="s">
        <v>2457</v>
      </c>
      <c r="D21" s="17" t="str">
        <f>_xlfn.XLOOKUP(Raw_LIMS_Export!E21,'mapping Site table'!$B$4:$B$14,'mapping Site table'!$C$4:$C$14,Raw_LIMS_Export!E21)</f>
        <v>Vernier CH</v>
      </c>
      <c r="E21" s="17" t="s">
        <v>2483</v>
      </c>
      <c r="F21" s="17">
        <f t="shared" si="1"/>
        <v>1</v>
      </c>
      <c r="G21" s="17" t="str">
        <f t="shared" si="2"/>
        <v>Pass</v>
      </c>
      <c r="H21" s="17" t="str">
        <f t="shared" si="0"/>
        <v>Pass</v>
      </c>
      <c r="I21" s="17">
        <v>0.34</v>
      </c>
      <c r="J21" s="17" t="s">
        <v>2489</v>
      </c>
      <c r="K21" s="17">
        <v>0</v>
      </c>
      <c r="L21" s="17">
        <v>1</v>
      </c>
      <c r="M21" s="18">
        <f>Raw_LIMS_Export!K21</f>
        <v>45613</v>
      </c>
      <c r="N21" s="19" t="s">
        <v>2923</v>
      </c>
    </row>
    <row r="22" spans="1:14" x14ac:dyDescent="0.35">
      <c r="A22" s="16" t="s">
        <v>31</v>
      </c>
      <c r="B22" s="17" t="s">
        <v>2031</v>
      </c>
      <c r="C22" s="17" t="s">
        <v>2459</v>
      </c>
      <c r="D22" s="17" t="str">
        <f>_xlfn.XLOOKUP(Raw_LIMS_Export!E22,'mapping Site table'!$B$4:$B$14,'mapping Site table'!$C$4:$C$14,Raw_LIMS_Export!E22)</f>
        <v>Dortmund DE</v>
      </c>
      <c r="E22" s="17" t="s">
        <v>2479</v>
      </c>
      <c r="F22" s="17">
        <f t="shared" si="1"/>
        <v>1</v>
      </c>
      <c r="G22" s="17" t="str">
        <f t="shared" si="2"/>
        <v>Pass</v>
      </c>
      <c r="H22" s="17" t="str">
        <f t="shared" si="0"/>
        <v>Fail</v>
      </c>
      <c r="I22" s="17">
        <v>41.98</v>
      </c>
      <c r="J22" s="17" t="s">
        <v>2486</v>
      </c>
      <c r="K22" s="17">
        <v>0</v>
      </c>
      <c r="L22" s="17">
        <v>120</v>
      </c>
      <c r="M22" s="18">
        <f>Raw_LIMS_Export!K22</f>
        <v>45887</v>
      </c>
      <c r="N22" s="19" t="s">
        <v>2930</v>
      </c>
    </row>
    <row r="23" spans="1:14" x14ac:dyDescent="0.35">
      <c r="A23" s="16" t="s">
        <v>32</v>
      </c>
      <c r="B23" s="17" t="s">
        <v>2032</v>
      </c>
      <c r="C23" s="17" t="s">
        <v>2460</v>
      </c>
      <c r="D23" s="17" t="str">
        <f>_xlfn.XLOOKUP(Raw_LIMS_Export!E23,'mapping Site table'!$B$4:$B$14,'mapping Site table'!$C$4:$C$14,Raw_LIMS_Export!E23)</f>
        <v>Ashford UK</v>
      </c>
      <c r="E23" s="17" t="s">
        <v>2485</v>
      </c>
      <c r="F23" s="17">
        <f t="shared" si="1"/>
        <v>1</v>
      </c>
      <c r="G23" s="17" t="str">
        <f t="shared" si="2"/>
        <v>Pass</v>
      </c>
      <c r="H23" s="17" t="str">
        <f t="shared" si="0"/>
        <v>Fail</v>
      </c>
      <c r="I23" s="17">
        <v>4.6900000000000004</v>
      </c>
      <c r="J23" s="17" t="s">
        <v>2490</v>
      </c>
      <c r="K23" s="17">
        <v>0</v>
      </c>
      <c r="L23" s="17">
        <v>100</v>
      </c>
      <c r="M23" s="18">
        <f>Raw_LIMS_Export!K23</f>
        <v>45409</v>
      </c>
      <c r="N23" s="19" t="s">
        <v>2931</v>
      </c>
    </row>
    <row r="24" spans="1:14" x14ac:dyDescent="0.35">
      <c r="A24" s="16" t="s">
        <v>33</v>
      </c>
      <c r="B24" s="17" t="s">
        <v>2033</v>
      </c>
      <c r="C24" s="17" t="s">
        <v>2459</v>
      </c>
      <c r="D24" s="17" t="str">
        <f>_xlfn.XLOOKUP(Raw_LIMS_Export!E24,'mapping Site table'!$B$4:$B$14,'mapping Site table'!$C$4:$C$14,Raw_LIMS_Export!E24)</f>
        <v>East Hanover</v>
      </c>
      <c r="E24" s="17" t="s">
        <v>2485</v>
      </c>
      <c r="F24" s="17">
        <f t="shared" si="1"/>
        <v>1</v>
      </c>
      <c r="G24" s="17" t="str">
        <f t="shared" si="2"/>
        <v>Fail</v>
      </c>
      <c r="H24" s="17" t="str">
        <f t="shared" si="0"/>
        <v>Fail</v>
      </c>
      <c r="I24" s="17">
        <v>-25</v>
      </c>
      <c r="J24" s="17" t="s">
        <v>2490</v>
      </c>
      <c r="K24" s="17">
        <v>0</v>
      </c>
      <c r="L24" s="17">
        <v>100</v>
      </c>
      <c r="M24" s="18">
        <f>Raw_LIMS_Export!K24</f>
        <v>45330</v>
      </c>
      <c r="N24" s="19" t="s">
        <v>2925</v>
      </c>
    </row>
    <row r="25" spans="1:14" x14ac:dyDescent="0.35">
      <c r="A25" s="16" t="s">
        <v>34</v>
      </c>
      <c r="B25" s="17" t="s">
        <v>2034</v>
      </c>
      <c r="C25" s="17" t="s">
        <v>2461</v>
      </c>
      <c r="D25" s="17" t="str">
        <f>_xlfn.XLOOKUP(Raw_LIMS_Export!E25,'mapping Site table'!$B$4:$B$14,'mapping Site table'!$C$4:$C$14,Raw_LIMS_Export!E25)</f>
        <v>Ashford UK</v>
      </c>
      <c r="E25" s="17" t="s">
        <v>2483</v>
      </c>
      <c r="F25" s="17">
        <f t="shared" si="1"/>
        <v>1</v>
      </c>
      <c r="G25" s="17" t="str">
        <f t="shared" si="2"/>
        <v>Pass</v>
      </c>
      <c r="H25" s="17" t="str">
        <f t="shared" si="0"/>
        <v>Fail</v>
      </c>
      <c r="I25" s="17">
        <v>0.31</v>
      </c>
      <c r="J25" s="17" t="s">
        <v>2489</v>
      </c>
      <c r="K25" s="17">
        <v>0</v>
      </c>
      <c r="L25" s="17">
        <v>1</v>
      </c>
      <c r="M25" s="18">
        <f>Raw_LIMS_Export!K25</f>
        <v>45615</v>
      </c>
      <c r="N25" s="19" t="s">
        <v>2926</v>
      </c>
    </row>
    <row r="26" spans="1:14" x14ac:dyDescent="0.35">
      <c r="A26" s="16" t="s">
        <v>35</v>
      </c>
      <c r="B26" s="17" t="s">
        <v>2035</v>
      </c>
      <c r="C26" s="17" t="s">
        <v>2461</v>
      </c>
      <c r="D26" s="17" t="str">
        <f>_xlfn.XLOOKUP(Raw_LIMS_Export!E26,'mapping Site table'!$B$4:$B$14,'mapping Site table'!$C$4:$C$14,Raw_LIMS_Export!E26)</f>
        <v>Ashford UK</v>
      </c>
      <c r="E26" s="17" t="s">
        <v>2482</v>
      </c>
      <c r="F26" s="17">
        <f t="shared" si="1"/>
        <v>0</v>
      </c>
      <c r="G26" s="17" t="str">
        <f t="shared" si="2"/>
        <v>Missing</v>
      </c>
      <c r="H26" s="17" t="str">
        <f t="shared" si="0"/>
        <v>Pending</v>
      </c>
      <c r="I26" s="17"/>
      <c r="J26" s="17" t="s">
        <v>2489</v>
      </c>
      <c r="K26" s="17">
        <v>97</v>
      </c>
      <c r="L26" s="17">
        <v>100</v>
      </c>
      <c r="M26" s="18">
        <f>Raw_LIMS_Export!K26</f>
        <v>45853</v>
      </c>
      <c r="N26" s="19" t="s">
        <v>2926</v>
      </c>
    </row>
    <row r="27" spans="1:14" x14ac:dyDescent="0.35">
      <c r="A27" s="16" t="s">
        <v>36</v>
      </c>
      <c r="B27" s="17" t="s">
        <v>2036</v>
      </c>
      <c r="C27" s="17" t="s">
        <v>2459</v>
      </c>
      <c r="D27" s="17" t="str">
        <f>_xlfn.XLOOKUP(Raw_LIMS_Export!E27,'mapping Site table'!$B$4:$B$14,'mapping Site table'!$C$4:$C$14,Raw_LIMS_Export!E27)</f>
        <v>Vernier CH</v>
      </c>
      <c r="E27" s="17" t="s">
        <v>2481</v>
      </c>
      <c r="F27" s="17">
        <f t="shared" si="1"/>
        <v>1</v>
      </c>
      <c r="G27" s="17" t="str">
        <f t="shared" si="2"/>
        <v>Pass</v>
      </c>
      <c r="H27" s="17" t="str">
        <f t="shared" si="0"/>
        <v>Pass</v>
      </c>
      <c r="I27" s="17">
        <v>215.63</v>
      </c>
      <c r="J27" s="17" t="s">
        <v>2488</v>
      </c>
      <c r="K27" s="17">
        <v>150</v>
      </c>
      <c r="L27" s="17">
        <v>400</v>
      </c>
      <c r="M27" s="18">
        <f>Raw_LIMS_Export!K27</f>
        <v>45769</v>
      </c>
      <c r="N27" s="19" t="s">
        <v>2926</v>
      </c>
    </row>
    <row r="28" spans="1:14" x14ac:dyDescent="0.35">
      <c r="A28" s="16" t="s">
        <v>37</v>
      </c>
      <c r="B28" s="17" t="s">
        <v>2037</v>
      </c>
      <c r="C28" s="17" t="s">
        <v>2461</v>
      </c>
      <c r="D28" s="17" t="str">
        <f>_xlfn.XLOOKUP(Raw_LIMS_Export!E28,'mapping Site table'!$B$4:$B$14,'mapping Site table'!$C$4:$C$14,Raw_LIMS_Export!E28)</f>
        <v>Budapest</v>
      </c>
      <c r="E28" s="17" t="s">
        <v>2481</v>
      </c>
      <c r="F28" s="17">
        <f t="shared" si="1"/>
        <v>1</v>
      </c>
      <c r="G28" s="17" t="str">
        <f t="shared" si="2"/>
        <v>Pass</v>
      </c>
      <c r="H28" s="17" t="str">
        <f t="shared" si="0"/>
        <v>Pass</v>
      </c>
      <c r="I28" s="17">
        <v>253.19</v>
      </c>
      <c r="J28" s="17" t="s">
        <v>2488</v>
      </c>
      <c r="K28" s="17">
        <v>150</v>
      </c>
      <c r="L28" s="17">
        <v>400</v>
      </c>
      <c r="M28" s="18">
        <f>Raw_LIMS_Export!K28</f>
        <v>45643</v>
      </c>
      <c r="N28" s="19" t="s">
        <v>2925</v>
      </c>
    </row>
    <row r="29" spans="1:14" x14ac:dyDescent="0.35">
      <c r="A29" s="16" t="s">
        <v>38</v>
      </c>
      <c r="B29" s="17" t="s">
        <v>2038</v>
      </c>
      <c r="C29" s="17" t="s">
        <v>2457</v>
      </c>
      <c r="D29" s="17" t="str">
        <f>_xlfn.XLOOKUP(Raw_LIMS_Export!E29,'mapping Site table'!$B$4:$B$14,'mapping Site table'!$C$4:$C$14,Raw_LIMS_Export!E29)</f>
        <v>East Hanover</v>
      </c>
      <c r="E29" s="17" t="s">
        <v>2479</v>
      </c>
      <c r="F29" s="17">
        <f t="shared" si="1"/>
        <v>1</v>
      </c>
      <c r="G29" s="17" t="str">
        <f t="shared" si="2"/>
        <v>Pass</v>
      </c>
      <c r="H29" s="17" t="str">
        <f t="shared" si="0"/>
        <v>Pass</v>
      </c>
      <c r="I29" s="17">
        <v>45.4</v>
      </c>
      <c r="J29" s="17" t="s">
        <v>2486</v>
      </c>
      <c r="K29" s="17">
        <v>0</v>
      </c>
      <c r="L29" s="17">
        <v>120</v>
      </c>
      <c r="M29" s="18">
        <f>Raw_LIMS_Export!K29</f>
        <v>45374</v>
      </c>
      <c r="N29" s="19" t="s">
        <v>2923</v>
      </c>
    </row>
    <row r="30" spans="1:14" x14ac:dyDescent="0.35">
      <c r="A30" s="16" t="s">
        <v>39</v>
      </c>
      <c r="B30" s="17" t="s">
        <v>2039</v>
      </c>
      <c r="C30" s="17" t="s">
        <v>2458</v>
      </c>
      <c r="D30" s="17" t="str">
        <f>_xlfn.XLOOKUP(Raw_LIMS_Export!E30,'mapping Site table'!$B$4:$B$14,'mapping Site table'!$C$4:$C$14,Raw_LIMS_Export!E30)</f>
        <v>Budapest</v>
      </c>
      <c r="E30" s="17" t="s">
        <v>2482</v>
      </c>
      <c r="F30" s="17">
        <f t="shared" si="1"/>
        <v>1</v>
      </c>
      <c r="G30" s="17" t="str">
        <f t="shared" si="2"/>
        <v>Pass</v>
      </c>
      <c r="H30" s="17" t="str">
        <f t="shared" si="0"/>
        <v>Fail</v>
      </c>
      <c r="I30" s="17">
        <v>97.88</v>
      </c>
      <c r="J30" s="17" t="s">
        <v>2489</v>
      </c>
      <c r="K30" s="17">
        <v>97</v>
      </c>
      <c r="L30" s="17">
        <v>100</v>
      </c>
      <c r="M30" s="18">
        <f>Raw_LIMS_Export!K30</f>
        <v>45969</v>
      </c>
      <c r="N30" s="19" t="s">
        <v>2924</v>
      </c>
    </row>
    <row r="31" spans="1:14" x14ac:dyDescent="0.35">
      <c r="A31" s="16" t="s">
        <v>40</v>
      </c>
      <c r="B31" s="17" t="s">
        <v>2040</v>
      </c>
      <c r="C31" s="17" t="s">
        <v>2460</v>
      </c>
      <c r="D31" s="17" t="str">
        <f>_xlfn.XLOOKUP(Raw_LIMS_Export!E31,'mapping Site table'!$B$4:$B$14,'mapping Site table'!$C$4:$C$14,Raw_LIMS_Export!E31)</f>
        <v>Dortmund DE</v>
      </c>
      <c r="E31" s="17" t="s">
        <v>2483</v>
      </c>
      <c r="F31" s="17">
        <f t="shared" si="1"/>
        <v>1</v>
      </c>
      <c r="G31" s="17" t="str">
        <f t="shared" si="2"/>
        <v>Pass</v>
      </c>
      <c r="H31" s="17" t="str">
        <f t="shared" si="0"/>
        <v>Fail</v>
      </c>
      <c r="I31" s="17">
        <v>0.4</v>
      </c>
      <c r="J31" s="17" t="s">
        <v>2489</v>
      </c>
      <c r="K31" s="17">
        <v>0</v>
      </c>
      <c r="L31" s="17">
        <v>1</v>
      </c>
      <c r="M31" s="18">
        <f>Raw_LIMS_Export!K31</f>
        <v>45386</v>
      </c>
      <c r="N31" s="19" t="s">
        <v>2927</v>
      </c>
    </row>
    <row r="32" spans="1:14" x14ac:dyDescent="0.35">
      <c r="A32" s="16" t="s">
        <v>41</v>
      </c>
      <c r="B32" s="17" t="s">
        <v>2041</v>
      </c>
      <c r="C32" s="17" t="s">
        <v>2460</v>
      </c>
      <c r="D32" s="17" t="str">
        <f>_xlfn.XLOOKUP(Raw_LIMS_Export!E32,'mapping Site table'!$B$4:$B$14,'mapping Site table'!$C$4:$C$14,Raw_LIMS_Export!E32)</f>
        <v>Ashford UK</v>
      </c>
      <c r="E32" s="17" t="s">
        <v>2479</v>
      </c>
      <c r="F32" s="17">
        <f t="shared" si="1"/>
        <v>1</v>
      </c>
      <c r="G32" s="17" t="str">
        <f t="shared" si="2"/>
        <v>Pass</v>
      </c>
      <c r="H32" s="17" t="str">
        <f t="shared" si="0"/>
        <v>Pass</v>
      </c>
      <c r="I32" s="17">
        <v>50.68</v>
      </c>
      <c r="J32" s="17" t="s">
        <v>2486</v>
      </c>
      <c r="K32" s="17">
        <v>0</v>
      </c>
      <c r="L32" s="17">
        <v>120</v>
      </c>
      <c r="M32" s="18">
        <f>Raw_LIMS_Export!K32</f>
        <v>45824</v>
      </c>
      <c r="N32" s="19" t="s">
        <v>2923</v>
      </c>
    </row>
    <row r="33" spans="1:14" x14ac:dyDescent="0.35">
      <c r="A33" s="16" t="s">
        <v>42</v>
      </c>
      <c r="B33" s="17" t="s">
        <v>2042</v>
      </c>
      <c r="C33" s="17" t="s">
        <v>2460</v>
      </c>
      <c r="D33" s="17" t="str">
        <f>_xlfn.XLOOKUP(Raw_LIMS_Export!E33,'mapping Site table'!$B$4:$B$14,'mapping Site table'!$C$4:$C$14,Raw_LIMS_Export!E33)</f>
        <v>Vernier CH</v>
      </c>
      <c r="E33" s="17" t="s">
        <v>2481</v>
      </c>
      <c r="F33" s="17">
        <f t="shared" si="1"/>
        <v>1</v>
      </c>
      <c r="G33" s="17" t="str">
        <f t="shared" si="2"/>
        <v>Pass</v>
      </c>
      <c r="H33" s="17" t="str">
        <f t="shared" si="0"/>
        <v>Fail</v>
      </c>
      <c r="I33" s="17">
        <v>244.91</v>
      </c>
      <c r="J33" s="17" t="s">
        <v>2488</v>
      </c>
      <c r="K33" s="17">
        <v>150</v>
      </c>
      <c r="L33" s="17">
        <v>400</v>
      </c>
      <c r="M33" s="18">
        <f>Raw_LIMS_Export!K33</f>
        <v>45774</v>
      </c>
      <c r="N33" s="19" t="s">
        <v>2929</v>
      </c>
    </row>
    <row r="34" spans="1:14" x14ac:dyDescent="0.35">
      <c r="A34" s="16" t="s">
        <v>43</v>
      </c>
      <c r="B34" s="17" t="s">
        <v>2043</v>
      </c>
      <c r="C34" s="17" t="s">
        <v>2461</v>
      </c>
      <c r="D34" s="17" t="str">
        <f>_xlfn.XLOOKUP(Raw_LIMS_Export!E34,'mapping Site table'!$B$4:$B$14,'mapping Site table'!$C$4:$C$14,Raw_LIMS_Export!E34)</f>
        <v>Vernier CH</v>
      </c>
      <c r="E34" s="17" t="s">
        <v>2484</v>
      </c>
      <c r="F34" s="17">
        <f t="shared" si="1"/>
        <v>1</v>
      </c>
      <c r="G34" s="17" t="str">
        <f t="shared" si="2"/>
        <v>Pass</v>
      </c>
      <c r="H34" s="17" t="str">
        <f t="shared" si="0"/>
        <v>Pass</v>
      </c>
      <c r="I34" s="17">
        <v>6.76</v>
      </c>
      <c r="J34" s="17"/>
      <c r="K34" s="17">
        <v>6</v>
      </c>
      <c r="L34" s="17">
        <v>7.5</v>
      </c>
      <c r="M34" s="18">
        <f>Raw_LIMS_Export!K34</f>
        <v>45431</v>
      </c>
      <c r="N34" s="19" t="s">
        <v>2931</v>
      </c>
    </row>
    <row r="35" spans="1:14" x14ac:dyDescent="0.35">
      <c r="A35" s="16" t="s">
        <v>44</v>
      </c>
      <c r="B35" s="17" t="s">
        <v>2044</v>
      </c>
      <c r="C35" s="17" t="s">
        <v>2459</v>
      </c>
      <c r="D35" s="17" t="str">
        <f>_xlfn.XLOOKUP(Raw_LIMS_Export!E35,'mapping Site table'!$B$4:$B$14,'mapping Site table'!$C$4:$C$14,Raw_LIMS_Export!E35)</f>
        <v>Budapest</v>
      </c>
      <c r="E35" s="17" t="s">
        <v>2480</v>
      </c>
      <c r="F35" s="17">
        <f t="shared" si="1"/>
        <v>1</v>
      </c>
      <c r="G35" s="17" t="str">
        <f t="shared" si="2"/>
        <v>Pass</v>
      </c>
      <c r="H35" s="17" t="str">
        <f t="shared" si="0"/>
        <v>Pending</v>
      </c>
      <c r="I35" s="17">
        <v>0.89</v>
      </c>
      <c r="J35" s="17" t="s">
        <v>2487</v>
      </c>
      <c r="K35" s="17">
        <v>0.88</v>
      </c>
      <c r="L35" s="17">
        <v>0.97</v>
      </c>
      <c r="M35" s="18">
        <f>Raw_LIMS_Export!K35</f>
        <v>45350</v>
      </c>
      <c r="N35" s="19" t="s">
        <v>2923</v>
      </c>
    </row>
    <row r="36" spans="1:14" x14ac:dyDescent="0.35">
      <c r="A36" s="16" t="s">
        <v>45</v>
      </c>
      <c r="B36" s="17" t="s">
        <v>2045</v>
      </c>
      <c r="C36" s="17" t="s">
        <v>2457</v>
      </c>
      <c r="D36" s="17" t="str">
        <f>_xlfn.XLOOKUP(Raw_LIMS_Export!E36,'mapping Site table'!$B$4:$B$14,'mapping Site table'!$C$4:$C$14,Raw_LIMS_Export!E36)</f>
        <v>Budapest</v>
      </c>
      <c r="E36" s="17" t="s">
        <v>2482</v>
      </c>
      <c r="F36" s="17">
        <f t="shared" si="1"/>
        <v>1</v>
      </c>
      <c r="G36" s="17" t="str">
        <f t="shared" si="2"/>
        <v>Pass</v>
      </c>
      <c r="H36" s="17" t="str">
        <f t="shared" si="0"/>
        <v>Pass</v>
      </c>
      <c r="I36" s="17">
        <v>98.67</v>
      </c>
      <c r="J36" s="17" t="s">
        <v>2489</v>
      </c>
      <c r="K36" s="17">
        <v>97</v>
      </c>
      <c r="L36" s="17">
        <v>100</v>
      </c>
      <c r="M36" s="18">
        <f>Raw_LIMS_Export!K36</f>
        <v>45655</v>
      </c>
      <c r="N36" s="19" t="s">
        <v>2925</v>
      </c>
    </row>
    <row r="37" spans="1:14" x14ac:dyDescent="0.35">
      <c r="A37" s="16" t="s">
        <v>46</v>
      </c>
      <c r="B37" s="17" t="s">
        <v>2046</v>
      </c>
      <c r="C37" s="17" t="s">
        <v>2457</v>
      </c>
      <c r="D37" s="17" t="str">
        <f>_xlfn.XLOOKUP(Raw_LIMS_Export!E37,'mapping Site table'!$B$4:$B$14,'mapping Site table'!$C$4:$C$14,Raw_LIMS_Export!E37)</f>
        <v>Dortmund DE</v>
      </c>
      <c r="E37" s="17" t="s">
        <v>2480</v>
      </c>
      <c r="F37" s="17">
        <f t="shared" si="1"/>
        <v>1</v>
      </c>
      <c r="G37" s="17" t="str">
        <f t="shared" si="2"/>
        <v>Fail</v>
      </c>
      <c r="H37" s="17" t="str">
        <f t="shared" si="0"/>
        <v>Fail</v>
      </c>
      <c r="I37" s="17">
        <v>0.79</v>
      </c>
      <c r="J37" s="17" t="s">
        <v>2487</v>
      </c>
      <c r="K37" s="17">
        <v>0.88</v>
      </c>
      <c r="L37" s="17">
        <v>0.97</v>
      </c>
      <c r="M37" s="18">
        <f>Raw_LIMS_Export!K37</f>
        <v>45739</v>
      </c>
      <c r="N37" s="19" t="s">
        <v>2928</v>
      </c>
    </row>
    <row r="38" spans="1:14" x14ac:dyDescent="0.35">
      <c r="A38" s="16" t="s">
        <v>47</v>
      </c>
      <c r="B38" s="17" t="s">
        <v>2047</v>
      </c>
      <c r="C38" s="17" t="s">
        <v>2460</v>
      </c>
      <c r="D38" s="17" t="str">
        <f>_xlfn.XLOOKUP(Raw_LIMS_Export!E38,'mapping Site table'!$B$4:$B$14,'mapping Site table'!$C$4:$C$14,Raw_LIMS_Export!E38)</f>
        <v>Budapest</v>
      </c>
      <c r="E38" s="17" t="s">
        <v>2483</v>
      </c>
      <c r="F38" s="17">
        <f t="shared" si="1"/>
        <v>1</v>
      </c>
      <c r="G38" s="17" t="str">
        <f t="shared" si="2"/>
        <v>Pass</v>
      </c>
      <c r="H38" s="17" t="str">
        <f t="shared" si="0"/>
        <v>Pass</v>
      </c>
      <c r="I38" s="17">
        <v>0.21</v>
      </c>
      <c r="J38" s="17" t="s">
        <v>2489</v>
      </c>
      <c r="K38" s="17">
        <v>0</v>
      </c>
      <c r="L38" s="17">
        <v>1</v>
      </c>
      <c r="M38" s="18">
        <f>Raw_LIMS_Export!K38</f>
        <v>45543</v>
      </c>
      <c r="N38" s="19" t="s">
        <v>2929</v>
      </c>
    </row>
    <row r="39" spans="1:14" x14ac:dyDescent="0.35">
      <c r="A39" s="16" t="s">
        <v>48</v>
      </c>
      <c r="B39" s="17" t="s">
        <v>2048</v>
      </c>
      <c r="C39" s="17" t="s">
        <v>2458</v>
      </c>
      <c r="D39" s="17" t="str">
        <f>_xlfn.XLOOKUP(Raw_LIMS_Export!E39,'mapping Site table'!$B$4:$B$14,'mapping Site table'!$C$4:$C$14,Raw_LIMS_Export!E39)</f>
        <v>Dortmund DE</v>
      </c>
      <c r="E39" s="17" t="s">
        <v>2482</v>
      </c>
      <c r="F39" s="17">
        <f t="shared" si="1"/>
        <v>1</v>
      </c>
      <c r="G39" s="17" t="str">
        <f t="shared" si="2"/>
        <v>Pass</v>
      </c>
      <c r="H39" s="17" t="str">
        <f t="shared" si="0"/>
        <v>Fail</v>
      </c>
      <c r="I39" s="17">
        <v>98.78</v>
      </c>
      <c r="J39" s="17" t="s">
        <v>2489</v>
      </c>
      <c r="K39" s="17">
        <v>97</v>
      </c>
      <c r="L39" s="17">
        <v>100</v>
      </c>
      <c r="M39" s="18">
        <f>Raw_LIMS_Export!K39</f>
        <v>45845</v>
      </c>
      <c r="N39" s="19" t="s">
        <v>2923</v>
      </c>
    </row>
    <row r="40" spans="1:14" x14ac:dyDescent="0.35">
      <c r="A40" s="16" t="s">
        <v>49</v>
      </c>
      <c r="B40" s="17" t="s">
        <v>2049</v>
      </c>
      <c r="C40" s="17" t="s">
        <v>2458</v>
      </c>
      <c r="D40" s="17" t="str">
        <f>_xlfn.XLOOKUP(Raw_LIMS_Export!E40,'mapping Site table'!$B$4:$B$14,'mapping Site table'!$C$4:$C$14,Raw_LIMS_Export!E40)</f>
        <v>Dortmund DE</v>
      </c>
      <c r="E40" s="17" t="s">
        <v>2485</v>
      </c>
      <c r="F40" s="17">
        <f t="shared" si="1"/>
        <v>1</v>
      </c>
      <c r="G40" s="17" t="str">
        <f t="shared" si="2"/>
        <v>Fail</v>
      </c>
      <c r="H40" s="17" t="str">
        <f t="shared" si="0"/>
        <v>Fail</v>
      </c>
      <c r="I40" s="17">
        <v>-27.76</v>
      </c>
      <c r="J40" s="17" t="s">
        <v>2490</v>
      </c>
      <c r="K40" s="17">
        <v>0</v>
      </c>
      <c r="L40" s="17">
        <v>100</v>
      </c>
      <c r="M40" s="18">
        <f>Raw_LIMS_Export!K40</f>
        <v>45452</v>
      </c>
      <c r="N40" s="19" t="s">
        <v>2927</v>
      </c>
    </row>
    <row r="41" spans="1:14" x14ac:dyDescent="0.35">
      <c r="A41" s="16" t="s">
        <v>50</v>
      </c>
      <c r="B41" s="17" t="s">
        <v>2050</v>
      </c>
      <c r="C41" s="17" t="s">
        <v>2461</v>
      </c>
      <c r="D41" s="17" t="str">
        <f>_xlfn.XLOOKUP(Raw_LIMS_Export!E41,'mapping Site table'!$B$4:$B$14,'mapping Site table'!$C$4:$C$14,Raw_LIMS_Export!E41)</f>
        <v>East Hanover</v>
      </c>
      <c r="E41" s="17" t="s">
        <v>2485</v>
      </c>
      <c r="F41" s="17">
        <f t="shared" si="1"/>
        <v>1</v>
      </c>
      <c r="G41" s="17" t="str">
        <f t="shared" si="2"/>
        <v>Pass</v>
      </c>
      <c r="H41" s="17" t="str">
        <f t="shared" si="0"/>
        <v>Pass</v>
      </c>
      <c r="I41" s="17">
        <v>30.04</v>
      </c>
      <c r="J41" s="17" t="s">
        <v>2490</v>
      </c>
      <c r="K41" s="17">
        <v>0</v>
      </c>
      <c r="L41" s="17">
        <v>100</v>
      </c>
      <c r="M41" s="18">
        <f>Raw_LIMS_Export!K41</f>
        <v>45398</v>
      </c>
      <c r="N41" s="19" t="s">
        <v>2926</v>
      </c>
    </row>
    <row r="42" spans="1:14" x14ac:dyDescent="0.35">
      <c r="A42" s="16" t="s">
        <v>51</v>
      </c>
      <c r="B42" s="17" t="s">
        <v>2051</v>
      </c>
      <c r="C42" s="17" t="s">
        <v>2461</v>
      </c>
      <c r="D42" s="17" t="str">
        <f>_xlfn.XLOOKUP(Raw_LIMS_Export!E42,'mapping Site table'!$B$4:$B$14,'mapping Site table'!$C$4:$C$14,Raw_LIMS_Export!E42)</f>
        <v>Dortmund DE</v>
      </c>
      <c r="E42" s="17" t="s">
        <v>2481</v>
      </c>
      <c r="F42" s="17">
        <f t="shared" si="1"/>
        <v>1</v>
      </c>
      <c r="G42" s="17" t="str">
        <f t="shared" si="2"/>
        <v>Pass</v>
      </c>
      <c r="H42" s="17" t="str">
        <f t="shared" si="0"/>
        <v>Fail</v>
      </c>
      <c r="I42" s="17">
        <v>231.5</v>
      </c>
      <c r="J42" s="17" t="s">
        <v>2488</v>
      </c>
      <c r="K42" s="17">
        <v>150</v>
      </c>
      <c r="L42" s="17">
        <v>400</v>
      </c>
      <c r="M42" s="18">
        <f>Raw_LIMS_Export!K42</f>
        <v>45564</v>
      </c>
      <c r="N42" s="19" t="s">
        <v>2927</v>
      </c>
    </row>
    <row r="43" spans="1:14" x14ac:dyDescent="0.35">
      <c r="A43" s="16" t="s">
        <v>52</v>
      </c>
      <c r="B43" s="17" t="s">
        <v>2052</v>
      </c>
      <c r="C43" s="17" t="s">
        <v>2460</v>
      </c>
      <c r="D43" s="17" t="str">
        <f>_xlfn.XLOOKUP(Raw_LIMS_Export!E43,'mapping Site table'!$B$4:$B$14,'mapping Site table'!$C$4:$C$14,Raw_LIMS_Export!E43)</f>
        <v>East Hanover</v>
      </c>
      <c r="E43" s="17" t="s">
        <v>2479</v>
      </c>
      <c r="F43" s="17">
        <f t="shared" si="1"/>
        <v>1</v>
      </c>
      <c r="G43" s="17" t="str">
        <f t="shared" si="2"/>
        <v>Pass</v>
      </c>
      <c r="H43" s="17" t="str">
        <f t="shared" si="0"/>
        <v>Fail</v>
      </c>
      <c r="I43" s="17">
        <v>14.22</v>
      </c>
      <c r="J43" s="17" t="s">
        <v>2486</v>
      </c>
      <c r="K43" s="17">
        <v>0</v>
      </c>
      <c r="L43" s="17">
        <v>120</v>
      </c>
      <c r="M43" s="18">
        <f>Raw_LIMS_Export!K43</f>
        <v>45461</v>
      </c>
      <c r="N43" s="19" t="s">
        <v>2927</v>
      </c>
    </row>
    <row r="44" spans="1:14" x14ac:dyDescent="0.35">
      <c r="A44" s="16" t="s">
        <v>53</v>
      </c>
      <c r="B44" s="17" t="s">
        <v>2053</v>
      </c>
      <c r="C44" s="17" t="s">
        <v>2460</v>
      </c>
      <c r="D44" s="17" t="str">
        <f>_xlfn.XLOOKUP(Raw_LIMS_Export!E44,'mapping Site table'!$B$4:$B$14,'mapping Site table'!$C$4:$C$14,Raw_LIMS_Export!E44)</f>
        <v>East Hanover</v>
      </c>
      <c r="E44" s="17" t="s">
        <v>2479</v>
      </c>
      <c r="F44" s="17">
        <f t="shared" si="1"/>
        <v>1</v>
      </c>
      <c r="G44" s="17" t="str">
        <f t="shared" si="2"/>
        <v>Pass</v>
      </c>
      <c r="H44" s="17" t="str">
        <f t="shared" si="0"/>
        <v>Pass</v>
      </c>
      <c r="I44" s="17">
        <v>45.13</v>
      </c>
      <c r="J44" s="17" t="s">
        <v>2486</v>
      </c>
      <c r="K44" s="17">
        <v>0</v>
      </c>
      <c r="L44" s="17">
        <v>120</v>
      </c>
      <c r="M44" s="18">
        <f>Raw_LIMS_Export!K44</f>
        <v>45703</v>
      </c>
      <c r="N44" s="19" t="s">
        <v>2928</v>
      </c>
    </row>
    <row r="45" spans="1:14" x14ac:dyDescent="0.35">
      <c r="A45" s="16" t="s">
        <v>54</v>
      </c>
      <c r="B45" s="17" t="s">
        <v>2054</v>
      </c>
      <c r="C45" s="17" t="s">
        <v>2457</v>
      </c>
      <c r="D45" s="17" t="str">
        <f>_xlfn.XLOOKUP(Raw_LIMS_Export!E45,'mapping Site table'!$B$4:$B$14,'mapping Site table'!$C$4:$C$14,Raw_LIMS_Export!E45)</f>
        <v>Vernier CH</v>
      </c>
      <c r="E45" s="17" t="s">
        <v>2482</v>
      </c>
      <c r="F45" s="17">
        <f t="shared" si="1"/>
        <v>1</v>
      </c>
      <c r="G45" s="17" t="str">
        <f t="shared" si="2"/>
        <v>Pass</v>
      </c>
      <c r="H45" s="17" t="str">
        <f t="shared" si="0"/>
        <v>Fail</v>
      </c>
      <c r="I45" s="17">
        <v>98.61</v>
      </c>
      <c r="J45" s="17" t="s">
        <v>2489</v>
      </c>
      <c r="K45" s="17">
        <v>97</v>
      </c>
      <c r="L45" s="17">
        <v>100</v>
      </c>
      <c r="M45" s="18">
        <f>Raw_LIMS_Export!K45</f>
        <v>45510</v>
      </c>
      <c r="N45" s="19" t="s">
        <v>2929</v>
      </c>
    </row>
    <row r="46" spans="1:14" x14ac:dyDescent="0.35">
      <c r="A46" s="16" t="s">
        <v>55</v>
      </c>
      <c r="B46" s="17" t="s">
        <v>2055</v>
      </c>
      <c r="C46" s="17" t="s">
        <v>2461</v>
      </c>
      <c r="D46" s="17" t="str">
        <f>_xlfn.XLOOKUP(Raw_LIMS_Export!E46,'mapping Site table'!$B$4:$B$14,'mapping Site table'!$C$4:$C$14,Raw_LIMS_Export!E46)</f>
        <v>Budapest</v>
      </c>
      <c r="E46" s="17" t="s">
        <v>2483</v>
      </c>
      <c r="F46" s="17">
        <f t="shared" si="1"/>
        <v>1</v>
      </c>
      <c r="G46" s="17" t="str">
        <f t="shared" si="2"/>
        <v>Pass</v>
      </c>
      <c r="H46" s="17" t="str">
        <f t="shared" si="0"/>
        <v>Pass</v>
      </c>
      <c r="I46" s="17">
        <v>0.11</v>
      </c>
      <c r="J46" s="17" t="s">
        <v>2489</v>
      </c>
      <c r="K46" s="17">
        <v>0</v>
      </c>
      <c r="L46" s="17">
        <v>1</v>
      </c>
      <c r="M46" s="18">
        <f>Raw_LIMS_Export!K46</f>
        <v>46020</v>
      </c>
      <c r="N46" s="19" t="s">
        <v>2930</v>
      </c>
    </row>
    <row r="47" spans="1:14" x14ac:dyDescent="0.35">
      <c r="A47" s="16" t="s">
        <v>56</v>
      </c>
      <c r="B47" s="17" t="s">
        <v>2056</v>
      </c>
      <c r="C47" s="17" t="s">
        <v>2459</v>
      </c>
      <c r="D47" s="17" t="str">
        <f>_xlfn.XLOOKUP(Raw_LIMS_Export!E47,'mapping Site table'!$B$4:$B$14,'mapping Site table'!$C$4:$C$14,Raw_LIMS_Export!E47)</f>
        <v>Budapest</v>
      </c>
      <c r="E47" s="17" t="s">
        <v>2485</v>
      </c>
      <c r="F47" s="17">
        <f t="shared" si="1"/>
        <v>1</v>
      </c>
      <c r="G47" s="17" t="str">
        <f t="shared" si="2"/>
        <v>Pass</v>
      </c>
      <c r="H47" s="17" t="str">
        <f t="shared" si="0"/>
        <v>Pass</v>
      </c>
      <c r="I47" s="17">
        <v>4.34</v>
      </c>
      <c r="J47" s="17" t="s">
        <v>2490</v>
      </c>
      <c r="K47" s="17">
        <v>0</v>
      </c>
      <c r="L47" s="17">
        <v>100</v>
      </c>
      <c r="M47" s="18">
        <f>Raw_LIMS_Export!K47</f>
        <v>45997</v>
      </c>
      <c r="N47" s="19" t="s">
        <v>2924</v>
      </c>
    </row>
    <row r="48" spans="1:14" x14ac:dyDescent="0.35">
      <c r="A48" s="16" t="s">
        <v>57</v>
      </c>
      <c r="B48" s="17" t="s">
        <v>2057</v>
      </c>
      <c r="C48" s="17" t="s">
        <v>2461</v>
      </c>
      <c r="D48" s="17" t="str">
        <f>_xlfn.XLOOKUP(Raw_LIMS_Export!E48,'mapping Site table'!$B$4:$B$14,'mapping Site table'!$C$4:$C$14,Raw_LIMS_Export!E48)</f>
        <v>Ashford UK</v>
      </c>
      <c r="E48" s="17" t="s">
        <v>2480</v>
      </c>
      <c r="F48" s="17">
        <f t="shared" si="1"/>
        <v>1</v>
      </c>
      <c r="G48" s="17" t="str">
        <f t="shared" si="2"/>
        <v>Fail</v>
      </c>
      <c r="H48" s="17" t="str">
        <f t="shared" si="0"/>
        <v>Fail</v>
      </c>
      <c r="I48" s="17">
        <v>0.86</v>
      </c>
      <c r="J48" s="17" t="s">
        <v>2487</v>
      </c>
      <c r="K48" s="17">
        <v>0.88</v>
      </c>
      <c r="L48" s="17">
        <v>0.97</v>
      </c>
      <c r="M48" s="18">
        <f>Raw_LIMS_Export!K48</f>
        <v>45869</v>
      </c>
      <c r="N48" s="19" t="s">
        <v>2927</v>
      </c>
    </row>
    <row r="49" spans="1:14" x14ac:dyDescent="0.35">
      <c r="A49" s="16" t="s">
        <v>58</v>
      </c>
      <c r="B49" s="17" t="s">
        <v>2058</v>
      </c>
      <c r="C49" s="17" t="s">
        <v>2460</v>
      </c>
      <c r="D49" s="17" t="str">
        <f>_xlfn.XLOOKUP(Raw_LIMS_Export!E49,'mapping Site table'!$B$4:$B$14,'mapping Site table'!$C$4:$C$14,Raw_LIMS_Export!E49)</f>
        <v>Budapest</v>
      </c>
      <c r="E49" s="17" t="s">
        <v>2481</v>
      </c>
      <c r="F49" s="17">
        <f t="shared" si="1"/>
        <v>1</v>
      </c>
      <c r="G49" s="17" t="str">
        <f t="shared" si="2"/>
        <v>Pass</v>
      </c>
      <c r="H49" s="17" t="str">
        <f t="shared" si="0"/>
        <v>Pass</v>
      </c>
      <c r="I49" s="17">
        <v>325.49</v>
      </c>
      <c r="J49" s="17" t="s">
        <v>2488</v>
      </c>
      <c r="K49" s="17">
        <v>150</v>
      </c>
      <c r="L49" s="17">
        <v>400</v>
      </c>
      <c r="M49" s="18">
        <f>Raw_LIMS_Export!K49</f>
        <v>45695</v>
      </c>
      <c r="N49" s="19" t="s">
        <v>2925</v>
      </c>
    </row>
    <row r="50" spans="1:14" x14ac:dyDescent="0.35">
      <c r="A50" s="16" t="s">
        <v>59</v>
      </c>
      <c r="B50" s="17" t="s">
        <v>2059</v>
      </c>
      <c r="C50" s="17" t="s">
        <v>2459</v>
      </c>
      <c r="D50" s="17" t="str">
        <f>_xlfn.XLOOKUP(Raw_LIMS_Export!E50,'mapping Site table'!$B$4:$B$14,'mapping Site table'!$C$4:$C$14,Raw_LIMS_Export!E50)</f>
        <v>Vernier CH</v>
      </c>
      <c r="E50" s="17" t="s">
        <v>2481</v>
      </c>
      <c r="F50" s="17">
        <f t="shared" si="1"/>
        <v>1</v>
      </c>
      <c r="G50" s="17" t="str">
        <f t="shared" si="2"/>
        <v>Fail</v>
      </c>
      <c r="H50" s="17" t="str">
        <f t="shared" si="0"/>
        <v>Fail</v>
      </c>
      <c r="I50" s="17">
        <v>520</v>
      </c>
      <c r="J50" s="17" t="s">
        <v>2488</v>
      </c>
      <c r="K50" s="17">
        <v>150</v>
      </c>
      <c r="L50" s="17">
        <v>400</v>
      </c>
      <c r="M50" s="18">
        <f>Raw_LIMS_Export!K50</f>
        <v>45743</v>
      </c>
      <c r="N50" s="19" t="s">
        <v>2931</v>
      </c>
    </row>
    <row r="51" spans="1:14" x14ac:dyDescent="0.35">
      <c r="A51" s="16" t="s">
        <v>60</v>
      </c>
      <c r="B51" s="17" t="s">
        <v>2060</v>
      </c>
      <c r="C51" s="17" t="s">
        <v>2458</v>
      </c>
      <c r="D51" s="17" t="str">
        <f>_xlfn.XLOOKUP(Raw_LIMS_Export!E51,'mapping Site table'!$B$4:$B$14,'mapping Site table'!$C$4:$C$14,Raw_LIMS_Export!E51)</f>
        <v>East Hanover</v>
      </c>
      <c r="E51" s="17" t="s">
        <v>2483</v>
      </c>
      <c r="F51" s="17">
        <f t="shared" si="1"/>
        <v>1</v>
      </c>
      <c r="G51" s="17" t="str">
        <f t="shared" si="2"/>
        <v>Pass</v>
      </c>
      <c r="H51" s="17" t="str">
        <f t="shared" si="0"/>
        <v>Fail</v>
      </c>
      <c r="I51" s="17">
        <v>0.54</v>
      </c>
      <c r="J51" s="17" t="s">
        <v>2489</v>
      </c>
      <c r="K51" s="17">
        <v>0</v>
      </c>
      <c r="L51" s="17">
        <v>1</v>
      </c>
      <c r="M51" s="18">
        <f>Raw_LIMS_Export!K51</f>
        <v>45751</v>
      </c>
      <c r="N51" s="19" t="s">
        <v>2925</v>
      </c>
    </row>
    <row r="52" spans="1:14" x14ac:dyDescent="0.35">
      <c r="A52" s="16" t="s">
        <v>61</v>
      </c>
      <c r="B52" s="17" t="s">
        <v>2061</v>
      </c>
      <c r="C52" s="17" t="s">
        <v>2457</v>
      </c>
      <c r="D52" s="17" t="str">
        <f>_xlfn.XLOOKUP(Raw_LIMS_Export!E52,'mapping Site table'!$B$4:$B$14,'mapping Site table'!$C$4:$C$14,Raw_LIMS_Export!E52)</f>
        <v>Budapest</v>
      </c>
      <c r="E52" s="17" t="s">
        <v>2480</v>
      </c>
      <c r="F52" s="17">
        <f t="shared" si="1"/>
        <v>1</v>
      </c>
      <c r="G52" s="17" t="str">
        <f t="shared" si="2"/>
        <v>Pass</v>
      </c>
      <c r="H52" s="17" t="str">
        <f t="shared" si="0"/>
        <v>Pass</v>
      </c>
      <c r="I52" s="17">
        <v>0.9</v>
      </c>
      <c r="J52" s="17" t="s">
        <v>2487</v>
      </c>
      <c r="K52" s="17">
        <v>0.88</v>
      </c>
      <c r="L52" s="17">
        <v>0.97</v>
      </c>
      <c r="M52" s="18">
        <f>Raw_LIMS_Export!K52</f>
        <v>45831</v>
      </c>
      <c r="N52" s="19" t="s">
        <v>2925</v>
      </c>
    </row>
    <row r="53" spans="1:14" x14ac:dyDescent="0.35">
      <c r="A53" s="16" t="s">
        <v>62</v>
      </c>
      <c r="B53" s="17" t="s">
        <v>2062</v>
      </c>
      <c r="C53" s="17" t="s">
        <v>2458</v>
      </c>
      <c r="D53" s="17" t="str">
        <f>_xlfn.XLOOKUP(Raw_LIMS_Export!E53,'mapping Site table'!$B$4:$B$14,'mapping Site table'!$C$4:$C$14,Raw_LIMS_Export!E53)</f>
        <v>East Hanover</v>
      </c>
      <c r="E53" s="17" t="s">
        <v>2483</v>
      </c>
      <c r="F53" s="17">
        <f t="shared" si="1"/>
        <v>1</v>
      </c>
      <c r="G53" s="17" t="str">
        <f t="shared" si="2"/>
        <v>Pass</v>
      </c>
      <c r="H53" s="17" t="str">
        <f t="shared" si="0"/>
        <v>Pass</v>
      </c>
      <c r="I53" s="17">
        <v>0.2</v>
      </c>
      <c r="J53" s="17" t="s">
        <v>2489</v>
      </c>
      <c r="K53" s="17">
        <v>0</v>
      </c>
      <c r="L53" s="17">
        <v>1</v>
      </c>
      <c r="M53" s="18">
        <f>Raw_LIMS_Export!K53</f>
        <v>45845</v>
      </c>
      <c r="N53" s="19" t="s">
        <v>2931</v>
      </c>
    </row>
    <row r="54" spans="1:14" x14ac:dyDescent="0.35">
      <c r="A54" s="16" t="s">
        <v>63</v>
      </c>
      <c r="B54" s="17" t="s">
        <v>2063</v>
      </c>
      <c r="C54" s="17" t="s">
        <v>2461</v>
      </c>
      <c r="D54" s="17" t="str">
        <f>_xlfn.XLOOKUP(Raw_LIMS_Export!E54,'mapping Site table'!$B$4:$B$14,'mapping Site table'!$C$4:$C$14,Raw_LIMS_Export!E54)</f>
        <v>East Hanover</v>
      </c>
      <c r="E54" s="17" t="s">
        <v>2481</v>
      </c>
      <c r="F54" s="17">
        <f t="shared" si="1"/>
        <v>0</v>
      </c>
      <c r="G54" s="17" t="str">
        <f t="shared" si="2"/>
        <v>Missing</v>
      </c>
      <c r="H54" s="17" t="str">
        <f t="shared" si="0"/>
        <v>Fail</v>
      </c>
      <c r="I54" s="17"/>
      <c r="J54" s="17" t="s">
        <v>2488</v>
      </c>
      <c r="K54" s="17">
        <v>150</v>
      </c>
      <c r="L54" s="17">
        <v>400</v>
      </c>
      <c r="M54" s="18">
        <f>Raw_LIMS_Export!K54</f>
        <v>45884</v>
      </c>
      <c r="N54" s="19" t="s">
        <v>2925</v>
      </c>
    </row>
    <row r="55" spans="1:14" x14ac:dyDescent="0.35">
      <c r="A55" s="16" t="s">
        <v>64</v>
      </c>
      <c r="B55" s="17" t="s">
        <v>2064</v>
      </c>
      <c r="C55" s="17" t="s">
        <v>2458</v>
      </c>
      <c r="D55" s="17" t="str">
        <f>_xlfn.XLOOKUP(Raw_LIMS_Export!E55,'mapping Site table'!$B$4:$B$14,'mapping Site table'!$C$4:$C$14,Raw_LIMS_Export!E55)</f>
        <v>Vernier CH</v>
      </c>
      <c r="E55" s="17" t="s">
        <v>2482</v>
      </c>
      <c r="F55" s="17">
        <f t="shared" si="1"/>
        <v>1</v>
      </c>
      <c r="G55" s="17" t="str">
        <f t="shared" si="2"/>
        <v>Pass</v>
      </c>
      <c r="H55" s="17" t="str">
        <f t="shared" si="0"/>
        <v>Pass</v>
      </c>
      <c r="I55" s="17">
        <v>98.92</v>
      </c>
      <c r="J55" s="17" t="s">
        <v>2489</v>
      </c>
      <c r="K55" s="17">
        <v>97</v>
      </c>
      <c r="L55" s="17">
        <v>100</v>
      </c>
      <c r="M55" s="18">
        <f>Raw_LIMS_Export!K55</f>
        <v>45715</v>
      </c>
      <c r="N55" s="19" t="s">
        <v>2932</v>
      </c>
    </row>
    <row r="56" spans="1:14" x14ac:dyDescent="0.35">
      <c r="A56" s="16" t="s">
        <v>65</v>
      </c>
      <c r="B56" s="17" t="s">
        <v>2065</v>
      </c>
      <c r="C56" s="17" t="s">
        <v>2459</v>
      </c>
      <c r="D56" s="17" t="str">
        <f>_xlfn.XLOOKUP(Raw_LIMS_Export!E56,'mapping Site table'!$B$4:$B$14,'mapping Site table'!$C$4:$C$14,Raw_LIMS_Export!E56)</f>
        <v>East Hanover</v>
      </c>
      <c r="E56" s="17" t="s">
        <v>2483</v>
      </c>
      <c r="F56" s="17">
        <f t="shared" si="1"/>
        <v>1</v>
      </c>
      <c r="G56" s="17" t="str">
        <f t="shared" si="2"/>
        <v>Pass</v>
      </c>
      <c r="H56" s="17" t="str">
        <f t="shared" si="0"/>
        <v>Pass</v>
      </c>
      <c r="I56" s="17">
        <v>0.36</v>
      </c>
      <c r="J56" s="17" t="s">
        <v>2489</v>
      </c>
      <c r="K56" s="17">
        <v>0</v>
      </c>
      <c r="L56" s="17">
        <v>1</v>
      </c>
      <c r="M56" s="18">
        <f>Raw_LIMS_Export!K56</f>
        <v>45950</v>
      </c>
      <c r="N56" s="19" t="s">
        <v>2925</v>
      </c>
    </row>
    <row r="57" spans="1:14" x14ac:dyDescent="0.35">
      <c r="A57" s="16" t="s">
        <v>66</v>
      </c>
      <c r="B57" s="17" t="s">
        <v>2066</v>
      </c>
      <c r="C57" s="17" t="s">
        <v>2459</v>
      </c>
      <c r="D57" s="17" t="str">
        <f>_xlfn.XLOOKUP(Raw_LIMS_Export!E57,'mapping Site table'!$B$4:$B$14,'mapping Site table'!$C$4:$C$14,Raw_LIMS_Export!E57)</f>
        <v>Ashford UK</v>
      </c>
      <c r="E57" s="17" t="s">
        <v>2481</v>
      </c>
      <c r="F57" s="17">
        <f t="shared" si="1"/>
        <v>1</v>
      </c>
      <c r="G57" s="17" t="str">
        <f t="shared" si="2"/>
        <v>Pass</v>
      </c>
      <c r="H57" s="17" t="str">
        <f t="shared" si="0"/>
        <v>Pass</v>
      </c>
      <c r="I57" s="17">
        <v>246.32</v>
      </c>
      <c r="J57" s="17" t="s">
        <v>2488</v>
      </c>
      <c r="K57" s="17">
        <v>150</v>
      </c>
      <c r="L57" s="17">
        <v>400</v>
      </c>
      <c r="M57" s="18">
        <f>Raw_LIMS_Export!K57</f>
        <v>45566</v>
      </c>
      <c r="N57" s="19" t="s">
        <v>2929</v>
      </c>
    </row>
    <row r="58" spans="1:14" x14ac:dyDescent="0.35">
      <c r="A58" s="16" t="s">
        <v>67</v>
      </c>
      <c r="B58" s="17" t="s">
        <v>2067</v>
      </c>
      <c r="C58" s="17" t="s">
        <v>2459</v>
      </c>
      <c r="D58" s="17" t="str">
        <f>_xlfn.XLOOKUP(Raw_LIMS_Export!E58,'mapping Site table'!$B$4:$B$14,'mapping Site table'!$C$4:$C$14,Raw_LIMS_Export!E58)</f>
        <v>Ashford UK</v>
      </c>
      <c r="E58" s="17" t="s">
        <v>2485</v>
      </c>
      <c r="F58" s="17">
        <f t="shared" si="1"/>
        <v>1</v>
      </c>
      <c r="G58" s="17" t="str">
        <f t="shared" si="2"/>
        <v>Fail</v>
      </c>
      <c r="H58" s="17" t="str">
        <f t="shared" si="0"/>
        <v>Fail</v>
      </c>
      <c r="I58" s="17">
        <v>-50.75</v>
      </c>
      <c r="J58" s="17" t="s">
        <v>2490</v>
      </c>
      <c r="K58" s="17">
        <v>0</v>
      </c>
      <c r="L58" s="17">
        <v>100</v>
      </c>
      <c r="M58" s="18">
        <f>Raw_LIMS_Export!K58</f>
        <v>45844</v>
      </c>
      <c r="N58" s="19" t="s">
        <v>2932</v>
      </c>
    </row>
    <row r="59" spans="1:14" x14ac:dyDescent="0.35">
      <c r="A59" s="16" t="s">
        <v>68</v>
      </c>
      <c r="B59" s="17" t="s">
        <v>2068</v>
      </c>
      <c r="C59" s="17" t="s">
        <v>2459</v>
      </c>
      <c r="D59" s="17" t="str">
        <f>_xlfn.XLOOKUP(Raw_LIMS_Export!E59,'mapping Site table'!$B$4:$B$14,'mapping Site table'!$C$4:$C$14,Raw_LIMS_Export!E59)</f>
        <v>Budapest</v>
      </c>
      <c r="E59" s="17" t="s">
        <v>2485</v>
      </c>
      <c r="F59" s="17">
        <f t="shared" si="1"/>
        <v>1</v>
      </c>
      <c r="G59" s="17" t="str">
        <f t="shared" si="2"/>
        <v>Pass</v>
      </c>
      <c r="H59" s="17" t="str">
        <f t="shared" si="0"/>
        <v>Fail</v>
      </c>
      <c r="I59" s="17">
        <v>23.3</v>
      </c>
      <c r="J59" s="17" t="s">
        <v>2490</v>
      </c>
      <c r="K59" s="17">
        <v>0</v>
      </c>
      <c r="L59" s="17">
        <v>100</v>
      </c>
      <c r="M59" s="18">
        <f>Raw_LIMS_Export!K59</f>
        <v>45999</v>
      </c>
      <c r="N59" s="19" t="s">
        <v>2923</v>
      </c>
    </row>
    <row r="60" spans="1:14" x14ac:dyDescent="0.35">
      <c r="A60" s="16" t="s">
        <v>69</v>
      </c>
      <c r="B60" s="17" t="s">
        <v>2069</v>
      </c>
      <c r="C60" s="17" t="s">
        <v>2458</v>
      </c>
      <c r="D60" s="17" t="str">
        <f>_xlfn.XLOOKUP(Raw_LIMS_Export!E60,'mapping Site table'!$B$4:$B$14,'mapping Site table'!$C$4:$C$14,Raw_LIMS_Export!E60)</f>
        <v>East Hanover</v>
      </c>
      <c r="E60" s="17" t="s">
        <v>2485</v>
      </c>
      <c r="F60" s="17">
        <f t="shared" si="1"/>
        <v>1</v>
      </c>
      <c r="G60" s="17" t="str">
        <f t="shared" si="2"/>
        <v>Fail</v>
      </c>
      <c r="H60" s="17" t="str">
        <f t="shared" si="0"/>
        <v>Fail</v>
      </c>
      <c r="I60" s="17">
        <v>-21.13</v>
      </c>
      <c r="J60" s="17" t="s">
        <v>2490</v>
      </c>
      <c r="K60" s="17">
        <v>0</v>
      </c>
      <c r="L60" s="17">
        <v>100</v>
      </c>
      <c r="M60" s="18">
        <f>Raw_LIMS_Export!K60</f>
        <v>45766</v>
      </c>
      <c r="N60" s="19" t="s">
        <v>2925</v>
      </c>
    </row>
    <row r="61" spans="1:14" x14ac:dyDescent="0.35">
      <c r="A61" s="16" t="s">
        <v>70</v>
      </c>
      <c r="B61" s="17" t="s">
        <v>2070</v>
      </c>
      <c r="C61" s="17" t="s">
        <v>2460</v>
      </c>
      <c r="D61" s="17" t="str">
        <f>_xlfn.XLOOKUP(Raw_LIMS_Export!E61,'mapping Site table'!$B$4:$B$14,'mapping Site table'!$C$4:$C$14,Raw_LIMS_Export!E61)</f>
        <v>Vernier CH</v>
      </c>
      <c r="E61" s="17" t="s">
        <v>2483</v>
      </c>
      <c r="F61" s="17">
        <f t="shared" si="1"/>
        <v>1</v>
      </c>
      <c r="G61" s="17" t="str">
        <f t="shared" si="2"/>
        <v>Pass</v>
      </c>
      <c r="H61" s="17" t="str">
        <f t="shared" si="0"/>
        <v>Pass</v>
      </c>
      <c r="I61" s="17">
        <v>0.46</v>
      </c>
      <c r="J61" s="17" t="s">
        <v>2489</v>
      </c>
      <c r="K61" s="17">
        <v>0</v>
      </c>
      <c r="L61" s="17">
        <v>1</v>
      </c>
      <c r="M61" s="18">
        <f>Raw_LIMS_Export!K61</f>
        <v>45300</v>
      </c>
      <c r="N61" s="19" t="s">
        <v>2923</v>
      </c>
    </row>
    <row r="62" spans="1:14" x14ac:dyDescent="0.35">
      <c r="A62" s="16" t="s">
        <v>71</v>
      </c>
      <c r="B62" s="17" t="s">
        <v>2035</v>
      </c>
      <c r="C62" s="17" t="s">
        <v>2461</v>
      </c>
      <c r="D62" s="17" t="str">
        <f>_xlfn.XLOOKUP(Raw_LIMS_Export!E62,'mapping Site table'!$B$4:$B$14,'mapping Site table'!$C$4:$C$14,Raw_LIMS_Export!E62)</f>
        <v>Ashford UK</v>
      </c>
      <c r="E62" s="17" t="s">
        <v>2484</v>
      </c>
      <c r="F62" s="17">
        <f t="shared" si="1"/>
        <v>1</v>
      </c>
      <c r="G62" s="17" t="str">
        <f t="shared" si="2"/>
        <v>Pass</v>
      </c>
      <c r="H62" s="17" t="str">
        <f t="shared" si="0"/>
        <v>Pending</v>
      </c>
      <c r="I62" s="17">
        <v>7.06</v>
      </c>
      <c r="J62" s="17"/>
      <c r="K62" s="17">
        <v>6</v>
      </c>
      <c r="L62" s="17">
        <v>7.5</v>
      </c>
      <c r="M62" s="18">
        <f>Raw_LIMS_Export!K62</f>
        <v>45853</v>
      </c>
      <c r="N62" s="19" t="s">
        <v>2926</v>
      </c>
    </row>
    <row r="63" spans="1:14" x14ac:dyDescent="0.35">
      <c r="A63" s="16" t="s">
        <v>72</v>
      </c>
      <c r="B63" s="17" t="s">
        <v>2071</v>
      </c>
      <c r="C63" s="17" t="s">
        <v>2457</v>
      </c>
      <c r="D63" s="17" t="str">
        <f>_xlfn.XLOOKUP(Raw_LIMS_Export!E63,'mapping Site table'!$B$4:$B$14,'mapping Site table'!$C$4:$C$14,Raw_LIMS_Export!E63)</f>
        <v>Vernier CH</v>
      </c>
      <c r="E63" s="17" t="s">
        <v>2483</v>
      </c>
      <c r="F63" s="17">
        <f t="shared" si="1"/>
        <v>1</v>
      </c>
      <c r="G63" s="17" t="str">
        <f t="shared" si="2"/>
        <v>Pass</v>
      </c>
      <c r="H63" s="17" t="str">
        <f t="shared" si="0"/>
        <v>Fail</v>
      </c>
      <c r="I63" s="17">
        <v>0.44</v>
      </c>
      <c r="J63" s="17" t="s">
        <v>2489</v>
      </c>
      <c r="K63" s="17">
        <v>0</v>
      </c>
      <c r="L63" s="17">
        <v>1</v>
      </c>
      <c r="M63" s="18">
        <f>Raw_LIMS_Export!K63</f>
        <v>45864</v>
      </c>
      <c r="N63" s="19" t="s">
        <v>2926</v>
      </c>
    </row>
    <row r="64" spans="1:14" x14ac:dyDescent="0.35">
      <c r="A64" s="16" t="s">
        <v>73</v>
      </c>
      <c r="B64" s="17" t="s">
        <v>2072</v>
      </c>
      <c r="C64" s="17" t="s">
        <v>2460</v>
      </c>
      <c r="D64" s="17" t="str">
        <f>_xlfn.XLOOKUP(Raw_LIMS_Export!E64,'mapping Site table'!$B$4:$B$14,'mapping Site table'!$C$4:$C$14,Raw_LIMS_Export!E64)</f>
        <v>Dortmund DE</v>
      </c>
      <c r="E64" s="17" t="s">
        <v>2485</v>
      </c>
      <c r="F64" s="17">
        <f t="shared" si="1"/>
        <v>1</v>
      </c>
      <c r="G64" s="17" t="str">
        <f t="shared" si="2"/>
        <v>Pass</v>
      </c>
      <c r="H64" s="17" t="str">
        <f t="shared" si="0"/>
        <v>Pass</v>
      </c>
      <c r="I64" s="17">
        <v>18.95</v>
      </c>
      <c r="J64" s="17" t="s">
        <v>2490</v>
      </c>
      <c r="K64" s="17">
        <v>0</v>
      </c>
      <c r="L64" s="17">
        <v>100</v>
      </c>
      <c r="M64" s="18">
        <f>Raw_LIMS_Export!K64</f>
        <v>45544</v>
      </c>
      <c r="N64" s="19" t="s">
        <v>2932</v>
      </c>
    </row>
    <row r="65" spans="1:14" x14ac:dyDescent="0.35">
      <c r="A65" s="16" t="s">
        <v>74</v>
      </c>
      <c r="B65" s="17" t="s">
        <v>2032</v>
      </c>
      <c r="C65" s="17" t="s">
        <v>2460</v>
      </c>
      <c r="D65" s="17" t="str">
        <f>_xlfn.XLOOKUP(Raw_LIMS_Export!E65,'mapping Site table'!$B$4:$B$14,'mapping Site table'!$C$4:$C$14,Raw_LIMS_Export!E65)</f>
        <v>Ashford UK</v>
      </c>
      <c r="E65" s="17" t="s">
        <v>2482</v>
      </c>
      <c r="F65" s="17">
        <f t="shared" si="1"/>
        <v>1</v>
      </c>
      <c r="G65" s="17" t="str">
        <f t="shared" si="2"/>
        <v>Fail</v>
      </c>
      <c r="H65" s="17" t="str">
        <f t="shared" si="0"/>
        <v>Fail</v>
      </c>
      <c r="I65" s="17">
        <v>101.8</v>
      </c>
      <c r="J65" s="17" t="s">
        <v>2489</v>
      </c>
      <c r="K65" s="17">
        <v>97</v>
      </c>
      <c r="L65" s="17">
        <v>100</v>
      </c>
      <c r="M65" s="18">
        <f>Raw_LIMS_Export!K65</f>
        <v>45409</v>
      </c>
      <c r="N65" s="19" t="s">
        <v>2928</v>
      </c>
    </row>
    <row r="66" spans="1:14" x14ac:dyDescent="0.35">
      <c r="A66" s="16" t="s">
        <v>75</v>
      </c>
      <c r="B66" s="17" t="s">
        <v>2073</v>
      </c>
      <c r="C66" s="17" t="s">
        <v>2457</v>
      </c>
      <c r="D66" s="17" t="str">
        <f>_xlfn.XLOOKUP(Raw_LIMS_Export!E66,'mapping Site table'!$B$4:$B$14,'mapping Site table'!$C$4:$C$14,Raw_LIMS_Export!E66)</f>
        <v>Dortmund DE</v>
      </c>
      <c r="E66" s="17" t="s">
        <v>2479</v>
      </c>
      <c r="F66" s="17">
        <f t="shared" si="1"/>
        <v>1</v>
      </c>
      <c r="G66" s="17" t="str">
        <f t="shared" si="2"/>
        <v>Pass</v>
      </c>
      <c r="H66" s="17" t="str">
        <f t="shared" ref="H66:H129" si="3">IF(COUNTIFS($B$2:$B$2016,B66,$G$2:$G$2016,"Fail")&gt;0,"Fail",
  IF(COUNTIFS($B$2:$B$2016,B66,$G$2:$G$2016,"Missing")&gt;0,"Pending",
    "Pass"))</f>
        <v>Pending</v>
      </c>
      <c r="I66" s="17">
        <v>52.51</v>
      </c>
      <c r="J66" s="17" t="s">
        <v>2486</v>
      </c>
      <c r="K66" s="17">
        <v>0</v>
      </c>
      <c r="L66" s="17">
        <v>120</v>
      </c>
      <c r="M66" s="18">
        <f>Raw_LIMS_Export!K66</f>
        <v>45638</v>
      </c>
      <c r="N66" s="19" t="s">
        <v>2925</v>
      </c>
    </row>
    <row r="67" spans="1:14" x14ac:dyDescent="0.35">
      <c r="A67" s="16" t="s">
        <v>76</v>
      </c>
      <c r="B67" s="17" t="s">
        <v>2074</v>
      </c>
      <c r="C67" s="17" t="s">
        <v>2457</v>
      </c>
      <c r="D67" s="17" t="str">
        <f>_xlfn.XLOOKUP(Raw_LIMS_Export!E67,'mapping Site table'!$B$4:$B$14,'mapping Site table'!$C$4:$C$14,Raw_LIMS_Export!E67)</f>
        <v>Ashford UK</v>
      </c>
      <c r="E67" s="17" t="s">
        <v>2483</v>
      </c>
      <c r="F67" s="17">
        <f t="shared" ref="F67:F130" si="4">IF(I67="",0,1)</f>
        <v>1</v>
      </c>
      <c r="G67" s="17" t="str">
        <f t="shared" ref="G67:G130" si="5">IF(I67="", "Missing", IF(AND(I67&gt;=K67, I67&lt;=L67), "Pass", "Fail"))</f>
        <v>Pass</v>
      </c>
      <c r="H67" s="17" t="str">
        <f t="shared" si="3"/>
        <v>Pass</v>
      </c>
      <c r="I67" s="17">
        <v>0.41</v>
      </c>
      <c r="J67" s="17" t="s">
        <v>2489</v>
      </c>
      <c r="K67" s="17">
        <v>0</v>
      </c>
      <c r="L67" s="17">
        <v>1</v>
      </c>
      <c r="M67" s="18">
        <f>Raw_LIMS_Export!K67</f>
        <v>45416</v>
      </c>
      <c r="N67" s="19" t="s">
        <v>2930</v>
      </c>
    </row>
    <row r="68" spans="1:14" x14ac:dyDescent="0.35">
      <c r="A68" s="16" t="s">
        <v>77</v>
      </c>
      <c r="B68" s="17" t="s">
        <v>2075</v>
      </c>
      <c r="C68" s="17" t="s">
        <v>2461</v>
      </c>
      <c r="D68" s="17" t="str">
        <f>_xlfn.XLOOKUP(Raw_LIMS_Export!E68,'mapping Site table'!$B$4:$B$14,'mapping Site table'!$C$4:$C$14,Raw_LIMS_Export!E68)</f>
        <v>Budapest</v>
      </c>
      <c r="E68" s="17" t="s">
        <v>2479</v>
      </c>
      <c r="F68" s="17">
        <f t="shared" si="4"/>
        <v>1</v>
      </c>
      <c r="G68" s="17" t="str">
        <f t="shared" si="5"/>
        <v>Pass</v>
      </c>
      <c r="H68" s="17" t="str">
        <f t="shared" si="3"/>
        <v>Pass</v>
      </c>
      <c r="I68" s="17">
        <v>34.86</v>
      </c>
      <c r="J68" s="17" t="s">
        <v>2486</v>
      </c>
      <c r="K68" s="17">
        <v>0</v>
      </c>
      <c r="L68" s="17">
        <v>120</v>
      </c>
      <c r="M68" s="18">
        <f>Raw_LIMS_Export!K68</f>
        <v>45686</v>
      </c>
      <c r="N68" s="19" t="s">
        <v>2930</v>
      </c>
    </row>
    <row r="69" spans="1:14" x14ac:dyDescent="0.35">
      <c r="A69" s="16" t="s">
        <v>78</v>
      </c>
      <c r="B69" s="17" t="s">
        <v>2076</v>
      </c>
      <c r="C69" s="17" t="s">
        <v>2458</v>
      </c>
      <c r="D69" s="17" t="str">
        <f>_xlfn.XLOOKUP(Raw_LIMS_Export!E69,'mapping Site table'!$B$4:$B$14,'mapping Site table'!$C$4:$C$14,Raw_LIMS_Export!E69)</f>
        <v>East Hanover</v>
      </c>
      <c r="E69" s="17" t="s">
        <v>2479</v>
      </c>
      <c r="F69" s="17">
        <f t="shared" si="4"/>
        <v>1</v>
      </c>
      <c r="G69" s="17" t="str">
        <f t="shared" si="5"/>
        <v>Pass</v>
      </c>
      <c r="H69" s="17" t="str">
        <f t="shared" si="3"/>
        <v>Pass</v>
      </c>
      <c r="I69" s="17">
        <v>65.31</v>
      </c>
      <c r="J69" s="17" t="s">
        <v>2486</v>
      </c>
      <c r="K69" s="17">
        <v>0</v>
      </c>
      <c r="L69" s="17">
        <v>120</v>
      </c>
      <c r="M69" s="18">
        <f>Raw_LIMS_Export!K69</f>
        <v>45955</v>
      </c>
      <c r="N69" s="19" t="s">
        <v>2929</v>
      </c>
    </row>
    <row r="70" spans="1:14" x14ac:dyDescent="0.35">
      <c r="A70" s="16" t="s">
        <v>79</v>
      </c>
      <c r="B70" s="17" t="s">
        <v>2077</v>
      </c>
      <c r="C70" s="17" t="s">
        <v>2461</v>
      </c>
      <c r="D70" s="17" t="str">
        <f>_xlfn.XLOOKUP(Raw_LIMS_Export!E70,'mapping Site table'!$B$4:$B$14,'mapping Site table'!$C$4:$C$14,Raw_LIMS_Export!E70)</f>
        <v>Ashford UK</v>
      </c>
      <c r="E70" s="17" t="s">
        <v>2483</v>
      </c>
      <c r="F70" s="17">
        <f t="shared" si="4"/>
        <v>1</v>
      </c>
      <c r="G70" s="17" t="str">
        <f t="shared" si="5"/>
        <v>Pass</v>
      </c>
      <c r="H70" s="17" t="str">
        <f t="shared" si="3"/>
        <v>Pass</v>
      </c>
      <c r="I70" s="17">
        <v>0.34</v>
      </c>
      <c r="J70" s="17" t="s">
        <v>2489</v>
      </c>
      <c r="K70" s="17">
        <v>0</v>
      </c>
      <c r="L70" s="17">
        <v>1</v>
      </c>
      <c r="M70" s="18">
        <f>Raw_LIMS_Export!K70</f>
        <v>45885</v>
      </c>
      <c r="N70" s="19" t="s">
        <v>2923</v>
      </c>
    </row>
    <row r="71" spans="1:14" x14ac:dyDescent="0.35">
      <c r="A71" s="16" t="s">
        <v>80</v>
      </c>
      <c r="B71" s="17" t="s">
        <v>2078</v>
      </c>
      <c r="C71" s="17" t="s">
        <v>2460</v>
      </c>
      <c r="D71" s="17" t="str">
        <f>_xlfn.XLOOKUP(Raw_LIMS_Export!E71,'mapping Site table'!$B$4:$B$14,'mapping Site table'!$C$4:$C$14,Raw_LIMS_Export!E71)</f>
        <v>Ashford UK</v>
      </c>
      <c r="E71" s="17" t="s">
        <v>2484</v>
      </c>
      <c r="F71" s="17">
        <f t="shared" si="4"/>
        <v>1</v>
      </c>
      <c r="G71" s="17" t="str">
        <f t="shared" si="5"/>
        <v>Pass</v>
      </c>
      <c r="H71" s="17" t="str">
        <f t="shared" si="3"/>
        <v>Pass</v>
      </c>
      <c r="I71" s="17">
        <v>6.37</v>
      </c>
      <c r="J71" s="17"/>
      <c r="K71" s="17">
        <v>6</v>
      </c>
      <c r="L71" s="17">
        <v>7.5</v>
      </c>
      <c r="M71" s="18">
        <f>Raw_LIMS_Export!K71</f>
        <v>45777</v>
      </c>
      <c r="N71" s="19" t="s">
        <v>2929</v>
      </c>
    </row>
    <row r="72" spans="1:14" x14ac:dyDescent="0.35">
      <c r="A72" s="16" t="s">
        <v>81</v>
      </c>
      <c r="B72" s="17" t="s">
        <v>2079</v>
      </c>
      <c r="C72" s="17" t="s">
        <v>2459</v>
      </c>
      <c r="D72" s="17" t="str">
        <f>_xlfn.XLOOKUP(Raw_LIMS_Export!E72,'mapping Site table'!$B$4:$B$14,'mapping Site table'!$C$4:$C$14,Raw_LIMS_Export!E72)</f>
        <v>Ashford UK</v>
      </c>
      <c r="E72" s="17" t="s">
        <v>2481</v>
      </c>
      <c r="F72" s="17">
        <f t="shared" si="4"/>
        <v>1</v>
      </c>
      <c r="G72" s="17" t="str">
        <f t="shared" si="5"/>
        <v>Pass</v>
      </c>
      <c r="H72" s="17" t="str">
        <f t="shared" si="3"/>
        <v>Pass</v>
      </c>
      <c r="I72" s="17">
        <v>237.51</v>
      </c>
      <c r="J72" s="17" t="s">
        <v>2488</v>
      </c>
      <c r="K72" s="17">
        <v>150</v>
      </c>
      <c r="L72" s="17">
        <v>400</v>
      </c>
      <c r="M72" s="18">
        <f>Raw_LIMS_Export!K72</f>
        <v>45860</v>
      </c>
      <c r="N72" s="19" t="s">
        <v>2925</v>
      </c>
    </row>
    <row r="73" spans="1:14" x14ac:dyDescent="0.35">
      <c r="A73" s="16" t="s">
        <v>82</v>
      </c>
      <c r="B73" s="17" t="s">
        <v>2080</v>
      </c>
      <c r="C73" s="17" t="s">
        <v>2457</v>
      </c>
      <c r="D73" s="17" t="str">
        <f>_xlfn.XLOOKUP(Raw_LIMS_Export!E73,'mapping Site table'!$B$4:$B$14,'mapping Site table'!$C$4:$C$14,Raw_LIMS_Export!E73)</f>
        <v>Budapest</v>
      </c>
      <c r="E73" s="17" t="s">
        <v>2480</v>
      </c>
      <c r="F73" s="17">
        <f t="shared" si="4"/>
        <v>1</v>
      </c>
      <c r="G73" s="17" t="str">
        <f t="shared" si="5"/>
        <v>Pass</v>
      </c>
      <c r="H73" s="17" t="str">
        <f t="shared" si="3"/>
        <v>Pending</v>
      </c>
      <c r="I73" s="17">
        <v>0.92</v>
      </c>
      <c r="J73" s="17" t="s">
        <v>2487</v>
      </c>
      <c r="K73" s="17">
        <v>0.88</v>
      </c>
      <c r="L73" s="17">
        <v>0.97</v>
      </c>
      <c r="M73" s="18">
        <f>Raw_LIMS_Export!K73</f>
        <v>45304</v>
      </c>
      <c r="N73" s="19" t="s">
        <v>2931</v>
      </c>
    </row>
    <row r="74" spans="1:14" x14ac:dyDescent="0.35">
      <c r="A74" s="16" t="s">
        <v>83</v>
      </c>
      <c r="B74" s="17" t="s">
        <v>2081</v>
      </c>
      <c r="C74" s="17" t="s">
        <v>2458</v>
      </c>
      <c r="D74" s="17" t="str">
        <f>_xlfn.XLOOKUP(Raw_LIMS_Export!E74,'mapping Site table'!$B$4:$B$14,'mapping Site table'!$C$4:$C$14,Raw_LIMS_Export!E74)</f>
        <v>Dortmund DE</v>
      </c>
      <c r="E74" s="17" t="s">
        <v>2479</v>
      </c>
      <c r="F74" s="17">
        <f t="shared" si="4"/>
        <v>1</v>
      </c>
      <c r="G74" s="17" t="str">
        <f t="shared" si="5"/>
        <v>Pass</v>
      </c>
      <c r="H74" s="17" t="str">
        <f t="shared" si="3"/>
        <v>Pass</v>
      </c>
      <c r="I74" s="17">
        <v>54.35</v>
      </c>
      <c r="J74" s="17" t="s">
        <v>2486</v>
      </c>
      <c r="K74" s="17">
        <v>0</v>
      </c>
      <c r="L74" s="17">
        <v>120</v>
      </c>
      <c r="M74" s="18">
        <f>Raw_LIMS_Export!K74</f>
        <v>45610</v>
      </c>
      <c r="N74" s="19" t="s">
        <v>2930</v>
      </c>
    </row>
    <row r="75" spans="1:14" x14ac:dyDescent="0.35">
      <c r="A75" s="16" t="s">
        <v>84</v>
      </c>
      <c r="B75" s="17" t="s">
        <v>2082</v>
      </c>
      <c r="C75" s="17" t="s">
        <v>2461</v>
      </c>
      <c r="D75" s="17" t="str">
        <f>_xlfn.XLOOKUP(Raw_LIMS_Export!E75,'mapping Site table'!$B$4:$B$14,'mapping Site table'!$C$4:$C$14,Raw_LIMS_Export!E75)</f>
        <v>Ashford UK</v>
      </c>
      <c r="E75" s="17" t="s">
        <v>2481</v>
      </c>
      <c r="F75" s="17">
        <f t="shared" si="4"/>
        <v>1</v>
      </c>
      <c r="G75" s="17" t="str">
        <f t="shared" si="5"/>
        <v>Pass</v>
      </c>
      <c r="H75" s="17" t="str">
        <f t="shared" si="3"/>
        <v>Pass</v>
      </c>
      <c r="I75" s="17">
        <v>242.7</v>
      </c>
      <c r="J75" s="17" t="s">
        <v>2488</v>
      </c>
      <c r="K75" s="17">
        <v>150</v>
      </c>
      <c r="L75" s="17">
        <v>400</v>
      </c>
      <c r="M75" s="18">
        <f>Raw_LIMS_Export!K75</f>
        <v>45392</v>
      </c>
      <c r="N75" s="19" t="s">
        <v>2929</v>
      </c>
    </row>
    <row r="76" spans="1:14" x14ac:dyDescent="0.35">
      <c r="A76" s="16" t="s">
        <v>85</v>
      </c>
      <c r="B76" s="17" t="s">
        <v>2083</v>
      </c>
      <c r="C76" s="17" t="s">
        <v>2459</v>
      </c>
      <c r="D76" s="17" t="str">
        <f>_xlfn.XLOOKUP(Raw_LIMS_Export!E76,'mapping Site table'!$B$4:$B$14,'mapping Site table'!$C$4:$C$14,Raw_LIMS_Export!E76)</f>
        <v>Ashford UK</v>
      </c>
      <c r="E76" s="17" t="s">
        <v>2480</v>
      </c>
      <c r="F76" s="17">
        <f t="shared" si="4"/>
        <v>1</v>
      </c>
      <c r="G76" s="17" t="str">
        <f t="shared" si="5"/>
        <v>Pass</v>
      </c>
      <c r="H76" s="17" t="str">
        <f t="shared" si="3"/>
        <v>Pass</v>
      </c>
      <c r="I76" s="17">
        <v>0.92</v>
      </c>
      <c r="J76" s="17" t="s">
        <v>2487</v>
      </c>
      <c r="K76" s="17">
        <v>0.88</v>
      </c>
      <c r="L76" s="17">
        <v>0.97</v>
      </c>
      <c r="M76" s="18">
        <f>Raw_LIMS_Export!K76</f>
        <v>45979</v>
      </c>
      <c r="N76" s="19" t="s">
        <v>2929</v>
      </c>
    </row>
    <row r="77" spans="1:14" x14ac:dyDescent="0.35">
      <c r="A77" s="16" t="s">
        <v>86</v>
      </c>
      <c r="B77" s="17" t="s">
        <v>2084</v>
      </c>
      <c r="C77" s="17" t="s">
        <v>2458</v>
      </c>
      <c r="D77" s="17" t="str">
        <f>_xlfn.XLOOKUP(Raw_LIMS_Export!E77,'mapping Site table'!$B$4:$B$14,'mapping Site table'!$C$4:$C$14,Raw_LIMS_Export!E77)</f>
        <v>Ashford UK</v>
      </c>
      <c r="E77" s="17" t="s">
        <v>2483</v>
      </c>
      <c r="F77" s="17">
        <f t="shared" si="4"/>
        <v>1</v>
      </c>
      <c r="G77" s="17" t="str">
        <f t="shared" si="5"/>
        <v>Pass</v>
      </c>
      <c r="H77" s="17" t="str">
        <f t="shared" si="3"/>
        <v>Pass</v>
      </c>
      <c r="I77" s="17">
        <v>0.41</v>
      </c>
      <c r="J77" s="17" t="s">
        <v>2489</v>
      </c>
      <c r="K77" s="17">
        <v>0</v>
      </c>
      <c r="L77" s="17">
        <v>1</v>
      </c>
      <c r="M77" s="18">
        <f>Raw_LIMS_Export!K77</f>
        <v>45874</v>
      </c>
      <c r="N77" s="19" t="s">
        <v>2923</v>
      </c>
    </row>
    <row r="78" spans="1:14" x14ac:dyDescent="0.35">
      <c r="A78" s="16" t="s">
        <v>87</v>
      </c>
      <c r="B78" s="17" t="s">
        <v>2085</v>
      </c>
      <c r="C78" s="17" t="s">
        <v>2461</v>
      </c>
      <c r="D78" s="17" t="str">
        <f>_xlfn.XLOOKUP(Raw_LIMS_Export!E78,'mapping Site table'!$B$4:$B$14,'mapping Site table'!$C$4:$C$14,Raw_LIMS_Export!E78)</f>
        <v>Dortmund DE</v>
      </c>
      <c r="E78" s="17" t="s">
        <v>2482</v>
      </c>
      <c r="F78" s="17">
        <f t="shared" si="4"/>
        <v>1</v>
      </c>
      <c r="G78" s="17" t="str">
        <f t="shared" si="5"/>
        <v>Pass</v>
      </c>
      <c r="H78" s="17" t="str">
        <f t="shared" si="3"/>
        <v>Fail</v>
      </c>
      <c r="I78" s="17">
        <v>98.76</v>
      </c>
      <c r="J78" s="17" t="s">
        <v>2489</v>
      </c>
      <c r="K78" s="17">
        <v>97</v>
      </c>
      <c r="L78" s="17">
        <v>100</v>
      </c>
      <c r="M78" s="18">
        <f>Raw_LIMS_Export!K78</f>
        <v>46008</v>
      </c>
      <c r="N78" s="19" t="s">
        <v>2931</v>
      </c>
    </row>
    <row r="79" spans="1:14" x14ac:dyDescent="0.35">
      <c r="A79" s="16" t="s">
        <v>88</v>
      </c>
      <c r="B79" s="17" t="s">
        <v>2086</v>
      </c>
      <c r="C79" s="17" t="s">
        <v>2459</v>
      </c>
      <c r="D79" s="17" t="str">
        <f>_xlfn.XLOOKUP(Raw_LIMS_Export!E79,'mapping Site table'!$B$4:$B$14,'mapping Site table'!$C$4:$C$14,Raw_LIMS_Export!E79)</f>
        <v>Ashford UK</v>
      </c>
      <c r="E79" s="17" t="s">
        <v>2479</v>
      </c>
      <c r="F79" s="17">
        <f t="shared" si="4"/>
        <v>1</v>
      </c>
      <c r="G79" s="17" t="str">
        <f t="shared" si="5"/>
        <v>Fail</v>
      </c>
      <c r="H79" s="17" t="str">
        <f t="shared" si="3"/>
        <v>Fail</v>
      </c>
      <c r="I79" s="17">
        <v>-13.42</v>
      </c>
      <c r="J79" s="17" t="s">
        <v>2486</v>
      </c>
      <c r="K79" s="17">
        <v>0</v>
      </c>
      <c r="L79" s="17">
        <v>120</v>
      </c>
      <c r="M79" s="18">
        <f>Raw_LIMS_Export!K79</f>
        <v>45668</v>
      </c>
      <c r="N79" s="19" t="s">
        <v>2930</v>
      </c>
    </row>
    <row r="80" spans="1:14" x14ac:dyDescent="0.35">
      <c r="A80" s="16" t="s">
        <v>89</v>
      </c>
      <c r="B80" s="17" t="s">
        <v>2013</v>
      </c>
      <c r="C80" s="17" t="s">
        <v>2457</v>
      </c>
      <c r="D80" s="17" t="str">
        <f>_xlfn.XLOOKUP(Raw_LIMS_Export!E80,'mapping Site table'!$B$4:$B$14,'mapping Site table'!$C$4:$C$14,Raw_LIMS_Export!E80)</f>
        <v>East Hanover</v>
      </c>
      <c r="E80" s="17" t="s">
        <v>2480</v>
      </c>
      <c r="F80" s="17">
        <f t="shared" si="4"/>
        <v>1</v>
      </c>
      <c r="G80" s="17" t="str">
        <f t="shared" si="5"/>
        <v>Pass</v>
      </c>
      <c r="H80" s="17" t="str">
        <f t="shared" si="3"/>
        <v>Pass</v>
      </c>
      <c r="I80" s="17">
        <v>0.9</v>
      </c>
      <c r="J80" s="17" t="s">
        <v>2487</v>
      </c>
      <c r="K80" s="17">
        <v>0.88</v>
      </c>
      <c r="L80" s="17">
        <v>0.97</v>
      </c>
      <c r="M80" s="18">
        <f>Raw_LIMS_Export!K80</f>
        <v>45924</v>
      </c>
      <c r="N80" s="19" t="s">
        <v>2924</v>
      </c>
    </row>
    <row r="81" spans="1:14" x14ac:dyDescent="0.35">
      <c r="A81" s="16" t="s">
        <v>90</v>
      </c>
      <c r="B81" s="17" t="s">
        <v>2087</v>
      </c>
      <c r="C81" s="17" t="s">
        <v>2459</v>
      </c>
      <c r="D81" s="17" t="str">
        <f>_xlfn.XLOOKUP(Raw_LIMS_Export!E81,'mapping Site table'!$B$4:$B$14,'mapping Site table'!$C$4:$C$14,Raw_LIMS_Export!E81)</f>
        <v>Ashford UK</v>
      </c>
      <c r="E81" s="17" t="s">
        <v>2485</v>
      </c>
      <c r="F81" s="17">
        <f t="shared" si="4"/>
        <v>1</v>
      </c>
      <c r="G81" s="17" t="str">
        <f t="shared" si="5"/>
        <v>Pass</v>
      </c>
      <c r="H81" s="17" t="str">
        <f t="shared" si="3"/>
        <v>Pass</v>
      </c>
      <c r="I81" s="17">
        <v>40.64</v>
      </c>
      <c r="J81" s="17" t="s">
        <v>2490</v>
      </c>
      <c r="K81" s="17">
        <v>0</v>
      </c>
      <c r="L81" s="17">
        <v>100</v>
      </c>
      <c r="M81" s="18">
        <f>Raw_LIMS_Export!K81</f>
        <v>45399</v>
      </c>
      <c r="N81" s="19" t="s">
        <v>2927</v>
      </c>
    </row>
    <row r="82" spans="1:14" x14ac:dyDescent="0.35">
      <c r="A82" s="16" t="s">
        <v>91</v>
      </c>
      <c r="B82" s="17" t="s">
        <v>2088</v>
      </c>
      <c r="C82" s="17" t="s">
        <v>2461</v>
      </c>
      <c r="D82" s="17" t="str">
        <f>_xlfn.XLOOKUP(Raw_LIMS_Export!E82,'mapping Site table'!$B$4:$B$14,'mapping Site table'!$C$4:$C$14,Raw_LIMS_Export!E82)</f>
        <v>Budapest</v>
      </c>
      <c r="E82" s="17" t="s">
        <v>2481</v>
      </c>
      <c r="F82" s="17">
        <f t="shared" si="4"/>
        <v>1</v>
      </c>
      <c r="G82" s="17" t="str">
        <f t="shared" si="5"/>
        <v>Pass</v>
      </c>
      <c r="H82" s="17" t="str">
        <f t="shared" si="3"/>
        <v>Pass</v>
      </c>
      <c r="I82" s="17">
        <v>239.96</v>
      </c>
      <c r="J82" s="17" t="s">
        <v>2488</v>
      </c>
      <c r="K82" s="17">
        <v>150</v>
      </c>
      <c r="L82" s="17">
        <v>400</v>
      </c>
      <c r="M82" s="18">
        <f>Raw_LIMS_Export!K82</f>
        <v>45973</v>
      </c>
      <c r="N82" s="19" t="s">
        <v>2927</v>
      </c>
    </row>
    <row r="83" spans="1:14" x14ac:dyDescent="0.35">
      <c r="A83" s="16" t="s">
        <v>92</v>
      </c>
      <c r="B83" s="17" t="s">
        <v>2017</v>
      </c>
      <c r="C83" s="17" t="s">
        <v>2458</v>
      </c>
      <c r="D83" s="17" t="str">
        <f>_xlfn.XLOOKUP(Raw_LIMS_Export!E83,'mapping Site table'!$B$4:$B$14,'mapping Site table'!$C$4:$C$14,Raw_LIMS_Export!E83)</f>
        <v>Vernier CH</v>
      </c>
      <c r="E83" s="17" t="s">
        <v>2484</v>
      </c>
      <c r="F83" s="17">
        <f t="shared" si="4"/>
        <v>1</v>
      </c>
      <c r="G83" s="17" t="str">
        <f t="shared" si="5"/>
        <v>Pass</v>
      </c>
      <c r="H83" s="17" t="str">
        <f t="shared" si="3"/>
        <v>Fail</v>
      </c>
      <c r="I83" s="17">
        <v>7.19</v>
      </c>
      <c r="J83" s="17"/>
      <c r="K83" s="17">
        <v>6</v>
      </c>
      <c r="L83" s="17">
        <v>7.5</v>
      </c>
      <c r="M83" s="18">
        <f>Raw_LIMS_Export!K83</f>
        <v>46008</v>
      </c>
      <c r="N83" s="19" t="s">
        <v>2931</v>
      </c>
    </row>
    <row r="84" spans="1:14" x14ac:dyDescent="0.35">
      <c r="A84" s="16" t="s">
        <v>93</v>
      </c>
      <c r="B84" s="17" t="s">
        <v>2089</v>
      </c>
      <c r="C84" s="17" t="s">
        <v>2460</v>
      </c>
      <c r="D84" s="17" t="str">
        <f>_xlfn.XLOOKUP(Raw_LIMS_Export!E84,'mapping Site table'!$B$4:$B$14,'mapping Site table'!$C$4:$C$14,Raw_LIMS_Export!E84)</f>
        <v>Budapest</v>
      </c>
      <c r="E84" s="17" t="s">
        <v>2481</v>
      </c>
      <c r="F84" s="17">
        <f t="shared" si="4"/>
        <v>1</v>
      </c>
      <c r="G84" s="17" t="str">
        <f t="shared" si="5"/>
        <v>Pass</v>
      </c>
      <c r="H84" s="17" t="str">
        <f t="shared" si="3"/>
        <v>Pass</v>
      </c>
      <c r="I84" s="17">
        <v>308.02999999999997</v>
      </c>
      <c r="J84" s="17" t="s">
        <v>2488</v>
      </c>
      <c r="K84" s="17">
        <v>150</v>
      </c>
      <c r="L84" s="17">
        <v>400</v>
      </c>
      <c r="M84" s="18">
        <f>Raw_LIMS_Export!K84</f>
        <v>45789</v>
      </c>
      <c r="N84" s="19" t="s">
        <v>2924</v>
      </c>
    </row>
    <row r="85" spans="1:14" x14ac:dyDescent="0.35">
      <c r="A85" s="16" t="s">
        <v>94</v>
      </c>
      <c r="B85" s="17" t="s">
        <v>2089</v>
      </c>
      <c r="C85" s="17" t="s">
        <v>2460</v>
      </c>
      <c r="D85" s="17" t="str">
        <f>_xlfn.XLOOKUP(Raw_LIMS_Export!E85,'mapping Site table'!$B$4:$B$14,'mapping Site table'!$C$4:$C$14,Raw_LIMS_Export!E85)</f>
        <v>Budapest</v>
      </c>
      <c r="E85" s="17" t="s">
        <v>2480</v>
      </c>
      <c r="F85" s="17">
        <f t="shared" si="4"/>
        <v>1</v>
      </c>
      <c r="G85" s="17" t="str">
        <f t="shared" si="5"/>
        <v>Pass</v>
      </c>
      <c r="H85" s="17" t="str">
        <f t="shared" si="3"/>
        <v>Pass</v>
      </c>
      <c r="I85" s="17">
        <v>0.93</v>
      </c>
      <c r="J85" s="17" t="s">
        <v>2487</v>
      </c>
      <c r="K85" s="17">
        <v>0.88</v>
      </c>
      <c r="L85" s="17">
        <v>0.97</v>
      </c>
      <c r="M85" s="18">
        <f>Raw_LIMS_Export!K85</f>
        <v>45789</v>
      </c>
      <c r="N85" s="19" t="s">
        <v>2926</v>
      </c>
    </row>
    <row r="86" spans="1:14" x14ac:dyDescent="0.35">
      <c r="A86" s="16" t="s">
        <v>95</v>
      </c>
      <c r="B86" s="17" t="s">
        <v>2090</v>
      </c>
      <c r="C86" s="17" t="s">
        <v>2457</v>
      </c>
      <c r="D86" s="17" t="str">
        <f>_xlfn.XLOOKUP(Raw_LIMS_Export!E86,'mapping Site table'!$B$4:$B$14,'mapping Site table'!$C$4:$C$14,Raw_LIMS_Export!E86)</f>
        <v>Ashford UK</v>
      </c>
      <c r="E86" s="17" t="s">
        <v>2485</v>
      </c>
      <c r="F86" s="17">
        <f t="shared" si="4"/>
        <v>1</v>
      </c>
      <c r="G86" s="17" t="str">
        <f t="shared" si="5"/>
        <v>Fail</v>
      </c>
      <c r="H86" s="17" t="str">
        <f t="shared" si="3"/>
        <v>Fail</v>
      </c>
      <c r="I86" s="17">
        <v>-1.3</v>
      </c>
      <c r="J86" s="17" t="s">
        <v>2490</v>
      </c>
      <c r="K86" s="17">
        <v>0</v>
      </c>
      <c r="L86" s="17">
        <v>100</v>
      </c>
      <c r="M86" s="18">
        <f>Raw_LIMS_Export!K86</f>
        <v>45534</v>
      </c>
      <c r="N86" s="19" t="s">
        <v>2923</v>
      </c>
    </row>
    <row r="87" spans="1:14" x14ac:dyDescent="0.35">
      <c r="A87" s="16" t="s">
        <v>96</v>
      </c>
      <c r="B87" s="17" t="s">
        <v>2091</v>
      </c>
      <c r="C87" s="17" t="s">
        <v>2460</v>
      </c>
      <c r="D87" s="17" t="str">
        <f>_xlfn.XLOOKUP(Raw_LIMS_Export!E87,'mapping Site table'!$B$4:$B$14,'mapping Site table'!$C$4:$C$14,Raw_LIMS_Export!E87)</f>
        <v>Vernier CH</v>
      </c>
      <c r="E87" s="17" t="s">
        <v>2485</v>
      </c>
      <c r="F87" s="17">
        <f t="shared" si="4"/>
        <v>1</v>
      </c>
      <c r="G87" s="17" t="str">
        <f t="shared" si="5"/>
        <v>Pass</v>
      </c>
      <c r="H87" s="17" t="str">
        <f t="shared" si="3"/>
        <v>Pass</v>
      </c>
      <c r="I87" s="17">
        <v>13.81</v>
      </c>
      <c r="J87" s="17" t="s">
        <v>2490</v>
      </c>
      <c r="K87" s="17">
        <v>0</v>
      </c>
      <c r="L87" s="17">
        <v>100</v>
      </c>
      <c r="M87" s="18">
        <f>Raw_LIMS_Export!K87</f>
        <v>45517</v>
      </c>
      <c r="N87" s="19" t="s">
        <v>2930</v>
      </c>
    </row>
    <row r="88" spans="1:14" x14ac:dyDescent="0.35">
      <c r="A88" s="16" t="s">
        <v>97</v>
      </c>
      <c r="B88" s="17" t="s">
        <v>2092</v>
      </c>
      <c r="C88" s="17" t="s">
        <v>2459</v>
      </c>
      <c r="D88" s="17" t="str">
        <f>_xlfn.XLOOKUP(Raw_LIMS_Export!E88,'mapping Site table'!$B$4:$B$14,'mapping Site table'!$C$4:$C$14,Raw_LIMS_Export!E88)</f>
        <v>East Hanover</v>
      </c>
      <c r="E88" s="17" t="s">
        <v>2479</v>
      </c>
      <c r="F88" s="17">
        <f t="shared" si="4"/>
        <v>1</v>
      </c>
      <c r="G88" s="17" t="str">
        <f t="shared" si="5"/>
        <v>Pass</v>
      </c>
      <c r="H88" s="17" t="str">
        <f t="shared" si="3"/>
        <v>Fail</v>
      </c>
      <c r="I88" s="17">
        <v>28.51</v>
      </c>
      <c r="J88" s="17" t="s">
        <v>2486</v>
      </c>
      <c r="K88" s="17">
        <v>0</v>
      </c>
      <c r="L88" s="17">
        <v>120</v>
      </c>
      <c r="M88" s="18">
        <f>Raw_LIMS_Export!K88</f>
        <v>45889</v>
      </c>
      <c r="N88" s="19" t="s">
        <v>2926</v>
      </c>
    </row>
    <row r="89" spans="1:14" x14ac:dyDescent="0.35">
      <c r="A89" s="16" t="s">
        <v>98</v>
      </c>
      <c r="B89" s="17" t="s">
        <v>2093</v>
      </c>
      <c r="C89" s="17" t="s">
        <v>2459</v>
      </c>
      <c r="D89" s="17" t="str">
        <f>_xlfn.XLOOKUP(Raw_LIMS_Export!E89,'mapping Site table'!$B$4:$B$14,'mapping Site table'!$C$4:$C$14,Raw_LIMS_Export!E89)</f>
        <v>East Hanover</v>
      </c>
      <c r="E89" s="17" t="s">
        <v>2482</v>
      </c>
      <c r="F89" s="17">
        <f t="shared" si="4"/>
        <v>1</v>
      </c>
      <c r="G89" s="17" t="str">
        <f t="shared" si="5"/>
        <v>Fail</v>
      </c>
      <c r="H89" s="17" t="str">
        <f t="shared" si="3"/>
        <v>Fail</v>
      </c>
      <c r="I89" s="17">
        <v>95.2</v>
      </c>
      <c r="J89" s="17" t="s">
        <v>2489</v>
      </c>
      <c r="K89" s="17">
        <v>97</v>
      </c>
      <c r="L89" s="17">
        <v>100</v>
      </c>
      <c r="M89" s="18">
        <f>Raw_LIMS_Export!K89</f>
        <v>45542</v>
      </c>
      <c r="N89" s="19" t="s">
        <v>2924</v>
      </c>
    </row>
    <row r="90" spans="1:14" x14ac:dyDescent="0.35">
      <c r="A90" s="16" t="s">
        <v>99</v>
      </c>
      <c r="B90" s="17" t="s">
        <v>2094</v>
      </c>
      <c r="C90" s="17" t="s">
        <v>2460</v>
      </c>
      <c r="D90" s="17" t="str">
        <f>_xlfn.XLOOKUP(Raw_LIMS_Export!E90,'mapping Site table'!$B$4:$B$14,'mapping Site table'!$C$4:$C$14,Raw_LIMS_Export!E90)</f>
        <v>Ashford UK</v>
      </c>
      <c r="E90" s="17" t="s">
        <v>2484</v>
      </c>
      <c r="F90" s="17">
        <f t="shared" si="4"/>
        <v>1</v>
      </c>
      <c r="G90" s="17" t="str">
        <f t="shared" si="5"/>
        <v>Pass</v>
      </c>
      <c r="H90" s="17" t="str">
        <f t="shared" si="3"/>
        <v>Fail</v>
      </c>
      <c r="I90" s="17">
        <v>6.05</v>
      </c>
      <c r="J90" s="17"/>
      <c r="K90" s="17">
        <v>6</v>
      </c>
      <c r="L90" s="17">
        <v>7.5</v>
      </c>
      <c r="M90" s="18">
        <f>Raw_LIMS_Export!K90</f>
        <v>45316</v>
      </c>
      <c r="N90" s="19" t="s">
        <v>2925</v>
      </c>
    </row>
    <row r="91" spans="1:14" x14ac:dyDescent="0.35">
      <c r="A91" s="16" t="s">
        <v>100</v>
      </c>
      <c r="B91" s="17" t="s">
        <v>2095</v>
      </c>
      <c r="C91" s="17" t="s">
        <v>2459</v>
      </c>
      <c r="D91" s="17" t="str">
        <f>_xlfn.XLOOKUP(Raw_LIMS_Export!E91,'mapping Site table'!$B$4:$B$14,'mapping Site table'!$C$4:$C$14,Raw_LIMS_Export!E91)</f>
        <v>Ashford UK</v>
      </c>
      <c r="E91" s="17" t="s">
        <v>2480</v>
      </c>
      <c r="F91" s="17">
        <f t="shared" si="4"/>
        <v>1</v>
      </c>
      <c r="G91" s="17" t="str">
        <f t="shared" si="5"/>
        <v>Pass</v>
      </c>
      <c r="H91" s="17" t="str">
        <f t="shared" si="3"/>
        <v>Pending</v>
      </c>
      <c r="I91" s="17">
        <v>0.94</v>
      </c>
      <c r="J91" s="17" t="s">
        <v>2487</v>
      </c>
      <c r="K91" s="17">
        <v>0.88</v>
      </c>
      <c r="L91" s="17">
        <v>0.97</v>
      </c>
      <c r="M91" s="18">
        <f>Raw_LIMS_Export!K91</f>
        <v>45825</v>
      </c>
      <c r="N91" s="19" t="s">
        <v>2930</v>
      </c>
    </row>
    <row r="92" spans="1:14" x14ac:dyDescent="0.35">
      <c r="A92" s="16" t="s">
        <v>101</v>
      </c>
      <c r="B92" s="17" t="s">
        <v>2096</v>
      </c>
      <c r="C92" s="17" t="s">
        <v>2460</v>
      </c>
      <c r="D92" s="17" t="str">
        <f>_xlfn.XLOOKUP(Raw_LIMS_Export!E92,'mapping Site table'!$B$4:$B$14,'mapping Site table'!$C$4:$C$14,Raw_LIMS_Export!E92)</f>
        <v>East Hanover</v>
      </c>
      <c r="E92" s="17" t="s">
        <v>2483</v>
      </c>
      <c r="F92" s="17">
        <f t="shared" si="4"/>
        <v>1</v>
      </c>
      <c r="G92" s="17" t="str">
        <f t="shared" si="5"/>
        <v>Pass</v>
      </c>
      <c r="H92" s="17" t="str">
        <f t="shared" si="3"/>
        <v>Pass</v>
      </c>
      <c r="I92" s="17">
        <v>0.38</v>
      </c>
      <c r="J92" s="17" t="s">
        <v>2489</v>
      </c>
      <c r="K92" s="17">
        <v>0</v>
      </c>
      <c r="L92" s="17">
        <v>1</v>
      </c>
      <c r="M92" s="18">
        <f>Raw_LIMS_Export!K92</f>
        <v>45385</v>
      </c>
      <c r="N92" s="19" t="s">
        <v>2925</v>
      </c>
    </row>
    <row r="93" spans="1:14" x14ac:dyDescent="0.35">
      <c r="A93" s="16" t="s">
        <v>102</v>
      </c>
      <c r="B93" s="17" t="s">
        <v>2097</v>
      </c>
      <c r="C93" s="17" t="s">
        <v>2457</v>
      </c>
      <c r="D93" s="17" t="str">
        <f>_xlfn.XLOOKUP(Raw_LIMS_Export!E93,'mapping Site table'!$B$4:$B$14,'mapping Site table'!$C$4:$C$14,Raw_LIMS_Export!E93)</f>
        <v>East Hanover</v>
      </c>
      <c r="E93" s="17" t="s">
        <v>2483</v>
      </c>
      <c r="F93" s="17">
        <f t="shared" si="4"/>
        <v>1</v>
      </c>
      <c r="G93" s="17" t="str">
        <f t="shared" si="5"/>
        <v>Pass</v>
      </c>
      <c r="H93" s="17" t="str">
        <f t="shared" si="3"/>
        <v>Pass</v>
      </c>
      <c r="I93" s="17">
        <v>0.56999999999999995</v>
      </c>
      <c r="J93" s="17" t="s">
        <v>2489</v>
      </c>
      <c r="K93" s="17">
        <v>0</v>
      </c>
      <c r="L93" s="17">
        <v>1</v>
      </c>
      <c r="M93" s="18">
        <f>Raw_LIMS_Export!K93</f>
        <v>45826</v>
      </c>
      <c r="N93" s="19" t="s">
        <v>2927</v>
      </c>
    </row>
    <row r="94" spans="1:14" x14ac:dyDescent="0.35">
      <c r="A94" s="16" t="s">
        <v>103</v>
      </c>
      <c r="B94" s="17" t="s">
        <v>2098</v>
      </c>
      <c r="C94" s="17" t="s">
        <v>2460</v>
      </c>
      <c r="D94" s="17" t="str">
        <f>_xlfn.XLOOKUP(Raw_LIMS_Export!E94,'mapping Site table'!$B$4:$B$14,'mapping Site table'!$C$4:$C$14,Raw_LIMS_Export!E94)</f>
        <v>East Hanover</v>
      </c>
      <c r="E94" s="17" t="s">
        <v>2483</v>
      </c>
      <c r="F94" s="17">
        <f t="shared" si="4"/>
        <v>1</v>
      </c>
      <c r="G94" s="17" t="str">
        <f t="shared" si="5"/>
        <v>Pass</v>
      </c>
      <c r="H94" s="17" t="str">
        <f t="shared" si="3"/>
        <v>Pass</v>
      </c>
      <c r="I94" s="17">
        <v>0.45</v>
      </c>
      <c r="J94" s="17" t="s">
        <v>2489</v>
      </c>
      <c r="K94" s="17">
        <v>0</v>
      </c>
      <c r="L94" s="17">
        <v>1</v>
      </c>
      <c r="M94" s="18">
        <f>Raw_LIMS_Export!K94</f>
        <v>45460</v>
      </c>
      <c r="N94" s="19" t="s">
        <v>2923</v>
      </c>
    </row>
    <row r="95" spans="1:14" x14ac:dyDescent="0.35">
      <c r="A95" s="16" t="s">
        <v>104</v>
      </c>
      <c r="B95" s="17" t="s">
        <v>2099</v>
      </c>
      <c r="C95" s="17" t="s">
        <v>2457</v>
      </c>
      <c r="D95" s="17" t="str">
        <f>_xlfn.XLOOKUP(Raw_LIMS_Export!E95,'mapping Site table'!$B$4:$B$14,'mapping Site table'!$C$4:$C$14,Raw_LIMS_Export!E95)</f>
        <v>Dortmund DE</v>
      </c>
      <c r="E95" s="17" t="s">
        <v>2483</v>
      </c>
      <c r="F95" s="17">
        <f t="shared" si="4"/>
        <v>1</v>
      </c>
      <c r="G95" s="17" t="str">
        <f t="shared" si="5"/>
        <v>Pass</v>
      </c>
      <c r="H95" s="17" t="str">
        <f t="shared" si="3"/>
        <v>Pass</v>
      </c>
      <c r="I95" s="17">
        <v>0.57999999999999996</v>
      </c>
      <c r="J95" s="17" t="s">
        <v>2489</v>
      </c>
      <c r="K95" s="17">
        <v>0</v>
      </c>
      <c r="L95" s="17">
        <v>1</v>
      </c>
      <c r="M95" s="18">
        <f>Raw_LIMS_Export!K95</f>
        <v>45915</v>
      </c>
      <c r="N95" s="19" t="s">
        <v>2929</v>
      </c>
    </row>
    <row r="96" spans="1:14" x14ac:dyDescent="0.35">
      <c r="A96" s="16" t="s">
        <v>105</v>
      </c>
      <c r="B96" s="17" t="s">
        <v>2100</v>
      </c>
      <c r="C96" s="17" t="s">
        <v>2461</v>
      </c>
      <c r="D96" s="17" t="str">
        <f>_xlfn.XLOOKUP(Raw_LIMS_Export!E96,'mapping Site table'!$B$4:$B$14,'mapping Site table'!$C$4:$C$14,Raw_LIMS_Export!E96)</f>
        <v>Budapest</v>
      </c>
      <c r="E96" s="17" t="s">
        <v>2482</v>
      </c>
      <c r="F96" s="17">
        <f t="shared" si="4"/>
        <v>1</v>
      </c>
      <c r="G96" s="17" t="str">
        <f t="shared" si="5"/>
        <v>Pass</v>
      </c>
      <c r="H96" s="17" t="str">
        <f t="shared" si="3"/>
        <v>Pass</v>
      </c>
      <c r="I96" s="17">
        <v>98.9</v>
      </c>
      <c r="J96" s="17" t="s">
        <v>2489</v>
      </c>
      <c r="K96" s="17">
        <v>97</v>
      </c>
      <c r="L96" s="17">
        <v>100</v>
      </c>
      <c r="M96" s="18">
        <f>Raw_LIMS_Export!K96</f>
        <v>45413</v>
      </c>
      <c r="N96" s="19" t="s">
        <v>2929</v>
      </c>
    </row>
    <row r="97" spans="1:14" x14ac:dyDescent="0.35">
      <c r="A97" s="16" t="s">
        <v>106</v>
      </c>
      <c r="B97" s="17" t="s">
        <v>2101</v>
      </c>
      <c r="C97" s="17" t="s">
        <v>2458</v>
      </c>
      <c r="D97" s="17" t="str">
        <f>_xlfn.XLOOKUP(Raw_LIMS_Export!E97,'mapping Site table'!$B$4:$B$14,'mapping Site table'!$C$4:$C$14,Raw_LIMS_Export!E97)</f>
        <v>Dortmund DE</v>
      </c>
      <c r="E97" s="17" t="s">
        <v>2480</v>
      </c>
      <c r="F97" s="17">
        <f t="shared" si="4"/>
        <v>1</v>
      </c>
      <c r="G97" s="17" t="str">
        <f t="shared" si="5"/>
        <v>Pass</v>
      </c>
      <c r="H97" s="17" t="str">
        <f t="shared" si="3"/>
        <v>Pass</v>
      </c>
      <c r="I97" s="17">
        <v>0.96</v>
      </c>
      <c r="J97" s="17" t="s">
        <v>2487</v>
      </c>
      <c r="K97" s="17">
        <v>0.88</v>
      </c>
      <c r="L97" s="17">
        <v>0.97</v>
      </c>
      <c r="M97" s="18">
        <f>Raw_LIMS_Export!K97</f>
        <v>46013</v>
      </c>
      <c r="N97" s="19" t="s">
        <v>2930</v>
      </c>
    </row>
    <row r="98" spans="1:14" x14ac:dyDescent="0.35">
      <c r="A98" s="16" t="s">
        <v>107</v>
      </c>
      <c r="B98" s="17" t="s">
        <v>2102</v>
      </c>
      <c r="C98" s="17" t="s">
        <v>2461</v>
      </c>
      <c r="D98" s="17" t="str">
        <f>_xlfn.XLOOKUP(Raw_LIMS_Export!E98,'mapping Site table'!$B$4:$B$14,'mapping Site table'!$C$4:$C$14,Raw_LIMS_Export!E98)</f>
        <v>Vernier CH</v>
      </c>
      <c r="E98" s="17" t="s">
        <v>2482</v>
      </c>
      <c r="F98" s="17">
        <f t="shared" si="4"/>
        <v>1</v>
      </c>
      <c r="G98" s="17" t="str">
        <f t="shared" si="5"/>
        <v>Pass</v>
      </c>
      <c r="H98" s="17" t="str">
        <f t="shared" si="3"/>
        <v>Pass</v>
      </c>
      <c r="I98" s="17">
        <v>99.01</v>
      </c>
      <c r="J98" s="17" t="s">
        <v>2489</v>
      </c>
      <c r="K98" s="17">
        <v>97</v>
      </c>
      <c r="L98" s="17">
        <v>100</v>
      </c>
      <c r="M98" s="18">
        <f>Raw_LIMS_Export!K98</f>
        <v>45959</v>
      </c>
      <c r="N98" s="19" t="s">
        <v>2929</v>
      </c>
    </row>
    <row r="99" spans="1:14" x14ac:dyDescent="0.35">
      <c r="A99" s="16" t="s">
        <v>108</v>
      </c>
      <c r="B99" s="17" t="s">
        <v>2103</v>
      </c>
      <c r="C99" s="17" t="s">
        <v>2460</v>
      </c>
      <c r="D99" s="17" t="str">
        <f>_xlfn.XLOOKUP(Raw_LIMS_Export!E99,'mapping Site table'!$B$4:$B$14,'mapping Site table'!$C$4:$C$14,Raw_LIMS_Export!E99)</f>
        <v>Dortmund DE</v>
      </c>
      <c r="E99" s="17" t="s">
        <v>2482</v>
      </c>
      <c r="F99" s="17">
        <f t="shared" si="4"/>
        <v>1</v>
      </c>
      <c r="G99" s="17" t="str">
        <f t="shared" si="5"/>
        <v>Pass</v>
      </c>
      <c r="H99" s="17" t="str">
        <f t="shared" si="3"/>
        <v>Pass</v>
      </c>
      <c r="I99" s="17">
        <v>98.96</v>
      </c>
      <c r="J99" s="17" t="s">
        <v>2489</v>
      </c>
      <c r="K99" s="17">
        <v>97</v>
      </c>
      <c r="L99" s="17">
        <v>100</v>
      </c>
      <c r="M99" s="18">
        <f>Raw_LIMS_Export!K99</f>
        <v>45573</v>
      </c>
      <c r="N99" s="19" t="s">
        <v>2927</v>
      </c>
    </row>
    <row r="100" spans="1:14" x14ac:dyDescent="0.35">
      <c r="A100" s="16" t="s">
        <v>109</v>
      </c>
      <c r="B100" s="17" t="s">
        <v>2104</v>
      </c>
      <c r="C100" s="17" t="s">
        <v>2458</v>
      </c>
      <c r="D100" s="17" t="str">
        <f>_xlfn.XLOOKUP(Raw_LIMS_Export!E100,'mapping Site table'!$B$4:$B$14,'mapping Site table'!$C$4:$C$14,Raw_LIMS_Export!E100)</f>
        <v>Ashford UK</v>
      </c>
      <c r="E100" s="17" t="s">
        <v>2485</v>
      </c>
      <c r="F100" s="17">
        <f t="shared" si="4"/>
        <v>1</v>
      </c>
      <c r="G100" s="17" t="str">
        <f t="shared" si="5"/>
        <v>Fail</v>
      </c>
      <c r="H100" s="17" t="str">
        <f t="shared" si="3"/>
        <v>Fail</v>
      </c>
      <c r="I100" s="17">
        <v>-75</v>
      </c>
      <c r="J100" s="17" t="s">
        <v>2490</v>
      </c>
      <c r="K100" s="17">
        <v>0</v>
      </c>
      <c r="L100" s="17">
        <v>100</v>
      </c>
      <c r="M100" s="18">
        <f>Raw_LIMS_Export!K100</f>
        <v>45831</v>
      </c>
      <c r="N100" s="19" t="s">
        <v>2926</v>
      </c>
    </row>
    <row r="101" spans="1:14" x14ac:dyDescent="0.35">
      <c r="A101" s="16" t="s">
        <v>110</v>
      </c>
      <c r="B101" s="17" t="s">
        <v>2105</v>
      </c>
      <c r="C101" s="17" t="s">
        <v>2457</v>
      </c>
      <c r="D101" s="17" t="str">
        <f>_xlfn.XLOOKUP(Raw_LIMS_Export!E101,'mapping Site table'!$B$4:$B$14,'mapping Site table'!$C$4:$C$14,Raw_LIMS_Export!E101)</f>
        <v>Ashford UK</v>
      </c>
      <c r="E101" s="17" t="s">
        <v>2482</v>
      </c>
      <c r="F101" s="17">
        <f t="shared" si="4"/>
        <v>1</v>
      </c>
      <c r="G101" s="17" t="str">
        <f t="shared" si="5"/>
        <v>Pass</v>
      </c>
      <c r="H101" s="17" t="str">
        <f t="shared" si="3"/>
        <v>Pass</v>
      </c>
      <c r="I101" s="17">
        <v>99.97</v>
      </c>
      <c r="J101" s="17" t="s">
        <v>2489</v>
      </c>
      <c r="K101" s="17">
        <v>97</v>
      </c>
      <c r="L101" s="17">
        <v>100</v>
      </c>
      <c r="M101" s="18">
        <f>Raw_LIMS_Export!K101</f>
        <v>45358</v>
      </c>
      <c r="N101" s="19" t="s">
        <v>2924</v>
      </c>
    </row>
    <row r="102" spans="1:14" x14ac:dyDescent="0.35">
      <c r="A102" s="16" t="s">
        <v>111</v>
      </c>
      <c r="B102" s="17" t="s">
        <v>2106</v>
      </c>
      <c r="C102" s="17" t="s">
        <v>2461</v>
      </c>
      <c r="D102" s="17" t="str">
        <f>_xlfn.XLOOKUP(Raw_LIMS_Export!E102,'mapping Site table'!$B$4:$B$14,'mapping Site table'!$C$4:$C$14,Raw_LIMS_Export!E102)</f>
        <v>Vernier CH</v>
      </c>
      <c r="E102" s="17" t="s">
        <v>2484</v>
      </c>
      <c r="F102" s="17">
        <f t="shared" si="4"/>
        <v>1</v>
      </c>
      <c r="G102" s="17" t="str">
        <f t="shared" si="5"/>
        <v>Pass</v>
      </c>
      <c r="H102" s="17" t="str">
        <f t="shared" si="3"/>
        <v>Fail</v>
      </c>
      <c r="I102" s="17">
        <v>7</v>
      </c>
      <c r="J102" s="17"/>
      <c r="K102" s="17">
        <v>6</v>
      </c>
      <c r="L102" s="17">
        <v>7.5</v>
      </c>
      <c r="M102" s="18">
        <f>Raw_LIMS_Export!K102</f>
        <v>45388</v>
      </c>
      <c r="N102" s="19" t="s">
        <v>2932</v>
      </c>
    </row>
    <row r="103" spans="1:14" x14ac:dyDescent="0.35">
      <c r="A103" s="16" t="s">
        <v>112</v>
      </c>
      <c r="B103" s="17" t="s">
        <v>2107</v>
      </c>
      <c r="C103" s="17" t="s">
        <v>2459</v>
      </c>
      <c r="D103" s="17" t="str">
        <f>_xlfn.XLOOKUP(Raw_LIMS_Export!E103,'mapping Site table'!$B$4:$B$14,'mapping Site table'!$C$4:$C$14,Raw_LIMS_Export!E103)</f>
        <v>East Hanover</v>
      </c>
      <c r="E103" s="17" t="s">
        <v>2479</v>
      </c>
      <c r="F103" s="17">
        <f t="shared" si="4"/>
        <v>1</v>
      </c>
      <c r="G103" s="17" t="str">
        <f t="shared" si="5"/>
        <v>Pass</v>
      </c>
      <c r="H103" s="17" t="str">
        <f t="shared" si="3"/>
        <v>Pass</v>
      </c>
      <c r="I103" s="17">
        <v>74.599999999999994</v>
      </c>
      <c r="J103" s="17" t="s">
        <v>2486</v>
      </c>
      <c r="K103" s="17">
        <v>0</v>
      </c>
      <c r="L103" s="17">
        <v>120</v>
      </c>
      <c r="M103" s="18">
        <f>Raw_LIMS_Export!K103</f>
        <v>45633</v>
      </c>
      <c r="N103" s="19" t="s">
        <v>2932</v>
      </c>
    </row>
    <row r="104" spans="1:14" x14ac:dyDescent="0.35">
      <c r="A104" s="16" t="s">
        <v>113</v>
      </c>
      <c r="B104" s="17" t="s">
        <v>2108</v>
      </c>
      <c r="C104" s="17" t="s">
        <v>2458</v>
      </c>
      <c r="D104" s="17" t="str">
        <f>_xlfn.XLOOKUP(Raw_LIMS_Export!E104,'mapping Site table'!$B$4:$B$14,'mapping Site table'!$C$4:$C$14,Raw_LIMS_Export!E104)</f>
        <v>Ashford UK</v>
      </c>
      <c r="E104" s="17" t="s">
        <v>2482</v>
      </c>
      <c r="F104" s="17">
        <f t="shared" si="4"/>
        <v>1</v>
      </c>
      <c r="G104" s="17" t="str">
        <f t="shared" si="5"/>
        <v>Pass</v>
      </c>
      <c r="H104" s="17" t="str">
        <f t="shared" si="3"/>
        <v>Pass</v>
      </c>
      <c r="I104" s="17">
        <v>99.56</v>
      </c>
      <c r="J104" s="17" t="s">
        <v>2489</v>
      </c>
      <c r="K104" s="17">
        <v>97</v>
      </c>
      <c r="L104" s="17">
        <v>100</v>
      </c>
      <c r="M104" s="18">
        <f>Raw_LIMS_Export!K104</f>
        <v>45362</v>
      </c>
      <c r="N104" s="19" t="s">
        <v>2931</v>
      </c>
    </row>
    <row r="105" spans="1:14" x14ac:dyDescent="0.35">
      <c r="A105" s="16" t="s">
        <v>114</v>
      </c>
      <c r="B105" s="17" t="s">
        <v>2109</v>
      </c>
      <c r="C105" s="17" t="s">
        <v>2461</v>
      </c>
      <c r="D105" s="17" t="str">
        <f>_xlfn.XLOOKUP(Raw_LIMS_Export!E105,'mapping Site table'!$B$4:$B$14,'mapping Site table'!$C$4:$C$14,Raw_LIMS_Export!E105)</f>
        <v>Budapest</v>
      </c>
      <c r="E105" s="17" t="s">
        <v>2483</v>
      </c>
      <c r="F105" s="17">
        <f t="shared" si="4"/>
        <v>1</v>
      </c>
      <c r="G105" s="17" t="str">
        <f t="shared" si="5"/>
        <v>Pass</v>
      </c>
      <c r="H105" s="17" t="str">
        <f t="shared" si="3"/>
        <v>Pending</v>
      </c>
      <c r="I105" s="17">
        <v>0.37</v>
      </c>
      <c r="J105" s="17" t="s">
        <v>2489</v>
      </c>
      <c r="K105" s="17">
        <v>0</v>
      </c>
      <c r="L105" s="17">
        <v>1</v>
      </c>
      <c r="M105" s="18">
        <f>Raw_LIMS_Export!K105</f>
        <v>45596</v>
      </c>
      <c r="N105" s="19" t="s">
        <v>2932</v>
      </c>
    </row>
    <row r="106" spans="1:14" x14ac:dyDescent="0.35">
      <c r="A106" s="16" t="s">
        <v>115</v>
      </c>
      <c r="B106" s="17" t="s">
        <v>2110</v>
      </c>
      <c r="C106" s="17" t="s">
        <v>2460</v>
      </c>
      <c r="D106" s="17" t="str">
        <f>_xlfn.XLOOKUP(Raw_LIMS_Export!E106,'mapping Site table'!$B$4:$B$14,'mapping Site table'!$C$4:$C$14,Raw_LIMS_Export!E106)</f>
        <v>Vernier CH</v>
      </c>
      <c r="E106" s="17" t="s">
        <v>2480</v>
      </c>
      <c r="F106" s="17">
        <f t="shared" si="4"/>
        <v>1</v>
      </c>
      <c r="G106" s="17" t="str">
        <f t="shared" si="5"/>
        <v>Fail</v>
      </c>
      <c r="H106" s="17" t="str">
        <f t="shared" si="3"/>
        <v>Fail</v>
      </c>
      <c r="I106" s="17">
        <v>0.86</v>
      </c>
      <c r="J106" s="17" t="s">
        <v>2487</v>
      </c>
      <c r="K106" s="17">
        <v>0.88</v>
      </c>
      <c r="L106" s="17">
        <v>0.97</v>
      </c>
      <c r="M106" s="18">
        <f>Raw_LIMS_Export!K106</f>
        <v>45860</v>
      </c>
      <c r="N106" s="19" t="s">
        <v>2924</v>
      </c>
    </row>
    <row r="107" spans="1:14" x14ac:dyDescent="0.35">
      <c r="A107" s="16" t="s">
        <v>116</v>
      </c>
      <c r="B107" s="17" t="s">
        <v>2111</v>
      </c>
      <c r="C107" s="17" t="s">
        <v>2461</v>
      </c>
      <c r="D107" s="17" t="str">
        <f>_xlfn.XLOOKUP(Raw_LIMS_Export!E107,'mapping Site table'!$B$4:$B$14,'mapping Site table'!$C$4:$C$14,Raw_LIMS_Export!E107)</f>
        <v>Vernier CH</v>
      </c>
      <c r="E107" s="17" t="s">
        <v>2483</v>
      </c>
      <c r="F107" s="17">
        <f t="shared" si="4"/>
        <v>1</v>
      </c>
      <c r="G107" s="17" t="str">
        <f t="shared" si="5"/>
        <v>Pass</v>
      </c>
      <c r="H107" s="17" t="str">
        <f t="shared" si="3"/>
        <v>Pass</v>
      </c>
      <c r="I107" s="17">
        <v>0.18</v>
      </c>
      <c r="J107" s="17" t="s">
        <v>2489</v>
      </c>
      <c r="K107" s="17">
        <v>0</v>
      </c>
      <c r="L107" s="17">
        <v>1</v>
      </c>
      <c r="M107" s="18">
        <f>Raw_LIMS_Export!K107</f>
        <v>45547</v>
      </c>
      <c r="N107" s="19" t="s">
        <v>2926</v>
      </c>
    </row>
    <row r="108" spans="1:14" x14ac:dyDescent="0.35">
      <c r="A108" s="16" t="s">
        <v>117</v>
      </c>
      <c r="B108" s="17" t="s">
        <v>2112</v>
      </c>
      <c r="C108" s="17" t="s">
        <v>2457</v>
      </c>
      <c r="D108" s="17" t="str">
        <f>_xlfn.XLOOKUP(Raw_LIMS_Export!E108,'mapping Site table'!$B$4:$B$14,'mapping Site table'!$C$4:$C$14,Raw_LIMS_Export!E108)</f>
        <v>Dortmund DE</v>
      </c>
      <c r="E108" s="17" t="s">
        <v>2481</v>
      </c>
      <c r="F108" s="17">
        <f t="shared" si="4"/>
        <v>1</v>
      </c>
      <c r="G108" s="17" t="str">
        <f t="shared" si="5"/>
        <v>Pass</v>
      </c>
      <c r="H108" s="17" t="str">
        <f t="shared" si="3"/>
        <v>Pass</v>
      </c>
      <c r="I108" s="17">
        <v>275.5</v>
      </c>
      <c r="J108" s="17" t="s">
        <v>2488</v>
      </c>
      <c r="K108" s="17">
        <v>150</v>
      </c>
      <c r="L108" s="17">
        <v>400</v>
      </c>
      <c r="M108" s="18">
        <f>Raw_LIMS_Export!K108</f>
        <v>45993</v>
      </c>
      <c r="N108" s="19" t="s">
        <v>2924</v>
      </c>
    </row>
    <row r="109" spans="1:14" x14ac:dyDescent="0.35">
      <c r="A109" s="16" t="s">
        <v>118</v>
      </c>
      <c r="B109" s="17" t="s">
        <v>2075</v>
      </c>
      <c r="C109" s="17" t="s">
        <v>2461</v>
      </c>
      <c r="D109" s="17" t="str">
        <f>_xlfn.XLOOKUP(Raw_LIMS_Export!E109,'mapping Site table'!$B$4:$B$14,'mapping Site table'!$C$4:$C$14,Raw_LIMS_Export!E109)</f>
        <v>Budapest</v>
      </c>
      <c r="E109" s="17" t="s">
        <v>2485</v>
      </c>
      <c r="F109" s="17">
        <f t="shared" si="4"/>
        <v>1</v>
      </c>
      <c r="G109" s="17" t="str">
        <f t="shared" si="5"/>
        <v>Pass</v>
      </c>
      <c r="H109" s="17" t="str">
        <f t="shared" si="3"/>
        <v>Pass</v>
      </c>
      <c r="I109" s="17">
        <v>42.8</v>
      </c>
      <c r="J109" s="17" t="s">
        <v>2490</v>
      </c>
      <c r="K109" s="17">
        <v>0</v>
      </c>
      <c r="L109" s="17">
        <v>100</v>
      </c>
      <c r="M109" s="18">
        <f>Raw_LIMS_Export!K109</f>
        <v>45686</v>
      </c>
      <c r="N109" s="19" t="s">
        <v>2923</v>
      </c>
    </row>
    <row r="110" spans="1:14" x14ac:dyDescent="0.35">
      <c r="A110" s="16" t="s">
        <v>119</v>
      </c>
      <c r="B110" s="17" t="s">
        <v>2113</v>
      </c>
      <c r="C110" s="17" t="s">
        <v>2458</v>
      </c>
      <c r="D110" s="17" t="str">
        <f>_xlfn.XLOOKUP(Raw_LIMS_Export!E110,'mapping Site table'!$B$4:$B$14,'mapping Site table'!$C$4:$C$14,Raw_LIMS_Export!E110)</f>
        <v>East Hanover</v>
      </c>
      <c r="E110" s="17" t="s">
        <v>2480</v>
      </c>
      <c r="F110" s="17">
        <f t="shared" si="4"/>
        <v>1</v>
      </c>
      <c r="G110" s="17" t="str">
        <f t="shared" si="5"/>
        <v>Pass</v>
      </c>
      <c r="H110" s="17" t="str">
        <f t="shared" si="3"/>
        <v>Fail</v>
      </c>
      <c r="I110" s="17">
        <v>0.88</v>
      </c>
      <c r="J110" s="17" t="s">
        <v>2487</v>
      </c>
      <c r="K110" s="17">
        <v>0.88</v>
      </c>
      <c r="L110" s="17">
        <v>0.97</v>
      </c>
      <c r="M110" s="18">
        <f>Raw_LIMS_Export!K110</f>
        <v>45345</v>
      </c>
      <c r="N110" s="19" t="s">
        <v>2925</v>
      </c>
    </row>
    <row r="111" spans="1:14" x14ac:dyDescent="0.35">
      <c r="A111" s="16" t="s">
        <v>120</v>
      </c>
      <c r="B111" s="17" t="s">
        <v>2114</v>
      </c>
      <c r="C111" s="17" t="s">
        <v>2460</v>
      </c>
      <c r="D111" s="17" t="str">
        <f>_xlfn.XLOOKUP(Raw_LIMS_Export!E111,'mapping Site table'!$B$4:$B$14,'mapping Site table'!$C$4:$C$14,Raw_LIMS_Export!E111)</f>
        <v>East Hanover</v>
      </c>
      <c r="E111" s="17" t="s">
        <v>2480</v>
      </c>
      <c r="F111" s="17">
        <f t="shared" si="4"/>
        <v>1</v>
      </c>
      <c r="G111" s="17" t="str">
        <f t="shared" si="5"/>
        <v>Fail</v>
      </c>
      <c r="H111" s="17" t="str">
        <f t="shared" si="3"/>
        <v>Fail</v>
      </c>
      <c r="I111" s="17">
        <v>0.99</v>
      </c>
      <c r="J111" s="17" t="s">
        <v>2487</v>
      </c>
      <c r="K111" s="17">
        <v>0.88</v>
      </c>
      <c r="L111" s="17">
        <v>0.97</v>
      </c>
      <c r="M111" s="18">
        <f>Raw_LIMS_Export!K111</f>
        <v>45654</v>
      </c>
      <c r="N111" s="19" t="s">
        <v>2927</v>
      </c>
    </row>
    <row r="112" spans="1:14" x14ac:dyDescent="0.35">
      <c r="A112" s="16" t="s">
        <v>121</v>
      </c>
      <c r="B112" s="17" t="s">
        <v>2097</v>
      </c>
      <c r="C112" s="17" t="s">
        <v>2457</v>
      </c>
      <c r="D112" s="17" t="str">
        <f>_xlfn.XLOOKUP(Raw_LIMS_Export!E112,'mapping Site table'!$B$4:$B$14,'mapping Site table'!$C$4:$C$14,Raw_LIMS_Export!E112)</f>
        <v>East Hanover</v>
      </c>
      <c r="E112" s="17" t="s">
        <v>2485</v>
      </c>
      <c r="F112" s="17">
        <f t="shared" si="4"/>
        <v>1</v>
      </c>
      <c r="G112" s="17" t="str">
        <f t="shared" si="5"/>
        <v>Pass</v>
      </c>
      <c r="H112" s="17" t="str">
        <f t="shared" si="3"/>
        <v>Pass</v>
      </c>
      <c r="I112" s="17">
        <v>16.61</v>
      </c>
      <c r="J112" s="17" t="s">
        <v>2490</v>
      </c>
      <c r="K112" s="17">
        <v>0</v>
      </c>
      <c r="L112" s="17">
        <v>100</v>
      </c>
      <c r="M112" s="18">
        <f>Raw_LIMS_Export!K112</f>
        <v>45826</v>
      </c>
      <c r="N112" s="19" t="s">
        <v>2928</v>
      </c>
    </row>
    <row r="113" spans="1:14" x14ac:dyDescent="0.35">
      <c r="A113" s="16" t="s">
        <v>122</v>
      </c>
      <c r="B113" s="17" t="s">
        <v>2115</v>
      </c>
      <c r="C113" s="17" t="s">
        <v>2457</v>
      </c>
      <c r="D113" s="17" t="str">
        <f>_xlfn.XLOOKUP(Raw_LIMS_Export!E113,'mapping Site table'!$B$4:$B$14,'mapping Site table'!$C$4:$C$14,Raw_LIMS_Export!E113)</f>
        <v>Budapest</v>
      </c>
      <c r="E113" s="17" t="s">
        <v>2484</v>
      </c>
      <c r="F113" s="17">
        <f t="shared" si="4"/>
        <v>1</v>
      </c>
      <c r="G113" s="17" t="str">
        <f t="shared" si="5"/>
        <v>Pass</v>
      </c>
      <c r="H113" s="17" t="str">
        <f t="shared" si="3"/>
        <v>Pass</v>
      </c>
      <c r="I113" s="17">
        <v>6.63</v>
      </c>
      <c r="J113" s="17"/>
      <c r="K113" s="17">
        <v>6</v>
      </c>
      <c r="L113" s="17">
        <v>7.5</v>
      </c>
      <c r="M113" s="18">
        <f>Raw_LIMS_Export!K113</f>
        <v>45931</v>
      </c>
      <c r="N113" s="19" t="s">
        <v>2927</v>
      </c>
    </row>
    <row r="114" spans="1:14" x14ac:dyDescent="0.35">
      <c r="A114" s="16" t="s">
        <v>123</v>
      </c>
      <c r="B114" s="17" t="s">
        <v>2116</v>
      </c>
      <c r="C114" s="17" t="s">
        <v>2461</v>
      </c>
      <c r="D114" s="17" t="str">
        <f>_xlfn.XLOOKUP(Raw_LIMS_Export!E114,'mapping Site table'!$B$4:$B$14,'mapping Site table'!$C$4:$C$14,Raw_LIMS_Export!E114)</f>
        <v>Dortmund DE</v>
      </c>
      <c r="E114" s="17" t="s">
        <v>2485</v>
      </c>
      <c r="F114" s="17">
        <f t="shared" si="4"/>
        <v>1</v>
      </c>
      <c r="G114" s="17" t="str">
        <f t="shared" si="5"/>
        <v>Pass</v>
      </c>
      <c r="H114" s="17" t="str">
        <f t="shared" si="3"/>
        <v>Pass</v>
      </c>
      <c r="I114" s="17">
        <v>26.67</v>
      </c>
      <c r="J114" s="17" t="s">
        <v>2490</v>
      </c>
      <c r="K114" s="17">
        <v>0</v>
      </c>
      <c r="L114" s="17">
        <v>100</v>
      </c>
      <c r="M114" s="18">
        <f>Raw_LIMS_Export!K114</f>
        <v>45376</v>
      </c>
      <c r="N114" s="19" t="s">
        <v>2927</v>
      </c>
    </row>
    <row r="115" spans="1:14" x14ac:dyDescent="0.35">
      <c r="A115" s="16" t="s">
        <v>124</v>
      </c>
      <c r="B115" s="17" t="s">
        <v>2117</v>
      </c>
      <c r="C115" s="17" t="s">
        <v>2457</v>
      </c>
      <c r="D115" s="17" t="str">
        <f>_xlfn.XLOOKUP(Raw_LIMS_Export!E115,'mapping Site table'!$B$4:$B$14,'mapping Site table'!$C$4:$C$14,Raw_LIMS_Export!E115)</f>
        <v>Ashford UK</v>
      </c>
      <c r="E115" s="17" t="s">
        <v>2483</v>
      </c>
      <c r="F115" s="17">
        <f t="shared" si="4"/>
        <v>1</v>
      </c>
      <c r="G115" s="17" t="str">
        <f t="shared" si="5"/>
        <v>Pass</v>
      </c>
      <c r="H115" s="17" t="str">
        <f t="shared" si="3"/>
        <v>Fail</v>
      </c>
      <c r="I115" s="17">
        <v>0.28999999999999998</v>
      </c>
      <c r="J115" s="17" t="s">
        <v>2489</v>
      </c>
      <c r="K115" s="17">
        <v>0</v>
      </c>
      <c r="L115" s="17">
        <v>1</v>
      </c>
      <c r="M115" s="18">
        <f>Raw_LIMS_Export!K115</f>
        <v>45951</v>
      </c>
      <c r="N115" s="19" t="s">
        <v>2924</v>
      </c>
    </row>
    <row r="116" spans="1:14" x14ac:dyDescent="0.35">
      <c r="A116" s="16" t="s">
        <v>125</v>
      </c>
      <c r="B116" s="17" t="s">
        <v>2034</v>
      </c>
      <c r="C116" s="17" t="s">
        <v>2461</v>
      </c>
      <c r="D116" s="17" t="str">
        <f>_xlfn.XLOOKUP(Raw_LIMS_Export!E116,'mapping Site table'!$B$4:$B$14,'mapping Site table'!$C$4:$C$14,Raw_LIMS_Export!E116)</f>
        <v>Ashford UK</v>
      </c>
      <c r="E116" s="17" t="s">
        <v>2484</v>
      </c>
      <c r="F116" s="17">
        <f t="shared" si="4"/>
        <v>1</v>
      </c>
      <c r="G116" s="17" t="str">
        <f t="shared" si="5"/>
        <v>Pass</v>
      </c>
      <c r="H116" s="17" t="str">
        <f t="shared" si="3"/>
        <v>Fail</v>
      </c>
      <c r="I116" s="17">
        <v>6.56</v>
      </c>
      <c r="J116" s="17"/>
      <c r="K116" s="17">
        <v>6</v>
      </c>
      <c r="L116" s="17">
        <v>7.5</v>
      </c>
      <c r="M116" s="18">
        <f>Raw_LIMS_Export!K116</f>
        <v>45615</v>
      </c>
      <c r="N116" s="19" t="s">
        <v>2927</v>
      </c>
    </row>
    <row r="117" spans="1:14" x14ac:dyDescent="0.35">
      <c r="A117" s="16" t="s">
        <v>126</v>
      </c>
      <c r="B117" s="17" t="s">
        <v>2118</v>
      </c>
      <c r="C117" s="17" t="s">
        <v>2457</v>
      </c>
      <c r="D117" s="17" t="str">
        <f>_xlfn.XLOOKUP(Raw_LIMS_Export!E117,'mapping Site table'!$B$4:$B$14,'mapping Site table'!$C$4:$C$14,Raw_LIMS_Export!E117)</f>
        <v>Vernier CH</v>
      </c>
      <c r="E117" s="17" t="s">
        <v>2483</v>
      </c>
      <c r="F117" s="17">
        <f t="shared" si="4"/>
        <v>1</v>
      </c>
      <c r="G117" s="17" t="str">
        <f t="shared" si="5"/>
        <v>Pass</v>
      </c>
      <c r="H117" s="17" t="str">
        <f t="shared" si="3"/>
        <v>Pending</v>
      </c>
      <c r="I117" s="17">
        <v>0.18</v>
      </c>
      <c r="J117" s="17" t="s">
        <v>2489</v>
      </c>
      <c r="K117" s="17">
        <v>0</v>
      </c>
      <c r="L117" s="17">
        <v>1</v>
      </c>
      <c r="M117" s="18">
        <f>Raw_LIMS_Export!K117</f>
        <v>45634</v>
      </c>
      <c r="N117" s="19" t="s">
        <v>2925</v>
      </c>
    </row>
    <row r="118" spans="1:14" x14ac:dyDescent="0.35">
      <c r="A118" s="16" t="s">
        <v>127</v>
      </c>
      <c r="B118" s="17" t="s">
        <v>2119</v>
      </c>
      <c r="C118" s="17" t="s">
        <v>2459</v>
      </c>
      <c r="D118" s="17" t="str">
        <f>_xlfn.XLOOKUP(Raw_LIMS_Export!E118,'mapping Site table'!$B$4:$B$14,'mapping Site table'!$C$4:$C$14,Raw_LIMS_Export!E118)</f>
        <v>Vernier CH</v>
      </c>
      <c r="E118" s="17" t="s">
        <v>2484</v>
      </c>
      <c r="F118" s="17">
        <f t="shared" si="4"/>
        <v>1</v>
      </c>
      <c r="G118" s="17" t="str">
        <f t="shared" si="5"/>
        <v>Pass</v>
      </c>
      <c r="H118" s="17" t="str">
        <f t="shared" si="3"/>
        <v>Pass</v>
      </c>
      <c r="I118" s="17">
        <v>6.26</v>
      </c>
      <c r="J118" s="17"/>
      <c r="K118" s="17">
        <v>6</v>
      </c>
      <c r="L118" s="17">
        <v>7.5</v>
      </c>
      <c r="M118" s="18">
        <f>Raw_LIMS_Export!K118</f>
        <v>45348</v>
      </c>
      <c r="N118" s="19" t="s">
        <v>2925</v>
      </c>
    </row>
    <row r="119" spans="1:14" x14ac:dyDescent="0.35">
      <c r="A119" s="16" t="s">
        <v>128</v>
      </c>
      <c r="B119" s="17" t="s">
        <v>2044</v>
      </c>
      <c r="C119" s="17" t="s">
        <v>2459</v>
      </c>
      <c r="D119" s="17" t="str">
        <f>_xlfn.XLOOKUP(Raw_LIMS_Export!E119,'mapping Site table'!$B$4:$B$14,'mapping Site table'!$C$4:$C$14,Raw_LIMS_Export!E119)</f>
        <v>Budapest</v>
      </c>
      <c r="E119" s="17" t="s">
        <v>2485</v>
      </c>
      <c r="F119" s="17">
        <f t="shared" si="4"/>
        <v>1</v>
      </c>
      <c r="G119" s="17" t="str">
        <f t="shared" si="5"/>
        <v>Pass</v>
      </c>
      <c r="H119" s="17" t="str">
        <f t="shared" si="3"/>
        <v>Pending</v>
      </c>
      <c r="I119" s="17">
        <v>6.07</v>
      </c>
      <c r="J119" s="17" t="s">
        <v>2490</v>
      </c>
      <c r="K119" s="17">
        <v>0</v>
      </c>
      <c r="L119" s="17">
        <v>100</v>
      </c>
      <c r="M119" s="18">
        <f>Raw_LIMS_Export!K119</f>
        <v>45350</v>
      </c>
      <c r="N119" s="19" t="s">
        <v>2929</v>
      </c>
    </row>
    <row r="120" spans="1:14" x14ac:dyDescent="0.35">
      <c r="A120" s="16" t="s">
        <v>129</v>
      </c>
      <c r="B120" s="17" t="s">
        <v>2029</v>
      </c>
      <c r="C120" s="17" t="s">
        <v>2459</v>
      </c>
      <c r="D120" s="17" t="str">
        <f>_xlfn.XLOOKUP(Raw_LIMS_Export!E120,'mapping Site table'!$B$4:$B$14,'mapping Site table'!$C$4:$C$14,Raw_LIMS_Export!E120)</f>
        <v>Dortmund DE</v>
      </c>
      <c r="E120" s="17" t="s">
        <v>2484</v>
      </c>
      <c r="F120" s="17">
        <f t="shared" si="4"/>
        <v>1</v>
      </c>
      <c r="G120" s="17" t="str">
        <f t="shared" si="5"/>
        <v>Pass</v>
      </c>
      <c r="H120" s="17" t="str">
        <f t="shared" si="3"/>
        <v>Pass</v>
      </c>
      <c r="I120" s="17">
        <v>7.02</v>
      </c>
      <c r="J120" s="17"/>
      <c r="K120" s="17">
        <v>6</v>
      </c>
      <c r="L120" s="17">
        <v>7.5</v>
      </c>
      <c r="M120" s="18">
        <f>Raw_LIMS_Export!K120</f>
        <v>45740</v>
      </c>
      <c r="N120" s="19" t="s">
        <v>2926</v>
      </c>
    </row>
    <row r="121" spans="1:14" x14ac:dyDescent="0.35">
      <c r="A121" s="16" t="s">
        <v>130</v>
      </c>
      <c r="B121" s="17" t="s">
        <v>2120</v>
      </c>
      <c r="C121" s="17" t="s">
        <v>2459</v>
      </c>
      <c r="D121" s="17" t="str">
        <f>_xlfn.XLOOKUP(Raw_LIMS_Export!E121,'mapping Site table'!$B$4:$B$14,'mapping Site table'!$C$4:$C$14,Raw_LIMS_Export!E121)</f>
        <v>Vernier CH</v>
      </c>
      <c r="E121" s="17" t="s">
        <v>2480</v>
      </c>
      <c r="F121" s="17">
        <f t="shared" si="4"/>
        <v>1</v>
      </c>
      <c r="G121" s="17" t="str">
        <f t="shared" si="5"/>
        <v>Pass</v>
      </c>
      <c r="H121" s="17" t="str">
        <f t="shared" si="3"/>
        <v>Fail</v>
      </c>
      <c r="I121" s="17">
        <v>0.96</v>
      </c>
      <c r="J121" s="17" t="s">
        <v>2487</v>
      </c>
      <c r="K121" s="17">
        <v>0.88</v>
      </c>
      <c r="L121" s="17">
        <v>0.97</v>
      </c>
      <c r="M121" s="18">
        <f>Raw_LIMS_Export!K121</f>
        <v>45393</v>
      </c>
      <c r="N121" s="19" t="s">
        <v>2928</v>
      </c>
    </row>
    <row r="122" spans="1:14" x14ac:dyDescent="0.35">
      <c r="A122" s="16" t="s">
        <v>131</v>
      </c>
      <c r="B122" s="17" t="s">
        <v>2121</v>
      </c>
      <c r="C122" s="17" t="s">
        <v>2457</v>
      </c>
      <c r="D122" s="17" t="str">
        <f>_xlfn.XLOOKUP(Raw_LIMS_Export!E122,'mapping Site table'!$B$4:$B$14,'mapping Site table'!$C$4:$C$14,Raw_LIMS_Export!E122)</f>
        <v>East Hanover</v>
      </c>
      <c r="E122" s="17" t="s">
        <v>2483</v>
      </c>
      <c r="F122" s="17">
        <f t="shared" si="4"/>
        <v>1</v>
      </c>
      <c r="G122" s="17" t="str">
        <f t="shared" si="5"/>
        <v>Pass</v>
      </c>
      <c r="H122" s="17" t="str">
        <f t="shared" si="3"/>
        <v>Fail</v>
      </c>
      <c r="I122" s="17">
        <v>0.3</v>
      </c>
      <c r="J122" s="17" t="s">
        <v>2489</v>
      </c>
      <c r="K122" s="17">
        <v>0</v>
      </c>
      <c r="L122" s="17">
        <v>1</v>
      </c>
      <c r="M122" s="18">
        <f>Raw_LIMS_Export!K122</f>
        <v>45690</v>
      </c>
      <c r="N122" s="19" t="s">
        <v>2924</v>
      </c>
    </row>
    <row r="123" spans="1:14" x14ac:dyDescent="0.35">
      <c r="A123" s="16" t="s">
        <v>132</v>
      </c>
      <c r="B123" s="17" t="s">
        <v>2122</v>
      </c>
      <c r="C123" s="17" t="s">
        <v>2457</v>
      </c>
      <c r="D123" s="17" t="str">
        <f>_xlfn.XLOOKUP(Raw_LIMS_Export!E123,'mapping Site table'!$B$4:$B$14,'mapping Site table'!$C$4:$C$14,Raw_LIMS_Export!E123)</f>
        <v>East Hanover</v>
      </c>
      <c r="E123" s="17" t="s">
        <v>2485</v>
      </c>
      <c r="F123" s="17">
        <f t="shared" si="4"/>
        <v>1</v>
      </c>
      <c r="G123" s="17" t="str">
        <f t="shared" si="5"/>
        <v>Fail</v>
      </c>
      <c r="H123" s="17" t="str">
        <f t="shared" si="3"/>
        <v>Fail</v>
      </c>
      <c r="I123" s="17">
        <v>175</v>
      </c>
      <c r="J123" s="17" t="s">
        <v>2490</v>
      </c>
      <c r="K123" s="17">
        <v>0</v>
      </c>
      <c r="L123" s="17">
        <v>100</v>
      </c>
      <c r="M123" s="18">
        <f>Raw_LIMS_Export!K123</f>
        <v>45671</v>
      </c>
      <c r="N123" s="19" t="s">
        <v>2929</v>
      </c>
    </row>
    <row r="124" spans="1:14" x14ac:dyDescent="0.35">
      <c r="A124" s="16" t="s">
        <v>133</v>
      </c>
      <c r="B124" s="17" t="s">
        <v>2123</v>
      </c>
      <c r="C124" s="17" t="s">
        <v>2457</v>
      </c>
      <c r="D124" s="17" t="str">
        <f>_xlfn.XLOOKUP(Raw_LIMS_Export!E124,'mapping Site table'!$B$4:$B$14,'mapping Site table'!$C$4:$C$14,Raw_LIMS_Export!E124)</f>
        <v>Dortmund DE</v>
      </c>
      <c r="E124" s="17" t="s">
        <v>2479</v>
      </c>
      <c r="F124" s="17">
        <f t="shared" si="4"/>
        <v>1</v>
      </c>
      <c r="G124" s="17" t="str">
        <f t="shared" si="5"/>
        <v>Pass</v>
      </c>
      <c r="H124" s="17" t="str">
        <f t="shared" si="3"/>
        <v>Pass</v>
      </c>
      <c r="I124" s="17">
        <v>17.82</v>
      </c>
      <c r="J124" s="17" t="s">
        <v>2486</v>
      </c>
      <c r="K124" s="17">
        <v>0</v>
      </c>
      <c r="L124" s="17">
        <v>120</v>
      </c>
      <c r="M124" s="18">
        <f>Raw_LIMS_Export!K124</f>
        <v>45974</v>
      </c>
      <c r="N124" s="19" t="s">
        <v>2931</v>
      </c>
    </row>
    <row r="125" spans="1:14" x14ac:dyDescent="0.35">
      <c r="A125" s="16" t="s">
        <v>134</v>
      </c>
      <c r="B125" s="17" t="s">
        <v>2083</v>
      </c>
      <c r="C125" s="17" t="s">
        <v>2459</v>
      </c>
      <c r="D125" s="17" t="str">
        <f>_xlfn.XLOOKUP(Raw_LIMS_Export!E125,'mapping Site table'!$B$4:$B$14,'mapping Site table'!$C$4:$C$14,Raw_LIMS_Export!E125)</f>
        <v>Ashford UK</v>
      </c>
      <c r="E125" s="17" t="s">
        <v>2483</v>
      </c>
      <c r="F125" s="17">
        <f t="shared" si="4"/>
        <v>1</v>
      </c>
      <c r="G125" s="17" t="str">
        <f t="shared" si="5"/>
        <v>Pass</v>
      </c>
      <c r="H125" s="17" t="str">
        <f t="shared" si="3"/>
        <v>Pass</v>
      </c>
      <c r="I125" s="17">
        <v>0.52</v>
      </c>
      <c r="J125" s="17" t="s">
        <v>2489</v>
      </c>
      <c r="K125" s="17">
        <v>0</v>
      </c>
      <c r="L125" s="17">
        <v>1</v>
      </c>
      <c r="M125" s="18">
        <f>Raw_LIMS_Export!K125</f>
        <v>45979</v>
      </c>
      <c r="N125" s="19" t="s">
        <v>2925</v>
      </c>
    </row>
    <row r="126" spans="1:14" x14ac:dyDescent="0.35">
      <c r="A126" s="16" t="s">
        <v>135</v>
      </c>
      <c r="B126" s="17" t="s">
        <v>2124</v>
      </c>
      <c r="C126" s="17" t="s">
        <v>2457</v>
      </c>
      <c r="D126" s="17" t="str">
        <f>_xlfn.XLOOKUP(Raw_LIMS_Export!E126,'mapping Site table'!$B$4:$B$14,'mapping Site table'!$C$4:$C$14,Raw_LIMS_Export!E126)</f>
        <v>Dortmund DE</v>
      </c>
      <c r="E126" s="17" t="s">
        <v>2479</v>
      </c>
      <c r="F126" s="17">
        <f t="shared" si="4"/>
        <v>1</v>
      </c>
      <c r="G126" s="17" t="str">
        <f t="shared" si="5"/>
        <v>Pass</v>
      </c>
      <c r="H126" s="17" t="str">
        <f t="shared" si="3"/>
        <v>Pass</v>
      </c>
      <c r="I126" s="17">
        <v>38.25</v>
      </c>
      <c r="J126" s="17" t="s">
        <v>2486</v>
      </c>
      <c r="K126" s="17">
        <v>0</v>
      </c>
      <c r="L126" s="17">
        <v>120</v>
      </c>
      <c r="M126" s="18">
        <f>Raw_LIMS_Export!K126</f>
        <v>45733</v>
      </c>
      <c r="N126" s="19" t="s">
        <v>2928</v>
      </c>
    </row>
    <row r="127" spans="1:14" x14ac:dyDescent="0.35">
      <c r="A127" s="16" t="s">
        <v>136</v>
      </c>
      <c r="B127" s="17" t="s">
        <v>2125</v>
      </c>
      <c r="C127" s="17" t="s">
        <v>2460</v>
      </c>
      <c r="D127" s="17" t="str">
        <f>_xlfn.XLOOKUP(Raw_LIMS_Export!E127,'mapping Site table'!$B$4:$B$14,'mapping Site table'!$C$4:$C$14,Raw_LIMS_Export!E127)</f>
        <v>Budapest</v>
      </c>
      <c r="E127" s="17" t="s">
        <v>2483</v>
      </c>
      <c r="F127" s="17">
        <f t="shared" si="4"/>
        <v>1</v>
      </c>
      <c r="G127" s="17" t="str">
        <f t="shared" si="5"/>
        <v>Pass</v>
      </c>
      <c r="H127" s="17" t="str">
        <f t="shared" si="3"/>
        <v>Pass</v>
      </c>
      <c r="I127" s="17">
        <v>0.47</v>
      </c>
      <c r="J127" s="17" t="s">
        <v>2489</v>
      </c>
      <c r="K127" s="17">
        <v>0</v>
      </c>
      <c r="L127" s="17">
        <v>1</v>
      </c>
      <c r="M127" s="18">
        <f>Raw_LIMS_Export!K127</f>
        <v>45544</v>
      </c>
      <c r="N127" s="19" t="s">
        <v>2930</v>
      </c>
    </row>
    <row r="128" spans="1:14" x14ac:dyDescent="0.35">
      <c r="A128" s="16" t="s">
        <v>137</v>
      </c>
      <c r="B128" s="17" t="s">
        <v>2126</v>
      </c>
      <c r="C128" s="17" t="s">
        <v>2461</v>
      </c>
      <c r="D128" s="17" t="str">
        <f>_xlfn.XLOOKUP(Raw_LIMS_Export!E128,'mapping Site table'!$B$4:$B$14,'mapping Site table'!$C$4:$C$14,Raw_LIMS_Export!E128)</f>
        <v>East Hanover</v>
      </c>
      <c r="E128" s="17" t="s">
        <v>2483</v>
      </c>
      <c r="F128" s="17">
        <f t="shared" si="4"/>
        <v>1</v>
      </c>
      <c r="G128" s="17" t="str">
        <f t="shared" si="5"/>
        <v>Pass</v>
      </c>
      <c r="H128" s="17" t="str">
        <f t="shared" si="3"/>
        <v>Pass</v>
      </c>
      <c r="I128" s="17">
        <v>0.2</v>
      </c>
      <c r="J128" s="17" t="s">
        <v>2489</v>
      </c>
      <c r="K128" s="17">
        <v>0</v>
      </c>
      <c r="L128" s="17">
        <v>1</v>
      </c>
      <c r="M128" s="18">
        <f>Raw_LIMS_Export!K128</f>
        <v>45366</v>
      </c>
      <c r="N128" s="19" t="s">
        <v>2928</v>
      </c>
    </row>
    <row r="129" spans="1:14" x14ac:dyDescent="0.35">
      <c r="A129" s="16" t="s">
        <v>138</v>
      </c>
      <c r="B129" s="17" t="s">
        <v>2127</v>
      </c>
      <c r="C129" s="17" t="s">
        <v>2459</v>
      </c>
      <c r="D129" s="17" t="str">
        <f>_xlfn.XLOOKUP(Raw_LIMS_Export!E129,'mapping Site table'!$B$4:$B$14,'mapping Site table'!$C$4:$C$14,Raw_LIMS_Export!E129)</f>
        <v>Vernier CH</v>
      </c>
      <c r="E129" s="17" t="s">
        <v>2485</v>
      </c>
      <c r="F129" s="17">
        <f t="shared" si="4"/>
        <v>1</v>
      </c>
      <c r="G129" s="17" t="str">
        <f t="shared" si="5"/>
        <v>Pass</v>
      </c>
      <c r="H129" s="17" t="str">
        <f t="shared" si="3"/>
        <v>Pass</v>
      </c>
      <c r="I129" s="17">
        <v>20.11</v>
      </c>
      <c r="J129" s="17" t="s">
        <v>2490</v>
      </c>
      <c r="K129" s="17">
        <v>0</v>
      </c>
      <c r="L129" s="17">
        <v>100</v>
      </c>
      <c r="M129" s="18">
        <f>Raw_LIMS_Export!K129</f>
        <v>45788</v>
      </c>
      <c r="N129" s="19" t="s">
        <v>2924</v>
      </c>
    </row>
    <row r="130" spans="1:14" x14ac:dyDescent="0.35">
      <c r="A130" s="16" t="s">
        <v>139</v>
      </c>
      <c r="B130" s="17" t="s">
        <v>2128</v>
      </c>
      <c r="C130" s="17" t="s">
        <v>2458</v>
      </c>
      <c r="D130" s="17" t="str">
        <f>_xlfn.XLOOKUP(Raw_LIMS_Export!E130,'mapping Site table'!$B$4:$B$14,'mapping Site table'!$C$4:$C$14,Raw_LIMS_Export!E130)</f>
        <v>Budapest</v>
      </c>
      <c r="E130" s="17" t="s">
        <v>2483</v>
      </c>
      <c r="F130" s="17">
        <f t="shared" si="4"/>
        <v>1</v>
      </c>
      <c r="G130" s="17" t="str">
        <f t="shared" si="5"/>
        <v>Pass</v>
      </c>
      <c r="H130" s="17" t="str">
        <f t="shared" ref="H130:H193" si="6">IF(COUNTIFS($B$2:$B$2016,B130,$G$2:$G$2016,"Fail")&gt;0,"Fail",
  IF(COUNTIFS($B$2:$B$2016,B130,$G$2:$G$2016,"Missing")&gt;0,"Pending",
    "Pass"))</f>
        <v>Pass</v>
      </c>
      <c r="I130" s="17">
        <v>0.53</v>
      </c>
      <c r="J130" s="17" t="s">
        <v>2489</v>
      </c>
      <c r="K130" s="17">
        <v>0</v>
      </c>
      <c r="L130" s="17">
        <v>1</v>
      </c>
      <c r="M130" s="18">
        <f>Raw_LIMS_Export!K130</f>
        <v>45565</v>
      </c>
      <c r="N130" s="19" t="s">
        <v>2926</v>
      </c>
    </row>
    <row r="131" spans="1:14" x14ac:dyDescent="0.35">
      <c r="A131" s="16" t="s">
        <v>140</v>
      </c>
      <c r="B131" s="17" t="s">
        <v>2057</v>
      </c>
      <c r="C131" s="17" t="s">
        <v>2461</v>
      </c>
      <c r="D131" s="17" t="str">
        <f>_xlfn.XLOOKUP(Raw_LIMS_Export!E131,'mapping Site table'!$B$4:$B$14,'mapping Site table'!$C$4:$C$14,Raw_LIMS_Export!E131)</f>
        <v>Ashford UK</v>
      </c>
      <c r="E131" s="17" t="s">
        <v>2482</v>
      </c>
      <c r="F131" s="17">
        <f t="shared" ref="F131:F194" si="7">IF(I131="",0,1)</f>
        <v>1</v>
      </c>
      <c r="G131" s="17" t="str">
        <f t="shared" ref="G131:G194" si="8">IF(I131="", "Missing", IF(AND(I131&gt;=K131, I131&lt;=L131), "Pass", "Fail"))</f>
        <v>Pass</v>
      </c>
      <c r="H131" s="17" t="str">
        <f t="shared" si="6"/>
        <v>Fail</v>
      </c>
      <c r="I131" s="17">
        <v>99.78</v>
      </c>
      <c r="J131" s="17" t="s">
        <v>2489</v>
      </c>
      <c r="K131" s="17">
        <v>97</v>
      </c>
      <c r="L131" s="17">
        <v>100</v>
      </c>
      <c r="M131" s="18">
        <f>Raw_LIMS_Export!K131</f>
        <v>45869</v>
      </c>
      <c r="N131" s="19" t="s">
        <v>2927</v>
      </c>
    </row>
    <row r="132" spans="1:14" x14ac:dyDescent="0.35">
      <c r="A132" s="16" t="s">
        <v>141</v>
      </c>
      <c r="B132" s="17" t="s">
        <v>2129</v>
      </c>
      <c r="C132" s="17" t="s">
        <v>2461</v>
      </c>
      <c r="D132" s="17" t="str">
        <f>_xlfn.XLOOKUP(Raw_LIMS_Export!E132,'mapping Site table'!$B$4:$B$14,'mapping Site table'!$C$4:$C$14,Raw_LIMS_Export!E132)</f>
        <v>Dortmund DE</v>
      </c>
      <c r="E132" s="17" t="s">
        <v>2482</v>
      </c>
      <c r="F132" s="17">
        <f t="shared" si="7"/>
        <v>1</v>
      </c>
      <c r="G132" s="17" t="str">
        <f t="shared" si="8"/>
        <v>Pass</v>
      </c>
      <c r="H132" s="17" t="str">
        <f t="shared" si="6"/>
        <v>Pass</v>
      </c>
      <c r="I132" s="17">
        <v>97.81</v>
      </c>
      <c r="J132" s="17" t="s">
        <v>2489</v>
      </c>
      <c r="K132" s="17">
        <v>97</v>
      </c>
      <c r="L132" s="17">
        <v>100</v>
      </c>
      <c r="M132" s="18">
        <f>Raw_LIMS_Export!K132</f>
        <v>45617</v>
      </c>
      <c r="N132" s="19" t="s">
        <v>2928</v>
      </c>
    </row>
    <row r="133" spans="1:14" x14ac:dyDescent="0.35">
      <c r="A133" s="16" t="s">
        <v>142</v>
      </c>
      <c r="B133" s="17" t="s">
        <v>2130</v>
      </c>
      <c r="C133" s="17" t="s">
        <v>2457</v>
      </c>
      <c r="D133" s="17" t="str">
        <f>_xlfn.XLOOKUP(Raw_LIMS_Export!E133,'mapping Site table'!$B$4:$B$14,'mapping Site table'!$C$4:$C$14,Raw_LIMS_Export!E133)</f>
        <v>East Hanover</v>
      </c>
      <c r="E133" s="17" t="s">
        <v>2480</v>
      </c>
      <c r="F133" s="17">
        <f t="shared" si="7"/>
        <v>1</v>
      </c>
      <c r="G133" s="17" t="str">
        <f t="shared" si="8"/>
        <v>Pass</v>
      </c>
      <c r="H133" s="17" t="str">
        <f t="shared" si="6"/>
        <v>Pass</v>
      </c>
      <c r="I133" s="17">
        <v>0.94</v>
      </c>
      <c r="J133" s="17" t="s">
        <v>2487</v>
      </c>
      <c r="K133" s="17">
        <v>0.88</v>
      </c>
      <c r="L133" s="17">
        <v>0.97</v>
      </c>
      <c r="M133" s="18">
        <f>Raw_LIMS_Export!K133</f>
        <v>45943</v>
      </c>
      <c r="N133" s="19" t="s">
        <v>2928</v>
      </c>
    </row>
    <row r="134" spans="1:14" x14ac:dyDescent="0.35">
      <c r="A134" s="16" t="s">
        <v>143</v>
      </c>
      <c r="B134" s="17" t="s">
        <v>2131</v>
      </c>
      <c r="C134" s="17" t="s">
        <v>2459</v>
      </c>
      <c r="D134" s="17" t="str">
        <f>_xlfn.XLOOKUP(Raw_LIMS_Export!E134,'mapping Site table'!$B$4:$B$14,'mapping Site table'!$C$4:$C$14,Raw_LIMS_Export!E134)</f>
        <v>Budapest</v>
      </c>
      <c r="E134" s="17" t="s">
        <v>2483</v>
      </c>
      <c r="F134" s="17">
        <f t="shared" si="7"/>
        <v>1</v>
      </c>
      <c r="G134" s="17" t="str">
        <f t="shared" si="8"/>
        <v>Pass</v>
      </c>
      <c r="H134" s="17" t="str">
        <f t="shared" si="6"/>
        <v>Fail</v>
      </c>
      <c r="I134" s="17">
        <v>0.53</v>
      </c>
      <c r="J134" s="17" t="s">
        <v>2489</v>
      </c>
      <c r="K134" s="17">
        <v>0</v>
      </c>
      <c r="L134" s="17">
        <v>1</v>
      </c>
      <c r="M134" s="18">
        <f>Raw_LIMS_Export!K134</f>
        <v>45561</v>
      </c>
      <c r="N134" s="19" t="s">
        <v>2926</v>
      </c>
    </row>
    <row r="135" spans="1:14" x14ac:dyDescent="0.35">
      <c r="A135" s="16" t="s">
        <v>144</v>
      </c>
      <c r="B135" s="17" t="s">
        <v>2040</v>
      </c>
      <c r="C135" s="17" t="s">
        <v>2460</v>
      </c>
      <c r="D135" s="17" t="str">
        <f>_xlfn.XLOOKUP(Raw_LIMS_Export!E135,'mapping Site table'!$B$4:$B$14,'mapping Site table'!$C$4:$C$14,Raw_LIMS_Export!E135)</f>
        <v>Dortmund DE</v>
      </c>
      <c r="E135" s="17" t="s">
        <v>2481</v>
      </c>
      <c r="F135" s="17">
        <f t="shared" si="7"/>
        <v>1</v>
      </c>
      <c r="G135" s="17" t="str">
        <f t="shared" si="8"/>
        <v>Pass</v>
      </c>
      <c r="H135" s="17" t="str">
        <f t="shared" si="6"/>
        <v>Fail</v>
      </c>
      <c r="I135" s="17">
        <v>220.97</v>
      </c>
      <c r="J135" s="17" t="s">
        <v>2488</v>
      </c>
      <c r="K135" s="17">
        <v>150</v>
      </c>
      <c r="L135" s="17">
        <v>400</v>
      </c>
      <c r="M135" s="18">
        <f>Raw_LIMS_Export!K135</f>
        <v>45386</v>
      </c>
      <c r="N135" s="19" t="s">
        <v>2926</v>
      </c>
    </row>
    <row r="136" spans="1:14" x14ac:dyDescent="0.35">
      <c r="A136" s="16" t="s">
        <v>145</v>
      </c>
      <c r="B136" s="17" t="s">
        <v>2116</v>
      </c>
      <c r="C136" s="17" t="s">
        <v>2461</v>
      </c>
      <c r="D136" s="17" t="str">
        <f>_xlfn.XLOOKUP(Raw_LIMS_Export!E136,'mapping Site table'!$B$4:$B$14,'mapping Site table'!$C$4:$C$14,Raw_LIMS_Export!E136)</f>
        <v>Dortmund DE</v>
      </c>
      <c r="E136" s="17" t="s">
        <v>2480</v>
      </c>
      <c r="F136" s="17">
        <f t="shared" si="7"/>
        <v>1</v>
      </c>
      <c r="G136" s="17" t="str">
        <f t="shared" si="8"/>
        <v>Pass</v>
      </c>
      <c r="H136" s="17" t="str">
        <f t="shared" si="6"/>
        <v>Pass</v>
      </c>
      <c r="I136" s="17">
        <v>0.9</v>
      </c>
      <c r="J136" s="17" t="s">
        <v>2487</v>
      </c>
      <c r="K136" s="17">
        <v>0.88</v>
      </c>
      <c r="L136" s="17">
        <v>0.97</v>
      </c>
      <c r="M136" s="18">
        <f>Raw_LIMS_Export!K136</f>
        <v>45376</v>
      </c>
      <c r="N136" s="19" t="s">
        <v>2926</v>
      </c>
    </row>
    <row r="137" spans="1:14" x14ac:dyDescent="0.35">
      <c r="A137" s="16" t="s">
        <v>146</v>
      </c>
      <c r="B137" s="17" t="s">
        <v>2132</v>
      </c>
      <c r="C137" s="17" t="s">
        <v>2457</v>
      </c>
      <c r="D137" s="17" t="str">
        <f>_xlfn.XLOOKUP(Raw_LIMS_Export!E137,'mapping Site table'!$B$4:$B$14,'mapping Site table'!$C$4:$C$14,Raw_LIMS_Export!E137)</f>
        <v>Budapest</v>
      </c>
      <c r="E137" s="17" t="s">
        <v>2483</v>
      </c>
      <c r="F137" s="17">
        <f t="shared" si="7"/>
        <v>1</v>
      </c>
      <c r="G137" s="17" t="str">
        <f t="shared" si="8"/>
        <v>Pass</v>
      </c>
      <c r="H137" s="17" t="str">
        <f t="shared" si="6"/>
        <v>Fail</v>
      </c>
      <c r="I137" s="17">
        <v>0.38</v>
      </c>
      <c r="J137" s="17" t="s">
        <v>2489</v>
      </c>
      <c r="K137" s="17">
        <v>0</v>
      </c>
      <c r="L137" s="17">
        <v>1</v>
      </c>
      <c r="M137" s="18">
        <f>Raw_LIMS_Export!K137</f>
        <v>45493</v>
      </c>
      <c r="N137" s="19" t="s">
        <v>2927</v>
      </c>
    </row>
    <row r="138" spans="1:14" x14ac:dyDescent="0.35">
      <c r="A138" s="16" t="s">
        <v>147</v>
      </c>
      <c r="B138" s="17" t="s">
        <v>2133</v>
      </c>
      <c r="C138" s="17" t="s">
        <v>2457</v>
      </c>
      <c r="D138" s="17" t="str">
        <f>_xlfn.XLOOKUP(Raw_LIMS_Export!E138,'mapping Site table'!$B$4:$B$14,'mapping Site table'!$C$4:$C$14,Raw_LIMS_Export!E138)</f>
        <v>Vernier CH</v>
      </c>
      <c r="E138" s="17" t="s">
        <v>2480</v>
      </c>
      <c r="F138" s="17">
        <f t="shared" si="7"/>
        <v>1</v>
      </c>
      <c r="G138" s="17" t="str">
        <f t="shared" si="8"/>
        <v>Pass</v>
      </c>
      <c r="H138" s="17" t="str">
        <f t="shared" si="6"/>
        <v>Pass</v>
      </c>
      <c r="I138" s="17">
        <v>0.92</v>
      </c>
      <c r="J138" s="17" t="s">
        <v>2487</v>
      </c>
      <c r="K138" s="17">
        <v>0.88</v>
      </c>
      <c r="L138" s="17">
        <v>0.97</v>
      </c>
      <c r="M138" s="18">
        <f>Raw_LIMS_Export!K138</f>
        <v>45805</v>
      </c>
      <c r="N138" s="19" t="s">
        <v>2923</v>
      </c>
    </row>
    <row r="139" spans="1:14" x14ac:dyDescent="0.35">
      <c r="A139" s="16" t="s">
        <v>148</v>
      </c>
      <c r="B139" s="17" t="s">
        <v>2134</v>
      </c>
      <c r="C139" s="17" t="s">
        <v>2459</v>
      </c>
      <c r="D139" s="17" t="str">
        <f>_xlfn.XLOOKUP(Raw_LIMS_Export!E139,'mapping Site table'!$B$4:$B$14,'mapping Site table'!$C$4:$C$14,Raw_LIMS_Export!E139)</f>
        <v>Vernier CH</v>
      </c>
      <c r="E139" s="17" t="s">
        <v>2481</v>
      </c>
      <c r="F139" s="17">
        <f t="shared" si="7"/>
        <v>1</v>
      </c>
      <c r="G139" s="17" t="str">
        <f t="shared" si="8"/>
        <v>Pass</v>
      </c>
      <c r="H139" s="17" t="str">
        <f t="shared" si="6"/>
        <v>Pass</v>
      </c>
      <c r="I139" s="17">
        <v>332.82</v>
      </c>
      <c r="J139" s="17" t="s">
        <v>2488</v>
      </c>
      <c r="K139" s="17">
        <v>150</v>
      </c>
      <c r="L139" s="17">
        <v>400</v>
      </c>
      <c r="M139" s="18">
        <f>Raw_LIMS_Export!K139</f>
        <v>45721</v>
      </c>
      <c r="N139" s="19" t="s">
        <v>2927</v>
      </c>
    </row>
    <row r="140" spans="1:14" x14ac:dyDescent="0.35">
      <c r="A140" s="16" t="s">
        <v>149</v>
      </c>
      <c r="B140" s="17" t="s">
        <v>2135</v>
      </c>
      <c r="C140" s="17" t="s">
        <v>2461</v>
      </c>
      <c r="D140" s="17" t="str">
        <f>_xlfn.XLOOKUP(Raw_LIMS_Export!E140,'mapping Site table'!$B$4:$B$14,'mapping Site table'!$C$4:$C$14,Raw_LIMS_Export!E140)</f>
        <v>Budapest</v>
      </c>
      <c r="E140" s="17" t="s">
        <v>2481</v>
      </c>
      <c r="F140" s="17">
        <f t="shared" si="7"/>
        <v>1</v>
      </c>
      <c r="G140" s="17" t="str">
        <f t="shared" si="8"/>
        <v>Pass</v>
      </c>
      <c r="H140" s="17" t="str">
        <f t="shared" si="6"/>
        <v>Pass</v>
      </c>
      <c r="I140" s="17">
        <v>244.96</v>
      </c>
      <c r="J140" s="17" t="s">
        <v>2488</v>
      </c>
      <c r="K140" s="17">
        <v>150</v>
      </c>
      <c r="L140" s="17">
        <v>400</v>
      </c>
      <c r="M140" s="18">
        <f>Raw_LIMS_Export!K140</f>
        <v>45904</v>
      </c>
      <c r="N140" s="19" t="s">
        <v>2923</v>
      </c>
    </row>
    <row r="141" spans="1:14" x14ac:dyDescent="0.35">
      <c r="A141" s="16" t="s">
        <v>150</v>
      </c>
      <c r="B141" s="17" t="s">
        <v>2136</v>
      </c>
      <c r="C141" s="17" t="s">
        <v>2458</v>
      </c>
      <c r="D141" s="17" t="str">
        <f>_xlfn.XLOOKUP(Raw_LIMS_Export!E141,'mapping Site table'!$B$4:$B$14,'mapping Site table'!$C$4:$C$14,Raw_LIMS_Export!E141)</f>
        <v>Dortmund DE</v>
      </c>
      <c r="E141" s="17" t="s">
        <v>2483</v>
      </c>
      <c r="F141" s="17">
        <f t="shared" si="7"/>
        <v>1</v>
      </c>
      <c r="G141" s="17" t="str">
        <f t="shared" si="8"/>
        <v>Pass</v>
      </c>
      <c r="H141" s="17" t="str">
        <f t="shared" si="6"/>
        <v>Pending</v>
      </c>
      <c r="I141" s="17">
        <v>0.25</v>
      </c>
      <c r="J141" s="17" t="s">
        <v>2489</v>
      </c>
      <c r="K141" s="17">
        <v>0</v>
      </c>
      <c r="L141" s="17">
        <v>1</v>
      </c>
      <c r="M141" s="18">
        <f>Raw_LIMS_Export!K141</f>
        <v>45534</v>
      </c>
      <c r="N141" s="19" t="s">
        <v>2929</v>
      </c>
    </row>
    <row r="142" spans="1:14" x14ac:dyDescent="0.35">
      <c r="A142" s="16" t="s">
        <v>151</v>
      </c>
      <c r="B142" s="17" t="s">
        <v>2108</v>
      </c>
      <c r="C142" s="17" t="s">
        <v>2458</v>
      </c>
      <c r="D142" s="17" t="str">
        <f>_xlfn.XLOOKUP(Raw_LIMS_Export!E142,'mapping Site table'!$B$4:$B$14,'mapping Site table'!$C$4:$C$14,Raw_LIMS_Export!E142)</f>
        <v>Ashford UK</v>
      </c>
      <c r="E142" s="17" t="s">
        <v>2484</v>
      </c>
      <c r="F142" s="17">
        <f t="shared" si="7"/>
        <v>1</v>
      </c>
      <c r="G142" s="17" t="str">
        <f t="shared" si="8"/>
        <v>Pass</v>
      </c>
      <c r="H142" s="17" t="str">
        <f t="shared" si="6"/>
        <v>Pass</v>
      </c>
      <c r="I142" s="17">
        <v>6.73</v>
      </c>
      <c r="J142" s="17"/>
      <c r="K142" s="17">
        <v>6</v>
      </c>
      <c r="L142" s="17">
        <v>7.5</v>
      </c>
      <c r="M142" s="18">
        <f>Raw_LIMS_Export!K142</f>
        <v>45362</v>
      </c>
      <c r="N142" s="19" t="s">
        <v>2930</v>
      </c>
    </row>
    <row r="143" spans="1:14" x14ac:dyDescent="0.35">
      <c r="A143" s="16" t="s">
        <v>152</v>
      </c>
      <c r="B143" s="17" t="s">
        <v>2137</v>
      </c>
      <c r="C143" s="17" t="s">
        <v>2460</v>
      </c>
      <c r="D143" s="17" t="str">
        <f>_xlfn.XLOOKUP(Raw_LIMS_Export!E143,'mapping Site table'!$B$4:$B$14,'mapping Site table'!$C$4:$C$14,Raw_LIMS_Export!E143)</f>
        <v>Ashford UK</v>
      </c>
      <c r="E143" s="17" t="s">
        <v>2481</v>
      </c>
      <c r="F143" s="17">
        <f t="shared" si="7"/>
        <v>1</v>
      </c>
      <c r="G143" s="17" t="str">
        <f t="shared" si="8"/>
        <v>Pass</v>
      </c>
      <c r="H143" s="17" t="str">
        <f t="shared" si="6"/>
        <v>Pass</v>
      </c>
      <c r="I143" s="17">
        <v>262.94</v>
      </c>
      <c r="J143" s="17" t="s">
        <v>2488</v>
      </c>
      <c r="K143" s="17">
        <v>150</v>
      </c>
      <c r="L143" s="17">
        <v>400</v>
      </c>
      <c r="M143" s="18">
        <f>Raw_LIMS_Export!K143</f>
        <v>45661</v>
      </c>
      <c r="N143" s="19" t="s">
        <v>2927</v>
      </c>
    </row>
    <row r="144" spans="1:14" x14ac:dyDescent="0.35">
      <c r="A144" s="16" t="s">
        <v>153</v>
      </c>
      <c r="B144" s="17" t="s">
        <v>2064</v>
      </c>
      <c r="C144" s="17" t="s">
        <v>2458</v>
      </c>
      <c r="D144" s="17" t="str">
        <f>_xlfn.XLOOKUP(Raw_LIMS_Export!E144,'mapping Site table'!$B$4:$B$14,'mapping Site table'!$C$4:$C$14,Raw_LIMS_Export!E144)</f>
        <v>Vernier CH</v>
      </c>
      <c r="E144" s="17" t="s">
        <v>2483</v>
      </c>
      <c r="F144" s="17">
        <f t="shared" si="7"/>
        <v>1</v>
      </c>
      <c r="G144" s="17" t="str">
        <f t="shared" si="8"/>
        <v>Pass</v>
      </c>
      <c r="H144" s="17" t="str">
        <f t="shared" si="6"/>
        <v>Pass</v>
      </c>
      <c r="I144" s="17">
        <v>0.27</v>
      </c>
      <c r="J144" s="17" t="s">
        <v>2489</v>
      </c>
      <c r="K144" s="17">
        <v>0</v>
      </c>
      <c r="L144" s="17">
        <v>1</v>
      </c>
      <c r="M144" s="18">
        <f>Raw_LIMS_Export!K144</f>
        <v>45715</v>
      </c>
      <c r="N144" s="19" t="s">
        <v>2926</v>
      </c>
    </row>
    <row r="145" spans="1:14" x14ac:dyDescent="0.35">
      <c r="A145" s="16" t="s">
        <v>154</v>
      </c>
      <c r="B145" s="17" t="s">
        <v>2138</v>
      </c>
      <c r="C145" s="17" t="s">
        <v>2457</v>
      </c>
      <c r="D145" s="17" t="str">
        <f>_xlfn.XLOOKUP(Raw_LIMS_Export!E145,'mapping Site table'!$B$4:$B$14,'mapping Site table'!$C$4:$C$14,Raw_LIMS_Export!E145)</f>
        <v>Dortmund DE</v>
      </c>
      <c r="E145" s="17" t="s">
        <v>2483</v>
      </c>
      <c r="F145" s="17">
        <f t="shared" si="7"/>
        <v>1</v>
      </c>
      <c r="G145" s="17" t="str">
        <f t="shared" si="8"/>
        <v>Pass</v>
      </c>
      <c r="H145" s="17" t="str">
        <f t="shared" si="6"/>
        <v>Fail</v>
      </c>
      <c r="I145" s="17">
        <v>0.03</v>
      </c>
      <c r="J145" s="17" t="s">
        <v>2489</v>
      </c>
      <c r="K145" s="17">
        <v>0</v>
      </c>
      <c r="L145" s="17">
        <v>1</v>
      </c>
      <c r="M145" s="18">
        <f>Raw_LIMS_Export!K145</f>
        <v>45747</v>
      </c>
      <c r="N145" s="19" t="s">
        <v>2925</v>
      </c>
    </row>
    <row r="146" spans="1:14" x14ac:dyDescent="0.35">
      <c r="A146" s="16" t="s">
        <v>155</v>
      </c>
      <c r="B146" s="17" t="s">
        <v>2139</v>
      </c>
      <c r="C146" s="17" t="s">
        <v>2460</v>
      </c>
      <c r="D146" s="17" t="str">
        <f>_xlfn.XLOOKUP(Raw_LIMS_Export!E146,'mapping Site table'!$B$4:$B$14,'mapping Site table'!$C$4:$C$14,Raw_LIMS_Export!E146)</f>
        <v>Dortmund DE</v>
      </c>
      <c r="E146" s="17" t="s">
        <v>2483</v>
      </c>
      <c r="F146" s="17">
        <f t="shared" si="7"/>
        <v>1</v>
      </c>
      <c r="G146" s="17" t="str">
        <f t="shared" si="8"/>
        <v>Pass</v>
      </c>
      <c r="H146" s="17" t="str">
        <f t="shared" si="6"/>
        <v>Pass</v>
      </c>
      <c r="I146" s="17">
        <v>0.32</v>
      </c>
      <c r="J146" s="17" t="s">
        <v>2489</v>
      </c>
      <c r="K146" s="17">
        <v>0</v>
      </c>
      <c r="L146" s="17">
        <v>1</v>
      </c>
      <c r="M146" s="18">
        <f>Raw_LIMS_Export!K146</f>
        <v>45295</v>
      </c>
      <c r="N146" s="19" t="s">
        <v>2925</v>
      </c>
    </row>
    <row r="147" spans="1:14" x14ac:dyDescent="0.35">
      <c r="A147" s="16" t="s">
        <v>156</v>
      </c>
      <c r="B147" s="17" t="s">
        <v>2140</v>
      </c>
      <c r="C147" s="17" t="s">
        <v>2460</v>
      </c>
      <c r="D147" s="17" t="str">
        <f>_xlfn.XLOOKUP(Raw_LIMS_Export!E147,'mapping Site table'!$B$4:$B$14,'mapping Site table'!$C$4:$C$14,Raw_LIMS_Export!E147)</f>
        <v>Budapest</v>
      </c>
      <c r="E147" s="17" t="s">
        <v>2485</v>
      </c>
      <c r="F147" s="17">
        <f t="shared" si="7"/>
        <v>1</v>
      </c>
      <c r="G147" s="17" t="str">
        <f t="shared" si="8"/>
        <v>Fail</v>
      </c>
      <c r="H147" s="17" t="str">
        <f t="shared" si="6"/>
        <v>Fail</v>
      </c>
      <c r="I147" s="17">
        <v>-0.45</v>
      </c>
      <c r="J147" s="17" t="s">
        <v>2490</v>
      </c>
      <c r="K147" s="17">
        <v>0</v>
      </c>
      <c r="L147" s="17">
        <v>100</v>
      </c>
      <c r="M147" s="18">
        <f>Raw_LIMS_Export!K147</f>
        <v>45891</v>
      </c>
      <c r="N147" s="19" t="s">
        <v>2929</v>
      </c>
    </row>
    <row r="148" spans="1:14" x14ac:dyDescent="0.35">
      <c r="A148" s="16" t="s">
        <v>157</v>
      </c>
      <c r="B148" s="17" t="s">
        <v>2141</v>
      </c>
      <c r="C148" s="17" t="s">
        <v>2458</v>
      </c>
      <c r="D148" s="17" t="str">
        <f>_xlfn.XLOOKUP(Raw_LIMS_Export!E148,'mapping Site table'!$B$4:$B$14,'mapping Site table'!$C$4:$C$14,Raw_LIMS_Export!E148)</f>
        <v>Vernier CH</v>
      </c>
      <c r="E148" s="17" t="s">
        <v>2480</v>
      </c>
      <c r="F148" s="17">
        <f t="shared" si="7"/>
        <v>1</v>
      </c>
      <c r="G148" s="17" t="str">
        <f t="shared" si="8"/>
        <v>Pass</v>
      </c>
      <c r="H148" s="17" t="str">
        <f t="shared" si="6"/>
        <v>Pass</v>
      </c>
      <c r="I148" s="17">
        <v>0.9</v>
      </c>
      <c r="J148" s="17" t="s">
        <v>2487</v>
      </c>
      <c r="K148" s="17">
        <v>0.88</v>
      </c>
      <c r="L148" s="17">
        <v>0.97</v>
      </c>
      <c r="M148" s="18">
        <f>Raw_LIMS_Export!K148</f>
        <v>45936</v>
      </c>
      <c r="N148" s="19" t="s">
        <v>2930</v>
      </c>
    </row>
    <row r="149" spans="1:14" x14ac:dyDescent="0.35">
      <c r="A149" s="16" t="s">
        <v>158</v>
      </c>
      <c r="B149" s="17" t="s">
        <v>2142</v>
      </c>
      <c r="C149" s="17" t="s">
        <v>2458</v>
      </c>
      <c r="D149" s="17" t="str">
        <f>_xlfn.XLOOKUP(Raw_LIMS_Export!E149,'mapping Site table'!$B$4:$B$14,'mapping Site table'!$C$4:$C$14,Raw_LIMS_Export!E149)</f>
        <v>East Hanover</v>
      </c>
      <c r="E149" s="17" t="s">
        <v>2482</v>
      </c>
      <c r="F149" s="17">
        <f t="shared" si="7"/>
        <v>1</v>
      </c>
      <c r="G149" s="17" t="str">
        <f t="shared" si="8"/>
        <v>Pass</v>
      </c>
      <c r="H149" s="17" t="str">
        <f t="shared" si="6"/>
        <v>Fail</v>
      </c>
      <c r="I149" s="17">
        <v>98.07</v>
      </c>
      <c r="J149" s="17" t="s">
        <v>2489</v>
      </c>
      <c r="K149" s="17">
        <v>97</v>
      </c>
      <c r="L149" s="17">
        <v>100</v>
      </c>
      <c r="M149" s="18">
        <f>Raw_LIMS_Export!K149</f>
        <v>45942</v>
      </c>
      <c r="N149" s="19" t="s">
        <v>2929</v>
      </c>
    </row>
    <row r="150" spans="1:14" x14ac:dyDescent="0.35">
      <c r="A150" s="16" t="s">
        <v>159</v>
      </c>
      <c r="B150" s="17" t="s">
        <v>2143</v>
      </c>
      <c r="C150" s="17" t="s">
        <v>2460</v>
      </c>
      <c r="D150" s="17" t="str">
        <f>_xlfn.XLOOKUP(Raw_LIMS_Export!E150,'mapping Site table'!$B$4:$B$14,'mapping Site table'!$C$4:$C$14,Raw_LIMS_Export!E150)</f>
        <v>Dortmund DE</v>
      </c>
      <c r="E150" s="17" t="s">
        <v>2483</v>
      </c>
      <c r="F150" s="17">
        <f t="shared" si="7"/>
        <v>1</v>
      </c>
      <c r="G150" s="17" t="str">
        <f t="shared" si="8"/>
        <v>Pass</v>
      </c>
      <c r="H150" s="17" t="str">
        <f t="shared" si="6"/>
        <v>Pass</v>
      </c>
      <c r="I150" s="17">
        <v>0.19</v>
      </c>
      <c r="J150" s="17" t="s">
        <v>2489</v>
      </c>
      <c r="K150" s="17">
        <v>0</v>
      </c>
      <c r="L150" s="17">
        <v>1</v>
      </c>
      <c r="M150" s="18">
        <f>Raw_LIMS_Export!K150</f>
        <v>45540</v>
      </c>
      <c r="N150" s="19" t="s">
        <v>2923</v>
      </c>
    </row>
    <row r="151" spans="1:14" x14ac:dyDescent="0.35">
      <c r="A151" s="16" t="s">
        <v>160</v>
      </c>
      <c r="B151" s="17" t="s">
        <v>2144</v>
      </c>
      <c r="C151" s="17" t="s">
        <v>2461</v>
      </c>
      <c r="D151" s="17" t="str">
        <f>_xlfn.XLOOKUP(Raw_LIMS_Export!E151,'mapping Site table'!$B$4:$B$14,'mapping Site table'!$C$4:$C$14,Raw_LIMS_Export!E151)</f>
        <v>East Hanover</v>
      </c>
      <c r="E151" s="17" t="s">
        <v>2484</v>
      </c>
      <c r="F151" s="17">
        <f t="shared" si="7"/>
        <v>1</v>
      </c>
      <c r="G151" s="17" t="str">
        <f t="shared" si="8"/>
        <v>Pass</v>
      </c>
      <c r="H151" s="17" t="str">
        <f t="shared" si="6"/>
        <v>Fail</v>
      </c>
      <c r="I151" s="17">
        <v>7.26</v>
      </c>
      <c r="J151" s="17"/>
      <c r="K151" s="17">
        <v>6</v>
      </c>
      <c r="L151" s="17">
        <v>7.5</v>
      </c>
      <c r="M151" s="18">
        <f>Raw_LIMS_Export!K151</f>
        <v>45635</v>
      </c>
      <c r="N151" s="19" t="s">
        <v>2930</v>
      </c>
    </row>
    <row r="152" spans="1:14" x14ac:dyDescent="0.35">
      <c r="A152" s="16" t="s">
        <v>161</v>
      </c>
      <c r="B152" s="17" t="s">
        <v>2109</v>
      </c>
      <c r="C152" s="17" t="s">
        <v>2461</v>
      </c>
      <c r="D152" s="17" t="str">
        <f>_xlfn.XLOOKUP(Raw_LIMS_Export!E152,'mapping Site table'!$B$4:$B$14,'mapping Site table'!$C$4:$C$14,Raw_LIMS_Export!E152)</f>
        <v>Budapest</v>
      </c>
      <c r="E152" s="17" t="s">
        <v>2481</v>
      </c>
      <c r="F152" s="17">
        <f t="shared" si="7"/>
        <v>1</v>
      </c>
      <c r="G152" s="17" t="str">
        <f t="shared" si="8"/>
        <v>Pass</v>
      </c>
      <c r="H152" s="17" t="str">
        <f t="shared" si="6"/>
        <v>Pending</v>
      </c>
      <c r="I152" s="17">
        <v>208.78</v>
      </c>
      <c r="J152" s="17" t="s">
        <v>2488</v>
      </c>
      <c r="K152" s="17">
        <v>150</v>
      </c>
      <c r="L152" s="17">
        <v>400</v>
      </c>
      <c r="M152" s="18">
        <f>Raw_LIMS_Export!K152</f>
        <v>45596</v>
      </c>
      <c r="N152" s="19" t="s">
        <v>2932</v>
      </c>
    </row>
    <row r="153" spans="1:14" x14ac:dyDescent="0.35">
      <c r="A153" s="16" t="s">
        <v>162</v>
      </c>
      <c r="B153" s="17" t="s">
        <v>2145</v>
      </c>
      <c r="C153" s="17" t="s">
        <v>2458</v>
      </c>
      <c r="D153" s="17" t="str">
        <f>_xlfn.XLOOKUP(Raw_LIMS_Export!E153,'mapping Site table'!$B$4:$B$14,'mapping Site table'!$C$4:$C$14,Raw_LIMS_Export!E153)</f>
        <v>Budapest</v>
      </c>
      <c r="E153" s="17" t="s">
        <v>2481</v>
      </c>
      <c r="F153" s="17">
        <f t="shared" si="7"/>
        <v>1</v>
      </c>
      <c r="G153" s="17" t="str">
        <f t="shared" si="8"/>
        <v>Pass</v>
      </c>
      <c r="H153" s="17" t="str">
        <f t="shared" si="6"/>
        <v>Pending</v>
      </c>
      <c r="I153" s="17">
        <v>272.8</v>
      </c>
      <c r="J153" s="17" t="s">
        <v>2488</v>
      </c>
      <c r="K153" s="17">
        <v>150</v>
      </c>
      <c r="L153" s="17">
        <v>400</v>
      </c>
      <c r="M153" s="18">
        <f>Raw_LIMS_Export!K153</f>
        <v>45819</v>
      </c>
      <c r="N153" s="19" t="s">
        <v>2929</v>
      </c>
    </row>
    <row r="154" spans="1:14" x14ac:dyDescent="0.35">
      <c r="A154" s="16" t="s">
        <v>163</v>
      </c>
      <c r="B154" s="17" t="s">
        <v>2146</v>
      </c>
      <c r="C154" s="17" t="s">
        <v>2459</v>
      </c>
      <c r="D154" s="17" t="str">
        <f>_xlfn.XLOOKUP(Raw_LIMS_Export!E154,'mapping Site table'!$B$4:$B$14,'mapping Site table'!$C$4:$C$14,Raw_LIMS_Export!E154)</f>
        <v>Budapest</v>
      </c>
      <c r="E154" s="17" t="s">
        <v>2484</v>
      </c>
      <c r="F154" s="17">
        <f t="shared" si="7"/>
        <v>1</v>
      </c>
      <c r="G154" s="17" t="str">
        <f t="shared" si="8"/>
        <v>Pass</v>
      </c>
      <c r="H154" s="17" t="str">
        <f t="shared" si="6"/>
        <v>Pass</v>
      </c>
      <c r="I154" s="17">
        <v>6.57</v>
      </c>
      <c r="J154" s="17"/>
      <c r="K154" s="17">
        <v>6</v>
      </c>
      <c r="L154" s="17">
        <v>7.5</v>
      </c>
      <c r="M154" s="18">
        <f>Raw_LIMS_Export!K154</f>
        <v>45476</v>
      </c>
      <c r="N154" s="19" t="s">
        <v>2930</v>
      </c>
    </row>
    <row r="155" spans="1:14" x14ac:dyDescent="0.35">
      <c r="A155" s="16" t="s">
        <v>164</v>
      </c>
      <c r="B155" s="17" t="s">
        <v>2147</v>
      </c>
      <c r="C155" s="17" t="s">
        <v>2458</v>
      </c>
      <c r="D155" s="17" t="str">
        <f>_xlfn.XLOOKUP(Raw_LIMS_Export!E155,'mapping Site table'!$B$4:$B$14,'mapping Site table'!$C$4:$C$14,Raw_LIMS_Export!E155)</f>
        <v>Vernier CH</v>
      </c>
      <c r="E155" s="17" t="s">
        <v>2482</v>
      </c>
      <c r="F155" s="17">
        <f t="shared" si="7"/>
        <v>1</v>
      </c>
      <c r="G155" s="17" t="str">
        <f t="shared" si="8"/>
        <v>Pass</v>
      </c>
      <c r="H155" s="17" t="str">
        <f t="shared" si="6"/>
        <v>Pending</v>
      </c>
      <c r="I155" s="17">
        <v>97.64</v>
      </c>
      <c r="J155" s="17" t="s">
        <v>2489</v>
      </c>
      <c r="K155" s="17">
        <v>97</v>
      </c>
      <c r="L155" s="17">
        <v>100</v>
      </c>
      <c r="M155" s="18">
        <f>Raw_LIMS_Export!K155</f>
        <v>45371</v>
      </c>
      <c r="N155" s="19" t="s">
        <v>2931</v>
      </c>
    </row>
    <row r="156" spans="1:14" x14ac:dyDescent="0.35">
      <c r="A156" s="16" t="s">
        <v>165</v>
      </c>
      <c r="B156" s="17" t="s">
        <v>2148</v>
      </c>
      <c r="C156" s="17" t="s">
        <v>2460</v>
      </c>
      <c r="D156" s="17" t="str">
        <f>_xlfn.XLOOKUP(Raw_LIMS_Export!E156,'mapping Site table'!$B$4:$B$14,'mapping Site table'!$C$4:$C$14,Raw_LIMS_Export!E156)</f>
        <v>Vernier CH</v>
      </c>
      <c r="E156" s="17" t="s">
        <v>2479</v>
      </c>
      <c r="F156" s="17">
        <f t="shared" si="7"/>
        <v>1</v>
      </c>
      <c r="G156" s="17" t="str">
        <f t="shared" si="8"/>
        <v>Fail</v>
      </c>
      <c r="H156" s="17" t="str">
        <f t="shared" si="6"/>
        <v>Fail</v>
      </c>
      <c r="I156" s="17">
        <v>180</v>
      </c>
      <c r="J156" s="17" t="s">
        <v>2486</v>
      </c>
      <c r="K156" s="17">
        <v>0</v>
      </c>
      <c r="L156" s="17">
        <v>120</v>
      </c>
      <c r="M156" s="18">
        <f>Raw_LIMS_Export!K156</f>
        <v>45840</v>
      </c>
      <c r="N156" s="19" t="s">
        <v>2927</v>
      </c>
    </row>
    <row r="157" spans="1:14" x14ac:dyDescent="0.35">
      <c r="A157" s="16" t="s">
        <v>166</v>
      </c>
      <c r="B157" s="17" t="s">
        <v>2149</v>
      </c>
      <c r="C157" s="17" t="s">
        <v>2458</v>
      </c>
      <c r="D157" s="17" t="str">
        <f>_xlfn.XLOOKUP(Raw_LIMS_Export!E157,'mapping Site table'!$B$4:$B$14,'mapping Site table'!$C$4:$C$14,Raw_LIMS_Export!E157)</f>
        <v>Vernier CH</v>
      </c>
      <c r="E157" s="17" t="s">
        <v>2480</v>
      </c>
      <c r="F157" s="17">
        <f t="shared" si="7"/>
        <v>1</v>
      </c>
      <c r="G157" s="17" t="str">
        <f t="shared" si="8"/>
        <v>Pass</v>
      </c>
      <c r="H157" s="17" t="str">
        <f t="shared" si="6"/>
        <v>Fail</v>
      </c>
      <c r="I157" s="17">
        <v>0.9</v>
      </c>
      <c r="J157" s="17" t="s">
        <v>2487</v>
      </c>
      <c r="K157" s="17">
        <v>0.88</v>
      </c>
      <c r="L157" s="17">
        <v>0.97</v>
      </c>
      <c r="M157" s="18">
        <f>Raw_LIMS_Export!K157</f>
        <v>45916</v>
      </c>
      <c r="N157" s="19" t="s">
        <v>2926</v>
      </c>
    </row>
    <row r="158" spans="1:14" x14ac:dyDescent="0.35">
      <c r="A158" s="16" t="s">
        <v>167</v>
      </c>
      <c r="B158" s="17" t="s">
        <v>2150</v>
      </c>
      <c r="C158" s="17" t="s">
        <v>2459</v>
      </c>
      <c r="D158" s="17" t="str">
        <f>_xlfn.XLOOKUP(Raw_LIMS_Export!E158,'mapping Site table'!$B$4:$B$14,'mapping Site table'!$C$4:$C$14,Raw_LIMS_Export!E158)</f>
        <v>Dortmund DE</v>
      </c>
      <c r="E158" s="17" t="s">
        <v>2479</v>
      </c>
      <c r="F158" s="17">
        <f t="shared" si="7"/>
        <v>1</v>
      </c>
      <c r="G158" s="17" t="str">
        <f t="shared" si="8"/>
        <v>Pass</v>
      </c>
      <c r="H158" s="17" t="str">
        <f t="shared" si="6"/>
        <v>Pass</v>
      </c>
      <c r="I158" s="17">
        <v>4.59</v>
      </c>
      <c r="J158" s="17" t="s">
        <v>2486</v>
      </c>
      <c r="K158" s="17">
        <v>0</v>
      </c>
      <c r="L158" s="17">
        <v>120</v>
      </c>
      <c r="M158" s="18">
        <f>Raw_LIMS_Export!K158</f>
        <v>45787</v>
      </c>
      <c r="N158" s="19" t="s">
        <v>2932</v>
      </c>
    </row>
    <row r="159" spans="1:14" x14ac:dyDescent="0.35">
      <c r="A159" s="16" t="s">
        <v>168</v>
      </c>
      <c r="B159" s="17" t="s">
        <v>2151</v>
      </c>
      <c r="C159" s="17" t="s">
        <v>2458</v>
      </c>
      <c r="D159" s="17" t="str">
        <f>_xlfn.XLOOKUP(Raw_LIMS_Export!E159,'mapping Site table'!$B$4:$B$14,'mapping Site table'!$C$4:$C$14,Raw_LIMS_Export!E159)</f>
        <v>East Hanover</v>
      </c>
      <c r="E159" s="17" t="s">
        <v>2481</v>
      </c>
      <c r="F159" s="17">
        <f t="shared" si="7"/>
        <v>1</v>
      </c>
      <c r="G159" s="17" t="str">
        <f t="shared" si="8"/>
        <v>Pass</v>
      </c>
      <c r="H159" s="17" t="str">
        <f t="shared" si="6"/>
        <v>Fail</v>
      </c>
      <c r="I159" s="17">
        <v>220.05</v>
      </c>
      <c r="J159" s="17" t="s">
        <v>2488</v>
      </c>
      <c r="K159" s="17">
        <v>150</v>
      </c>
      <c r="L159" s="17">
        <v>400</v>
      </c>
      <c r="M159" s="18">
        <f>Raw_LIMS_Export!K159</f>
        <v>45334</v>
      </c>
      <c r="N159" s="19" t="s">
        <v>2929</v>
      </c>
    </row>
    <row r="160" spans="1:14" x14ac:dyDescent="0.35">
      <c r="A160" s="16" t="s">
        <v>169</v>
      </c>
      <c r="B160" s="17" t="s">
        <v>2152</v>
      </c>
      <c r="C160" s="17" t="s">
        <v>2461</v>
      </c>
      <c r="D160" s="17" t="str">
        <f>_xlfn.XLOOKUP(Raw_LIMS_Export!E160,'mapping Site table'!$B$4:$B$14,'mapping Site table'!$C$4:$C$14,Raw_LIMS_Export!E160)</f>
        <v>Budapest</v>
      </c>
      <c r="E160" s="17" t="s">
        <v>2485</v>
      </c>
      <c r="F160" s="17">
        <f t="shared" si="7"/>
        <v>1</v>
      </c>
      <c r="G160" s="17" t="str">
        <f t="shared" si="8"/>
        <v>Fail</v>
      </c>
      <c r="H160" s="17" t="str">
        <f t="shared" si="6"/>
        <v>Fail</v>
      </c>
      <c r="I160" s="17">
        <v>-15.7</v>
      </c>
      <c r="J160" s="17" t="s">
        <v>2490</v>
      </c>
      <c r="K160" s="17">
        <v>0</v>
      </c>
      <c r="L160" s="17">
        <v>100</v>
      </c>
      <c r="M160" s="18">
        <f>Raw_LIMS_Export!K160</f>
        <v>45958</v>
      </c>
      <c r="N160" s="19" t="s">
        <v>2932</v>
      </c>
    </row>
    <row r="161" spans="1:14" x14ac:dyDescent="0.35">
      <c r="A161" s="16" t="s">
        <v>170</v>
      </c>
      <c r="B161" s="17" t="s">
        <v>2153</v>
      </c>
      <c r="C161" s="17" t="s">
        <v>2461</v>
      </c>
      <c r="D161" s="17" t="str">
        <f>_xlfn.XLOOKUP(Raw_LIMS_Export!E161,'mapping Site table'!$B$4:$B$14,'mapping Site table'!$C$4:$C$14,Raw_LIMS_Export!E161)</f>
        <v>Budapest</v>
      </c>
      <c r="E161" s="17" t="s">
        <v>2481</v>
      </c>
      <c r="F161" s="17">
        <f t="shared" si="7"/>
        <v>1</v>
      </c>
      <c r="G161" s="17" t="str">
        <f t="shared" si="8"/>
        <v>Pass</v>
      </c>
      <c r="H161" s="17" t="str">
        <f t="shared" si="6"/>
        <v>Fail</v>
      </c>
      <c r="I161" s="17">
        <v>274.44</v>
      </c>
      <c r="J161" s="17" t="s">
        <v>2488</v>
      </c>
      <c r="K161" s="17">
        <v>150</v>
      </c>
      <c r="L161" s="17">
        <v>400</v>
      </c>
      <c r="M161" s="18">
        <f>Raw_LIMS_Export!K161</f>
        <v>45445</v>
      </c>
      <c r="N161" s="19" t="s">
        <v>2925</v>
      </c>
    </row>
    <row r="162" spans="1:14" x14ac:dyDescent="0.35">
      <c r="A162" s="16" t="s">
        <v>171</v>
      </c>
      <c r="B162" s="17" t="s">
        <v>2154</v>
      </c>
      <c r="C162" s="17" t="s">
        <v>2461</v>
      </c>
      <c r="D162" s="17" t="str">
        <f>_xlfn.XLOOKUP(Raw_LIMS_Export!E162,'mapping Site table'!$B$4:$B$14,'mapping Site table'!$C$4:$C$14,Raw_LIMS_Export!E162)</f>
        <v>Budapest</v>
      </c>
      <c r="E162" s="17" t="s">
        <v>2485</v>
      </c>
      <c r="F162" s="17">
        <f t="shared" si="7"/>
        <v>1</v>
      </c>
      <c r="G162" s="17" t="str">
        <f t="shared" si="8"/>
        <v>Pass</v>
      </c>
      <c r="H162" s="17" t="str">
        <f t="shared" si="6"/>
        <v>Fail</v>
      </c>
      <c r="I162" s="17">
        <v>1.31</v>
      </c>
      <c r="J162" s="17" t="s">
        <v>2490</v>
      </c>
      <c r="K162" s="17">
        <v>0</v>
      </c>
      <c r="L162" s="17">
        <v>100</v>
      </c>
      <c r="M162" s="18">
        <f>Raw_LIMS_Export!K162</f>
        <v>45349</v>
      </c>
      <c r="N162" s="19" t="s">
        <v>2929</v>
      </c>
    </row>
    <row r="163" spans="1:14" x14ac:dyDescent="0.35">
      <c r="A163" s="16" t="s">
        <v>172</v>
      </c>
      <c r="B163" s="17" t="s">
        <v>2155</v>
      </c>
      <c r="C163" s="17" t="s">
        <v>2461</v>
      </c>
      <c r="D163" s="17" t="str">
        <f>_xlfn.XLOOKUP(Raw_LIMS_Export!E163,'mapping Site table'!$B$4:$B$14,'mapping Site table'!$C$4:$C$14,Raw_LIMS_Export!E163)</f>
        <v>Dortmund DE</v>
      </c>
      <c r="E163" s="17" t="s">
        <v>2480</v>
      </c>
      <c r="F163" s="17">
        <f t="shared" si="7"/>
        <v>1</v>
      </c>
      <c r="G163" s="17" t="str">
        <f t="shared" si="8"/>
        <v>Pass</v>
      </c>
      <c r="H163" s="17" t="str">
        <f t="shared" si="6"/>
        <v>Pass</v>
      </c>
      <c r="I163" s="17">
        <v>0.96</v>
      </c>
      <c r="J163" s="17" t="s">
        <v>2487</v>
      </c>
      <c r="K163" s="17">
        <v>0.88</v>
      </c>
      <c r="L163" s="17">
        <v>0.97</v>
      </c>
      <c r="M163" s="18">
        <f>Raw_LIMS_Export!K163</f>
        <v>45358</v>
      </c>
      <c r="N163" s="19" t="s">
        <v>2932</v>
      </c>
    </row>
    <row r="164" spans="1:14" x14ac:dyDescent="0.35">
      <c r="A164" s="16" t="s">
        <v>173</v>
      </c>
      <c r="B164" s="17" t="s">
        <v>2038</v>
      </c>
      <c r="C164" s="17" t="s">
        <v>2457</v>
      </c>
      <c r="D164" s="17" t="str">
        <f>_xlfn.XLOOKUP(Raw_LIMS_Export!E164,'mapping Site table'!$B$4:$B$14,'mapping Site table'!$C$4:$C$14,Raw_LIMS_Export!E164)</f>
        <v>East Hanover</v>
      </c>
      <c r="E164" s="17" t="s">
        <v>2485</v>
      </c>
      <c r="F164" s="17">
        <f t="shared" si="7"/>
        <v>1</v>
      </c>
      <c r="G164" s="17" t="str">
        <f t="shared" si="8"/>
        <v>Pass</v>
      </c>
      <c r="H164" s="17" t="str">
        <f t="shared" si="6"/>
        <v>Pass</v>
      </c>
      <c r="I164" s="17">
        <v>62.2</v>
      </c>
      <c r="J164" s="17" t="s">
        <v>2490</v>
      </c>
      <c r="K164" s="17">
        <v>0</v>
      </c>
      <c r="L164" s="17">
        <v>100</v>
      </c>
      <c r="M164" s="18">
        <f>Raw_LIMS_Export!K164</f>
        <v>45374</v>
      </c>
      <c r="N164" s="19" t="s">
        <v>2927</v>
      </c>
    </row>
    <row r="165" spans="1:14" x14ac:dyDescent="0.35">
      <c r="A165" s="16" t="s">
        <v>174</v>
      </c>
      <c r="B165" s="17" t="s">
        <v>2156</v>
      </c>
      <c r="C165" s="17" t="s">
        <v>2460</v>
      </c>
      <c r="D165" s="17" t="str">
        <f>_xlfn.XLOOKUP(Raw_LIMS_Export!E165,'mapping Site table'!$B$4:$B$14,'mapping Site table'!$C$4:$C$14,Raw_LIMS_Export!E165)</f>
        <v>Vernier CH</v>
      </c>
      <c r="E165" s="17" t="s">
        <v>2482</v>
      </c>
      <c r="F165" s="17">
        <f t="shared" si="7"/>
        <v>1</v>
      </c>
      <c r="G165" s="17" t="str">
        <f t="shared" si="8"/>
        <v>Pass</v>
      </c>
      <c r="H165" s="17" t="str">
        <f t="shared" si="6"/>
        <v>Fail</v>
      </c>
      <c r="I165" s="17">
        <v>98.86</v>
      </c>
      <c r="J165" s="17" t="s">
        <v>2489</v>
      </c>
      <c r="K165" s="17">
        <v>97</v>
      </c>
      <c r="L165" s="17">
        <v>100</v>
      </c>
      <c r="M165" s="18">
        <f>Raw_LIMS_Export!K165</f>
        <v>45404</v>
      </c>
      <c r="N165" s="19" t="s">
        <v>2925</v>
      </c>
    </row>
    <row r="166" spans="1:14" x14ac:dyDescent="0.35">
      <c r="A166" s="16" t="s">
        <v>175</v>
      </c>
      <c r="B166" s="17" t="s">
        <v>2157</v>
      </c>
      <c r="C166" s="17" t="s">
        <v>2458</v>
      </c>
      <c r="D166" s="17" t="str">
        <f>_xlfn.XLOOKUP(Raw_LIMS_Export!E166,'mapping Site table'!$B$4:$B$14,'mapping Site table'!$C$4:$C$14,Raw_LIMS_Export!E166)</f>
        <v>Budapest</v>
      </c>
      <c r="E166" s="17" t="s">
        <v>2480</v>
      </c>
      <c r="F166" s="17">
        <f t="shared" si="7"/>
        <v>1</v>
      </c>
      <c r="G166" s="17" t="str">
        <f t="shared" si="8"/>
        <v>Pass</v>
      </c>
      <c r="H166" s="17" t="str">
        <f t="shared" si="6"/>
        <v>Fail</v>
      </c>
      <c r="I166" s="17">
        <v>0.92</v>
      </c>
      <c r="J166" s="17" t="s">
        <v>2487</v>
      </c>
      <c r="K166" s="17">
        <v>0.88</v>
      </c>
      <c r="L166" s="17">
        <v>0.97</v>
      </c>
      <c r="M166" s="18">
        <f>Raw_LIMS_Export!K166</f>
        <v>45595</v>
      </c>
      <c r="N166" s="19" t="s">
        <v>2932</v>
      </c>
    </row>
    <row r="167" spans="1:14" x14ac:dyDescent="0.35">
      <c r="A167" s="16" t="s">
        <v>176</v>
      </c>
      <c r="B167" s="17" t="s">
        <v>2106</v>
      </c>
      <c r="C167" s="17" t="s">
        <v>2461</v>
      </c>
      <c r="D167" s="17" t="str">
        <f>_xlfn.XLOOKUP(Raw_LIMS_Export!E167,'mapping Site table'!$B$4:$B$14,'mapping Site table'!$C$4:$C$14,Raw_LIMS_Export!E167)</f>
        <v>Vernier CH</v>
      </c>
      <c r="E167" s="17" t="s">
        <v>2481</v>
      </c>
      <c r="F167" s="17">
        <f t="shared" si="7"/>
        <v>1</v>
      </c>
      <c r="G167" s="17" t="str">
        <f t="shared" si="8"/>
        <v>Pass</v>
      </c>
      <c r="H167" s="17" t="str">
        <f t="shared" si="6"/>
        <v>Fail</v>
      </c>
      <c r="I167" s="17">
        <v>286.64</v>
      </c>
      <c r="J167" s="17" t="s">
        <v>2488</v>
      </c>
      <c r="K167" s="17">
        <v>150</v>
      </c>
      <c r="L167" s="17">
        <v>400</v>
      </c>
      <c r="M167" s="18">
        <f>Raw_LIMS_Export!K167</f>
        <v>45388</v>
      </c>
      <c r="N167" s="19" t="s">
        <v>2930</v>
      </c>
    </row>
    <row r="168" spans="1:14" x14ac:dyDescent="0.35">
      <c r="A168" s="16" t="s">
        <v>177</v>
      </c>
      <c r="B168" s="17" t="s">
        <v>2120</v>
      </c>
      <c r="C168" s="17" t="s">
        <v>2459</v>
      </c>
      <c r="D168" s="17" t="str">
        <f>_xlfn.XLOOKUP(Raw_LIMS_Export!E168,'mapping Site table'!$B$4:$B$14,'mapping Site table'!$C$4:$C$14,Raw_LIMS_Export!E168)</f>
        <v>Vernier CH</v>
      </c>
      <c r="E168" s="17" t="s">
        <v>2482</v>
      </c>
      <c r="F168" s="17">
        <f t="shared" si="7"/>
        <v>1</v>
      </c>
      <c r="G168" s="17" t="str">
        <f t="shared" si="8"/>
        <v>Pass</v>
      </c>
      <c r="H168" s="17" t="str">
        <f t="shared" si="6"/>
        <v>Fail</v>
      </c>
      <c r="I168" s="17">
        <v>98.6</v>
      </c>
      <c r="J168" s="17" t="s">
        <v>2489</v>
      </c>
      <c r="K168" s="17">
        <v>97</v>
      </c>
      <c r="L168" s="17">
        <v>100</v>
      </c>
      <c r="M168" s="18">
        <f>Raw_LIMS_Export!K168</f>
        <v>45393</v>
      </c>
      <c r="N168" s="19" t="s">
        <v>2929</v>
      </c>
    </row>
    <row r="169" spans="1:14" x14ac:dyDescent="0.35">
      <c r="A169" s="16" t="s">
        <v>178</v>
      </c>
      <c r="B169" s="17" t="s">
        <v>2083</v>
      </c>
      <c r="C169" s="17" t="s">
        <v>2459</v>
      </c>
      <c r="D169" s="17" t="str">
        <f>_xlfn.XLOOKUP(Raw_LIMS_Export!E169,'mapping Site table'!$B$4:$B$14,'mapping Site table'!$C$4:$C$14,Raw_LIMS_Export!E169)</f>
        <v>Ashford UK</v>
      </c>
      <c r="E169" s="17" t="s">
        <v>2485</v>
      </c>
      <c r="F169" s="17">
        <f t="shared" si="7"/>
        <v>1</v>
      </c>
      <c r="G169" s="17" t="str">
        <f t="shared" si="8"/>
        <v>Pass</v>
      </c>
      <c r="H169" s="17" t="str">
        <f t="shared" si="6"/>
        <v>Pass</v>
      </c>
      <c r="I169" s="17">
        <v>39.93</v>
      </c>
      <c r="J169" s="17" t="s">
        <v>2490</v>
      </c>
      <c r="K169" s="17">
        <v>0</v>
      </c>
      <c r="L169" s="17">
        <v>100</v>
      </c>
      <c r="M169" s="18">
        <f>Raw_LIMS_Export!K169</f>
        <v>45979</v>
      </c>
      <c r="N169" s="19" t="s">
        <v>2928</v>
      </c>
    </row>
    <row r="170" spans="1:14" x14ac:dyDescent="0.35">
      <c r="A170" s="16" t="s">
        <v>179</v>
      </c>
      <c r="B170" s="17" t="s">
        <v>2158</v>
      </c>
      <c r="C170" s="17" t="s">
        <v>2459</v>
      </c>
      <c r="D170" s="17" t="str">
        <f>_xlfn.XLOOKUP(Raw_LIMS_Export!E170,'mapping Site table'!$B$4:$B$14,'mapping Site table'!$C$4:$C$14,Raw_LIMS_Export!E170)</f>
        <v>East Hanover</v>
      </c>
      <c r="E170" s="17" t="s">
        <v>2479</v>
      </c>
      <c r="F170" s="17">
        <f t="shared" si="7"/>
        <v>1</v>
      </c>
      <c r="G170" s="17" t="str">
        <f t="shared" si="8"/>
        <v>Pass</v>
      </c>
      <c r="H170" s="17" t="str">
        <f t="shared" si="6"/>
        <v>Pass</v>
      </c>
      <c r="I170" s="17">
        <v>31.26</v>
      </c>
      <c r="J170" s="17" t="s">
        <v>2486</v>
      </c>
      <c r="K170" s="17">
        <v>0</v>
      </c>
      <c r="L170" s="17">
        <v>120</v>
      </c>
      <c r="M170" s="18">
        <f>Raw_LIMS_Export!K170</f>
        <v>45374</v>
      </c>
      <c r="N170" s="19" t="s">
        <v>2925</v>
      </c>
    </row>
    <row r="171" spans="1:14" x14ac:dyDescent="0.35">
      <c r="A171" s="16" t="s">
        <v>180</v>
      </c>
      <c r="B171" s="17" t="s">
        <v>2159</v>
      </c>
      <c r="C171" s="17" t="s">
        <v>2457</v>
      </c>
      <c r="D171" s="17" t="str">
        <f>_xlfn.XLOOKUP(Raw_LIMS_Export!E171,'mapping Site table'!$B$4:$B$14,'mapping Site table'!$C$4:$C$14,Raw_LIMS_Export!E171)</f>
        <v>Vernier CH</v>
      </c>
      <c r="E171" s="17" t="s">
        <v>2483</v>
      </c>
      <c r="F171" s="17">
        <f t="shared" si="7"/>
        <v>1</v>
      </c>
      <c r="G171" s="17" t="str">
        <f t="shared" si="8"/>
        <v>Pass</v>
      </c>
      <c r="H171" s="17" t="str">
        <f t="shared" si="6"/>
        <v>Pass</v>
      </c>
      <c r="I171" s="17">
        <v>0.55000000000000004</v>
      </c>
      <c r="J171" s="17" t="s">
        <v>2489</v>
      </c>
      <c r="K171" s="17">
        <v>0</v>
      </c>
      <c r="L171" s="17">
        <v>1</v>
      </c>
      <c r="M171" s="18">
        <f>Raw_LIMS_Export!K171</f>
        <v>45511</v>
      </c>
      <c r="N171" s="19" t="s">
        <v>2927</v>
      </c>
    </row>
    <row r="172" spans="1:14" x14ac:dyDescent="0.35">
      <c r="A172" s="16" t="s">
        <v>181</v>
      </c>
      <c r="B172" s="17" t="s">
        <v>2160</v>
      </c>
      <c r="C172" s="17" t="s">
        <v>2458</v>
      </c>
      <c r="D172" s="17" t="str">
        <f>_xlfn.XLOOKUP(Raw_LIMS_Export!E172,'mapping Site table'!$B$4:$B$14,'mapping Site table'!$C$4:$C$14,Raw_LIMS_Export!E172)</f>
        <v>Dortmund DE</v>
      </c>
      <c r="E172" s="17" t="s">
        <v>2484</v>
      </c>
      <c r="F172" s="17">
        <f t="shared" si="7"/>
        <v>1</v>
      </c>
      <c r="G172" s="17" t="str">
        <f t="shared" si="8"/>
        <v>Pass</v>
      </c>
      <c r="H172" s="17" t="str">
        <f t="shared" si="6"/>
        <v>Pass</v>
      </c>
      <c r="I172" s="17">
        <v>6.87</v>
      </c>
      <c r="J172" s="17"/>
      <c r="K172" s="17">
        <v>6</v>
      </c>
      <c r="L172" s="17">
        <v>7.5</v>
      </c>
      <c r="M172" s="18">
        <f>Raw_LIMS_Export!K172</f>
        <v>45476</v>
      </c>
      <c r="N172" s="19" t="s">
        <v>2931</v>
      </c>
    </row>
    <row r="173" spans="1:14" x14ac:dyDescent="0.35">
      <c r="A173" s="16" t="s">
        <v>182</v>
      </c>
      <c r="B173" s="17" t="s">
        <v>2121</v>
      </c>
      <c r="C173" s="17" t="s">
        <v>2457</v>
      </c>
      <c r="D173" s="17" t="str">
        <f>_xlfn.XLOOKUP(Raw_LIMS_Export!E173,'mapping Site table'!$B$4:$B$14,'mapping Site table'!$C$4:$C$14,Raw_LIMS_Export!E173)</f>
        <v>East Hanover</v>
      </c>
      <c r="E173" s="17" t="s">
        <v>2485</v>
      </c>
      <c r="F173" s="17">
        <f t="shared" si="7"/>
        <v>1</v>
      </c>
      <c r="G173" s="17" t="str">
        <f t="shared" si="8"/>
        <v>Pass</v>
      </c>
      <c r="H173" s="17" t="str">
        <f t="shared" si="6"/>
        <v>Fail</v>
      </c>
      <c r="I173" s="17">
        <v>12.06</v>
      </c>
      <c r="J173" s="17" t="s">
        <v>2490</v>
      </c>
      <c r="K173" s="17">
        <v>0</v>
      </c>
      <c r="L173" s="17">
        <v>100</v>
      </c>
      <c r="M173" s="18">
        <f>Raw_LIMS_Export!K173</f>
        <v>45690</v>
      </c>
      <c r="N173" s="19" t="s">
        <v>2932</v>
      </c>
    </row>
    <row r="174" spans="1:14" x14ac:dyDescent="0.35">
      <c r="A174" s="16" t="s">
        <v>183</v>
      </c>
      <c r="B174" s="17" t="s">
        <v>2161</v>
      </c>
      <c r="C174" s="17" t="s">
        <v>2459</v>
      </c>
      <c r="D174" s="17" t="str">
        <f>_xlfn.XLOOKUP(Raw_LIMS_Export!E174,'mapping Site table'!$B$4:$B$14,'mapping Site table'!$C$4:$C$14,Raw_LIMS_Export!E174)</f>
        <v>Dortmund DE</v>
      </c>
      <c r="E174" s="17" t="s">
        <v>2479</v>
      </c>
      <c r="F174" s="17">
        <f t="shared" si="7"/>
        <v>1</v>
      </c>
      <c r="G174" s="17" t="str">
        <f t="shared" si="8"/>
        <v>Pass</v>
      </c>
      <c r="H174" s="17" t="str">
        <f t="shared" si="6"/>
        <v>Pass</v>
      </c>
      <c r="I174" s="17">
        <v>30.03</v>
      </c>
      <c r="J174" s="17" t="s">
        <v>2486</v>
      </c>
      <c r="K174" s="17">
        <v>0</v>
      </c>
      <c r="L174" s="17">
        <v>120</v>
      </c>
      <c r="M174" s="18">
        <f>Raw_LIMS_Export!K174</f>
        <v>45963</v>
      </c>
      <c r="N174" s="19" t="s">
        <v>2929</v>
      </c>
    </row>
    <row r="175" spans="1:14" x14ac:dyDescent="0.35">
      <c r="A175" s="16" t="s">
        <v>184</v>
      </c>
      <c r="B175" s="17" t="s">
        <v>2162</v>
      </c>
      <c r="C175" s="17" t="s">
        <v>2459</v>
      </c>
      <c r="D175" s="17" t="str">
        <f>_xlfn.XLOOKUP(Raw_LIMS_Export!E175,'mapping Site table'!$B$4:$B$14,'mapping Site table'!$C$4:$C$14,Raw_LIMS_Export!E175)</f>
        <v>East Hanover</v>
      </c>
      <c r="E175" s="17" t="s">
        <v>2483</v>
      </c>
      <c r="F175" s="17">
        <f t="shared" si="7"/>
        <v>1</v>
      </c>
      <c r="G175" s="17" t="str">
        <f t="shared" si="8"/>
        <v>Pass</v>
      </c>
      <c r="H175" s="17" t="str">
        <f t="shared" si="6"/>
        <v>Pass</v>
      </c>
      <c r="I175" s="17">
        <v>0.33</v>
      </c>
      <c r="J175" s="17" t="s">
        <v>2489</v>
      </c>
      <c r="K175" s="17">
        <v>0</v>
      </c>
      <c r="L175" s="17">
        <v>1</v>
      </c>
      <c r="M175" s="18">
        <f>Raw_LIMS_Export!K175</f>
        <v>45940</v>
      </c>
      <c r="N175" s="19" t="s">
        <v>2928</v>
      </c>
    </row>
    <row r="176" spans="1:14" x14ac:dyDescent="0.35">
      <c r="A176" s="16" t="s">
        <v>185</v>
      </c>
      <c r="B176" s="17" t="s">
        <v>2163</v>
      </c>
      <c r="C176" s="17" t="s">
        <v>2460</v>
      </c>
      <c r="D176" s="17" t="str">
        <f>_xlfn.XLOOKUP(Raw_LIMS_Export!E176,'mapping Site table'!$B$4:$B$14,'mapping Site table'!$C$4:$C$14,Raw_LIMS_Export!E176)</f>
        <v>East Hanover</v>
      </c>
      <c r="E176" s="17" t="s">
        <v>2485</v>
      </c>
      <c r="F176" s="17">
        <f t="shared" si="7"/>
        <v>1</v>
      </c>
      <c r="G176" s="17" t="str">
        <f t="shared" si="8"/>
        <v>Fail</v>
      </c>
      <c r="H176" s="17" t="str">
        <f t="shared" si="6"/>
        <v>Fail</v>
      </c>
      <c r="I176" s="17">
        <v>-13.67</v>
      </c>
      <c r="J176" s="17" t="s">
        <v>2490</v>
      </c>
      <c r="K176" s="17">
        <v>0</v>
      </c>
      <c r="L176" s="17">
        <v>100</v>
      </c>
      <c r="M176" s="18">
        <f>Raw_LIMS_Export!K176</f>
        <v>45698</v>
      </c>
      <c r="N176" s="19" t="s">
        <v>2932</v>
      </c>
    </row>
    <row r="177" spans="1:14" x14ac:dyDescent="0.35">
      <c r="A177" s="16" t="s">
        <v>186</v>
      </c>
      <c r="B177" s="17" t="s">
        <v>2116</v>
      </c>
      <c r="C177" s="17" t="s">
        <v>2461</v>
      </c>
      <c r="D177" s="17" t="str">
        <f>_xlfn.XLOOKUP(Raw_LIMS_Export!E177,'mapping Site table'!$B$4:$B$14,'mapping Site table'!$C$4:$C$14,Raw_LIMS_Export!E177)</f>
        <v>Dortmund DE</v>
      </c>
      <c r="E177" s="17" t="s">
        <v>2479</v>
      </c>
      <c r="F177" s="17">
        <f t="shared" si="7"/>
        <v>1</v>
      </c>
      <c r="G177" s="17" t="str">
        <f t="shared" si="8"/>
        <v>Pass</v>
      </c>
      <c r="H177" s="17" t="str">
        <f t="shared" si="6"/>
        <v>Pass</v>
      </c>
      <c r="I177" s="17">
        <v>42.98</v>
      </c>
      <c r="J177" s="17" t="s">
        <v>2486</v>
      </c>
      <c r="K177" s="17">
        <v>0</v>
      </c>
      <c r="L177" s="17">
        <v>120</v>
      </c>
      <c r="M177" s="18">
        <f>Raw_LIMS_Export!K177</f>
        <v>45376</v>
      </c>
      <c r="N177" s="19" t="s">
        <v>2928</v>
      </c>
    </row>
    <row r="178" spans="1:14" x14ac:dyDescent="0.35">
      <c r="A178" s="16" t="s">
        <v>187</v>
      </c>
      <c r="B178" s="17" t="s">
        <v>2164</v>
      </c>
      <c r="C178" s="17" t="s">
        <v>2460</v>
      </c>
      <c r="D178" s="17" t="str">
        <f>_xlfn.XLOOKUP(Raw_LIMS_Export!E178,'mapping Site table'!$B$4:$B$14,'mapping Site table'!$C$4:$C$14,Raw_LIMS_Export!E178)</f>
        <v>Ashford UK</v>
      </c>
      <c r="E178" s="17" t="s">
        <v>2485</v>
      </c>
      <c r="F178" s="17">
        <f t="shared" si="7"/>
        <v>1</v>
      </c>
      <c r="G178" s="17" t="str">
        <f t="shared" si="8"/>
        <v>Fail</v>
      </c>
      <c r="H178" s="17" t="str">
        <f t="shared" si="6"/>
        <v>Fail</v>
      </c>
      <c r="I178" s="17">
        <v>-14.05</v>
      </c>
      <c r="J178" s="17" t="s">
        <v>2490</v>
      </c>
      <c r="K178" s="17">
        <v>0</v>
      </c>
      <c r="L178" s="17">
        <v>100</v>
      </c>
      <c r="M178" s="18">
        <f>Raw_LIMS_Export!K178</f>
        <v>45912</v>
      </c>
      <c r="N178" s="19" t="s">
        <v>2925</v>
      </c>
    </row>
    <row r="179" spans="1:14" x14ac:dyDescent="0.35">
      <c r="A179" s="16" t="s">
        <v>188</v>
      </c>
      <c r="B179" s="17" t="s">
        <v>2165</v>
      </c>
      <c r="C179" s="17" t="s">
        <v>2458</v>
      </c>
      <c r="D179" s="17" t="str">
        <f>_xlfn.XLOOKUP(Raw_LIMS_Export!E179,'mapping Site table'!$B$4:$B$14,'mapping Site table'!$C$4:$C$14,Raw_LIMS_Export!E179)</f>
        <v>Budapest</v>
      </c>
      <c r="E179" s="17" t="s">
        <v>2484</v>
      </c>
      <c r="F179" s="17">
        <f t="shared" si="7"/>
        <v>1</v>
      </c>
      <c r="G179" s="17" t="str">
        <f t="shared" si="8"/>
        <v>Pass</v>
      </c>
      <c r="H179" s="17" t="str">
        <f t="shared" si="6"/>
        <v>Pass</v>
      </c>
      <c r="I179" s="17">
        <v>6.69</v>
      </c>
      <c r="J179" s="17"/>
      <c r="K179" s="17">
        <v>6</v>
      </c>
      <c r="L179" s="17">
        <v>7.5</v>
      </c>
      <c r="M179" s="18">
        <f>Raw_LIMS_Export!K179</f>
        <v>45886</v>
      </c>
      <c r="N179" s="19" t="s">
        <v>2923</v>
      </c>
    </row>
    <row r="180" spans="1:14" x14ac:dyDescent="0.35">
      <c r="A180" s="16" t="s">
        <v>189</v>
      </c>
      <c r="B180" s="17" t="s">
        <v>2166</v>
      </c>
      <c r="C180" s="17" t="s">
        <v>2459</v>
      </c>
      <c r="D180" s="17" t="str">
        <f>_xlfn.XLOOKUP(Raw_LIMS_Export!E180,'mapping Site table'!$B$4:$B$14,'mapping Site table'!$C$4:$C$14,Raw_LIMS_Export!E180)</f>
        <v>Dortmund DE</v>
      </c>
      <c r="E180" s="17" t="s">
        <v>2483</v>
      </c>
      <c r="F180" s="17">
        <f t="shared" si="7"/>
        <v>1</v>
      </c>
      <c r="G180" s="17" t="str">
        <f t="shared" si="8"/>
        <v>Pass</v>
      </c>
      <c r="H180" s="17" t="str">
        <f t="shared" si="6"/>
        <v>Pass</v>
      </c>
      <c r="I180" s="17">
        <v>0.03</v>
      </c>
      <c r="J180" s="17" t="s">
        <v>2489</v>
      </c>
      <c r="K180" s="17">
        <v>0</v>
      </c>
      <c r="L180" s="17">
        <v>1</v>
      </c>
      <c r="M180" s="18">
        <f>Raw_LIMS_Export!K180</f>
        <v>45970</v>
      </c>
      <c r="N180" s="19" t="s">
        <v>2925</v>
      </c>
    </row>
    <row r="181" spans="1:14" x14ac:dyDescent="0.35">
      <c r="A181" s="16" t="s">
        <v>190</v>
      </c>
      <c r="B181" s="17" t="s">
        <v>2167</v>
      </c>
      <c r="C181" s="17" t="s">
        <v>2460</v>
      </c>
      <c r="D181" s="17" t="str">
        <f>_xlfn.XLOOKUP(Raw_LIMS_Export!E181,'mapping Site table'!$B$4:$B$14,'mapping Site table'!$C$4:$C$14,Raw_LIMS_Export!E181)</f>
        <v>Vernier CH</v>
      </c>
      <c r="E181" s="17" t="s">
        <v>2481</v>
      </c>
      <c r="F181" s="17">
        <f t="shared" si="7"/>
        <v>1</v>
      </c>
      <c r="G181" s="17" t="str">
        <f t="shared" si="8"/>
        <v>Pass</v>
      </c>
      <c r="H181" s="17" t="str">
        <f t="shared" si="6"/>
        <v>Pending</v>
      </c>
      <c r="I181" s="17">
        <v>224.47</v>
      </c>
      <c r="J181" s="17" t="s">
        <v>2488</v>
      </c>
      <c r="K181" s="17">
        <v>150</v>
      </c>
      <c r="L181" s="17">
        <v>400</v>
      </c>
      <c r="M181" s="18">
        <f>Raw_LIMS_Export!K181</f>
        <v>45528</v>
      </c>
      <c r="N181" s="19" t="s">
        <v>2930</v>
      </c>
    </row>
    <row r="182" spans="1:14" x14ac:dyDescent="0.35">
      <c r="A182" s="16" t="s">
        <v>191</v>
      </c>
      <c r="B182" s="17" t="s">
        <v>2168</v>
      </c>
      <c r="C182" s="17" t="s">
        <v>2459</v>
      </c>
      <c r="D182" s="17" t="str">
        <f>_xlfn.XLOOKUP(Raw_LIMS_Export!E182,'mapping Site table'!$B$4:$B$14,'mapping Site table'!$C$4:$C$14,Raw_LIMS_Export!E182)</f>
        <v>Budapest</v>
      </c>
      <c r="E182" s="17" t="s">
        <v>2479</v>
      </c>
      <c r="F182" s="17">
        <f t="shared" si="7"/>
        <v>1</v>
      </c>
      <c r="G182" s="17" t="str">
        <f t="shared" si="8"/>
        <v>Pass</v>
      </c>
      <c r="H182" s="17" t="str">
        <f t="shared" si="6"/>
        <v>Pass</v>
      </c>
      <c r="I182" s="17">
        <v>39.22</v>
      </c>
      <c r="J182" s="17" t="s">
        <v>2486</v>
      </c>
      <c r="K182" s="17">
        <v>0</v>
      </c>
      <c r="L182" s="17">
        <v>120</v>
      </c>
      <c r="M182" s="18">
        <f>Raw_LIMS_Export!K182</f>
        <v>45558</v>
      </c>
      <c r="N182" s="19" t="s">
        <v>2929</v>
      </c>
    </row>
    <row r="183" spans="1:14" x14ac:dyDescent="0.35">
      <c r="A183" s="16" t="s">
        <v>192</v>
      </c>
      <c r="B183" s="17" t="s">
        <v>2169</v>
      </c>
      <c r="C183" s="17" t="s">
        <v>2458</v>
      </c>
      <c r="D183" s="17" t="str">
        <f>_xlfn.XLOOKUP(Raw_LIMS_Export!E183,'mapping Site table'!$B$4:$B$14,'mapping Site table'!$C$4:$C$14,Raw_LIMS_Export!E183)</f>
        <v>Vernier CH</v>
      </c>
      <c r="E183" s="17" t="s">
        <v>2482</v>
      </c>
      <c r="F183" s="17">
        <f t="shared" si="7"/>
        <v>1</v>
      </c>
      <c r="G183" s="17" t="str">
        <f t="shared" si="8"/>
        <v>Pass</v>
      </c>
      <c r="H183" s="17" t="str">
        <f t="shared" si="6"/>
        <v>Pass</v>
      </c>
      <c r="I183" s="17">
        <v>98.94</v>
      </c>
      <c r="J183" s="17" t="s">
        <v>2489</v>
      </c>
      <c r="K183" s="17">
        <v>97</v>
      </c>
      <c r="L183" s="17">
        <v>100</v>
      </c>
      <c r="M183" s="18">
        <f>Raw_LIMS_Export!K183</f>
        <v>45571</v>
      </c>
      <c r="N183" s="19" t="s">
        <v>2928</v>
      </c>
    </row>
    <row r="184" spans="1:14" x14ac:dyDescent="0.35">
      <c r="A184" s="16" t="s">
        <v>193</v>
      </c>
      <c r="B184" s="17" t="s">
        <v>2170</v>
      </c>
      <c r="C184" s="17" t="s">
        <v>2459</v>
      </c>
      <c r="D184" s="17" t="str">
        <f>_xlfn.XLOOKUP(Raw_LIMS_Export!E184,'mapping Site table'!$B$4:$B$14,'mapping Site table'!$C$4:$C$14,Raw_LIMS_Export!E184)</f>
        <v>Budapest</v>
      </c>
      <c r="E184" s="17" t="s">
        <v>2480</v>
      </c>
      <c r="F184" s="17">
        <f t="shared" si="7"/>
        <v>1</v>
      </c>
      <c r="G184" s="17" t="str">
        <f t="shared" si="8"/>
        <v>Pass</v>
      </c>
      <c r="H184" s="17" t="str">
        <f t="shared" si="6"/>
        <v>Fail</v>
      </c>
      <c r="I184" s="17">
        <v>0.9</v>
      </c>
      <c r="J184" s="17" t="s">
        <v>2487</v>
      </c>
      <c r="K184" s="17">
        <v>0.88</v>
      </c>
      <c r="L184" s="17">
        <v>0.97</v>
      </c>
      <c r="M184" s="18">
        <f>Raw_LIMS_Export!K184</f>
        <v>45737</v>
      </c>
      <c r="N184" s="19" t="s">
        <v>2929</v>
      </c>
    </row>
    <row r="185" spans="1:14" x14ac:dyDescent="0.35">
      <c r="A185" s="16" t="s">
        <v>194</v>
      </c>
      <c r="B185" s="17" t="s">
        <v>2171</v>
      </c>
      <c r="C185" s="17" t="s">
        <v>2459</v>
      </c>
      <c r="D185" s="17" t="str">
        <f>_xlfn.XLOOKUP(Raw_LIMS_Export!E185,'mapping Site table'!$B$4:$B$14,'mapping Site table'!$C$4:$C$14,Raw_LIMS_Export!E185)</f>
        <v>Ashford UK</v>
      </c>
      <c r="E185" s="17" t="s">
        <v>2483</v>
      </c>
      <c r="F185" s="17">
        <f t="shared" si="7"/>
        <v>1</v>
      </c>
      <c r="G185" s="17" t="str">
        <f t="shared" si="8"/>
        <v>Pass</v>
      </c>
      <c r="H185" s="17" t="str">
        <f t="shared" si="6"/>
        <v>Fail</v>
      </c>
      <c r="I185" s="17">
        <v>0.22</v>
      </c>
      <c r="J185" s="17" t="s">
        <v>2489</v>
      </c>
      <c r="K185" s="17">
        <v>0</v>
      </c>
      <c r="L185" s="17">
        <v>1</v>
      </c>
      <c r="M185" s="18">
        <f>Raw_LIMS_Export!K185</f>
        <v>45629</v>
      </c>
      <c r="N185" s="19" t="s">
        <v>2930</v>
      </c>
    </row>
    <row r="186" spans="1:14" x14ac:dyDescent="0.35">
      <c r="A186" s="16" t="s">
        <v>195</v>
      </c>
      <c r="B186" s="17" t="s">
        <v>2050</v>
      </c>
      <c r="C186" s="17" t="s">
        <v>2461</v>
      </c>
      <c r="D186" s="17" t="str">
        <f>_xlfn.XLOOKUP(Raw_LIMS_Export!E186,'mapping Site table'!$B$4:$B$14,'mapping Site table'!$C$4:$C$14,Raw_LIMS_Export!E186)</f>
        <v>East Hanover</v>
      </c>
      <c r="E186" s="17" t="s">
        <v>2481</v>
      </c>
      <c r="F186" s="17">
        <f t="shared" si="7"/>
        <v>1</v>
      </c>
      <c r="G186" s="17" t="str">
        <f t="shared" si="8"/>
        <v>Pass</v>
      </c>
      <c r="H186" s="17" t="str">
        <f t="shared" si="6"/>
        <v>Pass</v>
      </c>
      <c r="I186" s="17">
        <v>265.68</v>
      </c>
      <c r="J186" s="17" t="s">
        <v>2488</v>
      </c>
      <c r="K186" s="17">
        <v>150</v>
      </c>
      <c r="L186" s="17">
        <v>400</v>
      </c>
      <c r="M186" s="18">
        <f>Raw_LIMS_Export!K186</f>
        <v>45398</v>
      </c>
      <c r="N186" s="19" t="s">
        <v>2925</v>
      </c>
    </row>
    <row r="187" spans="1:14" x14ac:dyDescent="0.35">
      <c r="A187" s="16" t="s">
        <v>196</v>
      </c>
      <c r="B187" s="17" t="s">
        <v>2172</v>
      </c>
      <c r="C187" s="17" t="s">
        <v>2459</v>
      </c>
      <c r="D187" s="17" t="str">
        <f>_xlfn.XLOOKUP(Raw_LIMS_Export!E187,'mapping Site table'!$B$4:$B$14,'mapping Site table'!$C$4:$C$14,Raw_LIMS_Export!E187)</f>
        <v>Dortmund DE</v>
      </c>
      <c r="E187" s="17" t="s">
        <v>2481</v>
      </c>
      <c r="F187" s="17">
        <f t="shared" si="7"/>
        <v>1</v>
      </c>
      <c r="G187" s="17" t="str">
        <f t="shared" si="8"/>
        <v>Pass</v>
      </c>
      <c r="H187" s="17" t="str">
        <f t="shared" si="6"/>
        <v>Fail</v>
      </c>
      <c r="I187" s="17">
        <v>298.23</v>
      </c>
      <c r="J187" s="17" t="s">
        <v>2488</v>
      </c>
      <c r="K187" s="17">
        <v>150</v>
      </c>
      <c r="L187" s="17">
        <v>400</v>
      </c>
      <c r="M187" s="18">
        <f>Raw_LIMS_Export!K187</f>
        <v>45453</v>
      </c>
      <c r="N187" s="19" t="s">
        <v>2932</v>
      </c>
    </row>
    <row r="188" spans="1:14" x14ac:dyDescent="0.35">
      <c r="A188" s="16" t="s">
        <v>197</v>
      </c>
      <c r="B188" s="17" t="s">
        <v>2173</v>
      </c>
      <c r="C188" s="17" t="s">
        <v>2460</v>
      </c>
      <c r="D188" s="17" t="str">
        <f>_xlfn.XLOOKUP(Raw_LIMS_Export!E188,'mapping Site table'!$B$4:$B$14,'mapping Site table'!$C$4:$C$14,Raw_LIMS_Export!E188)</f>
        <v>East Hanover</v>
      </c>
      <c r="E188" s="17" t="s">
        <v>2482</v>
      </c>
      <c r="F188" s="17">
        <f t="shared" si="7"/>
        <v>1</v>
      </c>
      <c r="G188" s="17" t="str">
        <f t="shared" si="8"/>
        <v>Pass</v>
      </c>
      <c r="H188" s="17" t="str">
        <f t="shared" si="6"/>
        <v>Pass</v>
      </c>
      <c r="I188" s="17">
        <v>99.24</v>
      </c>
      <c r="J188" s="17" t="s">
        <v>2489</v>
      </c>
      <c r="K188" s="17">
        <v>97</v>
      </c>
      <c r="L188" s="17">
        <v>100</v>
      </c>
      <c r="M188" s="18">
        <f>Raw_LIMS_Export!K188</f>
        <v>45609</v>
      </c>
      <c r="N188" s="19" t="s">
        <v>2924</v>
      </c>
    </row>
    <row r="189" spans="1:14" x14ac:dyDescent="0.35">
      <c r="A189" s="16" t="s">
        <v>198</v>
      </c>
      <c r="B189" s="17" t="s">
        <v>2174</v>
      </c>
      <c r="C189" s="17" t="s">
        <v>2459</v>
      </c>
      <c r="D189" s="17" t="str">
        <f>_xlfn.XLOOKUP(Raw_LIMS_Export!E189,'mapping Site table'!$B$4:$B$14,'mapping Site table'!$C$4:$C$14,Raw_LIMS_Export!E189)</f>
        <v>East Hanover</v>
      </c>
      <c r="E189" s="17" t="s">
        <v>2482</v>
      </c>
      <c r="F189" s="17">
        <f t="shared" si="7"/>
        <v>1</v>
      </c>
      <c r="G189" s="17" t="str">
        <f t="shared" si="8"/>
        <v>Pass</v>
      </c>
      <c r="H189" s="17" t="str">
        <f t="shared" si="6"/>
        <v>Pass</v>
      </c>
      <c r="I189" s="17">
        <v>98.18</v>
      </c>
      <c r="J189" s="17" t="s">
        <v>2489</v>
      </c>
      <c r="K189" s="17">
        <v>97</v>
      </c>
      <c r="L189" s="17">
        <v>100</v>
      </c>
      <c r="M189" s="18">
        <f>Raw_LIMS_Export!K189</f>
        <v>45634</v>
      </c>
      <c r="N189" s="19" t="s">
        <v>2926</v>
      </c>
    </row>
    <row r="190" spans="1:14" x14ac:dyDescent="0.35">
      <c r="A190" s="16" t="s">
        <v>199</v>
      </c>
      <c r="B190" s="17" t="s">
        <v>2159</v>
      </c>
      <c r="C190" s="17" t="s">
        <v>2457</v>
      </c>
      <c r="D190" s="17" t="str">
        <f>_xlfn.XLOOKUP(Raw_LIMS_Export!E190,'mapping Site table'!$B$4:$B$14,'mapping Site table'!$C$4:$C$14,Raw_LIMS_Export!E190)</f>
        <v>Vernier CH</v>
      </c>
      <c r="E190" s="17" t="s">
        <v>2481</v>
      </c>
      <c r="F190" s="17">
        <f t="shared" si="7"/>
        <v>1</v>
      </c>
      <c r="G190" s="17" t="str">
        <f t="shared" si="8"/>
        <v>Pass</v>
      </c>
      <c r="H190" s="17" t="str">
        <f t="shared" si="6"/>
        <v>Pass</v>
      </c>
      <c r="I190" s="17">
        <v>287.5</v>
      </c>
      <c r="J190" s="17" t="s">
        <v>2488</v>
      </c>
      <c r="K190" s="17">
        <v>150</v>
      </c>
      <c r="L190" s="17">
        <v>400</v>
      </c>
      <c r="M190" s="18">
        <f>Raw_LIMS_Export!K190</f>
        <v>45511</v>
      </c>
      <c r="N190" s="19" t="s">
        <v>2926</v>
      </c>
    </row>
    <row r="191" spans="1:14" x14ac:dyDescent="0.35">
      <c r="A191" s="16" t="s">
        <v>200</v>
      </c>
      <c r="B191" s="17" t="s">
        <v>2048</v>
      </c>
      <c r="C191" s="17" t="s">
        <v>2458</v>
      </c>
      <c r="D191" s="17" t="str">
        <f>_xlfn.XLOOKUP(Raw_LIMS_Export!E191,'mapping Site table'!$B$4:$B$14,'mapping Site table'!$C$4:$C$14,Raw_LIMS_Export!E191)</f>
        <v>Dortmund DE</v>
      </c>
      <c r="E191" s="17" t="s">
        <v>2479</v>
      </c>
      <c r="F191" s="17">
        <f t="shared" si="7"/>
        <v>1</v>
      </c>
      <c r="G191" s="17" t="str">
        <f t="shared" si="8"/>
        <v>Pass</v>
      </c>
      <c r="H191" s="17" t="str">
        <f t="shared" si="6"/>
        <v>Fail</v>
      </c>
      <c r="I191" s="17">
        <v>23.76</v>
      </c>
      <c r="J191" s="17" t="s">
        <v>2486</v>
      </c>
      <c r="K191" s="17">
        <v>0</v>
      </c>
      <c r="L191" s="17">
        <v>120</v>
      </c>
      <c r="M191" s="18">
        <f>Raw_LIMS_Export!K191</f>
        <v>45845</v>
      </c>
      <c r="N191" s="19" t="s">
        <v>2924</v>
      </c>
    </row>
    <row r="192" spans="1:14" x14ac:dyDescent="0.35">
      <c r="A192" s="16" t="s">
        <v>201</v>
      </c>
      <c r="B192" s="17" t="s">
        <v>2175</v>
      </c>
      <c r="C192" s="17" t="s">
        <v>2457</v>
      </c>
      <c r="D192" s="17" t="str">
        <f>_xlfn.XLOOKUP(Raw_LIMS_Export!E192,'mapping Site table'!$B$4:$B$14,'mapping Site table'!$C$4:$C$14,Raw_LIMS_Export!E192)</f>
        <v>Ashford UK</v>
      </c>
      <c r="E192" s="17" t="s">
        <v>2479</v>
      </c>
      <c r="F192" s="17">
        <f t="shared" si="7"/>
        <v>1</v>
      </c>
      <c r="G192" s="17" t="str">
        <f t="shared" si="8"/>
        <v>Pass</v>
      </c>
      <c r="H192" s="17" t="str">
        <f t="shared" si="6"/>
        <v>Fail</v>
      </c>
      <c r="I192" s="17">
        <v>46.63</v>
      </c>
      <c r="J192" s="17" t="s">
        <v>2486</v>
      </c>
      <c r="K192" s="17">
        <v>0</v>
      </c>
      <c r="L192" s="17">
        <v>120</v>
      </c>
      <c r="M192" s="18">
        <f>Raw_LIMS_Export!K192</f>
        <v>45921</v>
      </c>
      <c r="N192" s="19" t="s">
        <v>2926</v>
      </c>
    </row>
    <row r="193" spans="1:14" x14ac:dyDescent="0.35">
      <c r="A193" s="16" t="s">
        <v>202</v>
      </c>
      <c r="B193" s="17" t="s">
        <v>2176</v>
      </c>
      <c r="C193" s="17" t="s">
        <v>2461</v>
      </c>
      <c r="D193" s="17" t="str">
        <f>_xlfn.XLOOKUP(Raw_LIMS_Export!E193,'mapping Site table'!$B$4:$B$14,'mapping Site table'!$C$4:$C$14,Raw_LIMS_Export!E193)</f>
        <v>Dortmund DE</v>
      </c>
      <c r="E193" s="17" t="s">
        <v>2481</v>
      </c>
      <c r="F193" s="17">
        <f t="shared" si="7"/>
        <v>1</v>
      </c>
      <c r="G193" s="17" t="str">
        <f t="shared" si="8"/>
        <v>Pass</v>
      </c>
      <c r="H193" s="17" t="str">
        <f t="shared" si="6"/>
        <v>Pass</v>
      </c>
      <c r="I193" s="17">
        <v>211.86</v>
      </c>
      <c r="J193" s="17" t="s">
        <v>2488</v>
      </c>
      <c r="K193" s="17">
        <v>150</v>
      </c>
      <c r="L193" s="17">
        <v>400</v>
      </c>
      <c r="M193" s="18">
        <f>Raw_LIMS_Export!K193</f>
        <v>45312</v>
      </c>
      <c r="N193" s="19" t="s">
        <v>2928</v>
      </c>
    </row>
    <row r="194" spans="1:14" x14ac:dyDescent="0.35">
      <c r="A194" s="16" t="s">
        <v>203</v>
      </c>
      <c r="B194" s="17" t="s">
        <v>2177</v>
      </c>
      <c r="C194" s="17" t="s">
        <v>2457</v>
      </c>
      <c r="D194" s="17" t="str">
        <f>_xlfn.XLOOKUP(Raw_LIMS_Export!E194,'mapping Site table'!$B$4:$B$14,'mapping Site table'!$C$4:$C$14,Raw_LIMS_Export!E194)</f>
        <v>Vernier CH</v>
      </c>
      <c r="E194" s="17" t="s">
        <v>2482</v>
      </c>
      <c r="F194" s="17">
        <f t="shared" si="7"/>
        <v>1</v>
      </c>
      <c r="G194" s="17" t="str">
        <f t="shared" si="8"/>
        <v>Pass</v>
      </c>
      <c r="H194" s="17" t="str">
        <f t="shared" ref="H194:H257" si="9">IF(COUNTIFS($B$2:$B$2016,B194,$G$2:$G$2016,"Fail")&gt;0,"Fail",
  IF(COUNTIFS($B$2:$B$2016,B194,$G$2:$G$2016,"Missing")&gt;0,"Pending",
    "Pass"))</f>
        <v>Fail</v>
      </c>
      <c r="I194" s="17">
        <v>98.8</v>
      </c>
      <c r="J194" s="17" t="s">
        <v>2489</v>
      </c>
      <c r="K194" s="17">
        <v>97</v>
      </c>
      <c r="L194" s="17">
        <v>100</v>
      </c>
      <c r="M194" s="18">
        <f>Raw_LIMS_Export!K194</f>
        <v>45520</v>
      </c>
      <c r="N194" s="19" t="s">
        <v>2928</v>
      </c>
    </row>
    <row r="195" spans="1:14" x14ac:dyDescent="0.35">
      <c r="A195" s="16" t="s">
        <v>204</v>
      </c>
      <c r="B195" s="17" t="s">
        <v>2178</v>
      </c>
      <c r="C195" s="17" t="s">
        <v>2457</v>
      </c>
      <c r="D195" s="17" t="str">
        <f>_xlfn.XLOOKUP(Raw_LIMS_Export!E195,'mapping Site table'!$B$4:$B$14,'mapping Site table'!$C$4:$C$14,Raw_LIMS_Export!E195)</f>
        <v>Ashford UK</v>
      </c>
      <c r="E195" s="17" t="s">
        <v>2482</v>
      </c>
      <c r="F195" s="17">
        <f t="shared" ref="F195:F258" si="10">IF(I195="",0,1)</f>
        <v>1</v>
      </c>
      <c r="G195" s="17" t="str">
        <f t="shared" ref="G195:G258" si="11">IF(I195="", "Missing", IF(AND(I195&gt;=K195, I195&lt;=L195), "Pass", "Fail"))</f>
        <v>Pass</v>
      </c>
      <c r="H195" s="17" t="str">
        <f t="shared" si="9"/>
        <v>Pass</v>
      </c>
      <c r="I195" s="17">
        <v>99.3</v>
      </c>
      <c r="J195" s="17" t="s">
        <v>2489</v>
      </c>
      <c r="K195" s="17">
        <v>97</v>
      </c>
      <c r="L195" s="17">
        <v>100</v>
      </c>
      <c r="M195" s="18">
        <f>Raw_LIMS_Export!K195</f>
        <v>45816</v>
      </c>
      <c r="N195" s="19" t="s">
        <v>2926</v>
      </c>
    </row>
    <row r="196" spans="1:14" x14ac:dyDescent="0.35">
      <c r="A196" s="16" t="s">
        <v>205</v>
      </c>
      <c r="B196" s="17" t="s">
        <v>2179</v>
      </c>
      <c r="C196" s="17" t="s">
        <v>2460</v>
      </c>
      <c r="D196" s="17" t="str">
        <f>_xlfn.XLOOKUP(Raw_LIMS_Export!E196,'mapping Site table'!$B$4:$B$14,'mapping Site table'!$C$4:$C$14,Raw_LIMS_Export!E196)</f>
        <v>Dortmund DE</v>
      </c>
      <c r="E196" s="17" t="s">
        <v>2483</v>
      </c>
      <c r="F196" s="17">
        <f t="shared" si="10"/>
        <v>1</v>
      </c>
      <c r="G196" s="17" t="str">
        <f t="shared" si="11"/>
        <v>Pass</v>
      </c>
      <c r="H196" s="17" t="str">
        <f t="shared" si="9"/>
        <v>Pass</v>
      </c>
      <c r="I196" s="17">
        <v>0.46</v>
      </c>
      <c r="J196" s="17" t="s">
        <v>2489</v>
      </c>
      <c r="K196" s="17">
        <v>0</v>
      </c>
      <c r="L196" s="17">
        <v>1</v>
      </c>
      <c r="M196" s="18">
        <f>Raw_LIMS_Export!K196</f>
        <v>45693</v>
      </c>
      <c r="N196" s="19" t="s">
        <v>2930</v>
      </c>
    </row>
    <row r="197" spans="1:14" x14ac:dyDescent="0.35">
      <c r="A197" s="16" t="s">
        <v>206</v>
      </c>
      <c r="B197" s="17" t="s">
        <v>2180</v>
      </c>
      <c r="C197" s="17" t="s">
        <v>2461</v>
      </c>
      <c r="D197" s="17" t="str">
        <f>_xlfn.XLOOKUP(Raw_LIMS_Export!E197,'mapping Site table'!$B$4:$B$14,'mapping Site table'!$C$4:$C$14,Raw_LIMS_Export!E197)</f>
        <v>East Hanover</v>
      </c>
      <c r="E197" s="17" t="s">
        <v>2482</v>
      </c>
      <c r="F197" s="17">
        <f t="shared" si="10"/>
        <v>1</v>
      </c>
      <c r="G197" s="17" t="str">
        <f t="shared" si="11"/>
        <v>Pass</v>
      </c>
      <c r="H197" s="17" t="str">
        <f t="shared" si="9"/>
        <v>Pass</v>
      </c>
      <c r="I197" s="17">
        <v>99.25</v>
      </c>
      <c r="J197" s="17" t="s">
        <v>2489</v>
      </c>
      <c r="K197" s="17">
        <v>97</v>
      </c>
      <c r="L197" s="17">
        <v>100</v>
      </c>
      <c r="M197" s="18">
        <f>Raw_LIMS_Export!K197</f>
        <v>45649</v>
      </c>
      <c r="N197" s="19" t="s">
        <v>2926</v>
      </c>
    </row>
    <row r="198" spans="1:14" x14ac:dyDescent="0.35">
      <c r="A198" s="16" t="s">
        <v>207</v>
      </c>
      <c r="B198" s="17" t="s">
        <v>2082</v>
      </c>
      <c r="C198" s="17" t="s">
        <v>2461</v>
      </c>
      <c r="D198" s="17" t="str">
        <f>_xlfn.XLOOKUP(Raw_LIMS_Export!E198,'mapping Site table'!$B$4:$B$14,'mapping Site table'!$C$4:$C$14,Raw_LIMS_Export!E198)</f>
        <v>Ashford UK</v>
      </c>
      <c r="E198" s="17" t="s">
        <v>2484</v>
      </c>
      <c r="F198" s="17">
        <f t="shared" si="10"/>
        <v>1</v>
      </c>
      <c r="G198" s="17" t="str">
        <f t="shared" si="11"/>
        <v>Pass</v>
      </c>
      <c r="H198" s="17" t="str">
        <f t="shared" si="9"/>
        <v>Pass</v>
      </c>
      <c r="I198" s="17">
        <v>6.83</v>
      </c>
      <c r="J198" s="17"/>
      <c r="K198" s="17">
        <v>6</v>
      </c>
      <c r="L198" s="17">
        <v>7.5</v>
      </c>
      <c r="M198" s="18">
        <f>Raw_LIMS_Export!K198</f>
        <v>45392</v>
      </c>
      <c r="N198" s="19" t="s">
        <v>2923</v>
      </c>
    </row>
    <row r="199" spans="1:14" x14ac:dyDescent="0.35">
      <c r="A199" s="16" t="s">
        <v>208</v>
      </c>
      <c r="B199" s="17" t="s">
        <v>2055</v>
      </c>
      <c r="C199" s="17" t="s">
        <v>2461</v>
      </c>
      <c r="D199" s="17" t="str">
        <f>_xlfn.XLOOKUP(Raw_LIMS_Export!E199,'mapping Site table'!$B$4:$B$14,'mapping Site table'!$C$4:$C$14,Raw_LIMS_Export!E199)</f>
        <v>Budapest</v>
      </c>
      <c r="E199" s="17" t="s">
        <v>2482</v>
      </c>
      <c r="F199" s="17">
        <f t="shared" si="10"/>
        <v>1</v>
      </c>
      <c r="G199" s="17" t="str">
        <f t="shared" si="11"/>
        <v>Pass</v>
      </c>
      <c r="H199" s="17" t="str">
        <f t="shared" si="9"/>
        <v>Pass</v>
      </c>
      <c r="I199" s="17">
        <v>98.7</v>
      </c>
      <c r="J199" s="17" t="s">
        <v>2489</v>
      </c>
      <c r="K199" s="17">
        <v>97</v>
      </c>
      <c r="L199" s="17">
        <v>100</v>
      </c>
      <c r="M199" s="18">
        <f>Raw_LIMS_Export!K199</f>
        <v>46020</v>
      </c>
      <c r="N199" s="19" t="s">
        <v>2927</v>
      </c>
    </row>
    <row r="200" spans="1:14" x14ac:dyDescent="0.35">
      <c r="A200" s="16" t="s">
        <v>209</v>
      </c>
      <c r="B200" s="17" t="s">
        <v>2181</v>
      </c>
      <c r="C200" s="17" t="s">
        <v>2459</v>
      </c>
      <c r="D200" s="17" t="str">
        <f>_xlfn.XLOOKUP(Raw_LIMS_Export!E200,'mapping Site table'!$B$4:$B$14,'mapping Site table'!$C$4:$C$14,Raw_LIMS_Export!E200)</f>
        <v>Vernier CH</v>
      </c>
      <c r="E200" s="17" t="s">
        <v>2484</v>
      </c>
      <c r="F200" s="17">
        <f t="shared" si="10"/>
        <v>1</v>
      </c>
      <c r="G200" s="17" t="str">
        <f t="shared" si="11"/>
        <v>Pass</v>
      </c>
      <c r="H200" s="17" t="str">
        <f t="shared" si="9"/>
        <v>Fail</v>
      </c>
      <c r="I200" s="17">
        <v>7.25</v>
      </c>
      <c r="J200" s="17"/>
      <c r="K200" s="17">
        <v>6</v>
      </c>
      <c r="L200" s="17">
        <v>7.5</v>
      </c>
      <c r="M200" s="18">
        <f>Raw_LIMS_Export!K200</f>
        <v>45500</v>
      </c>
      <c r="N200" s="19" t="s">
        <v>2931</v>
      </c>
    </row>
    <row r="201" spans="1:14" x14ac:dyDescent="0.35">
      <c r="A201" s="16" t="s">
        <v>210</v>
      </c>
      <c r="B201" s="17" t="s">
        <v>2182</v>
      </c>
      <c r="C201" s="17" t="s">
        <v>2457</v>
      </c>
      <c r="D201" s="17" t="str">
        <f>_xlfn.XLOOKUP(Raw_LIMS_Export!E201,'mapping Site table'!$B$4:$B$14,'mapping Site table'!$C$4:$C$14,Raw_LIMS_Export!E201)</f>
        <v>Ashford UK</v>
      </c>
      <c r="E201" s="17" t="s">
        <v>2483</v>
      </c>
      <c r="F201" s="17">
        <f t="shared" si="10"/>
        <v>1</v>
      </c>
      <c r="G201" s="17" t="str">
        <f t="shared" si="11"/>
        <v>Pass</v>
      </c>
      <c r="H201" s="17" t="str">
        <f t="shared" si="9"/>
        <v>Pass</v>
      </c>
      <c r="I201" s="17">
        <v>0.37</v>
      </c>
      <c r="J201" s="17" t="s">
        <v>2489</v>
      </c>
      <c r="K201" s="17">
        <v>0</v>
      </c>
      <c r="L201" s="17">
        <v>1</v>
      </c>
      <c r="M201" s="18">
        <f>Raw_LIMS_Export!K201</f>
        <v>45681</v>
      </c>
      <c r="N201" s="19" t="s">
        <v>2926</v>
      </c>
    </row>
    <row r="202" spans="1:14" x14ac:dyDescent="0.35">
      <c r="A202" s="16" t="s">
        <v>211</v>
      </c>
      <c r="B202" s="17" t="s">
        <v>2183</v>
      </c>
      <c r="C202" s="17" t="s">
        <v>2457</v>
      </c>
      <c r="D202" s="17" t="str">
        <f>_xlfn.XLOOKUP(Raw_LIMS_Export!E202,'mapping Site table'!$B$4:$B$14,'mapping Site table'!$C$4:$C$14,Raw_LIMS_Export!E202)</f>
        <v>East Hanover</v>
      </c>
      <c r="E202" s="17" t="s">
        <v>2485</v>
      </c>
      <c r="F202" s="17">
        <f t="shared" si="10"/>
        <v>1</v>
      </c>
      <c r="G202" s="17" t="str">
        <f t="shared" si="11"/>
        <v>Pass</v>
      </c>
      <c r="H202" s="17" t="str">
        <f t="shared" si="9"/>
        <v>Pass</v>
      </c>
      <c r="I202" s="17">
        <v>15.37</v>
      </c>
      <c r="J202" s="17" t="s">
        <v>2490</v>
      </c>
      <c r="K202" s="17">
        <v>0</v>
      </c>
      <c r="L202" s="17">
        <v>100</v>
      </c>
      <c r="M202" s="18">
        <f>Raw_LIMS_Export!K202</f>
        <v>45810</v>
      </c>
      <c r="N202" s="19" t="s">
        <v>2932</v>
      </c>
    </row>
    <row r="203" spans="1:14" x14ac:dyDescent="0.35">
      <c r="A203" s="16" t="s">
        <v>212</v>
      </c>
      <c r="B203" s="17" t="s">
        <v>2184</v>
      </c>
      <c r="C203" s="17" t="s">
        <v>2461</v>
      </c>
      <c r="D203" s="17" t="str">
        <f>_xlfn.XLOOKUP(Raw_LIMS_Export!E203,'mapping Site table'!$B$4:$B$14,'mapping Site table'!$C$4:$C$14,Raw_LIMS_Export!E203)</f>
        <v>Ashford UK</v>
      </c>
      <c r="E203" s="17" t="s">
        <v>2481</v>
      </c>
      <c r="F203" s="17">
        <f t="shared" si="10"/>
        <v>1</v>
      </c>
      <c r="G203" s="17" t="str">
        <f t="shared" si="11"/>
        <v>Pass</v>
      </c>
      <c r="H203" s="17" t="str">
        <f t="shared" si="9"/>
        <v>Pass</v>
      </c>
      <c r="I203" s="17">
        <v>279.37</v>
      </c>
      <c r="J203" s="17" t="s">
        <v>2488</v>
      </c>
      <c r="K203" s="17">
        <v>150</v>
      </c>
      <c r="L203" s="17">
        <v>400</v>
      </c>
      <c r="M203" s="18">
        <f>Raw_LIMS_Export!K203</f>
        <v>45662</v>
      </c>
      <c r="N203" s="19" t="s">
        <v>2927</v>
      </c>
    </row>
    <row r="204" spans="1:14" x14ac:dyDescent="0.35">
      <c r="A204" s="16" t="s">
        <v>213</v>
      </c>
      <c r="B204" s="17" t="s">
        <v>2185</v>
      </c>
      <c r="C204" s="17" t="s">
        <v>2461</v>
      </c>
      <c r="D204" s="17" t="str">
        <f>_xlfn.XLOOKUP(Raw_LIMS_Export!E204,'mapping Site table'!$B$4:$B$14,'mapping Site table'!$C$4:$C$14,Raw_LIMS_Export!E204)</f>
        <v>East Hanover</v>
      </c>
      <c r="E204" s="17" t="s">
        <v>2479</v>
      </c>
      <c r="F204" s="17">
        <f t="shared" si="10"/>
        <v>1</v>
      </c>
      <c r="G204" s="17" t="str">
        <f t="shared" si="11"/>
        <v>Pass</v>
      </c>
      <c r="H204" s="17" t="str">
        <f t="shared" si="9"/>
        <v>Pass</v>
      </c>
      <c r="I204" s="17">
        <v>65.23</v>
      </c>
      <c r="J204" s="17" t="s">
        <v>2486</v>
      </c>
      <c r="K204" s="17">
        <v>0</v>
      </c>
      <c r="L204" s="17">
        <v>120</v>
      </c>
      <c r="M204" s="18">
        <f>Raw_LIMS_Export!K204</f>
        <v>45830</v>
      </c>
      <c r="N204" s="19" t="s">
        <v>2930</v>
      </c>
    </row>
    <row r="205" spans="1:14" x14ac:dyDescent="0.35">
      <c r="A205" s="16" t="s">
        <v>214</v>
      </c>
      <c r="B205" s="17" t="s">
        <v>2186</v>
      </c>
      <c r="C205" s="17" t="s">
        <v>2457</v>
      </c>
      <c r="D205" s="17" t="str">
        <f>_xlfn.XLOOKUP(Raw_LIMS_Export!E205,'mapping Site table'!$B$4:$B$14,'mapping Site table'!$C$4:$C$14,Raw_LIMS_Export!E205)</f>
        <v>Budapest</v>
      </c>
      <c r="E205" s="17" t="s">
        <v>2484</v>
      </c>
      <c r="F205" s="17">
        <f t="shared" si="10"/>
        <v>1</v>
      </c>
      <c r="G205" s="17" t="str">
        <f t="shared" si="11"/>
        <v>Pass</v>
      </c>
      <c r="H205" s="17" t="str">
        <f t="shared" si="9"/>
        <v>Pass</v>
      </c>
      <c r="I205" s="17">
        <v>6.13</v>
      </c>
      <c r="J205" s="17"/>
      <c r="K205" s="17">
        <v>6</v>
      </c>
      <c r="L205" s="17">
        <v>7.5</v>
      </c>
      <c r="M205" s="18">
        <f>Raw_LIMS_Export!K205</f>
        <v>45579</v>
      </c>
      <c r="N205" s="19" t="s">
        <v>2925</v>
      </c>
    </row>
    <row r="206" spans="1:14" x14ac:dyDescent="0.35">
      <c r="A206" s="16" t="s">
        <v>215</v>
      </c>
      <c r="B206" s="17" t="s">
        <v>2187</v>
      </c>
      <c r="C206" s="17" t="s">
        <v>2457</v>
      </c>
      <c r="D206" s="17" t="str">
        <f>_xlfn.XLOOKUP(Raw_LIMS_Export!E206,'mapping Site table'!$B$4:$B$14,'mapping Site table'!$C$4:$C$14,Raw_LIMS_Export!E206)</f>
        <v>Ashford UK</v>
      </c>
      <c r="E206" s="17" t="s">
        <v>2481</v>
      </c>
      <c r="F206" s="17">
        <f t="shared" si="10"/>
        <v>1</v>
      </c>
      <c r="G206" s="17" t="str">
        <f t="shared" si="11"/>
        <v>Pass</v>
      </c>
      <c r="H206" s="17" t="str">
        <f t="shared" si="9"/>
        <v>Pass</v>
      </c>
      <c r="I206" s="17">
        <v>236.98</v>
      </c>
      <c r="J206" s="17" t="s">
        <v>2488</v>
      </c>
      <c r="K206" s="17">
        <v>150</v>
      </c>
      <c r="L206" s="17">
        <v>400</v>
      </c>
      <c r="M206" s="18">
        <f>Raw_LIMS_Export!K206</f>
        <v>46002</v>
      </c>
      <c r="N206" s="19" t="s">
        <v>2928</v>
      </c>
    </row>
    <row r="207" spans="1:14" x14ac:dyDescent="0.35">
      <c r="A207" s="16" t="s">
        <v>216</v>
      </c>
      <c r="B207" s="17" t="s">
        <v>2012</v>
      </c>
      <c r="C207" s="17" t="s">
        <v>2458</v>
      </c>
      <c r="D207" s="17" t="str">
        <f>_xlfn.XLOOKUP(Raw_LIMS_Export!E207,'mapping Site table'!$B$4:$B$14,'mapping Site table'!$C$4:$C$14,Raw_LIMS_Export!E207)</f>
        <v>Vernier CH</v>
      </c>
      <c r="E207" s="17" t="s">
        <v>2481</v>
      </c>
      <c r="F207" s="17">
        <f t="shared" si="10"/>
        <v>1</v>
      </c>
      <c r="G207" s="17" t="str">
        <f t="shared" si="11"/>
        <v>Pass</v>
      </c>
      <c r="H207" s="17" t="str">
        <f t="shared" si="9"/>
        <v>Pass</v>
      </c>
      <c r="I207" s="17">
        <v>250.46</v>
      </c>
      <c r="J207" s="17" t="s">
        <v>2488</v>
      </c>
      <c r="K207" s="17">
        <v>150</v>
      </c>
      <c r="L207" s="17">
        <v>400</v>
      </c>
      <c r="M207" s="18">
        <f>Raw_LIMS_Export!K207</f>
        <v>45399</v>
      </c>
      <c r="N207" s="19" t="s">
        <v>2929</v>
      </c>
    </row>
    <row r="208" spans="1:14" x14ac:dyDescent="0.35">
      <c r="A208" s="16" t="s">
        <v>217</v>
      </c>
      <c r="B208" s="17" t="s">
        <v>2164</v>
      </c>
      <c r="C208" s="17" t="s">
        <v>2460</v>
      </c>
      <c r="D208" s="17" t="str">
        <f>_xlfn.XLOOKUP(Raw_LIMS_Export!E208,'mapping Site table'!$B$4:$B$14,'mapping Site table'!$C$4:$C$14,Raw_LIMS_Export!E208)</f>
        <v>Ashford UK</v>
      </c>
      <c r="E208" s="17" t="s">
        <v>2483</v>
      </c>
      <c r="F208" s="17">
        <f t="shared" si="10"/>
        <v>1</v>
      </c>
      <c r="G208" s="17" t="str">
        <f t="shared" si="11"/>
        <v>Pass</v>
      </c>
      <c r="H208" s="17" t="str">
        <f t="shared" si="9"/>
        <v>Fail</v>
      </c>
      <c r="I208" s="17">
        <v>0.36</v>
      </c>
      <c r="J208" s="17" t="s">
        <v>2489</v>
      </c>
      <c r="K208" s="17">
        <v>0</v>
      </c>
      <c r="L208" s="17">
        <v>1</v>
      </c>
      <c r="M208" s="18">
        <f>Raw_LIMS_Export!K208</f>
        <v>45912</v>
      </c>
      <c r="N208" s="19" t="s">
        <v>2927</v>
      </c>
    </row>
    <row r="209" spans="1:14" x14ac:dyDescent="0.35">
      <c r="A209" s="16" t="s">
        <v>218</v>
      </c>
      <c r="B209" s="17" t="s">
        <v>2188</v>
      </c>
      <c r="C209" s="17" t="s">
        <v>2457</v>
      </c>
      <c r="D209" s="17" t="str">
        <f>_xlfn.XLOOKUP(Raw_LIMS_Export!E209,'mapping Site table'!$B$4:$B$14,'mapping Site table'!$C$4:$C$14,Raw_LIMS_Export!E209)</f>
        <v>Ashford UK</v>
      </c>
      <c r="E209" s="17" t="s">
        <v>2485</v>
      </c>
      <c r="F209" s="17">
        <f t="shared" si="10"/>
        <v>1</v>
      </c>
      <c r="G209" s="17" t="str">
        <f t="shared" si="11"/>
        <v>Pass</v>
      </c>
      <c r="H209" s="17" t="str">
        <f t="shared" si="9"/>
        <v>Pass</v>
      </c>
      <c r="I209" s="17">
        <v>5.08</v>
      </c>
      <c r="J209" s="17" t="s">
        <v>2490</v>
      </c>
      <c r="K209" s="17">
        <v>0</v>
      </c>
      <c r="L209" s="17">
        <v>100</v>
      </c>
      <c r="M209" s="18">
        <f>Raw_LIMS_Export!K209</f>
        <v>45916</v>
      </c>
      <c r="N209" s="19" t="s">
        <v>2932</v>
      </c>
    </row>
    <row r="210" spans="1:14" x14ac:dyDescent="0.35">
      <c r="A210" s="16" t="s">
        <v>219</v>
      </c>
      <c r="B210" s="17" t="s">
        <v>2086</v>
      </c>
      <c r="C210" s="17" t="s">
        <v>2459</v>
      </c>
      <c r="D210" s="17" t="str">
        <f>_xlfn.XLOOKUP(Raw_LIMS_Export!E210,'mapping Site table'!$B$4:$B$14,'mapping Site table'!$C$4:$C$14,Raw_LIMS_Export!E210)</f>
        <v>Ashford UK</v>
      </c>
      <c r="E210" s="17" t="s">
        <v>2483</v>
      </c>
      <c r="F210" s="17">
        <f t="shared" si="10"/>
        <v>1</v>
      </c>
      <c r="G210" s="17" t="str">
        <f t="shared" si="11"/>
        <v>Pass</v>
      </c>
      <c r="H210" s="17" t="str">
        <f t="shared" si="9"/>
        <v>Fail</v>
      </c>
      <c r="I210" s="17">
        <v>0.43</v>
      </c>
      <c r="J210" s="17" t="s">
        <v>2489</v>
      </c>
      <c r="K210" s="17">
        <v>0</v>
      </c>
      <c r="L210" s="17">
        <v>1</v>
      </c>
      <c r="M210" s="18">
        <f>Raw_LIMS_Export!K210</f>
        <v>45668</v>
      </c>
      <c r="N210" s="19" t="s">
        <v>2924</v>
      </c>
    </row>
    <row r="211" spans="1:14" x14ac:dyDescent="0.35">
      <c r="A211" s="16" t="s">
        <v>220</v>
      </c>
      <c r="B211" s="17" t="s">
        <v>2189</v>
      </c>
      <c r="C211" s="17" t="s">
        <v>2461</v>
      </c>
      <c r="D211" s="17" t="str">
        <f>_xlfn.XLOOKUP(Raw_LIMS_Export!E211,'mapping Site table'!$B$4:$B$14,'mapping Site table'!$C$4:$C$14,Raw_LIMS_Export!E211)</f>
        <v>Budapest</v>
      </c>
      <c r="E211" s="17" t="s">
        <v>2484</v>
      </c>
      <c r="F211" s="17">
        <f t="shared" si="10"/>
        <v>1</v>
      </c>
      <c r="G211" s="17" t="str">
        <f t="shared" si="11"/>
        <v>Pass</v>
      </c>
      <c r="H211" s="17" t="str">
        <f t="shared" si="9"/>
        <v>Pass</v>
      </c>
      <c r="I211" s="17">
        <v>7.04</v>
      </c>
      <c r="J211" s="17"/>
      <c r="K211" s="17">
        <v>6</v>
      </c>
      <c r="L211" s="17">
        <v>7.5</v>
      </c>
      <c r="M211" s="18">
        <f>Raw_LIMS_Export!K211</f>
        <v>45691</v>
      </c>
      <c r="N211" s="19" t="s">
        <v>2925</v>
      </c>
    </row>
    <row r="212" spans="1:14" x14ac:dyDescent="0.35">
      <c r="A212" s="16" t="s">
        <v>221</v>
      </c>
      <c r="B212" s="17" t="s">
        <v>2161</v>
      </c>
      <c r="C212" s="17" t="s">
        <v>2459</v>
      </c>
      <c r="D212" s="17" t="str">
        <f>_xlfn.XLOOKUP(Raw_LIMS_Export!E212,'mapping Site table'!$B$4:$B$14,'mapping Site table'!$C$4:$C$14,Raw_LIMS_Export!E212)</f>
        <v>Dortmund DE</v>
      </c>
      <c r="E212" s="17" t="s">
        <v>2481</v>
      </c>
      <c r="F212" s="17">
        <f t="shared" si="10"/>
        <v>1</v>
      </c>
      <c r="G212" s="17" t="str">
        <f t="shared" si="11"/>
        <v>Pass</v>
      </c>
      <c r="H212" s="17" t="str">
        <f t="shared" si="9"/>
        <v>Pass</v>
      </c>
      <c r="I212" s="17">
        <v>306.43</v>
      </c>
      <c r="J212" s="17" t="s">
        <v>2488</v>
      </c>
      <c r="K212" s="17">
        <v>150</v>
      </c>
      <c r="L212" s="17">
        <v>400</v>
      </c>
      <c r="M212" s="18">
        <f>Raw_LIMS_Export!K212</f>
        <v>45963</v>
      </c>
      <c r="N212" s="19" t="s">
        <v>2923</v>
      </c>
    </row>
    <row r="213" spans="1:14" x14ac:dyDescent="0.35">
      <c r="A213" s="16" t="s">
        <v>222</v>
      </c>
      <c r="B213" s="17" t="s">
        <v>2067</v>
      </c>
      <c r="C213" s="17" t="s">
        <v>2459</v>
      </c>
      <c r="D213" s="17" t="str">
        <f>_xlfn.XLOOKUP(Raw_LIMS_Export!E213,'mapping Site table'!$B$4:$B$14,'mapping Site table'!$C$4:$C$14,Raw_LIMS_Export!E213)</f>
        <v>Ashford UK</v>
      </c>
      <c r="E213" s="17" t="s">
        <v>2480</v>
      </c>
      <c r="F213" s="17">
        <f t="shared" si="10"/>
        <v>1</v>
      </c>
      <c r="G213" s="17" t="str">
        <f t="shared" si="11"/>
        <v>Pass</v>
      </c>
      <c r="H213" s="17" t="str">
        <f t="shared" si="9"/>
        <v>Fail</v>
      </c>
      <c r="I213" s="17">
        <v>0.96</v>
      </c>
      <c r="J213" s="17" t="s">
        <v>2487</v>
      </c>
      <c r="K213" s="17">
        <v>0.88</v>
      </c>
      <c r="L213" s="17">
        <v>0.97</v>
      </c>
      <c r="M213" s="18">
        <f>Raw_LIMS_Export!K213</f>
        <v>45844</v>
      </c>
      <c r="N213" s="19" t="s">
        <v>2926</v>
      </c>
    </row>
    <row r="214" spans="1:14" x14ac:dyDescent="0.35">
      <c r="A214" s="16" t="s">
        <v>223</v>
      </c>
      <c r="B214" s="17" t="s">
        <v>2128</v>
      </c>
      <c r="C214" s="17" t="s">
        <v>2458</v>
      </c>
      <c r="D214" s="17" t="str">
        <f>_xlfn.XLOOKUP(Raw_LIMS_Export!E214,'mapping Site table'!$B$4:$B$14,'mapping Site table'!$C$4:$C$14,Raw_LIMS_Export!E214)</f>
        <v>Budapest</v>
      </c>
      <c r="E214" s="17" t="s">
        <v>2480</v>
      </c>
      <c r="F214" s="17">
        <f t="shared" si="10"/>
        <v>1</v>
      </c>
      <c r="G214" s="17" t="str">
        <f t="shared" si="11"/>
        <v>Pass</v>
      </c>
      <c r="H214" s="17" t="str">
        <f t="shared" si="9"/>
        <v>Pass</v>
      </c>
      <c r="I214" s="17">
        <v>0.93</v>
      </c>
      <c r="J214" s="17" t="s">
        <v>2487</v>
      </c>
      <c r="K214" s="17">
        <v>0.88</v>
      </c>
      <c r="L214" s="17">
        <v>0.97</v>
      </c>
      <c r="M214" s="18">
        <f>Raw_LIMS_Export!K214</f>
        <v>45565</v>
      </c>
      <c r="N214" s="19" t="s">
        <v>2927</v>
      </c>
    </row>
    <row r="215" spans="1:14" x14ac:dyDescent="0.35">
      <c r="A215" s="16" t="s">
        <v>224</v>
      </c>
      <c r="B215" s="17" t="s">
        <v>2190</v>
      </c>
      <c r="C215" s="17" t="s">
        <v>2458</v>
      </c>
      <c r="D215" s="17" t="str">
        <f>_xlfn.XLOOKUP(Raw_LIMS_Export!E215,'mapping Site table'!$B$4:$B$14,'mapping Site table'!$C$4:$C$14,Raw_LIMS_Export!E215)</f>
        <v>East Hanover</v>
      </c>
      <c r="E215" s="17" t="s">
        <v>2483</v>
      </c>
      <c r="F215" s="17">
        <f t="shared" si="10"/>
        <v>1</v>
      </c>
      <c r="G215" s="17" t="str">
        <f t="shared" si="11"/>
        <v>Pass</v>
      </c>
      <c r="H215" s="17" t="str">
        <f t="shared" si="9"/>
        <v>Pass</v>
      </c>
      <c r="I215" s="17">
        <v>0.44</v>
      </c>
      <c r="J215" s="17" t="s">
        <v>2489</v>
      </c>
      <c r="K215" s="17">
        <v>0</v>
      </c>
      <c r="L215" s="17">
        <v>1</v>
      </c>
      <c r="M215" s="18">
        <f>Raw_LIMS_Export!K215</f>
        <v>45428</v>
      </c>
      <c r="N215" s="19" t="s">
        <v>2927</v>
      </c>
    </row>
    <row r="216" spans="1:14" x14ac:dyDescent="0.35">
      <c r="A216" s="16" t="s">
        <v>225</v>
      </c>
      <c r="B216" s="17" t="s">
        <v>2191</v>
      </c>
      <c r="C216" s="17" t="s">
        <v>2460</v>
      </c>
      <c r="D216" s="17" t="str">
        <f>_xlfn.XLOOKUP(Raw_LIMS_Export!E216,'mapping Site table'!$B$4:$B$14,'mapping Site table'!$C$4:$C$14,Raw_LIMS_Export!E216)</f>
        <v>Dortmund DE</v>
      </c>
      <c r="E216" s="17" t="s">
        <v>2484</v>
      </c>
      <c r="F216" s="17">
        <f t="shared" si="10"/>
        <v>1</v>
      </c>
      <c r="G216" s="17" t="str">
        <f t="shared" si="11"/>
        <v>Pass</v>
      </c>
      <c r="H216" s="17" t="str">
        <f t="shared" si="9"/>
        <v>Pass</v>
      </c>
      <c r="I216" s="17">
        <v>7.05</v>
      </c>
      <c r="J216" s="17"/>
      <c r="K216" s="17">
        <v>6</v>
      </c>
      <c r="L216" s="17">
        <v>7.5</v>
      </c>
      <c r="M216" s="18">
        <f>Raw_LIMS_Export!K216</f>
        <v>45483</v>
      </c>
      <c r="N216" s="19" t="s">
        <v>2932</v>
      </c>
    </row>
    <row r="217" spans="1:14" x14ac:dyDescent="0.35">
      <c r="A217" s="16" t="s">
        <v>226</v>
      </c>
      <c r="B217" s="17" t="s">
        <v>2146</v>
      </c>
      <c r="C217" s="17" t="s">
        <v>2459</v>
      </c>
      <c r="D217" s="17" t="str">
        <f>_xlfn.XLOOKUP(Raw_LIMS_Export!E217,'mapping Site table'!$B$4:$B$14,'mapping Site table'!$C$4:$C$14,Raw_LIMS_Export!E217)</f>
        <v>Budapest</v>
      </c>
      <c r="E217" s="17" t="s">
        <v>2479</v>
      </c>
      <c r="F217" s="17">
        <f t="shared" si="10"/>
        <v>1</v>
      </c>
      <c r="G217" s="17" t="str">
        <f t="shared" si="11"/>
        <v>Pass</v>
      </c>
      <c r="H217" s="17" t="str">
        <f t="shared" si="9"/>
        <v>Pass</v>
      </c>
      <c r="I217" s="17">
        <v>80.27</v>
      </c>
      <c r="J217" s="17" t="s">
        <v>2486</v>
      </c>
      <c r="K217" s="17">
        <v>0</v>
      </c>
      <c r="L217" s="17">
        <v>120</v>
      </c>
      <c r="M217" s="18">
        <f>Raw_LIMS_Export!K217</f>
        <v>45476</v>
      </c>
      <c r="N217" s="19" t="s">
        <v>2928</v>
      </c>
    </row>
    <row r="218" spans="1:14" x14ac:dyDescent="0.35">
      <c r="A218" s="16" t="s">
        <v>227</v>
      </c>
      <c r="B218" s="17" t="s">
        <v>2080</v>
      </c>
      <c r="C218" s="17" t="s">
        <v>2457</v>
      </c>
      <c r="D218" s="17" t="str">
        <f>_xlfn.XLOOKUP(Raw_LIMS_Export!E218,'mapping Site table'!$B$4:$B$14,'mapping Site table'!$C$4:$C$14,Raw_LIMS_Export!E218)</f>
        <v>Budapest</v>
      </c>
      <c r="E218" s="17" t="s">
        <v>2479</v>
      </c>
      <c r="F218" s="17">
        <f t="shared" si="10"/>
        <v>0</v>
      </c>
      <c r="G218" s="17" t="str">
        <f t="shared" si="11"/>
        <v>Missing</v>
      </c>
      <c r="H218" s="17" t="str">
        <f t="shared" si="9"/>
        <v>Pending</v>
      </c>
      <c r="I218" s="17"/>
      <c r="J218" s="17" t="s">
        <v>2486</v>
      </c>
      <c r="K218" s="17">
        <v>0</v>
      </c>
      <c r="L218" s="17">
        <v>120</v>
      </c>
      <c r="M218" s="18">
        <f>Raw_LIMS_Export!K218</f>
        <v>45304</v>
      </c>
      <c r="N218" s="19" t="s">
        <v>2925</v>
      </c>
    </row>
    <row r="219" spans="1:14" x14ac:dyDescent="0.35">
      <c r="A219" s="16" t="s">
        <v>228</v>
      </c>
      <c r="B219" s="17" t="s">
        <v>2070</v>
      </c>
      <c r="C219" s="17" t="s">
        <v>2460</v>
      </c>
      <c r="D219" s="17" t="str">
        <f>_xlfn.XLOOKUP(Raw_LIMS_Export!E219,'mapping Site table'!$B$4:$B$14,'mapping Site table'!$C$4:$C$14,Raw_LIMS_Export!E219)</f>
        <v>Vernier CH</v>
      </c>
      <c r="E219" s="17" t="s">
        <v>2484</v>
      </c>
      <c r="F219" s="17">
        <f t="shared" si="10"/>
        <v>1</v>
      </c>
      <c r="G219" s="17" t="str">
        <f t="shared" si="11"/>
        <v>Pass</v>
      </c>
      <c r="H219" s="17" t="str">
        <f t="shared" si="9"/>
        <v>Pass</v>
      </c>
      <c r="I219" s="17">
        <v>6</v>
      </c>
      <c r="J219" s="17"/>
      <c r="K219" s="17">
        <v>6</v>
      </c>
      <c r="L219" s="17">
        <v>7.5</v>
      </c>
      <c r="M219" s="18">
        <f>Raw_LIMS_Export!K219</f>
        <v>45300</v>
      </c>
      <c r="N219" s="19" t="s">
        <v>2927</v>
      </c>
    </row>
    <row r="220" spans="1:14" x14ac:dyDescent="0.35">
      <c r="A220" s="16" t="s">
        <v>229</v>
      </c>
      <c r="B220" s="17" t="s">
        <v>2192</v>
      </c>
      <c r="C220" s="17" t="s">
        <v>2457</v>
      </c>
      <c r="D220" s="17" t="str">
        <f>_xlfn.XLOOKUP(Raw_LIMS_Export!E220,'mapping Site table'!$B$4:$B$14,'mapping Site table'!$C$4:$C$14,Raw_LIMS_Export!E220)</f>
        <v>Dortmund DE</v>
      </c>
      <c r="E220" s="17" t="s">
        <v>2484</v>
      </c>
      <c r="F220" s="17">
        <f t="shared" si="10"/>
        <v>1</v>
      </c>
      <c r="G220" s="17" t="str">
        <f t="shared" si="11"/>
        <v>Pass</v>
      </c>
      <c r="H220" s="17" t="str">
        <f t="shared" si="9"/>
        <v>Pass</v>
      </c>
      <c r="I220" s="17">
        <v>6.97</v>
      </c>
      <c r="J220" s="17"/>
      <c r="K220" s="17">
        <v>6</v>
      </c>
      <c r="L220" s="17">
        <v>7.5</v>
      </c>
      <c r="M220" s="18">
        <f>Raw_LIMS_Export!K220</f>
        <v>45661</v>
      </c>
      <c r="N220" s="19" t="s">
        <v>2928</v>
      </c>
    </row>
    <row r="221" spans="1:14" x14ac:dyDescent="0.35">
      <c r="A221" s="16" t="s">
        <v>230</v>
      </c>
      <c r="B221" s="17" t="s">
        <v>2193</v>
      </c>
      <c r="C221" s="17" t="s">
        <v>2460</v>
      </c>
      <c r="D221" s="17" t="str">
        <f>_xlfn.XLOOKUP(Raw_LIMS_Export!E221,'mapping Site table'!$B$4:$B$14,'mapping Site table'!$C$4:$C$14,Raw_LIMS_Export!E221)</f>
        <v>Ashford UK</v>
      </c>
      <c r="E221" s="17" t="s">
        <v>2479</v>
      </c>
      <c r="F221" s="17">
        <f t="shared" si="10"/>
        <v>1</v>
      </c>
      <c r="G221" s="17" t="str">
        <f t="shared" si="11"/>
        <v>Pass</v>
      </c>
      <c r="H221" s="17" t="str">
        <f t="shared" si="9"/>
        <v>Pass</v>
      </c>
      <c r="I221" s="17">
        <v>54.84</v>
      </c>
      <c r="J221" s="17" t="s">
        <v>2486</v>
      </c>
      <c r="K221" s="17">
        <v>0</v>
      </c>
      <c r="L221" s="17">
        <v>120</v>
      </c>
      <c r="M221" s="18">
        <f>Raw_LIMS_Export!K221</f>
        <v>45552</v>
      </c>
      <c r="N221" s="19" t="s">
        <v>2931</v>
      </c>
    </row>
    <row r="222" spans="1:14" x14ac:dyDescent="0.35">
      <c r="A222" s="16" t="s">
        <v>231</v>
      </c>
      <c r="B222" s="17" t="s">
        <v>2194</v>
      </c>
      <c r="C222" s="17" t="s">
        <v>2457</v>
      </c>
      <c r="D222" s="17" t="str">
        <f>_xlfn.XLOOKUP(Raw_LIMS_Export!E222,'mapping Site table'!$B$4:$B$14,'mapping Site table'!$C$4:$C$14,Raw_LIMS_Export!E222)</f>
        <v>Budapest</v>
      </c>
      <c r="E222" s="17" t="s">
        <v>2481</v>
      </c>
      <c r="F222" s="17">
        <f t="shared" si="10"/>
        <v>1</v>
      </c>
      <c r="G222" s="17" t="str">
        <f t="shared" si="11"/>
        <v>Pass</v>
      </c>
      <c r="H222" s="17" t="str">
        <f t="shared" si="9"/>
        <v>Pending</v>
      </c>
      <c r="I222" s="17">
        <v>200.64</v>
      </c>
      <c r="J222" s="17" t="s">
        <v>2488</v>
      </c>
      <c r="K222" s="17">
        <v>150</v>
      </c>
      <c r="L222" s="17">
        <v>400</v>
      </c>
      <c r="M222" s="18">
        <f>Raw_LIMS_Export!K222</f>
        <v>45645</v>
      </c>
      <c r="N222" s="19" t="s">
        <v>2931</v>
      </c>
    </row>
    <row r="223" spans="1:14" x14ac:dyDescent="0.35">
      <c r="A223" s="16" t="s">
        <v>232</v>
      </c>
      <c r="B223" s="17" t="s">
        <v>2195</v>
      </c>
      <c r="C223" s="17" t="s">
        <v>2457</v>
      </c>
      <c r="D223" s="17" t="str">
        <f>_xlfn.XLOOKUP(Raw_LIMS_Export!E223,'mapping Site table'!$B$4:$B$14,'mapping Site table'!$C$4:$C$14,Raw_LIMS_Export!E223)</f>
        <v>Dortmund DE</v>
      </c>
      <c r="E223" s="17" t="s">
        <v>2485</v>
      </c>
      <c r="F223" s="17">
        <f t="shared" si="10"/>
        <v>1</v>
      </c>
      <c r="G223" s="17" t="str">
        <f t="shared" si="11"/>
        <v>Pass</v>
      </c>
      <c r="H223" s="17" t="str">
        <f t="shared" si="9"/>
        <v>Pass</v>
      </c>
      <c r="I223" s="17">
        <v>25.66</v>
      </c>
      <c r="J223" s="17" t="s">
        <v>2490</v>
      </c>
      <c r="K223" s="17">
        <v>0</v>
      </c>
      <c r="L223" s="17">
        <v>100</v>
      </c>
      <c r="M223" s="18">
        <f>Raw_LIMS_Export!K223</f>
        <v>45588</v>
      </c>
      <c r="N223" s="19" t="s">
        <v>2930</v>
      </c>
    </row>
    <row r="224" spans="1:14" x14ac:dyDescent="0.35">
      <c r="A224" s="16" t="s">
        <v>233</v>
      </c>
      <c r="B224" s="17" t="s">
        <v>2117</v>
      </c>
      <c r="C224" s="17" t="s">
        <v>2457</v>
      </c>
      <c r="D224" s="17" t="str">
        <f>_xlfn.XLOOKUP(Raw_LIMS_Export!E224,'mapping Site table'!$B$4:$B$14,'mapping Site table'!$C$4:$C$14,Raw_LIMS_Export!E224)</f>
        <v>Ashford UK</v>
      </c>
      <c r="E224" s="17" t="s">
        <v>2484</v>
      </c>
      <c r="F224" s="17">
        <f t="shared" si="10"/>
        <v>1</v>
      </c>
      <c r="G224" s="17" t="str">
        <f t="shared" si="11"/>
        <v>Pass</v>
      </c>
      <c r="H224" s="17" t="str">
        <f t="shared" si="9"/>
        <v>Fail</v>
      </c>
      <c r="I224" s="17">
        <v>7.14</v>
      </c>
      <c r="J224" s="17"/>
      <c r="K224" s="17">
        <v>6</v>
      </c>
      <c r="L224" s="17">
        <v>7.5</v>
      </c>
      <c r="M224" s="18">
        <f>Raw_LIMS_Export!K224</f>
        <v>45951</v>
      </c>
      <c r="N224" s="19" t="s">
        <v>2929</v>
      </c>
    </row>
    <row r="225" spans="1:14" x14ac:dyDescent="0.35">
      <c r="A225" s="16" t="s">
        <v>234</v>
      </c>
      <c r="B225" s="17" t="s">
        <v>2196</v>
      </c>
      <c r="C225" s="17" t="s">
        <v>2457</v>
      </c>
      <c r="D225" s="17" t="str">
        <f>_xlfn.XLOOKUP(Raw_LIMS_Export!E225,'mapping Site table'!$B$4:$B$14,'mapping Site table'!$C$4:$C$14,Raw_LIMS_Export!E225)</f>
        <v>Vernier CH</v>
      </c>
      <c r="E225" s="17" t="s">
        <v>2479</v>
      </c>
      <c r="F225" s="17">
        <f t="shared" si="10"/>
        <v>1</v>
      </c>
      <c r="G225" s="17" t="str">
        <f t="shared" si="11"/>
        <v>Pass</v>
      </c>
      <c r="H225" s="17" t="str">
        <f t="shared" si="9"/>
        <v>Pass</v>
      </c>
      <c r="I225" s="17">
        <v>80.89</v>
      </c>
      <c r="J225" s="17" t="s">
        <v>2486</v>
      </c>
      <c r="K225" s="17">
        <v>0</v>
      </c>
      <c r="L225" s="17">
        <v>120</v>
      </c>
      <c r="M225" s="18">
        <f>Raw_LIMS_Export!K225</f>
        <v>45740</v>
      </c>
      <c r="N225" s="19" t="s">
        <v>2930</v>
      </c>
    </row>
    <row r="226" spans="1:14" x14ac:dyDescent="0.35">
      <c r="A226" s="16" t="s">
        <v>235</v>
      </c>
      <c r="B226" s="17" t="s">
        <v>2085</v>
      </c>
      <c r="C226" s="17" t="s">
        <v>2461</v>
      </c>
      <c r="D226" s="17" t="str">
        <f>_xlfn.XLOOKUP(Raw_LIMS_Export!E226,'mapping Site table'!$B$4:$B$14,'mapping Site table'!$C$4:$C$14,Raw_LIMS_Export!E226)</f>
        <v>Dortmund DE</v>
      </c>
      <c r="E226" s="17" t="s">
        <v>2484</v>
      </c>
      <c r="F226" s="17">
        <f t="shared" si="10"/>
        <v>1</v>
      </c>
      <c r="G226" s="17" t="str">
        <f t="shared" si="11"/>
        <v>Pass</v>
      </c>
      <c r="H226" s="17" t="str">
        <f t="shared" si="9"/>
        <v>Fail</v>
      </c>
      <c r="I226" s="17">
        <v>6.09</v>
      </c>
      <c r="J226" s="17"/>
      <c r="K226" s="17">
        <v>6</v>
      </c>
      <c r="L226" s="17">
        <v>7.5</v>
      </c>
      <c r="M226" s="18">
        <f>Raw_LIMS_Export!K226</f>
        <v>46008</v>
      </c>
      <c r="N226" s="19" t="s">
        <v>2928</v>
      </c>
    </row>
    <row r="227" spans="1:14" x14ac:dyDescent="0.35">
      <c r="A227" s="16" t="s">
        <v>236</v>
      </c>
      <c r="B227" s="17" t="s">
        <v>2197</v>
      </c>
      <c r="C227" s="17" t="s">
        <v>2459</v>
      </c>
      <c r="D227" s="17" t="str">
        <f>_xlfn.XLOOKUP(Raw_LIMS_Export!E227,'mapping Site table'!$B$4:$B$14,'mapping Site table'!$C$4:$C$14,Raw_LIMS_Export!E227)</f>
        <v>East Hanover</v>
      </c>
      <c r="E227" s="17" t="s">
        <v>2479</v>
      </c>
      <c r="F227" s="17">
        <f t="shared" si="10"/>
        <v>1</v>
      </c>
      <c r="G227" s="17" t="str">
        <f t="shared" si="11"/>
        <v>Pass</v>
      </c>
      <c r="H227" s="17" t="str">
        <f t="shared" si="9"/>
        <v>Pending</v>
      </c>
      <c r="I227" s="17">
        <v>1.84</v>
      </c>
      <c r="J227" s="17" t="s">
        <v>2486</v>
      </c>
      <c r="K227" s="17">
        <v>0</v>
      </c>
      <c r="L227" s="17">
        <v>120</v>
      </c>
      <c r="M227" s="18">
        <f>Raw_LIMS_Export!K227</f>
        <v>45854</v>
      </c>
      <c r="N227" s="19" t="s">
        <v>2925</v>
      </c>
    </row>
    <row r="228" spans="1:14" x14ac:dyDescent="0.35">
      <c r="A228" s="16" t="s">
        <v>237</v>
      </c>
      <c r="B228" s="17" t="s">
        <v>2160</v>
      </c>
      <c r="C228" s="17" t="s">
        <v>2458</v>
      </c>
      <c r="D228" s="17" t="str">
        <f>_xlfn.XLOOKUP(Raw_LIMS_Export!E228,'mapping Site table'!$B$4:$B$14,'mapping Site table'!$C$4:$C$14,Raw_LIMS_Export!E228)</f>
        <v>Dortmund DE</v>
      </c>
      <c r="E228" s="17" t="s">
        <v>2482</v>
      </c>
      <c r="F228" s="17">
        <f t="shared" si="10"/>
        <v>1</v>
      </c>
      <c r="G228" s="17" t="str">
        <f t="shared" si="11"/>
        <v>Pass</v>
      </c>
      <c r="H228" s="17" t="str">
        <f t="shared" si="9"/>
        <v>Pass</v>
      </c>
      <c r="I228" s="17">
        <v>98.37</v>
      </c>
      <c r="J228" s="17" t="s">
        <v>2489</v>
      </c>
      <c r="K228" s="17">
        <v>97</v>
      </c>
      <c r="L228" s="17">
        <v>100</v>
      </c>
      <c r="M228" s="18">
        <f>Raw_LIMS_Export!K228</f>
        <v>45476</v>
      </c>
      <c r="N228" s="19" t="s">
        <v>2932</v>
      </c>
    </row>
    <row r="229" spans="1:14" x14ac:dyDescent="0.35">
      <c r="A229" s="16" t="s">
        <v>238</v>
      </c>
      <c r="B229" s="17" t="s">
        <v>2149</v>
      </c>
      <c r="C229" s="17" t="s">
        <v>2458</v>
      </c>
      <c r="D229" s="17" t="str">
        <f>_xlfn.XLOOKUP(Raw_LIMS_Export!E229,'mapping Site table'!$B$4:$B$14,'mapping Site table'!$C$4:$C$14,Raw_LIMS_Export!E229)</f>
        <v>Vernier CH</v>
      </c>
      <c r="E229" s="17" t="s">
        <v>2483</v>
      </c>
      <c r="F229" s="17">
        <f t="shared" si="10"/>
        <v>1</v>
      </c>
      <c r="G229" s="17" t="str">
        <f t="shared" si="11"/>
        <v>Pass</v>
      </c>
      <c r="H229" s="17" t="str">
        <f t="shared" si="9"/>
        <v>Fail</v>
      </c>
      <c r="I229" s="17">
        <v>0.21</v>
      </c>
      <c r="J229" s="17" t="s">
        <v>2489</v>
      </c>
      <c r="K229" s="17">
        <v>0</v>
      </c>
      <c r="L229" s="17">
        <v>1</v>
      </c>
      <c r="M229" s="18">
        <f>Raw_LIMS_Export!K229</f>
        <v>45916</v>
      </c>
      <c r="N229" s="19" t="s">
        <v>2925</v>
      </c>
    </row>
    <row r="230" spans="1:14" x14ac:dyDescent="0.35">
      <c r="A230" s="16" t="s">
        <v>239</v>
      </c>
      <c r="B230" s="17" t="s">
        <v>2070</v>
      </c>
      <c r="C230" s="17" t="s">
        <v>2460</v>
      </c>
      <c r="D230" s="17" t="str">
        <f>_xlfn.XLOOKUP(Raw_LIMS_Export!E230,'mapping Site table'!$B$4:$B$14,'mapping Site table'!$C$4:$C$14,Raw_LIMS_Export!E230)</f>
        <v>Vernier CH</v>
      </c>
      <c r="E230" s="17" t="s">
        <v>2485</v>
      </c>
      <c r="F230" s="17">
        <f t="shared" si="10"/>
        <v>1</v>
      </c>
      <c r="G230" s="17" t="str">
        <f t="shared" si="11"/>
        <v>Pass</v>
      </c>
      <c r="H230" s="17" t="str">
        <f t="shared" si="9"/>
        <v>Pass</v>
      </c>
      <c r="I230" s="17">
        <v>33.119999999999997</v>
      </c>
      <c r="J230" s="17" t="s">
        <v>2490</v>
      </c>
      <c r="K230" s="17">
        <v>0</v>
      </c>
      <c r="L230" s="17">
        <v>100</v>
      </c>
      <c r="M230" s="18">
        <f>Raw_LIMS_Export!K230</f>
        <v>45300</v>
      </c>
      <c r="N230" s="19" t="s">
        <v>2932</v>
      </c>
    </row>
    <row r="231" spans="1:14" x14ac:dyDescent="0.35">
      <c r="A231" s="16" t="s">
        <v>240</v>
      </c>
      <c r="B231" s="17" t="s">
        <v>2123</v>
      </c>
      <c r="C231" s="17" t="s">
        <v>2457</v>
      </c>
      <c r="D231" s="17" t="str">
        <f>_xlfn.XLOOKUP(Raw_LIMS_Export!E231,'mapping Site table'!$B$4:$B$14,'mapping Site table'!$C$4:$C$14,Raw_LIMS_Export!E231)</f>
        <v>Dortmund DE</v>
      </c>
      <c r="E231" s="17" t="s">
        <v>2484</v>
      </c>
      <c r="F231" s="17">
        <f t="shared" si="10"/>
        <v>1</v>
      </c>
      <c r="G231" s="17" t="str">
        <f t="shared" si="11"/>
        <v>Pass</v>
      </c>
      <c r="H231" s="17" t="str">
        <f t="shared" si="9"/>
        <v>Pass</v>
      </c>
      <c r="I231" s="17">
        <v>6.71</v>
      </c>
      <c r="J231" s="17"/>
      <c r="K231" s="17">
        <v>6</v>
      </c>
      <c r="L231" s="17">
        <v>7.5</v>
      </c>
      <c r="M231" s="18">
        <f>Raw_LIMS_Export!K231</f>
        <v>45974</v>
      </c>
      <c r="N231" s="19" t="s">
        <v>2932</v>
      </c>
    </row>
    <row r="232" spans="1:14" x14ac:dyDescent="0.35">
      <c r="A232" s="16" t="s">
        <v>241</v>
      </c>
      <c r="B232" s="17" t="s">
        <v>2163</v>
      </c>
      <c r="C232" s="17" t="s">
        <v>2460</v>
      </c>
      <c r="D232" s="17" t="str">
        <f>_xlfn.XLOOKUP(Raw_LIMS_Export!E232,'mapping Site table'!$B$4:$B$14,'mapping Site table'!$C$4:$C$14,Raw_LIMS_Export!E232)</f>
        <v>East Hanover</v>
      </c>
      <c r="E232" s="17" t="s">
        <v>2480</v>
      </c>
      <c r="F232" s="17">
        <f t="shared" si="10"/>
        <v>1</v>
      </c>
      <c r="G232" s="17" t="str">
        <f t="shared" si="11"/>
        <v>Pass</v>
      </c>
      <c r="H232" s="17" t="str">
        <f t="shared" si="9"/>
        <v>Fail</v>
      </c>
      <c r="I232" s="17">
        <v>0.96</v>
      </c>
      <c r="J232" s="17" t="s">
        <v>2487</v>
      </c>
      <c r="K232" s="17">
        <v>0.88</v>
      </c>
      <c r="L232" s="17">
        <v>0.97</v>
      </c>
      <c r="M232" s="18">
        <f>Raw_LIMS_Export!K232</f>
        <v>45698</v>
      </c>
      <c r="N232" s="19" t="s">
        <v>2925</v>
      </c>
    </row>
    <row r="233" spans="1:14" x14ac:dyDescent="0.35">
      <c r="A233" s="16" t="s">
        <v>242</v>
      </c>
      <c r="B233" s="17" t="s">
        <v>2198</v>
      </c>
      <c r="C233" s="17" t="s">
        <v>2459</v>
      </c>
      <c r="D233" s="17" t="str">
        <f>_xlfn.XLOOKUP(Raw_LIMS_Export!E233,'mapping Site table'!$B$4:$B$14,'mapping Site table'!$C$4:$C$14,Raw_LIMS_Export!E233)</f>
        <v>East Hanover</v>
      </c>
      <c r="E233" s="17" t="s">
        <v>2481</v>
      </c>
      <c r="F233" s="17">
        <f t="shared" si="10"/>
        <v>1</v>
      </c>
      <c r="G233" s="17" t="str">
        <f t="shared" si="11"/>
        <v>Pass</v>
      </c>
      <c r="H233" s="17" t="str">
        <f t="shared" si="9"/>
        <v>Pass</v>
      </c>
      <c r="I233" s="17">
        <v>196.59</v>
      </c>
      <c r="J233" s="17" t="s">
        <v>2488</v>
      </c>
      <c r="K233" s="17">
        <v>150</v>
      </c>
      <c r="L233" s="17">
        <v>400</v>
      </c>
      <c r="M233" s="18">
        <f>Raw_LIMS_Export!K233</f>
        <v>45704</v>
      </c>
      <c r="N233" s="19" t="s">
        <v>2924</v>
      </c>
    </row>
    <row r="234" spans="1:14" x14ac:dyDescent="0.35">
      <c r="A234" s="16" t="s">
        <v>243</v>
      </c>
      <c r="B234" s="17" t="s">
        <v>2199</v>
      </c>
      <c r="C234" s="17" t="s">
        <v>2460</v>
      </c>
      <c r="D234" s="17" t="str">
        <f>_xlfn.XLOOKUP(Raw_LIMS_Export!E234,'mapping Site table'!$B$4:$B$14,'mapping Site table'!$C$4:$C$14,Raw_LIMS_Export!E234)</f>
        <v>Ashford UK</v>
      </c>
      <c r="E234" s="17" t="s">
        <v>2480</v>
      </c>
      <c r="F234" s="17">
        <f t="shared" si="10"/>
        <v>1</v>
      </c>
      <c r="G234" s="17" t="str">
        <f t="shared" si="11"/>
        <v>Pass</v>
      </c>
      <c r="H234" s="17" t="str">
        <f t="shared" si="9"/>
        <v>Pass</v>
      </c>
      <c r="I234" s="17">
        <v>0.92</v>
      </c>
      <c r="J234" s="17" t="s">
        <v>2487</v>
      </c>
      <c r="K234" s="17">
        <v>0.88</v>
      </c>
      <c r="L234" s="17">
        <v>0.97</v>
      </c>
      <c r="M234" s="18">
        <f>Raw_LIMS_Export!K234</f>
        <v>45413</v>
      </c>
      <c r="N234" s="19" t="s">
        <v>2925</v>
      </c>
    </row>
    <row r="235" spans="1:14" x14ac:dyDescent="0.35">
      <c r="A235" s="16" t="s">
        <v>244</v>
      </c>
      <c r="B235" s="17" t="s">
        <v>2197</v>
      </c>
      <c r="C235" s="17" t="s">
        <v>2459</v>
      </c>
      <c r="D235" s="17" t="str">
        <f>_xlfn.XLOOKUP(Raw_LIMS_Export!E235,'mapping Site table'!$B$4:$B$14,'mapping Site table'!$C$4:$C$14,Raw_LIMS_Export!E235)</f>
        <v>East Hanover</v>
      </c>
      <c r="E235" s="17" t="s">
        <v>2484</v>
      </c>
      <c r="F235" s="17">
        <f t="shared" si="10"/>
        <v>1</v>
      </c>
      <c r="G235" s="17" t="str">
        <f t="shared" si="11"/>
        <v>Pass</v>
      </c>
      <c r="H235" s="17" t="str">
        <f t="shared" si="9"/>
        <v>Pending</v>
      </c>
      <c r="I235" s="17">
        <v>6.95</v>
      </c>
      <c r="J235" s="17"/>
      <c r="K235" s="17">
        <v>6</v>
      </c>
      <c r="L235" s="17">
        <v>7.5</v>
      </c>
      <c r="M235" s="18">
        <f>Raw_LIMS_Export!K235</f>
        <v>45854</v>
      </c>
      <c r="N235" s="19" t="s">
        <v>2932</v>
      </c>
    </row>
    <row r="236" spans="1:14" x14ac:dyDescent="0.35">
      <c r="A236" s="16" t="s">
        <v>245</v>
      </c>
      <c r="B236" s="17" t="s">
        <v>2142</v>
      </c>
      <c r="C236" s="17" t="s">
        <v>2458</v>
      </c>
      <c r="D236" s="17" t="str">
        <f>_xlfn.XLOOKUP(Raw_LIMS_Export!E236,'mapping Site table'!$B$4:$B$14,'mapping Site table'!$C$4:$C$14,Raw_LIMS_Export!E236)</f>
        <v>East Hanover</v>
      </c>
      <c r="E236" s="17" t="s">
        <v>2481</v>
      </c>
      <c r="F236" s="17">
        <f t="shared" si="10"/>
        <v>1</v>
      </c>
      <c r="G236" s="17" t="str">
        <f t="shared" si="11"/>
        <v>Pass</v>
      </c>
      <c r="H236" s="17" t="str">
        <f t="shared" si="9"/>
        <v>Fail</v>
      </c>
      <c r="I236" s="17">
        <v>224.25</v>
      </c>
      <c r="J236" s="17" t="s">
        <v>2488</v>
      </c>
      <c r="K236" s="17">
        <v>150</v>
      </c>
      <c r="L236" s="17">
        <v>400</v>
      </c>
      <c r="M236" s="18">
        <f>Raw_LIMS_Export!K236</f>
        <v>45942</v>
      </c>
      <c r="N236" s="19" t="s">
        <v>2929</v>
      </c>
    </row>
    <row r="237" spans="1:14" x14ac:dyDescent="0.35">
      <c r="A237" s="16" t="s">
        <v>246</v>
      </c>
      <c r="B237" s="17" t="s">
        <v>2165</v>
      </c>
      <c r="C237" s="17" t="s">
        <v>2458</v>
      </c>
      <c r="D237" s="17" t="str">
        <f>_xlfn.XLOOKUP(Raw_LIMS_Export!E237,'mapping Site table'!$B$4:$B$14,'mapping Site table'!$C$4:$C$14,Raw_LIMS_Export!E237)</f>
        <v>Budapest</v>
      </c>
      <c r="E237" s="17" t="s">
        <v>2479</v>
      </c>
      <c r="F237" s="17">
        <f t="shared" si="10"/>
        <v>1</v>
      </c>
      <c r="G237" s="17" t="str">
        <f t="shared" si="11"/>
        <v>Pass</v>
      </c>
      <c r="H237" s="17" t="str">
        <f t="shared" si="9"/>
        <v>Pass</v>
      </c>
      <c r="I237" s="17">
        <v>33.9</v>
      </c>
      <c r="J237" s="17" t="s">
        <v>2486</v>
      </c>
      <c r="K237" s="17">
        <v>0</v>
      </c>
      <c r="L237" s="17">
        <v>120</v>
      </c>
      <c r="M237" s="18">
        <f>Raw_LIMS_Export!K237</f>
        <v>45886</v>
      </c>
      <c r="N237" s="19" t="s">
        <v>2926</v>
      </c>
    </row>
    <row r="238" spans="1:14" x14ac:dyDescent="0.35">
      <c r="A238" s="16" t="s">
        <v>247</v>
      </c>
      <c r="B238" s="17" t="s">
        <v>2200</v>
      </c>
      <c r="C238" s="17" t="s">
        <v>2459</v>
      </c>
      <c r="D238" s="17" t="str">
        <f>_xlfn.XLOOKUP(Raw_LIMS_Export!E238,'mapping Site table'!$B$4:$B$14,'mapping Site table'!$C$4:$C$14,Raw_LIMS_Export!E238)</f>
        <v>Vernier CH</v>
      </c>
      <c r="E238" s="17" t="s">
        <v>2480</v>
      </c>
      <c r="F238" s="17">
        <f t="shared" si="10"/>
        <v>1</v>
      </c>
      <c r="G238" s="17" t="str">
        <f t="shared" si="11"/>
        <v>Pass</v>
      </c>
      <c r="H238" s="17" t="str">
        <f t="shared" si="9"/>
        <v>Pass</v>
      </c>
      <c r="I238" s="17">
        <v>0.9</v>
      </c>
      <c r="J238" s="17" t="s">
        <v>2487</v>
      </c>
      <c r="K238" s="17">
        <v>0.88</v>
      </c>
      <c r="L238" s="17">
        <v>0.97</v>
      </c>
      <c r="M238" s="18">
        <f>Raw_LIMS_Export!K238</f>
        <v>45499</v>
      </c>
      <c r="N238" s="19" t="s">
        <v>2931</v>
      </c>
    </row>
    <row r="239" spans="1:14" x14ac:dyDescent="0.35">
      <c r="A239" s="16" t="s">
        <v>248</v>
      </c>
      <c r="B239" s="17" t="s">
        <v>2080</v>
      </c>
      <c r="C239" s="17" t="s">
        <v>2457</v>
      </c>
      <c r="D239" s="17" t="str">
        <f>_xlfn.XLOOKUP(Raw_LIMS_Export!E239,'mapping Site table'!$B$4:$B$14,'mapping Site table'!$C$4:$C$14,Raw_LIMS_Export!E239)</f>
        <v>Budapest</v>
      </c>
      <c r="E239" s="17" t="s">
        <v>2483</v>
      </c>
      <c r="F239" s="17">
        <f t="shared" si="10"/>
        <v>1</v>
      </c>
      <c r="G239" s="17" t="str">
        <f t="shared" si="11"/>
        <v>Pass</v>
      </c>
      <c r="H239" s="17" t="str">
        <f t="shared" si="9"/>
        <v>Pending</v>
      </c>
      <c r="I239" s="17">
        <v>0.44</v>
      </c>
      <c r="J239" s="17" t="s">
        <v>2489</v>
      </c>
      <c r="K239" s="17">
        <v>0</v>
      </c>
      <c r="L239" s="17">
        <v>1</v>
      </c>
      <c r="M239" s="18">
        <f>Raw_LIMS_Export!K239</f>
        <v>45304</v>
      </c>
      <c r="N239" s="19" t="s">
        <v>2926</v>
      </c>
    </row>
    <row r="240" spans="1:14" x14ac:dyDescent="0.35">
      <c r="A240" s="16" t="s">
        <v>249</v>
      </c>
      <c r="B240" s="17" t="s">
        <v>2022</v>
      </c>
      <c r="C240" s="17" t="s">
        <v>2457</v>
      </c>
      <c r="D240" s="17" t="str">
        <f>_xlfn.XLOOKUP(Raw_LIMS_Export!E240,'mapping Site table'!$B$4:$B$14,'mapping Site table'!$C$4:$C$14,Raw_LIMS_Export!E240)</f>
        <v>Vernier CH</v>
      </c>
      <c r="E240" s="17" t="s">
        <v>2480</v>
      </c>
      <c r="F240" s="17">
        <f t="shared" si="10"/>
        <v>1</v>
      </c>
      <c r="G240" s="17" t="str">
        <f t="shared" si="11"/>
        <v>Pass</v>
      </c>
      <c r="H240" s="17" t="str">
        <f t="shared" si="9"/>
        <v>Pending</v>
      </c>
      <c r="I240" s="17">
        <v>0.92</v>
      </c>
      <c r="J240" s="17" t="s">
        <v>2487</v>
      </c>
      <c r="K240" s="17">
        <v>0.88</v>
      </c>
      <c r="L240" s="17">
        <v>0.97</v>
      </c>
      <c r="M240" s="18">
        <f>Raw_LIMS_Export!K240</f>
        <v>45530</v>
      </c>
      <c r="N240" s="19" t="s">
        <v>2929</v>
      </c>
    </row>
    <row r="241" spans="1:14" x14ac:dyDescent="0.35">
      <c r="A241" s="16" t="s">
        <v>250</v>
      </c>
      <c r="B241" s="17" t="s">
        <v>2201</v>
      </c>
      <c r="C241" s="17" t="s">
        <v>2460</v>
      </c>
      <c r="D241" s="17" t="str">
        <f>_xlfn.XLOOKUP(Raw_LIMS_Export!E241,'mapping Site table'!$B$4:$B$14,'mapping Site table'!$C$4:$C$14,Raw_LIMS_Export!E241)</f>
        <v>Ashford UK</v>
      </c>
      <c r="E241" s="17" t="s">
        <v>2479</v>
      </c>
      <c r="F241" s="17">
        <f t="shared" si="10"/>
        <v>1</v>
      </c>
      <c r="G241" s="17" t="str">
        <f t="shared" si="11"/>
        <v>Pass</v>
      </c>
      <c r="H241" s="17" t="str">
        <f t="shared" si="9"/>
        <v>Pass</v>
      </c>
      <c r="I241" s="17">
        <v>57.87</v>
      </c>
      <c r="J241" s="17" t="s">
        <v>2486</v>
      </c>
      <c r="K241" s="17">
        <v>0</v>
      </c>
      <c r="L241" s="17">
        <v>120</v>
      </c>
      <c r="M241" s="18">
        <f>Raw_LIMS_Export!K241</f>
        <v>45947</v>
      </c>
      <c r="N241" s="19" t="s">
        <v>2926</v>
      </c>
    </row>
    <row r="242" spans="1:14" x14ac:dyDescent="0.35">
      <c r="A242" s="16" t="s">
        <v>251</v>
      </c>
      <c r="B242" s="17" t="s">
        <v>2189</v>
      </c>
      <c r="C242" s="17" t="s">
        <v>2461</v>
      </c>
      <c r="D242" s="17" t="str">
        <f>_xlfn.XLOOKUP(Raw_LIMS_Export!E242,'mapping Site table'!$B$4:$B$14,'mapping Site table'!$C$4:$C$14,Raw_LIMS_Export!E242)</f>
        <v>Budapest</v>
      </c>
      <c r="E242" s="17" t="s">
        <v>2481</v>
      </c>
      <c r="F242" s="17">
        <f t="shared" si="10"/>
        <v>1</v>
      </c>
      <c r="G242" s="17" t="str">
        <f t="shared" si="11"/>
        <v>Pass</v>
      </c>
      <c r="H242" s="17" t="str">
        <f t="shared" si="9"/>
        <v>Pass</v>
      </c>
      <c r="I242" s="17">
        <v>231.86</v>
      </c>
      <c r="J242" s="17" t="s">
        <v>2488</v>
      </c>
      <c r="K242" s="17">
        <v>150</v>
      </c>
      <c r="L242" s="17">
        <v>400</v>
      </c>
      <c r="M242" s="18">
        <f>Raw_LIMS_Export!K242</f>
        <v>45691</v>
      </c>
      <c r="N242" s="19" t="s">
        <v>2926</v>
      </c>
    </row>
    <row r="243" spans="1:14" x14ac:dyDescent="0.35">
      <c r="A243" s="16" t="s">
        <v>252</v>
      </c>
      <c r="B243" s="17" t="s">
        <v>2202</v>
      </c>
      <c r="C243" s="17" t="s">
        <v>2460</v>
      </c>
      <c r="D243" s="17" t="str">
        <f>_xlfn.XLOOKUP(Raw_LIMS_Export!E243,'mapping Site table'!$B$4:$B$14,'mapping Site table'!$C$4:$C$14,Raw_LIMS_Export!E243)</f>
        <v>Ashford UK</v>
      </c>
      <c r="E243" s="17" t="s">
        <v>2485</v>
      </c>
      <c r="F243" s="17">
        <f t="shared" si="10"/>
        <v>1</v>
      </c>
      <c r="G243" s="17" t="str">
        <f t="shared" si="11"/>
        <v>Pass</v>
      </c>
      <c r="H243" s="17" t="str">
        <f t="shared" si="9"/>
        <v>Pass</v>
      </c>
      <c r="I243" s="17">
        <v>8.41</v>
      </c>
      <c r="J243" s="17" t="s">
        <v>2490</v>
      </c>
      <c r="K243" s="17">
        <v>0</v>
      </c>
      <c r="L243" s="17">
        <v>100</v>
      </c>
      <c r="M243" s="18">
        <f>Raw_LIMS_Export!K243</f>
        <v>45393</v>
      </c>
      <c r="N243" s="19" t="s">
        <v>2926</v>
      </c>
    </row>
    <row r="244" spans="1:14" x14ac:dyDescent="0.35">
      <c r="A244" s="16" t="s">
        <v>253</v>
      </c>
      <c r="B244" s="17" t="s">
        <v>2203</v>
      </c>
      <c r="C244" s="17" t="s">
        <v>2458</v>
      </c>
      <c r="D244" s="17" t="str">
        <f>_xlfn.XLOOKUP(Raw_LIMS_Export!E244,'mapping Site table'!$B$4:$B$14,'mapping Site table'!$C$4:$C$14,Raw_LIMS_Export!E244)</f>
        <v>Dortmund DE</v>
      </c>
      <c r="E244" s="17" t="s">
        <v>2485</v>
      </c>
      <c r="F244" s="17">
        <f t="shared" si="10"/>
        <v>1</v>
      </c>
      <c r="G244" s="17" t="str">
        <f t="shared" si="11"/>
        <v>Fail</v>
      </c>
      <c r="H244" s="17" t="str">
        <f t="shared" si="9"/>
        <v>Fail</v>
      </c>
      <c r="I244" s="17">
        <v>-4.79</v>
      </c>
      <c r="J244" s="17" t="s">
        <v>2490</v>
      </c>
      <c r="K244" s="17">
        <v>0</v>
      </c>
      <c r="L244" s="17">
        <v>100</v>
      </c>
      <c r="M244" s="18">
        <f>Raw_LIMS_Export!K244</f>
        <v>45911</v>
      </c>
      <c r="N244" s="19" t="s">
        <v>2925</v>
      </c>
    </row>
    <row r="245" spans="1:14" x14ac:dyDescent="0.35">
      <c r="A245" s="16" t="s">
        <v>254</v>
      </c>
      <c r="B245" s="17" t="s">
        <v>2204</v>
      </c>
      <c r="C245" s="17" t="s">
        <v>2460</v>
      </c>
      <c r="D245" s="17" t="str">
        <f>_xlfn.XLOOKUP(Raw_LIMS_Export!E245,'mapping Site table'!$B$4:$B$14,'mapping Site table'!$C$4:$C$14,Raw_LIMS_Export!E245)</f>
        <v>Vernier CH</v>
      </c>
      <c r="E245" s="17" t="s">
        <v>2485</v>
      </c>
      <c r="F245" s="17">
        <f t="shared" si="10"/>
        <v>1</v>
      </c>
      <c r="G245" s="17" t="str">
        <f t="shared" si="11"/>
        <v>Pass</v>
      </c>
      <c r="H245" s="17" t="str">
        <f t="shared" si="9"/>
        <v>Fail</v>
      </c>
      <c r="I245" s="17">
        <v>12.02</v>
      </c>
      <c r="J245" s="17" t="s">
        <v>2490</v>
      </c>
      <c r="K245" s="17">
        <v>0</v>
      </c>
      <c r="L245" s="17">
        <v>100</v>
      </c>
      <c r="M245" s="18">
        <f>Raw_LIMS_Export!K245</f>
        <v>45445</v>
      </c>
      <c r="N245" s="19" t="s">
        <v>2929</v>
      </c>
    </row>
    <row r="246" spans="1:14" x14ac:dyDescent="0.35">
      <c r="A246" s="16" t="s">
        <v>255</v>
      </c>
      <c r="B246" s="17" t="s">
        <v>2205</v>
      </c>
      <c r="C246" s="17" t="s">
        <v>2457</v>
      </c>
      <c r="D246" s="17" t="str">
        <f>_xlfn.XLOOKUP(Raw_LIMS_Export!E246,'mapping Site table'!$B$4:$B$14,'mapping Site table'!$C$4:$C$14,Raw_LIMS_Export!E246)</f>
        <v>Vernier CH</v>
      </c>
      <c r="E246" s="17" t="s">
        <v>2480</v>
      </c>
      <c r="F246" s="17">
        <f t="shared" si="10"/>
        <v>1</v>
      </c>
      <c r="G246" s="17" t="str">
        <f t="shared" si="11"/>
        <v>Pass</v>
      </c>
      <c r="H246" s="17" t="str">
        <f t="shared" si="9"/>
        <v>Pass</v>
      </c>
      <c r="I246" s="17">
        <v>0.89</v>
      </c>
      <c r="J246" s="17" t="s">
        <v>2487</v>
      </c>
      <c r="K246" s="17">
        <v>0.88</v>
      </c>
      <c r="L246" s="17">
        <v>0.97</v>
      </c>
      <c r="M246" s="18">
        <f>Raw_LIMS_Export!K246</f>
        <v>45661</v>
      </c>
      <c r="N246" s="19" t="s">
        <v>2932</v>
      </c>
    </row>
    <row r="247" spans="1:14" x14ac:dyDescent="0.35">
      <c r="A247" s="16" t="s">
        <v>256</v>
      </c>
      <c r="B247" s="17" t="s">
        <v>2206</v>
      </c>
      <c r="C247" s="17" t="s">
        <v>2458</v>
      </c>
      <c r="D247" s="17" t="str">
        <f>_xlfn.XLOOKUP(Raw_LIMS_Export!E247,'mapping Site table'!$B$4:$B$14,'mapping Site table'!$C$4:$C$14,Raw_LIMS_Export!E247)</f>
        <v>Dortmund DE</v>
      </c>
      <c r="E247" s="17" t="s">
        <v>2482</v>
      </c>
      <c r="F247" s="17">
        <f t="shared" si="10"/>
        <v>1</v>
      </c>
      <c r="G247" s="17" t="str">
        <f t="shared" si="11"/>
        <v>Pass</v>
      </c>
      <c r="H247" s="17" t="str">
        <f t="shared" si="9"/>
        <v>Pass</v>
      </c>
      <c r="I247" s="17">
        <v>98.81</v>
      </c>
      <c r="J247" s="17" t="s">
        <v>2489</v>
      </c>
      <c r="K247" s="17">
        <v>97</v>
      </c>
      <c r="L247" s="17">
        <v>100</v>
      </c>
      <c r="M247" s="18">
        <f>Raw_LIMS_Export!K247</f>
        <v>45814</v>
      </c>
      <c r="N247" s="19" t="s">
        <v>2931</v>
      </c>
    </row>
    <row r="248" spans="1:14" x14ac:dyDescent="0.35">
      <c r="A248" s="16" t="s">
        <v>257</v>
      </c>
      <c r="B248" s="17" t="s">
        <v>2075</v>
      </c>
      <c r="C248" s="17" t="s">
        <v>2461</v>
      </c>
      <c r="D248" s="17" t="str">
        <f>_xlfn.XLOOKUP(Raw_LIMS_Export!E248,'mapping Site table'!$B$4:$B$14,'mapping Site table'!$C$4:$C$14,Raw_LIMS_Export!E248)</f>
        <v>Budapest</v>
      </c>
      <c r="E248" s="17" t="s">
        <v>2481</v>
      </c>
      <c r="F248" s="17">
        <f t="shared" si="10"/>
        <v>1</v>
      </c>
      <c r="G248" s="17" t="str">
        <f t="shared" si="11"/>
        <v>Pass</v>
      </c>
      <c r="H248" s="17" t="str">
        <f t="shared" si="9"/>
        <v>Pass</v>
      </c>
      <c r="I248" s="17">
        <v>287.08</v>
      </c>
      <c r="J248" s="17" t="s">
        <v>2488</v>
      </c>
      <c r="K248" s="17">
        <v>150</v>
      </c>
      <c r="L248" s="17">
        <v>400</v>
      </c>
      <c r="M248" s="18">
        <f>Raw_LIMS_Export!K248</f>
        <v>45686</v>
      </c>
      <c r="N248" s="19" t="s">
        <v>2927</v>
      </c>
    </row>
    <row r="249" spans="1:14" x14ac:dyDescent="0.35">
      <c r="A249" s="16" t="s">
        <v>258</v>
      </c>
      <c r="B249" s="17" t="s">
        <v>2207</v>
      </c>
      <c r="C249" s="17" t="s">
        <v>2460</v>
      </c>
      <c r="D249" s="17" t="str">
        <f>_xlfn.XLOOKUP(Raw_LIMS_Export!E249,'mapping Site table'!$B$4:$B$14,'mapping Site table'!$C$4:$C$14,Raw_LIMS_Export!E249)</f>
        <v>Budapest</v>
      </c>
      <c r="E249" s="17" t="s">
        <v>2479</v>
      </c>
      <c r="F249" s="17">
        <f t="shared" si="10"/>
        <v>1</v>
      </c>
      <c r="G249" s="17" t="str">
        <f t="shared" si="11"/>
        <v>Pass</v>
      </c>
      <c r="H249" s="17" t="str">
        <f t="shared" si="9"/>
        <v>Fail</v>
      </c>
      <c r="I249" s="17">
        <v>65.19</v>
      </c>
      <c r="J249" s="17" t="s">
        <v>2486</v>
      </c>
      <c r="K249" s="17">
        <v>0</v>
      </c>
      <c r="L249" s="17">
        <v>120</v>
      </c>
      <c r="M249" s="18">
        <f>Raw_LIMS_Export!K249</f>
        <v>45736</v>
      </c>
      <c r="N249" s="19" t="s">
        <v>2929</v>
      </c>
    </row>
    <row r="250" spans="1:14" x14ac:dyDescent="0.35">
      <c r="A250" s="16" t="s">
        <v>259</v>
      </c>
      <c r="B250" s="17" t="s">
        <v>2016</v>
      </c>
      <c r="C250" s="17" t="s">
        <v>2458</v>
      </c>
      <c r="D250" s="17" t="str">
        <f>_xlfn.XLOOKUP(Raw_LIMS_Export!E250,'mapping Site table'!$B$4:$B$14,'mapping Site table'!$C$4:$C$14,Raw_LIMS_Export!E250)</f>
        <v>Ashford UK</v>
      </c>
      <c r="E250" s="17" t="s">
        <v>2485</v>
      </c>
      <c r="F250" s="17">
        <f t="shared" si="10"/>
        <v>1</v>
      </c>
      <c r="G250" s="17" t="str">
        <f t="shared" si="11"/>
        <v>Pass</v>
      </c>
      <c r="H250" s="17" t="str">
        <f t="shared" si="9"/>
        <v>Pass</v>
      </c>
      <c r="I250" s="17">
        <v>57.12</v>
      </c>
      <c r="J250" s="17" t="s">
        <v>2490</v>
      </c>
      <c r="K250" s="17">
        <v>0</v>
      </c>
      <c r="L250" s="17">
        <v>100</v>
      </c>
      <c r="M250" s="18">
        <f>Raw_LIMS_Export!K250</f>
        <v>45446</v>
      </c>
      <c r="N250" s="19" t="s">
        <v>2929</v>
      </c>
    </row>
    <row r="251" spans="1:14" x14ac:dyDescent="0.35">
      <c r="A251" s="16" t="s">
        <v>260</v>
      </c>
      <c r="B251" s="17" t="s">
        <v>2208</v>
      </c>
      <c r="C251" s="17" t="s">
        <v>2460</v>
      </c>
      <c r="D251" s="17" t="str">
        <f>_xlfn.XLOOKUP(Raw_LIMS_Export!E251,'mapping Site table'!$B$4:$B$14,'mapping Site table'!$C$4:$C$14,Raw_LIMS_Export!E251)</f>
        <v>Ashford UK</v>
      </c>
      <c r="E251" s="17" t="s">
        <v>2484</v>
      </c>
      <c r="F251" s="17">
        <f t="shared" si="10"/>
        <v>1</v>
      </c>
      <c r="G251" s="17" t="str">
        <f t="shared" si="11"/>
        <v>Pass</v>
      </c>
      <c r="H251" s="17" t="str">
        <f t="shared" si="9"/>
        <v>Pass</v>
      </c>
      <c r="I251" s="17">
        <v>7.02</v>
      </c>
      <c r="J251" s="17"/>
      <c r="K251" s="17">
        <v>6</v>
      </c>
      <c r="L251" s="17">
        <v>7.5</v>
      </c>
      <c r="M251" s="18">
        <f>Raw_LIMS_Export!K251</f>
        <v>45505</v>
      </c>
      <c r="N251" s="19" t="s">
        <v>2927</v>
      </c>
    </row>
    <row r="252" spans="1:14" x14ac:dyDescent="0.35">
      <c r="A252" s="16" t="s">
        <v>261</v>
      </c>
      <c r="B252" s="17" t="s">
        <v>2209</v>
      </c>
      <c r="C252" s="17" t="s">
        <v>2458</v>
      </c>
      <c r="D252" s="17" t="str">
        <f>_xlfn.XLOOKUP(Raw_LIMS_Export!E252,'mapping Site table'!$B$4:$B$14,'mapping Site table'!$C$4:$C$14,Raw_LIMS_Export!E252)</f>
        <v>Ashford UK</v>
      </c>
      <c r="E252" s="17" t="s">
        <v>2485</v>
      </c>
      <c r="F252" s="17">
        <f t="shared" si="10"/>
        <v>1</v>
      </c>
      <c r="G252" s="17" t="str">
        <f t="shared" si="11"/>
        <v>Fail</v>
      </c>
      <c r="H252" s="17" t="str">
        <f t="shared" si="9"/>
        <v>Fail</v>
      </c>
      <c r="I252" s="17">
        <v>-1.53</v>
      </c>
      <c r="J252" s="17" t="s">
        <v>2490</v>
      </c>
      <c r="K252" s="17">
        <v>0</v>
      </c>
      <c r="L252" s="17">
        <v>100</v>
      </c>
      <c r="M252" s="18">
        <f>Raw_LIMS_Export!K252</f>
        <v>45673</v>
      </c>
      <c r="N252" s="19" t="s">
        <v>2932</v>
      </c>
    </row>
    <row r="253" spans="1:14" x14ac:dyDescent="0.35">
      <c r="A253" s="16" t="s">
        <v>262</v>
      </c>
      <c r="B253" s="17" t="s">
        <v>2210</v>
      </c>
      <c r="C253" s="17" t="s">
        <v>2457</v>
      </c>
      <c r="D253" s="17" t="str">
        <f>_xlfn.XLOOKUP(Raw_LIMS_Export!E253,'mapping Site table'!$B$4:$B$14,'mapping Site table'!$C$4:$C$14,Raw_LIMS_Export!E253)</f>
        <v>Budapest</v>
      </c>
      <c r="E253" s="17" t="s">
        <v>2480</v>
      </c>
      <c r="F253" s="17">
        <f t="shared" si="10"/>
        <v>1</v>
      </c>
      <c r="G253" s="17" t="str">
        <f t="shared" si="11"/>
        <v>Pass</v>
      </c>
      <c r="H253" s="17" t="str">
        <f t="shared" si="9"/>
        <v>Pending</v>
      </c>
      <c r="I253" s="17">
        <v>0.96</v>
      </c>
      <c r="J253" s="17" t="s">
        <v>2487</v>
      </c>
      <c r="K253" s="17">
        <v>0.88</v>
      </c>
      <c r="L253" s="17">
        <v>0.97</v>
      </c>
      <c r="M253" s="18">
        <f>Raw_LIMS_Export!K253</f>
        <v>45960</v>
      </c>
      <c r="N253" s="19" t="s">
        <v>2930</v>
      </c>
    </row>
    <row r="254" spans="1:14" x14ac:dyDescent="0.35">
      <c r="A254" s="16" t="s">
        <v>263</v>
      </c>
      <c r="B254" s="17" t="s">
        <v>2211</v>
      </c>
      <c r="C254" s="17" t="s">
        <v>2457</v>
      </c>
      <c r="D254" s="17" t="str">
        <f>_xlfn.XLOOKUP(Raw_LIMS_Export!E254,'mapping Site table'!$B$4:$B$14,'mapping Site table'!$C$4:$C$14,Raw_LIMS_Export!E254)</f>
        <v>Budapest</v>
      </c>
      <c r="E254" s="17" t="s">
        <v>2479</v>
      </c>
      <c r="F254" s="17">
        <f t="shared" si="10"/>
        <v>1</v>
      </c>
      <c r="G254" s="17" t="str">
        <f t="shared" si="11"/>
        <v>Pass</v>
      </c>
      <c r="H254" s="17" t="str">
        <f t="shared" si="9"/>
        <v>Fail</v>
      </c>
      <c r="I254" s="17">
        <v>66.290000000000006</v>
      </c>
      <c r="J254" s="17" t="s">
        <v>2486</v>
      </c>
      <c r="K254" s="17">
        <v>0</v>
      </c>
      <c r="L254" s="17">
        <v>120</v>
      </c>
      <c r="M254" s="18">
        <f>Raw_LIMS_Export!K254</f>
        <v>45540</v>
      </c>
      <c r="N254" s="19" t="s">
        <v>2926</v>
      </c>
    </row>
    <row r="255" spans="1:14" x14ac:dyDescent="0.35">
      <c r="A255" s="16" t="s">
        <v>264</v>
      </c>
      <c r="B255" s="17" t="s">
        <v>2212</v>
      </c>
      <c r="C255" s="17" t="s">
        <v>2460</v>
      </c>
      <c r="D255" s="17" t="str">
        <f>_xlfn.XLOOKUP(Raw_LIMS_Export!E255,'mapping Site table'!$B$4:$B$14,'mapping Site table'!$C$4:$C$14,Raw_LIMS_Export!E255)</f>
        <v>Ashford UK</v>
      </c>
      <c r="E255" s="17" t="s">
        <v>2480</v>
      </c>
      <c r="F255" s="17">
        <f t="shared" si="10"/>
        <v>1</v>
      </c>
      <c r="G255" s="17" t="str">
        <f t="shared" si="11"/>
        <v>Pass</v>
      </c>
      <c r="H255" s="17" t="str">
        <f t="shared" si="9"/>
        <v>Pass</v>
      </c>
      <c r="I255" s="17">
        <v>0.96</v>
      </c>
      <c r="J255" s="17" t="s">
        <v>2487</v>
      </c>
      <c r="K255" s="17">
        <v>0.88</v>
      </c>
      <c r="L255" s="17">
        <v>0.97</v>
      </c>
      <c r="M255" s="18">
        <f>Raw_LIMS_Export!K255</f>
        <v>45449</v>
      </c>
      <c r="N255" s="19" t="s">
        <v>2932</v>
      </c>
    </row>
    <row r="256" spans="1:14" x14ac:dyDescent="0.35">
      <c r="A256" s="16" t="s">
        <v>265</v>
      </c>
      <c r="B256" s="17" t="s">
        <v>2213</v>
      </c>
      <c r="C256" s="17" t="s">
        <v>2457</v>
      </c>
      <c r="D256" s="17" t="str">
        <f>_xlfn.XLOOKUP(Raw_LIMS_Export!E256,'mapping Site table'!$B$4:$B$14,'mapping Site table'!$C$4:$C$14,Raw_LIMS_Export!E256)</f>
        <v>Ashford UK</v>
      </c>
      <c r="E256" s="17" t="s">
        <v>2481</v>
      </c>
      <c r="F256" s="17">
        <f t="shared" si="10"/>
        <v>1</v>
      </c>
      <c r="G256" s="17" t="str">
        <f t="shared" si="11"/>
        <v>Pass</v>
      </c>
      <c r="H256" s="17" t="str">
        <f t="shared" si="9"/>
        <v>Pass</v>
      </c>
      <c r="I256" s="17">
        <v>279.74</v>
      </c>
      <c r="J256" s="17" t="s">
        <v>2488</v>
      </c>
      <c r="K256" s="17">
        <v>150</v>
      </c>
      <c r="L256" s="17">
        <v>400</v>
      </c>
      <c r="M256" s="18">
        <f>Raw_LIMS_Export!K256</f>
        <v>45724</v>
      </c>
      <c r="N256" s="19" t="s">
        <v>2928</v>
      </c>
    </row>
    <row r="257" spans="1:14" x14ac:dyDescent="0.35">
      <c r="A257" s="16" t="s">
        <v>266</v>
      </c>
      <c r="B257" s="17" t="s">
        <v>2214</v>
      </c>
      <c r="C257" s="17" t="s">
        <v>2457</v>
      </c>
      <c r="D257" s="17" t="str">
        <f>_xlfn.XLOOKUP(Raw_LIMS_Export!E257,'mapping Site table'!$B$4:$B$14,'mapping Site table'!$C$4:$C$14,Raw_LIMS_Export!E257)</f>
        <v>Ashford UK</v>
      </c>
      <c r="E257" s="17" t="s">
        <v>2480</v>
      </c>
      <c r="F257" s="17">
        <f t="shared" si="10"/>
        <v>1</v>
      </c>
      <c r="G257" s="17" t="str">
        <f t="shared" si="11"/>
        <v>Pass</v>
      </c>
      <c r="H257" s="17" t="str">
        <f t="shared" si="9"/>
        <v>Pass</v>
      </c>
      <c r="I257" s="17">
        <v>0.92</v>
      </c>
      <c r="J257" s="17" t="s">
        <v>2487</v>
      </c>
      <c r="K257" s="17">
        <v>0.88</v>
      </c>
      <c r="L257" s="17">
        <v>0.97</v>
      </c>
      <c r="M257" s="18">
        <f>Raw_LIMS_Export!K257</f>
        <v>45791</v>
      </c>
      <c r="N257" s="19" t="s">
        <v>2928</v>
      </c>
    </row>
    <row r="258" spans="1:14" x14ac:dyDescent="0.35">
      <c r="A258" s="16" t="s">
        <v>267</v>
      </c>
      <c r="B258" s="17" t="s">
        <v>2215</v>
      </c>
      <c r="C258" s="17" t="s">
        <v>2459</v>
      </c>
      <c r="D258" s="17" t="str">
        <f>_xlfn.XLOOKUP(Raw_LIMS_Export!E258,'mapping Site table'!$B$4:$B$14,'mapping Site table'!$C$4:$C$14,Raw_LIMS_Export!E258)</f>
        <v>East Hanover</v>
      </c>
      <c r="E258" s="17" t="s">
        <v>2479</v>
      </c>
      <c r="F258" s="17">
        <f t="shared" si="10"/>
        <v>1</v>
      </c>
      <c r="G258" s="17" t="str">
        <f t="shared" si="11"/>
        <v>Pass</v>
      </c>
      <c r="H258" s="17" t="str">
        <f t="shared" ref="H258:H321" si="12">IF(COUNTIFS($B$2:$B$2016,B258,$G$2:$G$2016,"Fail")&gt;0,"Fail",
  IF(COUNTIFS($B$2:$B$2016,B258,$G$2:$G$2016,"Missing")&gt;0,"Pending",
    "Pass"))</f>
        <v>Pass</v>
      </c>
      <c r="I258" s="17">
        <v>15.11</v>
      </c>
      <c r="J258" s="17" t="s">
        <v>2486</v>
      </c>
      <c r="K258" s="17">
        <v>0</v>
      </c>
      <c r="L258" s="17">
        <v>120</v>
      </c>
      <c r="M258" s="18">
        <f>Raw_LIMS_Export!K258</f>
        <v>45945</v>
      </c>
      <c r="N258" s="19" t="s">
        <v>2928</v>
      </c>
    </row>
    <row r="259" spans="1:14" x14ac:dyDescent="0.35">
      <c r="A259" s="16" t="s">
        <v>268</v>
      </c>
      <c r="B259" s="17" t="s">
        <v>2053</v>
      </c>
      <c r="C259" s="17" t="s">
        <v>2460</v>
      </c>
      <c r="D259" s="17" t="str">
        <f>_xlfn.XLOOKUP(Raw_LIMS_Export!E259,'mapping Site table'!$B$4:$B$14,'mapping Site table'!$C$4:$C$14,Raw_LIMS_Export!E259)</f>
        <v>East Hanover</v>
      </c>
      <c r="E259" s="17" t="s">
        <v>2481</v>
      </c>
      <c r="F259" s="17">
        <f t="shared" ref="F259:F322" si="13">IF(I259="",0,1)</f>
        <v>1</v>
      </c>
      <c r="G259" s="17" t="str">
        <f t="shared" ref="G259:G322" si="14">IF(I259="", "Missing", IF(AND(I259&gt;=K259, I259&lt;=L259), "Pass", "Fail"))</f>
        <v>Pass</v>
      </c>
      <c r="H259" s="17" t="str">
        <f t="shared" si="12"/>
        <v>Pass</v>
      </c>
      <c r="I259" s="17">
        <v>281.07</v>
      </c>
      <c r="J259" s="17" t="s">
        <v>2488</v>
      </c>
      <c r="K259" s="17">
        <v>150</v>
      </c>
      <c r="L259" s="17">
        <v>400</v>
      </c>
      <c r="M259" s="18">
        <f>Raw_LIMS_Export!K259</f>
        <v>45703</v>
      </c>
      <c r="N259" s="19" t="s">
        <v>2928</v>
      </c>
    </row>
    <row r="260" spans="1:14" x14ac:dyDescent="0.35">
      <c r="A260" s="16" t="s">
        <v>269</v>
      </c>
      <c r="B260" s="17" t="s">
        <v>2216</v>
      </c>
      <c r="C260" s="17" t="s">
        <v>2458</v>
      </c>
      <c r="D260" s="17" t="str">
        <f>_xlfn.XLOOKUP(Raw_LIMS_Export!E260,'mapping Site table'!$B$4:$B$14,'mapping Site table'!$C$4:$C$14,Raw_LIMS_Export!E260)</f>
        <v>Dortmund DE</v>
      </c>
      <c r="E260" s="17" t="s">
        <v>2484</v>
      </c>
      <c r="F260" s="17">
        <f t="shared" si="13"/>
        <v>1</v>
      </c>
      <c r="G260" s="17" t="str">
        <f t="shared" si="14"/>
        <v>Pass</v>
      </c>
      <c r="H260" s="17" t="str">
        <f t="shared" si="12"/>
        <v>Pass</v>
      </c>
      <c r="I260" s="17">
        <v>7.02</v>
      </c>
      <c r="J260" s="17"/>
      <c r="K260" s="17">
        <v>6</v>
      </c>
      <c r="L260" s="17">
        <v>7.5</v>
      </c>
      <c r="M260" s="18">
        <f>Raw_LIMS_Export!K260</f>
        <v>45873</v>
      </c>
      <c r="N260" s="19" t="s">
        <v>2929</v>
      </c>
    </row>
    <row r="261" spans="1:14" x14ac:dyDescent="0.35">
      <c r="A261" s="16" t="s">
        <v>270</v>
      </c>
      <c r="B261" s="17" t="s">
        <v>2130</v>
      </c>
      <c r="C261" s="17" t="s">
        <v>2457</v>
      </c>
      <c r="D261" s="17" t="str">
        <f>_xlfn.XLOOKUP(Raw_LIMS_Export!E261,'mapping Site table'!$B$4:$B$14,'mapping Site table'!$C$4:$C$14,Raw_LIMS_Export!E261)</f>
        <v>East Hanover</v>
      </c>
      <c r="E261" s="17" t="s">
        <v>2481</v>
      </c>
      <c r="F261" s="17">
        <f t="shared" si="13"/>
        <v>1</v>
      </c>
      <c r="G261" s="17" t="str">
        <f t="shared" si="14"/>
        <v>Pass</v>
      </c>
      <c r="H261" s="17" t="str">
        <f t="shared" si="12"/>
        <v>Pass</v>
      </c>
      <c r="I261" s="17">
        <v>233.74</v>
      </c>
      <c r="J261" s="17" t="s">
        <v>2488</v>
      </c>
      <c r="K261" s="17">
        <v>150</v>
      </c>
      <c r="L261" s="17">
        <v>400</v>
      </c>
      <c r="M261" s="18">
        <f>Raw_LIMS_Export!K261</f>
        <v>45943</v>
      </c>
      <c r="N261" s="19" t="s">
        <v>2932</v>
      </c>
    </row>
    <row r="262" spans="1:14" x14ac:dyDescent="0.35">
      <c r="A262" s="16" t="s">
        <v>271</v>
      </c>
      <c r="B262" s="17" t="s">
        <v>2125</v>
      </c>
      <c r="C262" s="17" t="s">
        <v>2460</v>
      </c>
      <c r="D262" s="17" t="str">
        <f>_xlfn.XLOOKUP(Raw_LIMS_Export!E262,'mapping Site table'!$B$4:$B$14,'mapping Site table'!$C$4:$C$14,Raw_LIMS_Export!E262)</f>
        <v>Budapest</v>
      </c>
      <c r="E262" s="17" t="s">
        <v>2481</v>
      </c>
      <c r="F262" s="17">
        <f t="shared" si="13"/>
        <v>1</v>
      </c>
      <c r="G262" s="17" t="str">
        <f t="shared" si="14"/>
        <v>Pass</v>
      </c>
      <c r="H262" s="17" t="str">
        <f t="shared" si="12"/>
        <v>Pass</v>
      </c>
      <c r="I262" s="17">
        <v>288.73</v>
      </c>
      <c r="J262" s="17" t="s">
        <v>2488</v>
      </c>
      <c r="K262" s="17">
        <v>150</v>
      </c>
      <c r="L262" s="17">
        <v>400</v>
      </c>
      <c r="M262" s="18">
        <f>Raw_LIMS_Export!K262</f>
        <v>45544</v>
      </c>
      <c r="N262" s="19" t="s">
        <v>2932</v>
      </c>
    </row>
    <row r="263" spans="1:14" x14ac:dyDescent="0.35">
      <c r="A263" s="16" t="s">
        <v>272</v>
      </c>
      <c r="B263" s="17" t="s">
        <v>2217</v>
      </c>
      <c r="C263" s="17" t="s">
        <v>2458</v>
      </c>
      <c r="D263" s="17" t="str">
        <f>_xlfn.XLOOKUP(Raw_LIMS_Export!E263,'mapping Site table'!$B$4:$B$14,'mapping Site table'!$C$4:$C$14,Raw_LIMS_Export!E263)</f>
        <v>Budapest</v>
      </c>
      <c r="E263" s="17" t="s">
        <v>2482</v>
      </c>
      <c r="F263" s="17">
        <f t="shared" si="13"/>
        <v>1</v>
      </c>
      <c r="G263" s="17" t="str">
        <f t="shared" si="14"/>
        <v>Fail</v>
      </c>
      <c r="H263" s="17" t="str">
        <f t="shared" si="12"/>
        <v>Fail</v>
      </c>
      <c r="I263" s="17">
        <v>101.8</v>
      </c>
      <c r="J263" s="17" t="s">
        <v>2489</v>
      </c>
      <c r="K263" s="17">
        <v>97</v>
      </c>
      <c r="L263" s="17">
        <v>100</v>
      </c>
      <c r="M263" s="18">
        <f>Raw_LIMS_Export!K263</f>
        <v>45368</v>
      </c>
      <c r="N263" s="19" t="s">
        <v>2931</v>
      </c>
    </row>
    <row r="264" spans="1:14" x14ac:dyDescent="0.35">
      <c r="A264" s="16" t="s">
        <v>273</v>
      </c>
      <c r="B264" s="17" t="s">
        <v>2098</v>
      </c>
      <c r="C264" s="17" t="s">
        <v>2460</v>
      </c>
      <c r="D264" s="17" t="str">
        <f>_xlfn.XLOOKUP(Raw_LIMS_Export!E264,'mapping Site table'!$B$4:$B$14,'mapping Site table'!$C$4:$C$14,Raw_LIMS_Export!E264)</f>
        <v>East Hanover</v>
      </c>
      <c r="E264" s="17" t="s">
        <v>2484</v>
      </c>
      <c r="F264" s="17">
        <f t="shared" si="13"/>
        <v>1</v>
      </c>
      <c r="G264" s="17" t="str">
        <f t="shared" si="14"/>
        <v>Pass</v>
      </c>
      <c r="H264" s="17" t="str">
        <f t="shared" si="12"/>
        <v>Pass</v>
      </c>
      <c r="I264" s="17">
        <v>7.17</v>
      </c>
      <c r="J264" s="17"/>
      <c r="K264" s="17">
        <v>6</v>
      </c>
      <c r="L264" s="17">
        <v>7.5</v>
      </c>
      <c r="M264" s="18">
        <f>Raw_LIMS_Export!K264</f>
        <v>45460</v>
      </c>
      <c r="N264" s="19" t="s">
        <v>2929</v>
      </c>
    </row>
    <row r="265" spans="1:14" x14ac:dyDescent="0.35">
      <c r="A265" s="16" t="s">
        <v>274</v>
      </c>
      <c r="B265" s="17" t="s">
        <v>2218</v>
      </c>
      <c r="C265" s="17" t="s">
        <v>2457</v>
      </c>
      <c r="D265" s="17" t="str">
        <f>_xlfn.XLOOKUP(Raw_LIMS_Export!E265,'mapping Site table'!$B$4:$B$14,'mapping Site table'!$C$4:$C$14,Raw_LIMS_Export!E265)</f>
        <v>Dortmund DE</v>
      </c>
      <c r="E265" s="17" t="s">
        <v>2482</v>
      </c>
      <c r="F265" s="17">
        <f t="shared" si="13"/>
        <v>1</v>
      </c>
      <c r="G265" s="17" t="str">
        <f t="shared" si="14"/>
        <v>Pass</v>
      </c>
      <c r="H265" s="17" t="str">
        <f t="shared" si="12"/>
        <v>Fail</v>
      </c>
      <c r="I265" s="17">
        <v>98.64</v>
      </c>
      <c r="J265" s="17" t="s">
        <v>2489</v>
      </c>
      <c r="K265" s="17">
        <v>97</v>
      </c>
      <c r="L265" s="17">
        <v>100</v>
      </c>
      <c r="M265" s="18">
        <f>Raw_LIMS_Export!K265</f>
        <v>45621</v>
      </c>
      <c r="N265" s="19" t="s">
        <v>2930</v>
      </c>
    </row>
    <row r="266" spans="1:14" x14ac:dyDescent="0.35">
      <c r="A266" s="16" t="s">
        <v>275</v>
      </c>
      <c r="B266" s="17" t="s">
        <v>2219</v>
      </c>
      <c r="C266" s="17" t="s">
        <v>2460</v>
      </c>
      <c r="D266" s="17" t="str">
        <f>_xlfn.XLOOKUP(Raw_LIMS_Export!E266,'mapping Site table'!$B$4:$B$14,'mapping Site table'!$C$4:$C$14,Raw_LIMS_Export!E266)</f>
        <v>East Hanover</v>
      </c>
      <c r="E266" s="17" t="s">
        <v>2485</v>
      </c>
      <c r="F266" s="17">
        <f t="shared" si="13"/>
        <v>1</v>
      </c>
      <c r="G266" s="17" t="str">
        <f t="shared" si="14"/>
        <v>Fail</v>
      </c>
      <c r="H266" s="17" t="str">
        <f t="shared" si="12"/>
        <v>Fail</v>
      </c>
      <c r="I266" s="17">
        <v>-27.79</v>
      </c>
      <c r="J266" s="17" t="s">
        <v>2490</v>
      </c>
      <c r="K266" s="17">
        <v>0</v>
      </c>
      <c r="L266" s="17">
        <v>100</v>
      </c>
      <c r="M266" s="18">
        <f>Raw_LIMS_Export!K266</f>
        <v>45626</v>
      </c>
      <c r="N266" s="19" t="s">
        <v>2925</v>
      </c>
    </row>
    <row r="267" spans="1:14" x14ac:dyDescent="0.35">
      <c r="A267" s="16" t="s">
        <v>276</v>
      </c>
      <c r="B267" s="17" t="s">
        <v>2102</v>
      </c>
      <c r="C267" s="17" t="s">
        <v>2461</v>
      </c>
      <c r="D267" s="17" t="str">
        <f>_xlfn.XLOOKUP(Raw_LIMS_Export!E267,'mapping Site table'!$B$4:$B$14,'mapping Site table'!$C$4:$C$14,Raw_LIMS_Export!E267)</f>
        <v>Vernier CH</v>
      </c>
      <c r="E267" s="17" t="s">
        <v>2483</v>
      </c>
      <c r="F267" s="17">
        <f t="shared" si="13"/>
        <v>1</v>
      </c>
      <c r="G267" s="17" t="str">
        <f t="shared" si="14"/>
        <v>Pass</v>
      </c>
      <c r="H267" s="17" t="str">
        <f t="shared" si="12"/>
        <v>Pass</v>
      </c>
      <c r="I267" s="17">
        <v>0.36</v>
      </c>
      <c r="J267" s="17" t="s">
        <v>2489</v>
      </c>
      <c r="K267" s="17">
        <v>0</v>
      </c>
      <c r="L267" s="17">
        <v>1</v>
      </c>
      <c r="M267" s="18">
        <f>Raw_LIMS_Export!K267</f>
        <v>45959</v>
      </c>
      <c r="N267" s="19" t="s">
        <v>2929</v>
      </c>
    </row>
    <row r="268" spans="1:14" x14ac:dyDescent="0.35">
      <c r="A268" s="16" t="s">
        <v>277</v>
      </c>
      <c r="B268" s="17" t="s">
        <v>2220</v>
      </c>
      <c r="C268" s="17" t="s">
        <v>2457</v>
      </c>
      <c r="D268" s="17" t="str">
        <f>_xlfn.XLOOKUP(Raw_LIMS_Export!E268,'mapping Site table'!$B$4:$B$14,'mapping Site table'!$C$4:$C$14,Raw_LIMS_Export!E268)</f>
        <v>Vernier CH</v>
      </c>
      <c r="E268" s="17" t="s">
        <v>2482</v>
      </c>
      <c r="F268" s="17">
        <f t="shared" si="13"/>
        <v>1</v>
      </c>
      <c r="G268" s="17" t="str">
        <f t="shared" si="14"/>
        <v>Pass</v>
      </c>
      <c r="H268" s="17" t="str">
        <f t="shared" si="12"/>
        <v>Pass</v>
      </c>
      <c r="I268" s="17">
        <v>98.05</v>
      </c>
      <c r="J268" s="17" t="s">
        <v>2489</v>
      </c>
      <c r="K268" s="17">
        <v>97</v>
      </c>
      <c r="L268" s="17">
        <v>100</v>
      </c>
      <c r="M268" s="18">
        <f>Raw_LIMS_Export!K268</f>
        <v>45889</v>
      </c>
      <c r="N268" s="19" t="s">
        <v>2924</v>
      </c>
    </row>
    <row r="269" spans="1:14" x14ac:dyDescent="0.35">
      <c r="A269" s="16" t="s">
        <v>278</v>
      </c>
      <c r="B269" s="17" t="s">
        <v>2221</v>
      </c>
      <c r="C269" s="17" t="s">
        <v>2458</v>
      </c>
      <c r="D269" s="17" t="str">
        <f>_xlfn.XLOOKUP(Raw_LIMS_Export!E269,'mapping Site table'!$B$4:$B$14,'mapping Site table'!$C$4:$C$14,Raw_LIMS_Export!E269)</f>
        <v>Dortmund DE</v>
      </c>
      <c r="E269" s="17" t="s">
        <v>2482</v>
      </c>
      <c r="F269" s="17">
        <f t="shared" si="13"/>
        <v>1</v>
      </c>
      <c r="G269" s="17" t="str">
        <f t="shared" si="14"/>
        <v>Pass</v>
      </c>
      <c r="H269" s="17" t="str">
        <f t="shared" si="12"/>
        <v>Pass</v>
      </c>
      <c r="I269" s="17">
        <v>98.6</v>
      </c>
      <c r="J269" s="17" t="s">
        <v>2489</v>
      </c>
      <c r="K269" s="17">
        <v>97</v>
      </c>
      <c r="L269" s="17">
        <v>100</v>
      </c>
      <c r="M269" s="18">
        <f>Raw_LIMS_Export!K269</f>
        <v>45520</v>
      </c>
      <c r="N269" s="19" t="s">
        <v>2924</v>
      </c>
    </row>
    <row r="270" spans="1:14" x14ac:dyDescent="0.35">
      <c r="A270" s="16" t="s">
        <v>279</v>
      </c>
      <c r="B270" s="17" t="s">
        <v>2222</v>
      </c>
      <c r="C270" s="17" t="s">
        <v>2459</v>
      </c>
      <c r="D270" s="17" t="str">
        <f>_xlfn.XLOOKUP(Raw_LIMS_Export!E270,'mapping Site table'!$B$4:$B$14,'mapping Site table'!$C$4:$C$14,Raw_LIMS_Export!E270)</f>
        <v>Ashford UK</v>
      </c>
      <c r="E270" s="17" t="s">
        <v>2483</v>
      </c>
      <c r="F270" s="17">
        <f t="shared" si="13"/>
        <v>1</v>
      </c>
      <c r="G270" s="17" t="str">
        <f t="shared" si="14"/>
        <v>Pass</v>
      </c>
      <c r="H270" s="17" t="str">
        <f t="shared" si="12"/>
        <v>Pass</v>
      </c>
      <c r="I270" s="17">
        <v>0.22</v>
      </c>
      <c r="J270" s="17" t="s">
        <v>2489</v>
      </c>
      <c r="K270" s="17">
        <v>0</v>
      </c>
      <c r="L270" s="17">
        <v>1</v>
      </c>
      <c r="M270" s="18">
        <f>Raw_LIMS_Export!K270</f>
        <v>45317</v>
      </c>
      <c r="N270" s="19" t="s">
        <v>2926</v>
      </c>
    </row>
    <row r="271" spans="1:14" x14ac:dyDescent="0.35">
      <c r="A271" s="16" t="s">
        <v>280</v>
      </c>
      <c r="B271" s="17" t="s">
        <v>2223</v>
      </c>
      <c r="C271" s="17" t="s">
        <v>2458</v>
      </c>
      <c r="D271" s="17" t="str">
        <f>_xlfn.XLOOKUP(Raw_LIMS_Export!E271,'mapping Site table'!$B$4:$B$14,'mapping Site table'!$C$4:$C$14,Raw_LIMS_Export!E271)</f>
        <v>East Hanover</v>
      </c>
      <c r="E271" s="17" t="s">
        <v>2480</v>
      </c>
      <c r="F271" s="17">
        <f t="shared" si="13"/>
        <v>1</v>
      </c>
      <c r="G271" s="17" t="str">
        <f t="shared" si="14"/>
        <v>Fail</v>
      </c>
      <c r="H271" s="17" t="str">
        <f t="shared" si="12"/>
        <v>Fail</v>
      </c>
      <c r="I271" s="17">
        <v>0.85</v>
      </c>
      <c r="J271" s="17" t="s">
        <v>2487</v>
      </c>
      <c r="K271" s="17">
        <v>0.88</v>
      </c>
      <c r="L271" s="17">
        <v>0.97</v>
      </c>
      <c r="M271" s="18">
        <f>Raw_LIMS_Export!K271</f>
        <v>45496</v>
      </c>
      <c r="N271" s="19" t="s">
        <v>2927</v>
      </c>
    </row>
    <row r="272" spans="1:14" x14ac:dyDescent="0.35">
      <c r="A272" s="16" t="s">
        <v>281</v>
      </c>
      <c r="B272" s="17" t="s">
        <v>2136</v>
      </c>
      <c r="C272" s="17" t="s">
        <v>2458</v>
      </c>
      <c r="D272" s="17" t="str">
        <f>_xlfn.XLOOKUP(Raw_LIMS_Export!E272,'mapping Site table'!$B$4:$B$14,'mapping Site table'!$C$4:$C$14,Raw_LIMS_Export!E272)</f>
        <v>Dortmund DE</v>
      </c>
      <c r="E272" s="17" t="s">
        <v>2480</v>
      </c>
      <c r="F272" s="17">
        <f t="shared" si="13"/>
        <v>1</v>
      </c>
      <c r="G272" s="17" t="str">
        <f t="shared" si="14"/>
        <v>Pass</v>
      </c>
      <c r="H272" s="17" t="str">
        <f t="shared" si="12"/>
        <v>Pending</v>
      </c>
      <c r="I272" s="17">
        <v>0.94</v>
      </c>
      <c r="J272" s="17" t="s">
        <v>2487</v>
      </c>
      <c r="K272" s="17">
        <v>0.88</v>
      </c>
      <c r="L272" s="17">
        <v>0.97</v>
      </c>
      <c r="M272" s="18">
        <f>Raw_LIMS_Export!K272</f>
        <v>45534</v>
      </c>
      <c r="N272" s="19" t="s">
        <v>2926</v>
      </c>
    </row>
    <row r="273" spans="1:14" x14ac:dyDescent="0.35">
      <c r="A273" s="16" t="s">
        <v>282</v>
      </c>
      <c r="B273" s="17" t="s">
        <v>2202</v>
      </c>
      <c r="C273" s="17" t="s">
        <v>2460</v>
      </c>
      <c r="D273" s="17" t="str">
        <f>_xlfn.XLOOKUP(Raw_LIMS_Export!E273,'mapping Site table'!$B$4:$B$14,'mapping Site table'!$C$4:$C$14,Raw_LIMS_Export!E273)</f>
        <v>Ashford UK</v>
      </c>
      <c r="E273" s="17" t="s">
        <v>2481</v>
      </c>
      <c r="F273" s="17">
        <f t="shared" si="13"/>
        <v>1</v>
      </c>
      <c r="G273" s="17" t="str">
        <f t="shared" si="14"/>
        <v>Pass</v>
      </c>
      <c r="H273" s="17" t="str">
        <f t="shared" si="12"/>
        <v>Pass</v>
      </c>
      <c r="I273" s="17">
        <v>271.87</v>
      </c>
      <c r="J273" s="17" t="s">
        <v>2488</v>
      </c>
      <c r="K273" s="17">
        <v>150</v>
      </c>
      <c r="L273" s="17">
        <v>400</v>
      </c>
      <c r="M273" s="18">
        <f>Raw_LIMS_Export!K273</f>
        <v>45393</v>
      </c>
      <c r="N273" s="19" t="s">
        <v>2925</v>
      </c>
    </row>
    <row r="274" spans="1:14" x14ac:dyDescent="0.35">
      <c r="A274" s="16" t="s">
        <v>283</v>
      </c>
      <c r="B274" s="17" t="s">
        <v>2224</v>
      </c>
      <c r="C274" s="17" t="s">
        <v>2460</v>
      </c>
      <c r="D274" s="17" t="str">
        <f>_xlfn.XLOOKUP(Raw_LIMS_Export!E274,'mapping Site table'!$B$4:$B$14,'mapping Site table'!$C$4:$C$14,Raw_LIMS_Export!E274)</f>
        <v>East Hanover</v>
      </c>
      <c r="E274" s="17" t="s">
        <v>2482</v>
      </c>
      <c r="F274" s="17">
        <f t="shared" si="13"/>
        <v>1</v>
      </c>
      <c r="G274" s="17" t="str">
        <f t="shared" si="14"/>
        <v>Pass</v>
      </c>
      <c r="H274" s="17" t="str">
        <f t="shared" si="12"/>
        <v>Pass</v>
      </c>
      <c r="I274" s="17">
        <v>98.09</v>
      </c>
      <c r="J274" s="17" t="s">
        <v>2489</v>
      </c>
      <c r="K274" s="17">
        <v>97</v>
      </c>
      <c r="L274" s="17">
        <v>100</v>
      </c>
      <c r="M274" s="18">
        <f>Raw_LIMS_Export!K274</f>
        <v>45831</v>
      </c>
      <c r="N274" s="19" t="s">
        <v>2927</v>
      </c>
    </row>
    <row r="275" spans="1:14" x14ac:dyDescent="0.35">
      <c r="A275" s="16" t="s">
        <v>284</v>
      </c>
      <c r="B275" s="17" t="s">
        <v>2031</v>
      </c>
      <c r="C275" s="17" t="s">
        <v>2459</v>
      </c>
      <c r="D275" s="17" t="str">
        <f>_xlfn.XLOOKUP(Raw_LIMS_Export!E275,'mapping Site table'!$B$4:$B$14,'mapping Site table'!$C$4:$C$14,Raw_LIMS_Export!E275)</f>
        <v>Dortmund DE</v>
      </c>
      <c r="E275" s="17" t="s">
        <v>2483</v>
      </c>
      <c r="F275" s="17">
        <f t="shared" si="13"/>
        <v>1</v>
      </c>
      <c r="G275" s="17" t="str">
        <f t="shared" si="14"/>
        <v>Pass</v>
      </c>
      <c r="H275" s="17" t="str">
        <f t="shared" si="12"/>
        <v>Fail</v>
      </c>
      <c r="I275" s="17">
        <v>0.11</v>
      </c>
      <c r="J275" s="17" t="s">
        <v>2489</v>
      </c>
      <c r="K275" s="17">
        <v>0</v>
      </c>
      <c r="L275" s="17">
        <v>1</v>
      </c>
      <c r="M275" s="18">
        <f>Raw_LIMS_Export!K275</f>
        <v>45887</v>
      </c>
      <c r="N275" s="19" t="s">
        <v>2931</v>
      </c>
    </row>
    <row r="276" spans="1:14" x14ac:dyDescent="0.35">
      <c r="A276" s="16" t="s">
        <v>285</v>
      </c>
      <c r="B276" s="17" t="s">
        <v>2155</v>
      </c>
      <c r="C276" s="17" t="s">
        <v>2461</v>
      </c>
      <c r="D276" s="17" t="str">
        <f>_xlfn.XLOOKUP(Raw_LIMS_Export!E276,'mapping Site table'!$B$4:$B$14,'mapping Site table'!$C$4:$C$14,Raw_LIMS_Export!E276)</f>
        <v>Dortmund DE</v>
      </c>
      <c r="E276" s="17" t="s">
        <v>2484</v>
      </c>
      <c r="F276" s="17">
        <f t="shared" si="13"/>
        <v>1</v>
      </c>
      <c r="G276" s="17" t="str">
        <f t="shared" si="14"/>
        <v>Pass</v>
      </c>
      <c r="H276" s="17" t="str">
        <f t="shared" si="12"/>
        <v>Pass</v>
      </c>
      <c r="I276" s="17">
        <v>6.87</v>
      </c>
      <c r="J276" s="17"/>
      <c r="K276" s="17">
        <v>6</v>
      </c>
      <c r="L276" s="17">
        <v>7.5</v>
      </c>
      <c r="M276" s="18">
        <f>Raw_LIMS_Export!K276</f>
        <v>45358</v>
      </c>
      <c r="N276" s="19" t="s">
        <v>2923</v>
      </c>
    </row>
    <row r="277" spans="1:14" x14ac:dyDescent="0.35">
      <c r="A277" s="16" t="s">
        <v>286</v>
      </c>
      <c r="B277" s="17" t="s">
        <v>2225</v>
      </c>
      <c r="C277" s="17" t="s">
        <v>2458</v>
      </c>
      <c r="D277" s="17" t="str">
        <f>_xlfn.XLOOKUP(Raw_LIMS_Export!E277,'mapping Site table'!$B$4:$B$14,'mapping Site table'!$C$4:$C$14,Raw_LIMS_Export!E277)</f>
        <v>Vernier CH</v>
      </c>
      <c r="E277" s="17" t="s">
        <v>2481</v>
      </c>
      <c r="F277" s="17">
        <f t="shared" si="13"/>
        <v>1</v>
      </c>
      <c r="G277" s="17" t="str">
        <f t="shared" si="14"/>
        <v>Pass</v>
      </c>
      <c r="H277" s="17" t="str">
        <f t="shared" si="12"/>
        <v>Fail</v>
      </c>
      <c r="I277" s="17">
        <v>214.25</v>
      </c>
      <c r="J277" s="17" t="s">
        <v>2488</v>
      </c>
      <c r="K277" s="17">
        <v>150</v>
      </c>
      <c r="L277" s="17">
        <v>400</v>
      </c>
      <c r="M277" s="18">
        <f>Raw_LIMS_Export!K277</f>
        <v>45516</v>
      </c>
      <c r="N277" s="19" t="s">
        <v>2924</v>
      </c>
    </row>
    <row r="278" spans="1:14" x14ac:dyDescent="0.35">
      <c r="A278" s="16" t="s">
        <v>287</v>
      </c>
      <c r="B278" s="17" t="s">
        <v>2226</v>
      </c>
      <c r="C278" s="17" t="s">
        <v>2457</v>
      </c>
      <c r="D278" s="17" t="str">
        <f>_xlfn.XLOOKUP(Raw_LIMS_Export!E278,'mapping Site table'!$B$4:$B$14,'mapping Site table'!$C$4:$C$14,Raw_LIMS_Export!E278)</f>
        <v>Budapest</v>
      </c>
      <c r="E278" s="17" t="s">
        <v>2480</v>
      </c>
      <c r="F278" s="17">
        <f t="shared" si="13"/>
        <v>1</v>
      </c>
      <c r="G278" s="17" t="str">
        <f t="shared" si="14"/>
        <v>Pass</v>
      </c>
      <c r="H278" s="17" t="str">
        <f t="shared" si="12"/>
        <v>Pass</v>
      </c>
      <c r="I278" s="17">
        <v>0.91</v>
      </c>
      <c r="J278" s="17" t="s">
        <v>2487</v>
      </c>
      <c r="K278" s="17">
        <v>0.88</v>
      </c>
      <c r="L278" s="17">
        <v>0.97</v>
      </c>
      <c r="M278" s="18">
        <f>Raw_LIMS_Export!K278</f>
        <v>45595</v>
      </c>
      <c r="N278" s="19" t="s">
        <v>2929</v>
      </c>
    </row>
    <row r="279" spans="1:14" x14ac:dyDescent="0.35">
      <c r="A279" s="16" t="s">
        <v>288</v>
      </c>
      <c r="B279" s="17" t="s">
        <v>2206</v>
      </c>
      <c r="C279" s="17" t="s">
        <v>2458</v>
      </c>
      <c r="D279" s="17" t="str">
        <f>_xlfn.XLOOKUP(Raw_LIMS_Export!E279,'mapping Site table'!$B$4:$B$14,'mapping Site table'!$C$4:$C$14,Raw_LIMS_Export!E279)</f>
        <v>Dortmund DE</v>
      </c>
      <c r="E279" s="17" t="s">
        <v>2485</v>
      </c>
      <c r="F279" s="17">
        <f t="shared" si="13"/>
        <v>1</v>
      </c>
      <c r="G279" s="17" t="str">
        <f t="shared" si="14"/>
        <v>Pass</v>
      </c>
      <c r="H279" s="17" t="str">
        <f t="shared" si="12"/>
        <v>Pass</v>
      </c>
      <c r="I279" s="17">
        <v>28.63</v>
      </c>
      <c r="J279" s="17" t="s">
        <v>2490</v>
      </c>
      <c r="K279" s="17">
        <v>0</v>
      </c>
      <c r="L279" s="17">
        <v>100</v>
      </c>
      <c r="M279" s="18">
        <f>Raw_LIMS_Export!K279</f>
        <v>45814</v>
      </c>
      <c r="N279" s="19" t="s">
        <v>2923</v>
      </c>
    </row>
    <row r="280" spans="1:14" x14ac:dyDescent="0.35">
      <c r="A280" s="16" t="s">
        <v>289</v>
      </c>
      <c r="B280" s="17" t="s">
        <v>2046</v>
      </c>
      <c r="C280" s="17" t="s">
        <v>2457</v>
      </c>
      <c r="D280" s="17" t="str">
        <f>_xlfn.XLOOKUP(Raw_LIMS_Export!E280,'mapping Site table'!$B$4:$B$14,'mapping Site table'!$C$4:$C$14,Raw_LIMS_Export!E280)</f>
        <v>Dortmund DE</v>
      </c>
      <c r="E280" s="17" t="s">
        <v>2483</v>
      </c>
      <c r="F280" s="17">
        <f t="shared" si="13"/>
        <v>1</v>
      </c>
      <c r="G280" s="17" t="str">
        <f t="shared" si="14"/>
        <v>Fail</v>
      </c>
      <c r="H280" s="17" t="str">
        <f t="shared" si="12"/>
        <v>Fail</v>
      </c>
      <c r="I280" s="17">
        <v>-0.45</v>
      </c>
      <c r="J280" s="17" t="s">
        <v>2489</v>
      </c>
      <c r="K280" s="17">
        <v>0</v>
      </c>
      <c r="L280" s="17">
        <v>1</v>
      </c>
      <c r="M280" s="18">
        <f>Raw_LIMS_Export!K280</f>
        <v>45739</v>
      </c>
      <c r="N280" s="19" t="s">
        <v>2932</v>
      </c>
    </row>
    <row r="281" spans="1:14" x14ac:dyDescent="0.35">
      <c r="A281" s="16" t="s">
        <v>290</v>
      </c>
      <c r="B281" s="17" t="s">
        <v>2073</v>
      </c>
      <c r="C281" s="17" t="s">
        <v>2457</v>
      </c>
      <c r="D281" s="17" t="str">
        <f>_xlfn.XLOOKUP(Raw_LIMS_Export!E281,'mapping Site table'!$B$4:$B$14,'mapping Site table'!$C$4:$C$14,Raw_LIMS_Export!E281)</f>
        <v>Dortmund DE</v>
      </c>
      <c r="E281" s="17" t="s">
        <v>2485</v>
      </c>
      <c r="F281" s="17">
        <f t="shared" si="13"/>
        <v>1</v>
      </c>
      <c r="G281" s="17" t="str">
        <f t="shared" si="14"/>
        <v>Pass</v>
      </c>
      <c r="H281" s="17" t="str">
        <f t="shared" si="12"/>
        <v>Pending</v>
      </c>
      <c r="I281" s="17">
        <v>41.59</v>
      </c>
      <c r="J281" s="17" t="s">
        <v>2490</v>
      </c>
      <c r="K281" s="17">
        <v>0</v>
      </c>
      <c r="L281" s="17">
        <v>100</v>
      </c>
      <c r="M281" s="18">
        <f>Raw_LIMS_Export!K281</f>
        <v>45638</v>
      </c>
      <c r="N281" s="19" t="s">
        <v>2923</v>
      </c>
    </row>
    <row r="282" spans="1:14" x14ac:dyDescent="0.35">
      <c r="A282" s="16" t="s">
        <v>291</v>
      </c>
      <c r="B282" s="17" t="s">
        <v>2194</v>
      </c>
      <c r="C282" s="17" t="s">
        <v>2457</v>
      </c>
      <c r="D282" s="17" t="str">
        <f>_xlfn.XLOOKUP(Raw_LIMS_Export!E282,'mapping Site table'!$B$4:$B$14,'mapping Site table'!$C$4:$C$14,Raw_LIMS_Export!E282)</f>
        <v>Budapest</v>
      </c>
      <c r="E282" s="17" t="s">
        <v>2479</v>
      </c>
      <c r="F282" s="17">
        <f t="shared" si="13"/>
        <v>1</v>
      </c>
      <c r="G282" s="17" t="str">
        <f t="shared" si="14"/>
        <v>Pass</v>
      </c>
      <c r="H282" s="17" t="str">
        <f t="shared" si="12"/>
        <v>Pending</v>
      </c>
      <c r="I282" s="17">
        <v>12.08</v>
      </c>
      <c r="J282" s="17" t="s">
        <v>2486</v>
      </c>
      <c r="K282" s="17">
        <v>0</v>
      </c>
      <c r="L282" s="17">
        <v>120</v>
      </c>
      <c r="M282" s="18">
        <f>Raw_LIMS_Export!K282</f>
        <v>45645</v>
      </c>
      <c r="N282" s="19" t="s">
        <v>2928</v>
      </c>
    </row>
    <row r="283" spans="1:14" x14ac:dyDescent="0.35">
      <c r="A283" s="16" t="s">
        <v>292</v>
      </c>
      <c r="B283" s="17" t="s">
        <v>2227</v>
      </c>
      <c r="C283" s="17" t="s">
        <v>2457</v>
      </c>
      <c r="D283" s="17" t="str">
        <f>_xlfn.XLOOKUP(Raw_LIMS_Export!E283,'mapping Site table'!$B$4:$B$14,'mapping Site table'!$C$4:$C$14,Raw_LIMS_Export!E283)</f>
        <v>Dortmund DE</v>
      </c>
      <c r="E283" s="17" t="s">
        <v>2479</v>
      </c>
      <c r="F283" s="17">
        <f t="shared" si="13"/>
        <v>1</v>
      </c>
      <c r="G283" s="17" t="str">
        <f t="shared" si="14"/>
        <v>Pass</v>
      </c>
      <c r="H283" s="17" t="str">
        <f t="shared" si="12"/>
        <v>Fail</v>
      </c>
      <c r="I283" s="17">
        <v>23.45</v>
      </c>
      <c r="J283" s="17" t="s">
        <v>2486</v>
      </c>
      <c r="K283" s="17">
        <v>0</v>
      </c>
      <c r="L283" s="17">
        <v>120</v>
      </c>
      <c r="M283" s="18">
        <f>Raw_LIMS_Export!K283</f>
        <v>45635</v>
      </c>
      <c r="N283" s="19" t="s">
        <v>2930</v>
      </c>
    </row>
    <row r="284" spans="1:14" x14ac:dyDescent="0.35">
      <c r="A284" s="16" t="s">
        <v>293</v>
      </c>
      <c r="B284" s="17" t="s">
        <v>2228</v>
      </c>
      <c r="C284" s="17" t="s">
        <v>2458</v>
      </c>
      <c r="D284" s="17" t="str">
        <f>_xlfn.XLOOKUP(Raw_LIMS_Export!E284,'mapping Site table'!$B$4:$B$14,'mapping Site table'!$C$4:$C$14,Raw_LIMS_Export!E284)</f>
        <v>East Hanover</v>
      </c>
      <c r="E284" s="17" t="s">
        <v>2482</v>
      </c>
      <c r="F284" s="17">
        <f t="shared" si="13"/>
        <v>1</v>
      </c>
      <c r="G284" s="17" t="str">
        <f t="shared" si="14"/>
        <v>Pass</v>
      </c>
      <c r="H284" s="17" t="str">
        <f t="shared" si="12"/>
        <v>Fail</v>
      </c>
      <c r="I284" s="17">
        <v>98.71</v>
      </c>
      <c r="J284" s="17" t="s">
        <v>2489</v>
      </c>
      <c r="K284" s="17">
        <v>97</v>
      </c>
      <c r="L284" s="17">
        <v>100</v>
      </c>
      <c r="M284" s="18">
        <f>Raw_LIMS_Export!K284</f>
        <v>45813</v>
      </c>
      <c r="N284" s="19" t="s">
        <v>2932</v>
      </c>
    </row>
    <row r="285" spans="1:14" x14ac:dyDescent="0.35">
      <c r="A285" s="16" t="s">
        <v>294</v>
      </c>
      <c r="B285" s="17" t="s">
        <v>2229</v>
      </c>
      <c r="C285" s="17" t="s">
        <v>2460</v>
      </c>
      <c r="D285" s="17" t="str">
        <f>_xlfn.XLOOKUP(Raw_LIMS_Export!E285,'mapping Site table'!$B$4:$B$14,'mapping Site table'!$C$4:$C$14,Raw_LIMS_Export!E285)</f>
        <v>Dortmund DE</v>
      </c>
      <c r="E285" s="17" t="s">
        <v>2480</v>
      </c>
      <c r="F285" s="17">
        <f t="shared" si="13"/>
        <v>1</v>
      </c>
      <c r="G285" s="17" t="str">
        <f t="shared" si="14"/>
        <v>Fail</v>
      </c>
      <c r="H285" s="17" t="str">
        <f t="shared" si="12"/>
        <v>Fail</v>
      </c>
      <c r="I285" s="17">
        <v>0.86</v>
      </c>
      <c r="J285" s="17" t="s">
        <v>2487</v>
      </c>
      <c r="K285" s="17">
        <v>0.88</v>
      </c>
      <c r="L285" s="17">
        <v>0.97</v>
      </c>
      <c r="M285" s="18">
        <f>Raw_LIMS_Export!K285</f>
        <v>45990</v>
      </c>
      <c r="N285" s="19" t="s">
        <v>2931</v>
      </c>
    </row>
    <row r="286" spans="1:14" x14ac:dyDescent="0.35">
      <c r="A286" s="16" t="s">
        <v>295</v>
      </c>
      <c r="B286" s="17" t="s">
        <v>2230</v>
      </c>
      <c r="C286" s="17" t="s">
        <v>2457</v>
      </c>
      <c r="D286" s="17" t="str">
        <f>_xlfn.XLOOKUP(Raw_LIMS_Export!E286,'mapping Site table'!$B$4:$B$14,'mapping Site table'!$C$4:$C$14,Raw_LIMS_Export!E286)</f>
        <v>Dortmund DE</v>
      </c>
      <c r="E286" s="17" t="s">
        <v>2479</v>
      </c>
      <c r="F286" s="17">
        <f t="shared" si="13"/>
        <v>1</v>
      </c>
      <c r="G286" s="17" t="str">
        <f t="shared" si="14"/>
        <v>Pass</v>
      </c>
      <c r="H286" s="17" t="str">
        <f t="shared" si="12"/>
        <v>Pass</v>
      </c>
      <c r="I286" s="17">
        <v>42.04</v>
      </c>
      <c r="J286" s="17" t="s">
        <v>2486</v>
      </c>
      <c r="K286" s="17">
        <v>0</v>
      </c>
      <c r="L286" s="17">
        <v>120</v>
      </c>
      <c r="M286" s="18">
        <f>Raw_LIMS_Export!K286</f>
        <v>45721</v>
      </c>
      <c r="N286" s="19" t="s">
        <v>2931</v>
      </c>
    </row>
    <row r="287" spans="1:14" x14ac:dyDescent="0.35">
      <c r="A287" s="16" t="s">
        <v>296</v>
      </c>
      <c r="B287" s="17" t="s">
        <v>2231</v>
      </c>
      <c r="C287" s="17" t="s">
        <v>2461</v>
      </c>
      <c r="D287" s="17" t="str">
        <f>_xlfn.XLOOKUP(Raw_LIMS_Export!E287,'mapping Site table'!$B$4:$B$14,'mapping Site table'!$C$4:$C$14,Raw_LIMS_Export!E287)</f>
        <v>Budapest</v>
      </c>
      <c r="E287" s="17" t="s">
        <v>2481</v>
      </c>
      <c r="F287" s="17">
        <f t="shared" si="13"/>
        <v>1</v>
      </c>
      <c r="G287" s="17" t="str">
        <f t="shared" si="14"/>
        <v>Pass</v>
      </c>
      <c r="H287" s="17" t="str">
        <f t="shared" si="12"/>
        <v>Pass</v>
      </c>
      <c r="I287" s="17">
        <v>275.25</v>
      </c>
      <c r="J287" s="17" t="s">
        <v>2488</v>
      </c>
      <c r="K287" s="17">
        <v>150</v>
      </c>
      <c r="L287" s="17">
        <v>400</v>
      </c>
      <c r="M287" s="18">
        <f>Raw_LIMS_Export!K287</f>
        <v>45294</v>
      </c>
      <c r="N287" s="19" t="s">
        <v>2930</v>
      </c>
    </row>
    <row r="288" spans="1:14" x14ac:dyDescent="0.35">
      <c r="A288" s="16" t="s">
        <v>297</v>
      </c>
      <c r="B288" s="17" t="s">
        <v>2228</v>
      </c>
      <c r="C288" s="17" t="s">
        <v>2458</v>
      </c>
      <c r="D288" s="17" t="str">
        <f>_xlfn.XLOOKUP(Raw_LIMS_Export!E288,'mapping Site table'!$B$4:$B$14,'mapping Site table'!$C$4:$C$14,Raw_LIMS_Export!E288)</f>
        <v>East Hanover</v>
      </c>
      <c r="E288" s="17" t="s">
        <v>2481</v>
      </c>
      <c r="F288" s="17">
        <f t="shared" si="13"/>
        <v>1</v>
      </c>
      <c r="G288" s="17" t="str">
        <f t="shared" si="14"/>
        <v>Pass</v>
      </c>
      <c r="H288" s="17" t="str">
        <f t="shared" si="12"/>
        <v>Fail</v>
      </c>
      <c r="I288" s="17">
        <v>279.32</v>
      </c>
      <c r="J288" s="17" t="s">
        <v>2488</v>
      </c>
      <c r="K288" s="17">
        <v>150</v>
      </c>
      <c r="L288" s="17">
        <v>400</v>
      </c>
      <c r="M288" s="18">
        <f>Raw_LIMS_Export!K288</f>
        <v>45813</v>
      </c>
      <c r="N288" s="19" t="s">
        <v>2926</v>
      </c>
    </row>
    <row r="289" spans="1:14" x14ac:dyDescent="0.35">
      <c r="A289" s="16" t="s">
        <v>298</v>
      </c>
      <c r="B289" s="17" t="s">
        <v>2013</v>
      </c>
      <c r="C289" s="17" t="s">
        <v>2457</v>
      </c>
      <c r="D289" s="17" t="str">
        <f>_xlfn.XLOOKUP(Raw_LIMS_Export!E289,'mapping Site table'!$B$4:$B$14,'mapping Site table'!$C$4:$C$14,Raw_LIMS_Export!E289)</f>
        <v>East Hanover</v>
      </c>
      <c r="E289" s="17" t="s">
        <v>2485</v>
      </c>
      <c r="F289" s="17">
        <f t="shared" si="13"/>
        <v>1</v>
      </c>
      <c r="G289" s="17" t="str">
        <f t="shared" si="14"/>
        <v>Pass</v>
      </c>
      <c r="H289" s="17" t="str">
        <f t="shared" si="12"/>
        <v>Pass</v>
      </c>
      <c r="I289" s="17">
        <v>27.89</v>
      </c>
      <c r="J289" s="17" t="s">
        <v>2490</v>
      </c>
      <c r="K289" s="17">
        <v>0</v>
      </c>
      <c r="L289" s="17">
        <v>100</v>
      </c>
      <c r="M289" s="18">
        <f>Raw_LIMS_Export!K289</f>
        <v>45924</v>
      </c>
      <c r="N289" s="19" t="s">
        <v>2930</v>
      </c>
    </row>
    <row r="290" spans="1:14" x14ac:dyDescent="0.35">
      <c r="A290" s="16" t="s">
        <v>299</v>
      </c>
      <c r="B290" s="17" t="s">
        <v>2232</v>
      </c>
      <c r="C290" s="17" t="s">
        <v>2460</v>
      </c>
      <c r="D290" s="17" t="str">
        <f>_xlfn.XLOOKUP(Raw_LIMS_Export!E290,'mapping Site table'!$B$4:$B$14,'mapping Site table'!$C$4:$C$14,Raw_LIMS_Export!E290)</f>
        <v>Ashford UK</v>
      </c>
      <c r="E290" s="17" t="s">
        <v>2484</v>
      </c>
      <c r="F290" s="17">
        <f t="shared" si="13"/>
        <v>1</v>
      </c>
      <c r="G290" s="17" t="str">
        <f t="shared" si="14"/>
        <v>Pass</v>
      </c>
      <c r="H290" s="17" t="str">
        <f t="shared" si="12"/>
        <v>Pass</v>
      </c>
      <c r="I290" s="17">
        <v>6.77</v>
      </c>
      <c r="J290" s="17"/>
      <c r="K290" s="17">
        <v>6</v>
      </c>
      <c r="L290" s="17">
        <v>7.5</v>
      </c>
      <c r="M290" s="18">
        <f>Raw_LIMS_Export!K290</f>
        <v>45553</v>
      </c>
      <c r="N290" s="19" t="s">
        <v>2932</v>
      </c>
    </row>
    <row r="291" spans="1:14" x14ac:dyDescent="0.35">
      <c r="A291" s="16" t="s">
        <v>300</v>
      </c>
      <c r="B291" s="17" t="s">
        <v>2233</v>
      </c>
      <c r="C291" s="17" t="s">
        <v>2459</v>
      </c>
      <c r="D291" s="17" t="str">
        <f>_xlfn.XLOOKUP(Raw_LIMS_Export!E291,'mapping Site table'!$B$4:$B$14,'mapping Site table'!$C$4:$C$14,Raw_LIMS_Export!E291)</f>
        <v>Budapest</v>
      </c>
      <c r="E291" s="17" t="s">
        <v>2483</v>
      </c>
      <c r="F291" s="17">
        <f t="shared" si="13"/>
        <v>1</v>
      </c>
      <c r="G291" s="17" t="str">
        <f t="shared" si="14"/>
        <v>Pass</v>
      </c>
      <c r="H291" s="17" t="str">
        <f t="shared" si="12"/>
        <v>Fail</v>
      </c>
      <c r="I291" s="17">
        <v>0.25</v>
      </c>
      <c r="J291" s="17" t="s">
        <v>2489</v>
      </c>
      <c r="K291" s="17">
        <v>0</v>
      </c>
      <c r="L291" s="17">
        <v>1</v>
      </c>
      <c r="M291" s="18">
        <f>Raw_LIMS_Export!K291</f>
        <v>45854</v>
      </c>
      <c r="N291" s="19" t="s">
        <v>2932</v>
      </c>
    </row>
    <row r="292" spans="1:14" x14ac:dyDescent="0.35">
      <c r="A292" s="16" t="s">
        <v>301</v>
      </c>
      <c r="B292" s="17" t="s">
        <v>2113</v>
      </c>
      <c r="C292" s="17" t="s">
        <v>2458</v>
      </c>
      <c r="D292" s="17" t="str">
        <f>_xlfn.XLOOKUP(Raw_LIMS_Export!E292,'mapping Site table'!$B$4:$B$14,'mapping Site table'!$C$4:$C$14,Raw_LIMS_Export!E292)</f>
        <v>East Hanover</v>
      </c>
      <c r="E292" s="17" t="s">
        <v>2484</v>
      </c>
      <c r="F292" s="17">
        <f t="shared" si="13"/>
        <v>1</v>
      </c>
      <c r="G292" s="17" t="str">
        <f t="shared" si="14"/>
        <v>Pass</v>
      </c>
      <c r="H292" s="17" t="str">
        <f t="shared" si="12"/>
        <v>Fail</v>
      </c>
      <c r="I292" s="17">
        <v>6.76</v>
      </c>
      <c r="J292" s="17"/>
      <c r="K292" s="17">
        <v>6</v>
      </c>
      <c r="L292" s="17">
        <v>7.5</v>
      </c>
      <c r="M292" s="18">
        <f>Raw_LIMS_Export!K292</f>
        <v>45345</v>
      </c>
      <c r="N292" s="19" t="s">
        <v>2925</v>
      </c>
    </row>
    <row r="293" spans="1:14" x14ac:dyDescent="0.35">
      <c r="A293" s="16" t="s">
        <v>302</v>
      </c>
      <c r="B293" s="17" t="s">
        <v>2023</v>
      </c>
      <c r="C293" s="17" t="s">
        <v>2460</v>
      </c>
      <c r="D293" s="17" t="str">
        <f>_xlfn.XLOOKUP(Raw_LIMS_Export!E293,'mapping Site table'!$B$4:$B$14,'mapping Site table'!$C$4:$C$14,Raw_LIMS_Export!E293)</f>
        <v>East Hanover</v>
      </c>
      <c r="E293" s="17" t="s">
        <v>2484</v>
      </c>
      <c r="F293" s="17">
        <f t="shared" si="13"/>
        <v>1</v>
      </c>
      <c r="G293" s="17" t="str">
        <f t="shared" si="14"/>
        <v>Pass</v>
      </c>
      <c r="H293" s="17" t="str">
        <f t="shared" si="12"/>
        <v>Pass</v>
      </c>
      <c r="I293" s="17">
        <v>7.3</v>
      </c>
      <c r="J293" s="17"/>
      <c r="K293" s="17">
        <v>6</v>
      </c>
      <c r="L293" s="17">
        <v>7.5</v>
      </c>
      <c r="M293" s="18">
        <f>Raw_LIMS_Export!K293</f>
        <v>46016</v>
      </c>
      <c r="N293" s="19" t="s">
        <v>2932</v>
      </c>
    </row>
    <row r="294" spans="1:14" x14ac:dyDescent="0.35">
      <c r="A294" s="16" t="s">
        <v>303</v>
      </c>
      <c r="B294" s="17" t="s">
        <v>2234</v>
      </c>
      <c r="C294" s="17" t="s">
        <v>2457</v>
      </c>
      <c r="D294" s="17" t="str">
        <f>_xlfn.XLOOKUP(Raw_LIMS_Export!E294,'mapping Site table'!$B$4:$B$14,'mapping Site table'!$C$4:$C$14,Raw_LIMS_Export!E294)</f>
        <v>Budapest</v>
      </c>
      <c r="E294" s="17" t="s">
        <v>2481</v>
      </c>
      <c r="F294" s="17">
        <f t="shared" si="13"/>
        <v>1</v>
      </c>
      <c r="G294" s="17" t="str">
        <f t="shared" si="14"/>
        <v>Pass</v>
      </c>
      <c r="H294" s="17" t="str">
        <f t="shared" si="12"/>
        <v>Pass</v>
      </c>
      <c r="I294" s="17">
        <v>278.41000000000003</v>
      </c>
      <c r="J294" s="17" t="s">
        <v>2488</v>
      </c>
      <c r="K294" s="17">
        <v>150</v>
      </c>
      <c r="L294" s="17">
        <v>400</v>
      </c>
      <c r="M294" s="18">
        <f>Raw_LIMS_Export!K294</f>
        <v>45774</v>
      </c>
      <c r="N294" s="19" t="s">
        <v>2925</v>
      </c>
    </row>
    <row r="295" spans="1:14" x14ac:dyDescent="0.35">
      <c r="A295" s="16" t="s">
        <v>304</v>
      </c>
      <c r="B295" s="17" t="s">
        <v>2235</v>
      </c>
      <c r="C295" s="17" t="s">
        <v>2459</v>
      </c>
      <c r="D295" s="17" t="str">
        <f>_xlfn.XLOOKUP(Raw_LIMS_Export!E295,'mapping Site table'!$B$4:$B$14,'mapping Site table'!$C$4:$C$14,Raw_LIMS_Export!E295)</f>
        <v>Dortmund DE</v>
      </c>
      <c r="E295" s="17" t="s">
        <v>2485</v>
      </c>
      <c r="F295" s="17">
        <f t="shared" si="13"/>
        <v>1</v>
      </c>
      <c r="G295" s="17" t="str">
        <f t="shared" si="14"/>
        <v>Pass</v>
      </c>
      <c r="H295" s="17" t="str">
        <f t="shared" si="12"/>
        <v>Fail</v>
      </c>
      <c r="I295" s="17">
        <v>6.25</v>
      </c>
      <c r="J295" s="17" t="s">
        <v>2490</v>
      </c>
      <c r="K295" s="17">
        <v>0</v>
      </c>
      <c r="L295" s="17">
        <v>100</v>
      </c>
      <c r="M295" s="18">
        <f>Raw_LIMS_Export!K295</f>
        <v>45854</v>
      </c>
      <c r="N295" s="19" t="s">
        <v>2929</v>
      </c>
    </row>
    <row r="296" spans="1:14" x14ac:dyDescent="0.35">
      <c r="A296" s="16" t="s">
        <v>305</v>
      </c>
      <c r="B296" s="17" t="s">
        <v>2236</v>
      </c>
      <c r="C296" s="17" t="s">
        <v>2457</v>
      </c>
      <c r="D296" s="17" t="str">
        <f>_xlfn.XLOOKUP(Raw_LIMS_Export!E296,'mapping Site table'!$B$4:$B$14,'mapping Site table'!$C$4:$C$14,Raw_LIMS_Export!E296)</f>
        <v>Budapest</v>
      </c>
      <c r="E296" s="17" t="s">
        <v>2480</v>
      </c>
      <c r="F296" s="17">
        <f t="shared" si="13"/>
        <v>1</v>
      </c>
      <c r="G296" s="17" t="str">
        <f t="shared" si="14"/>
        <v>Pass</v>
      </c>
      <c r="H296" s="17" t="str">
        <f t="shared" si="12"/>
        <v>Pass</v>
      </c>
      <c r="I296" s="17">
        <v>0.94</v>
      </c>
      <c r="J296" s="17" t="s">
        <v>2487</v>
      </c>
      <c r="K296" s="17">
        <v>0.88</v>
      </c>
      <c r="L296" s="17">
        <v>0.97</v>
      </c>
      <c r="M296" s="18">
        <f>Raw_LIMS_Export!K296</f>
        <v>45536</v>
      </c>
      <c r="N296" s="19" t="s">
        <v>2926</v>
      </c>
    </row>
    <row r="297" spans="1:14" x14ac:dyDescent="0.35">
      <c r="A297" s="16" t="s">
        <v>306</v>
      </c>
      <c r="B297" s="17" t="s">
        <v>2237</v>
      </c>
      <c r="C297" s="17" t="s">
        <v>2458</v>
      </c>
      <c r="D297" s="17" t="str">
        <f>_xlfn.XLOOKUP(Raw_LIMS_Export!E297,'mapping Site table'!$B$4:$B$14,'mapping Site table'!$C$4:$C$14,Raw_LIMS_Export!E297)</f>
        <v>Vernier CH</v>
      </c>
      <c r="E297" s="17" t="s">
        <v>2479</v>
      </c>
      <c r="F297" s="17">
        <f t="shared" si="13"/>
        <v>1</v>
      </c>
      <c r="G297" s="17" t="str">
        <f t="shared" si="14"/>
        <v>Pass</v>
      </c>
      <c r="H297" s="17" t="str">
        <f t="shared" si="12"/>
        <v>Pass</v>
      </c>
      <c r="I297" s="17">
        <v>36.03</v>
      </c>
      <c r="J297" s="17" t="s">
        <v>2486</v>
      </c>
      <c r="K297" s="17">
        <v>0</v>
      </c>
      <c r="L297" s="17">
        <v>120</v>
      </c>
      <c r="M297" s="18">
        <f>Raw_LIMS_Export!K297</f>
        <v>45697</v>
      </c>
      <c r="N297" s="19" t="s">
        <v>2926</v>
      </c>
    </row>
    <row r="298" spans="1:14" x14ac:dyDescent="0.35">
      <c r="A298" s="16" t="s">
        <v>307</v>
      </c>
      <c r="B298" s="17" t="s">
        <v>2124</v>
      </c>
      <c r="C298" s="17" t="s">
        <v>2457</v>
      </c>
      <c r="D298" s="17" t="str">
        <f>_xlfn.XLOOKUP(Raw_LIMS_Export!E298,'mapping Site table'!$B$4:$B$14,'mapping Site table'!$C$4:$C$14,Raw_LIMS_Export!E298)</f>
        <v>Dortmund DE</v>
      </c>
      <c r="E298" s="17" t="s">
        <v>2482</v>
      </c>
      <c r="F298" s="17">
        <f t="shared" si="13"/>
        <v>1</v>
      </c>
      <c r="G298" s="17" t="str">
        <f t="shared" si="14"/>
        <v>Pass</v>
      </c>
      <c r="H298" s="17" t="str">
        <f t="shared" si="12"/>
        <v>Pass</v>
      </c>
      <c r="I298" s="17">
        <v>98.3</v>
      </c>
      <c r="J298" s="17" t="s">
        <v>2489</v>
      </c>
      <c r="K298" s="17">
        <v>97</v>
      </c>
      <c r="L298" s="17">
        <v>100</v>
      </c>
      <c r="M298" s="18">
        <f>Raw_LIMS_Export!K298</f>
        <v>45733</v>
      </c>
      <c r="N298" s="19" t="s">
        <v>2932</v>
      </c>
    </row>
    <row r="299" spans="1:14" x14ac:dyDescent="0.35">
      <c r="A299" s="16" t="s">
        <v>308</v>
      </c>
      <c r="B299" s="17" t="s">
        <v>2113</v>
      </c>
      <c r="C299" s="17" t="s">
        <v>2458</v>
      </c>
      <c r="D299" s="17" t="str">
        <f>_xlfn.XLOOKUP(Raw_LIMS_Export!E299,'mapping Site table'!$B$4:$B$14,'mapping Site table'!$C$4:$C$14,Raw_LIMS_Export!E299)</f>
        <v>East Hanover</v>
      </c>
      <c r="E299" s="17" t="s">
        <v>2485</v>
      </c>
      <c r="F299" s="17">
        <f t="shared" si="13"/>
        <v>1</v>
      </c>
      <c r="G299" s="17" t="str">
        <f t="shared" si="14"/>
        <v>Fail</v>
      </c>
      <c r="H299" s="17" t="str">
        <f t="shared" si="12"/>
        <v>Fail</v>
      </c>
      <c r="I299" s="17">
        <v>-75</v>
      </c>
      <c r="J299" s="17" t="s">
        <v>2490</v>
      </c>
      <c r="K299" s="17">
        <v>0</v>
      </c>
      <c r="L299" s="17">
        <v>100</v>
      </c>
      <c r="M299" s="18">
        <f>Raw_LIMS_Export!K299</f>
        <v>45345</v>
      </c>
      <c r="N299" s="19" t="s">
        <v>2925</v>
      </c>
    </row>
    <row r="300" spans="1:14" x14ac:dyDescent="0.35">
      <c r="A300" s="16" t="s">
        <v>309</v>
      </c>
      <c r="B300" s="17" t="s">
        <v>2238</v>
      </c>
      <c r="C300" s="17" t="s">
        <v>2460</v>
      </c>
      <c r="D300" s="17" t="str">
        <f>_xlfn.XLOOKUP(Raw_LIMS_Export!E300,'mapping Site table'!$B$4:$B$14,'mapping Site table'!$C$4:$C$14,Raw_LIMS_Export!E300)</f>
        <v>Budapest</v>
      </c>
      <c r="E300" s="17" t="s">
        <v>2484</v>
      </c>
      <c r="F300" s="17">
        <f t="shared" si="13"/>
        <v>1</v>
      </c>
      <c r="G300" s="17" t="str">
        <f t="shared" si="14"/>
        <v>Pass</v>
      </c>
      <c r="H300" s="17" t="str">
        <f t="shared" si="12"/>
        <v>Pass</v>
      </c>
      <c r="I300" s="17">
        <v>6.43</v>
      </c>
      <c r="J300" s="17"/>
      <c r="K300" s="17">
        <v>6</v>
      </c>
      <c r="L300" s="17">
        <v>7.5</v>
      </c>
      <c r="M300" s="18">
        <f>Raw_LIMS_Export!K300</f>
        <v>45698</v>
      </c>
      <c r="N300" s="19" t="s">
        <v>2925</v>
      </c>
    </row>
    <row r="301" spans="1:14" x14ac:dyDescent="0.35">
      <c r="A301" s="16" t="s">
        <v>310</v>
      </c>
      <c r="B301" s="17" t="s">
        <v>2239</v>
      </c>
      <c r="C301" s="17" t="s">
        <v>2459</v>
      </c>
      <c r="D301" s="17" t="str">
        <f>_xlfn.XLOOKUP(Raw_LIMS_Export!E301,'mapping Site table'!$B$4:$B$14,'mapping Site table'!$C$4:$C$14,Raw_LIMS_Export!E301)</f>
        <v>Vernier CH</v>
      </c>
      <c r="E301" s="17" t="s">
        <v>2484</v>
      </c>
      <c r="F301" s="17">
        <f t="shared" si="13"/>
        <v>1</v>
      </c>
      <c r="G301" s="17" t="str">
        <f t="shared" si="14"/>
        <v>Pass</v>
      </c>
      <c r="H301" s="17" t="str">
        <f t="shared" si="12"/>
        <v>Fail</v>
      </c>
      <c r="I301" s="17">
        <v>6.4</v>
      </c>
      <c r="J301" s="17"/>
      <c r="K301" s="17">
        <v>6</v>
      </c>
      <c r="L301" s="17">
        <v>7.5</v>
      </c>
      <c r="M301" s="18">
        <f>Raw_LIMS_Export!K301</f>
        <v>45340</v>
      </c>
      <c r="N301" s="19" t="s">
        <v>2928</v>
      </c>
    </row>
    <row r="302" spans="1:14" x14ac:dyDescent="0.35">
      <c r="A302" s="16" t="s">
        <v>311</v>
      </c>
      <c r="B302" s="17" t="s">
        <v>2049</v>
      </c>
      <c r="C302" s="17" t="s">
        <v>2458</v>
      </c>
      <c r="D302" s="17" t="str">
        <f>_xlfn.XLOOKUP(Raw_LIMS_Export!E302,'mapping Site table'!$B$4:$B$14,'mapping Site table'!$C$4:$C$14,Raw_LIMS_Export!E302)</f>
        <v>Dortmund DE</v>
      </c>
      <c r="E302" s="17" t="s">
        <v>2484</v>
      </c>
      <c r="F302" s="17">
        <f t="shared" si="13"/>
        <v>1</v>
      </c>
      <c r="G302" s="17" t="str">
        <f t="shared" si="14"/>
        <v>Fail</v>
      </c>
      <c r="H302" s="17" t="str">
        <f t="shared" si="12"/>
        <v>Fail</v>
      </c>
      <c r="I302" s="17">
        <v>5.94</v>
      </c>
      <c r="J302" s="17"/>
      <c r="K302" s="17">
        <v>6</v>
      </c>
      <c r="L302" s="17">
        <v>7.5</v>
      </c>
      <c r="M302" s="18">
        <f>Raw_LIMS_Export!K302</f>
        <v>45452</v>
      </c>
      <c r="N302" s="19" t="s">
        <v>2931</v>
      </c>
    </row>
    <row r="303" spans="1:14" x14ac:dyDescent="0.35">
      <c r="A303" s="16" t="s">
        <v>312</v>
      </c>
      <c r="B303" s="17" t="s">
        <v>2240</v>
      </c>
      <c r="C303" s="17" t="s">
        <v>2457</v>
      </c>
      <c r="D303" s="17" t="str">
        <f>_xlfn.XLOOKUP(Raw_LIMS_Export!E303,'mapping Site table'!$B$4:$B$14,'mapping Site table'!$C$4:$C$14,Raw_LIMS_Export!E303)</f>
        <v>Budapest</v>
      </c>
      <c r="E303" s="17" t="s">
        <v>2483</v>
      </c>
      <c r="F303" s="17">
        <f t="shared" si="13"/>
        <v>1</v>
      </c>
      <c r="G303" s="17" t="str">
        <f t="shared" si="14"/>
        <v>Pass</v>
      </c>
      <c r="H303" s="17" t="str">
        <f t="shared" si="12"/>
        <v>Pass</v>
      </c>
      <c r="I303" s="17">
        <v>0.3</v>
      </c>
      <c r="J303" s="17" t="s">
        <v>2489</v>
      </c>
      <c r="K303" s="17">
        <v>0</v>
      </c>
      <c r="L303" s="17">
        <v>1</v>
      </c>
      <c r="M303" s="18">
        <f>Raw_LIMS_Export!K303</f>
        <v>45904</v>
      </c>
      <c r="N303" s="19" t="s">
        <v>2927</v>
      </c>
    </row>
    <row r="304" spans="1:14" x14ac:dyDescent="0.35">
      <c r="A304" s="16" t="s">
        <v>313</v>
      </c>
      <c r="B304" s="17" t="s">
        <v>2122</v>
      </c>
      <c r="C304" s="17" t="s">
        <v>2457</v>
      </c>
      <c r="D304" s="17" t="str">
        <f>_xlfn.XLOOKUP(Raw_LIMS_Export!E304,'mapping Site table'!$B$4:$B$14,'mapping Site table'!$C$4:$C$14,Raw_LIMS_Export!E304)</f>
        <v>East Hanover</v>
      </c>
      <c r="E304" s="17" t="s">
        <v>2484</v>
      </c>
      <c r="F304" s="17">
        <f t="shared" si="13"/>
        <v>1</v>
      </c>
      <c r="G304" s="17" t="str">
        <f t="shared" si="14"/>
        <v>Pass</v>
      </c>
      <c r="H304" s="17" t="str">
        <f t="shared" si="12"/>
        <v>Fail</v>
      </c>
      <c r="I304" s="17">
        <v>7.04</v>
      </c>
      <c r="J304" s="17"/>
      <c r="K304" s="17">
        <v>6</v>
      </c>
      <c r="L304" s="17">
        <v>7.5</v>
      </c>
      <c r="M304" s="18">
        <f>Raw_LIMS_Export!K304</f>
        <v>45671</v>
      </c>
      <c r="N304" s="19" t="s">
        <v>2928</v>
      </c>
    </row>
    <row r="305" spans="1:14" x14ac:dyDescent="0.35">
      <c r="A305" s="16" t="s">
        <v>314</v>
      </c>
      <c r="B305" s="17" t="s">
        <v>2111</v>
      </c>
      <c r="C305" s="17" t="s">
        <v>2461</v>
      </c>
      <c r="D305" s="17" t="str">
        <f>_xlfn.XLOOKUP(Raw_LIMS_Export!E305,'mapping Site table'!$B$4:$B$14,'mapping Site table'!$C$4:$C$14,Raw_LIMS_Export!E305)</f>
        <v>Vernier CH</v>
      </c>
      <c r="E305" s="17" t="s">
        <v>2481</v>
      </c>
      <c r="F305" s="17">
        <f t="shared" si="13"/>
        <v>1</v>
      </c>
      <c r="G305" s="17" t="str">
        <f t="shared" si="14"/>
        <v>Pass</v>
      </c>
      <c r="H305" s="17" t="str">
        <f t="shared" si="12"/>
        <v>Pass</v>
      </c>
      <c r="I305" s="17">
        <v>328.77</v>
      </c>
      <c r="J305" s="17" t="s">
        <v>2488</v>
      </c>
      <c r="K305" s="17">
        <v>150</v>
      </c>
      <c r="L305" s="17">
        <v>400</v>
      </c>
      <c r="M305" s="18">
        <f>Raw_LIMS_Export!K305</f>
        <v>45547</v>
      </c>
      <c r="N305" s="19" t="s">
        <v>2932</v>
      </c>
    </row>
    <row r="306" spans="1:14" x14ac:dyDescent="0.35">
      <c r="A306" s="16" t="s">
        <v>315</v>
      </c>
      <c r="B306" s="17" t="s">
        <v>2241</v>
      </c>
      <c r="C306" s="17" t="s">
        <v>2460</v>
      </c>
      <c r="D306" s="17" t="str">
        <f>_xlfn.XLOOKUP(Raw_LIMS_Export!E306,'mapping Site table'!$B$4:$B$14,'mapping Site table'!$C$4:$C$14,Raw_LIMS_Export!E306)</f>
        <v>Dortmund DE</v>
      </c>
      <c r="E306" s="17" t="s">
        <v>2480</v>
      </c>
      <c r="F306" s="17">
        <f t="shared" si="13"/>
        <v>1</v>
      </c>
      <c r="G306" s="17" t="str">
        <f t="shared" si="14"/>
        <v>Pass</v>
      </c>
      <c r="H306" s="17" t="str">
        <f t="shared" si="12"/>
        <v>Pass</v>
      </c>
      <c r="I306" s="17">
        <v>0.88</v>
      </c>
      <c r="J306" s="17" t="s">
        <v>2487</v>
      </c>
      <c r="K306" s="17">
        <v>0.88</v>
      </c>
      <c r="L306" s="17">
        <v>0.97</v>
      </c>
      <c r="M306" s="18">
        <f>Raw_LIMS_Export!K306</f>
        <v>45781</v>
      </c>
      <c r="N306" s="19" t="s">
        <v>2925</v>
      </c>
    </row>
    <row r="307" spans="1:14" x14ac:dyDescent="0.35">
      <c r="A307" s="16" t="s">
        <v>316</v>
      </c>
      <c r="B307" s="17" t="s">
        <v>2242</v>
      </c>
      <c r="C307" s="17" t="s">
        <v>2460</v>
      </c>
      <c r="D307" s="17" t="str">
        <f>_xlfn.XLOOKUP(Raw_LIMS_Export!E307,'mapping Site table'!$B$4:$B$14,'mapping Site table'!$C$4:$C$14,Raw_LIMS_Export!E307)</f>
        <v>Budapest</v>
      </c>
      <c r="E307" s="17" t="s">
        <v>2484</v>
      </c>
      <c r="F307" s="17">
        <f t="shared" si="13"/>
        <v>1</v>
      </c>
      <c r="G307" s="17" t="str">
        <f t="shared" si="14"/>
        <v>Pass</v>
      </c>
      <c r="H307" s="17" t="str">
        <f t="shared" si="12"/>
        <v>Pass</v>
      </c>
      <c r="I307" s="17">
        <v>6.26</v>
      </c>
      <c r="J307" s="17"/>
      <c r="K307" s="17">
        <v>6</v>
      </c>
      <c r="L307" s="17">
        <v>7.5</v>
      </c>
      <c r="M307" s="18">
        <f>Raw_LIMS_Export!K307</f>
        <v>45704</v>
      </c>
      <c r="N307" s="19" t="s">
        <v>2930</v>
      </c>
    </row>
    <row r="308" spans="1:14" x14ac:dyDescent="0.35">
      <c r="A308" s="16" t="s">
        <v>317</v>
      </c>
      <c r="B308" s="17" t="s">
        <v>2243</v>
      </c>
      <c r="C308" s="17" t="s">
        <v>2461</v>
      </c>
      <c r="D308" s="17" t="str">
        <f>_xlfn.XLOOKUP(Raw_LIMS_Export!E308,'mapping Site table'!$B$4:$B$14,'mapping Site table'!$C$4:$C$14,Raw_LIMS_Export!E308)</f>
        <v>Dortmund DE</v>
      </c>
      <c r="E308" s="17" t="s">
        <v>2482</v>
      </c>
      <c r="F308" s="17">
        <f t="shared" si="13"/>
        <v>1</v>
      </c>
      <c r="G308" s="17" t="str">
        <f t="shared" si="14"/>
        <v>Pass</v>
      </c>
      <c r="H308" s="17" t="str">
        <f t="shared" si="12"/>
        <v>Pass</v>
      </c>
      <c r="I308" s="17">
        <v>98.14</v>
      </c>
      <c r="J308" s="17" t="s">
        <v>2489</v>
      </c>
      <c r="K308" s="17">
        <v>97</v>
      </c>
      <c r="L308" s="17">
        <v>100</v>
      </c>
      <c r="M308" s="18">
        <f>Raw_LIMS_Export!K308</f>
        <v>45833</v>
      </c>
      <c r="N308" s="19" t="s">
        <v>2923</v>
      </c>
    </row>
    <row r="309" spans="1:14" x14ac:dyDescent="0.35">
      <c r="A309" s="16" t="s">
        <v>318</v>
      </c>
      <c r="B309" s="17" t="s">
        <v>2244</v>
      </c>
      <c r="C309" s="17" t="s">
        <v>2458</v>
      </c>
      <c r="D309" s="17" t="str">
        <f>_xlfn.XLOOKUP(Raw_LIMS_Export!E309,'mapping Site table'!$B$4:$B$14,'mapping Site table'!$C$4:$C$14,Raw_LIMS_Export!E309)</f>
        <v>East Hanover</v>
      </c>
      <c r="E309" s="17" t="s">
        <v>2485</v>
      </c>
      <c r="F309" s="17">
        <f t="shared" si="13"/>
        <v>1</v>
      </c>
      <c r="G309" s="17" t="str">
        <f t="shared" si="14"/>
        <v>Pass</v>
      </c>
      <c r="H309" s="17" t="str">
        <f t="shared" si="12"/>
        <v>Pass</v>
      </c>
      <c r="I309" s="17">
        <v>8.17</v>
      </c>
      <c r="J309" s="17" t="s">
        <v>2490</v>
      </c>
      <c r="K309" s="17">
        <v>0</v>
      </c>
      <c r="L309" s="17">
        <v>100</v>
      </c>
      <c r="M309" s="18">
        <f>Raw_LIMS_Export!K309</f>
        <v>45821</v>
      </c>
      <c r="N309" s="19" t="s">
        <v>2927</v>
      </c>
    </row>
    <row r="310" spans="1:14" x14ac:dyDescent="0.35">
      <c r="A310" s="16" t="s">
        <v>319</v>
      </c>
      <c r="B310" s="17" t="s">
        <v>2245</v>
      </c>
      <c r="C310" s="17" t="s">
        <v>2457</v>
      </c>
      <c r="D310" s="17" t="str">
        <f>_xlfn.XLOOKUP(Raw_LIMS_Export!E310,'mapping Site table'!$B$4:$B$14,'mapping Site table'!$C$4:$C$14,Raw_LIMS_Export!E310)</f>
        <v>Budapest</v>
      </c>
      <c r="E310" s="17" t="s">
        <v>2482</v>
      </c>
      <c r="F310" s="17">
        <f t="shared" si="13"/>
        <v>1</v>
      </c>
      <c r="G310" s="17" t="str">
        <f t="shared" si="14"/>
        <v>Pass</v>
      </c>
      <c r="H310" s="17" t="str">
        <f t="shared" si="12"/>
        <v>Pass</v>
      </c>
      <c r="I310" s="17">
        <v>97.96</v>
      </c>
      <c r="J310" s="17" t="s">
        <v>2489</v>
      </c>
      <c r="K310" s="17">
        <v>97</v>
      </c>
      <c r="L310" s="17">
        <v>100</v>
      </c>
      <c r="M310" s="18">
        <f>Raw_LIMS_Export!K310</f>
        <v>45441</v>
      </c>
      <c r="N310" s="19" t="s">
        <v>2923</v>
      </c>
    </row>
    <row r="311" spans="1:14" x14ac:dyDescent="0.35">
      <c r="A311" s="16" t="s">
        <v>320</v>
      </c>
      <c r="B311" s="17" t="s">
        <v>2246</v>
      </c>
      <c r="C311" s="17" t="s">
        <v>2460</v>
      </c>
      <c r="D311" s="17" t="str">
        <f>_xlfn.XLOOKUP(Raw_LIMS_Export!E311,'mapping Site table'!$B$4:$B$14,'mapping Site table'!$C$4:$C$14,Raw_LIMS_Export!E311)</f>
        <v>Vernier CH</v>
      </c>
      <c r="E311" s="17" t="s">
        <v>2485</v>
      </c>
      <c r="F311" s="17">
        <f t="shared" si="13"/>
        <v>1</v>
      </c>
      <c r="G311" s="17" t="str">
        <f t="shared" si="14"/>
        <v>Pass</v>
      </c>
      <c r="H311" s="17" t="str">
        <f t="shared" si="12"/>
        <v>Pass</v>
      </c>
      <c r="I311" s="17">
        <v>1.05</v>
      </c>
      <c r="J311" s="17" t="s">
        <v>2490</v>
      </c>
      <c r="K311" s="17">
        <v>0</v>
      </c>
      <c r="L311" s="17">
        <v>100</v>
      </c>
      <c r="M311" s="18">
        <f>Raw_LIMS_Export!K311</f>
        <v>45884</v>
      </c>
      <c r="N311" s="19" t="s">
        <v>2928</v>
      </c>
    </row>
    <row r="312" spans="1:14" x14ac:dyDescent="0.35">
      <c r="A312" s="16" t="s">
        <v>321</v>
      </c>
      <c r="B312" s="17" t="s">
        <v>2247</v>
      </c>
      <c r="C312" s="17" t="s">
        <v>2461</v>
      </c>
      <c r="D312" s="17" t="str">
        <f>_xlfn.XLOOKUP(Raw_LIMS_Export!E312,'mapping Site table'!$B$4:$B$14,'mapping Site table'!$C$4:$C$14,Raw_LIMS_Export!E312)</f>
        <v>Ashford UK</v>
      </c>
      <c r="E312" s="17" t="s">
        <v>2485</v>
      </c>
      <c r="F312" s="17">
        <f t="shared" si="13"/>
        <v>1</v>
      </c>
      <c r="G312" s="17" t="str">
        <f t="shared" si="14"/>
        <v>Fail</v>
      </c>
      <c r="H312" s="17" t="str">
        <f t="shared" si="12"/>
        <v>Fail</v>
      </c>
      <c r="I312" s="17">
        <v>-30.26</v>
      </c>
      <c r="J312" s="17" t="s">
        <v>2490</v>
      </c>
      <c r="K312" s="17">
        <v>0</v>
      </c>
      <c r="L312" s="17">
        <v>100</v>
      </c>
      <c r="M312" s="18">
        <f>Raw_LIMS_Export!K312</f>
        <v>45307</v>
      </c>
      <c r="N312" s="19" t="s">
        <v>2926</v>
      </c>
    </row>
    <row r="313" spans="1:14" x14ac:dyDescent="0.35">
      <c r="A313" s="16" t="s">
        <v>322</v>
      </c>
      <c r="B313" s="17" t="s">
        <v>2120</v>
      </c>
      <c r="C313" s="17" t="s">
        <v>2459</v>
      </c>
      <c r="D313" s="17" t="str">
        <f>_xlfn.XLOOKUP(Raw_LIMS_Export!E313,'mapping Site table'!$B$4:$B$14,'mapping Site table'!$C$4:$C$14,Raw_LIMS_Export!E313)</f>
        <v>Vernier CH</v>
      </c>
      <c r="E313" s="17" t="s">
        <v>2479</v>
      </c>
      <c r="F313" s="17">
        <f t="shared" si="13"/>
        <v>1</v>
      </c>
      <c r="G313" s="17" t="str">
        <f t="shared" si="14"/>
        <v>Pass</v>
      </c>
      <c r="H313" s="17" t="str">
        <f t="shared" si="12"/>
        <v>Fail</v>
      </c>
      <c r="I313" s="17">
        <v>14.25</v>
      </c>
      <c r="J313" s="17" t="s">
        <v>2486</v>
      </c>
      <c r="K313" s="17">
        <v>0</v>
      </c>
      <c r="L313" s="17">
        <v>120</v>
      </c>
      <c r="M313" s="18">
        <f>Raw_LIMS_Export!K313</f>
        <v>45393</v>
      </c>
      <c r="N313" s="19" t="s">
        <v>2925</v>
      </c>
    </row>
    <row r="314" spans="1:14" x14ac:dyDescent="0.35">
      <c r="A314" s="16" t="s">
        <v>323</v>
      </c>
      <c r="B314" s="17" t="s">
        <v>2248</v>
      </c>
      <c r="C314" s="17" t="s">
        <v>2460</v>
      </c>
      <c r="D314" s="17" t="str">
        <f>_xlfn.XLOOKUP(Raw_LIMS_Export!E314,'mapping Site table'!$B$4:$B$14,'mapping Site table'!$C$4:$C$14,Raw_LIMS_Export!E314)</f>
        <v>Dortmund DE</v>
      </c>
      <c r="E314" s="17" t="s">
        <v>2480</v>
      </c>
      <c r="F314" s="17">
        <f t="shared" si="13"/>
        <v>1</v>
      </c>
      <c r="G314" s="17" t="str">
        <f t="shared" si="14"/>
        <v>Pass</v>
      </c>
      <c r="H314" s="17" t="str">
        <f t="shared" si="12"/>
        <v>Pass</v>
      </c>
      <c r="I314" s="17">
        <v>0.92</v>
      </c>
      <c r="J314" s="17" t="s">
        <v>2487</v>
      </c>
      <c r="K314" s="17">
        <v>0.88</v>
      </c>
      <c r="L314" s="17">
        <v>0.97</v>
      </c>
      <c r="M314" s="18">
        <f>Raw_LIMS_Export!K314</f>
        <v>45956</v>
      </c>
      <c r="N314" s="19" t="s">
        <v>2925</v>
      </c>
    </row>
    <row r="315" spans="1:14" x14ac:dyDescent="0.35">
      <c r="A315" s="16" t="s">
        <v>324</v>
      </c>
      <c r="B315" s="17" t="s">
        <v>2249</v>
      </c>
      <c r="C315" s="17" t="s">
        <v>2461</v>
      </c>
      <c r="D315" s="17" t="str">
        <f>_xlfn.XLOOKUP(Raw_LIMS_Export!E315,'mapping Site table'!$B$4:$B$14,'mapping Site table'!$C$4:$C$14,Raw_LIMS_Export!E315)</f>
        <v>Vernier CH</v>
      </c>
      <c r="E315" s="17" t="s">
        <v>2485</v>
      </c>
      <c r="F315" s="17">
        <f t="shared" si="13"/>
        <v>1</v>
      </c>
      <c r="G315" s="17" t="str">
        <f t="shared" si="14"/>
        <v>Fail</v>
      </c>
      <c r="H315" s="17" t="str">
        <f t="shared" si="12"/>
        <v>Fail</v>
      </c>
      <c r="I315" s="17">
        <v>-5.16</v>
      </c>
      <c r="J315" s="17" t="s">
        <v>2490</v>
      </c>
      <c r="K315" s="17">
        <v>0</v>
      </c>
      <c r="L315" s="17">
        <v>100</v>
      </c>
      <c r="M315" s="18">
        <f>Raw_LIMS_Export!K315</f>
        <v>45987</v>
      </c>
      <c r="N315" s="19" t="s">
        <v>2930</v>
      </c>
    </row>
    <row r="316" spans="1:14" x14ac:dyDescent="0.35">
      <c r="A316" s="16" t="s">
        <v>325</v>
      </c>
      <c r="B316" s="17" t="s">
        <v>2250</v>
      </c>
      <c r="C316" s="17" t="s">
        <v>2460</v>
      </c>
      <c r="D316" s="17" t="str">
        <f>_xlfn.XLOOKUP(Raw_LIMS_Export!E316,'mapping Site table'!$B$4:$B$14,'mapping Site table'!$C$4:$C$14,Raw_LIMS_Export!E316)</f>
        <v>Budapest</v>
      </c>
      <c r="E316" s="17" t="s">
        <v>2482</v>
      </c>
      <c r="F316" s="17">
        <f t="shared" si="13"/>
        <v>1</v>
      </c>
      <c r="G316" s="17" t="str">
        <f t="shared" si="14"/>
        <v>Pass</v>
      </c>
      <c r="H316" s="17" t="str">
        <f t="shared" si="12"/>
        <v>Pass</v>
      </c>
      <c r="I316" s="17">
        <v>99.26</v>
      </c>
      <c r="J316" s="17" t="s">
        <v>2489</v>
      </c>
      <c r="K316" s="17">
        <v>97</v>
      </c>
      <c r="L316" s="17">
        <v>100</v>
      </c>
      <c r="M316" s="18">
        <f>Raw_LIMS_Export!K316</f>
        <v>45670</v>
      </c>
      <c r="N316" s="19" t="s">
        <v>2929</v>
      </c>
    </row>
    <row r="317" spans="1:14" x14ac:dyDescent="0.35">
      <c r="A317" s="16" t="s">
        <v>326</v>
      </c>
      <c r="B317" s="17" t="s">
        <v>2052</v>
      </c>
      <c r="C317" s="17" t="s">
        <v>2460</v>
      </c>
      <c r="D317" s="17" t="str">
        <f>_xlfn.XLOOKUP(Raw_LIMS_Export!E317,'mapping Site table'!$B$4:$B$14,'mapping Site table'!$C$4:$C$14,Raw_LIMS_Export!E317)</f>
        <v>East Hanover</v>
      </c>
      <c r="E317" s="17" t="s">
        <v>2480</v>
      </c>
      <c r="F317" s="17">
        <f t="shared" si="13"/>
        <v>1</v>
      </c>
      <c r="G317" s="17" t="str">
        <f t="shared" si="14"/>
        <v>Fail</v>
      </c>
      <c r="H317" s="17" t="str">
        <f t="shared" si="12"/>
        <v>Fail</v>
      </c>
      <c r="I317" s="17">
        <v>1</v>
      </c>
      <c r="J317" s="17" t="s">
        <v>2487</v>
      </c>
      <c r="K317" s="17">
        <v>0.88</v>
      </c>
      <c r="L317" s="17">
        <v>0.97</v>
      </c>
      <c r="M317" s="18">
        <f>Raw_LIMS_Export!K317</f>
        <v>45461</v>
      </c>
      <c r="N317" s="19" t="s">
        <v>2925</v>
      </c>
    </row>
    <row r="318" spans="1:14" x14ac:dyDescent="0.35">
      <c r="A318" s="16" t="s">
        <v>327</v>
      </c>
      <c r="B318" s="17" t="s">
        <v>2251</v>
      </c>
      <c r="C318" s="17" t="s">
        <v>2461</v>
      </c>
      <c r="D318" s="17" t="str">
        <f>_xlfn.XLOOKUP(Raw_LIMS_Export!E318,'mapping Site table'!$B$4:$B$14,'mapping Site table'!$C$4:$C$14,Raw_LIMS_Export!E318)</f>
        <v>Ashford UK</v>
      </c>
      <c r="E318" s="17" t="s">
        <v>2483</v>
      </c>
      <c r="F318" s="17">
        <f t="shared" si="13"/>
        <v>1</v>
      </c>
      <c r="G318" s="17" t="str">
        <f t="shared" si="14"/>
        <v>Pass</v>
      </c>
      <c r="H318" s="17" t="str">
        <f t="shared" si="12"/>
        <v>Pass</v>
      </c>
      <c r="I318" s="17">
        <v>0.52</v>
      </c>
      <c r="J318" s="17" t="s">
        <v>2489</v>
      </c>
      <c r="K318" s="17">
        <v>0</v>
      </c>
      <c r="L318" s="17">
        <v>1</v>
      </c>
      <c r="M318" s="18">
        <f>Raw_LIMS_Export!K318</f>
        <v>45441</v>
      </c>
      <c r="N318" s="19" t="s">
        <v>2928</v>
      </c>
    </row>
    <row r="319" spans="1:14" x14ac:dyDescent="0.35">
      <c r="A319" s="16" t="s">
        <v>328</v>
      </c>
      <c r="B319" s="17" t="s">
        <v>2207</v>
      </c>
      <c r="C319" s="17" t="s">
        <v>2460</v>
      </c>
      <c r="D319" s="17" t="str">
        <f>_xlfn.XLOOKUP(Raw_LIMS_Export!E319,'mapping Site table'!$B$4:$B$14,'mapping Site table'!$C$4:$C$14,Raw_LIMS_Export!E319)</f>
        <v>Budapest</v>
      </c>
      <c r="E319" s="17" t="s">
        <v>2485</v>
      </c>
      <c r="F319" s="17">
        <f t="shared" si="13"/>
        <v>1</v>
      </c>
      <c r="G319" s="17" t="str">
        <f t="shared" si="14"/>
        <v>Fail</v>
      </c>
      <c r="H319" s="17" t="str">
        <f t="shared" si="12"/>
        <v>Fail</v>
      </c>
      <c r="I319" s="17">
        <v>-18.16</v>
      </c>
      <c r="J319" s="17" t="s">
        <v>2490</v>
      </c>
      <c r="K319" s="17">
        <v>0</v>
      </c>
      <c r="L319" s="17">
        <v>100</v>
      </c>
      <c r="M319" s="18">
        <f>Raw_LIMS_Export!K319</f>
        <v>45736</v>
      </c>
      <c r="N319" s="19" t="s">
        <v>2929</v>
      </c>
    </row>
    <row r="320" spans="1:14" x14ac:dyDescent="0.35">
      <c r="A320" s="16" t="s">
        <v>329</v>
      </c>
      <c r="B320" s="17" t="s">
        <v>2252</v>
      </c>
      <c r="C320" s="17" t="s">
        <v>2461</v>
      </c>
      <c r="D320" s="17" t="str">
        <f>_xlfn.XLOOKUP(Raw_LIMS_Export!E320,'mapping Site table'!$B$4:$B$14,'mapping Site table'!$C$4:$C$14,Raw_LIMS_Export!E320)</f>
        <v>Budapest</v>
      </c>
      <c r="E320" s="17" t="s">
        <v>2481</v>
      </c>
      <c r="F320" s="17">
        <f t="shared" si="13"/>
        <v>1</v>
      </c>
      <c r="G320" s="17" t="str">
        <f t="shared" si="14"/>
        <v>Pass</v>
      </c>
      <c r="H320" s="17" t="str">
        <f t="shared" si="12"/>
        <v>Pass</v>
      </c>
      <c r="I320" s="17">
        <v>248.77</v>
      </c>
      <c r="J320" s="17" t="s">
        <v>2488</v>
      </c>
      <c r="K320" s="17">
        <v>150</v>
      </c>
      <c r="L320" s="17">
        <v>400</v>
      </c>
      <c r="M320" s="18">
        <f>Raw_LIMS_Export!K320</f>
        <v>45344</v>
      </c>
      <c r="N320" s="19" t="s">
        <v>2929</v>
      </c>
    </row>
    <row r="321" spans="1:14" x14ac:dyDescent="0.35">
      <c r="A321" s="16" t="s">
        <v>330</v>
      </c>
      <c r="B321" s="17" t="s">
        <v>2063</v>
      </c>
      <c r="C321" s="17" t="s">
        <v>2461</v>
      </c>
      <c r="D321" s="17" t="str">
        <f>_xlfn.XLOOKUP(Raw_LIMS_Export!E321,'mapping Site table'!$B$4:$B$14,'mapping Site table'!$C$4:$C$14,Raw_LIMS_Export!E321)</f>
        <v>East Hanover</v>
      </c>
      <c r="E321" s="17" t="s">
        <v>2479</v>
      </c>
      <c r="F321" s="17">
        <f t="shared" si="13"/>
        <v>1</v>
      </c>
      <c r="G321" s="17" t="str">
        <f t="shared" si="14"/>
        <v>Fail</v>
      </c>
      <c r="H321" s="17" t="str">
        <f t="shared" si="12"/>
        <v>Fail</v>
      </c>
      <c r="I321" s="17">
        <v>-1.89</v>
      </c>
      <c r="J321" s="17" t="s">
        <v>2486</v>
      </c>
      <c r="K321" s="17">
        <v>0</v>
      </c>
      <c r="L321" s="17">
        <v>120</v>
      </c>
      <c r="M321" s="18">
        <f>Raw_LIMS_Export!K321</f>
        <v>45884</v>
      </c>
      <c r="N321" s="19" t="s">
        <v>2931</v>
      </c>
    </row>
    <row r="322" spans="1:14" x14ac:dyDescent="0.35">
      <c r="A322" s="16" t="s">
        <v>331</v>
      </c>
      <c r="B322" s="17" t="s">
        <v>2153</v>
      </c>
      <c r="C322" s="17" t="s">
        <v>2461</v>
      </c>
      <c r="D322" s="17" t="str">
        <f>_xlfn.XLOOKUP(Raw_LIMS_Export!E322,'mapping Site table'!$B$4:$B$14,'mapping Site table'!$C$4:$C$14,Raw_LIMS_Export!E322)</f>
        <v>Budapest</v>
      </c>
      <c r="E322" s="17" t="s">
        <v>2485</v>
      </c>
      <c r="F322" s="17">
        <f t="shared" si="13"/>
        <v>1</v>
      </c>
      <c r="G322" s="17" t="str">
        <f t="shared" si="14"/>
        <v>Fail</v>
      </c>
      <c r="H322" s="17" t="str">
        <f t="shared" ref="H322:H385" si="15">IF(COUNTIFS($B$2:$B$2016,B322,$G$2:$G$2016,"Fail")&gt;0,"Fail",
  IF(COUNTIFS($B$2:$B$2016,B322,$G$2:$G$2016,"Missing")&gt;0,"Pending",
    "Pass"))</f>
        <v>Fail</v>
      </c>
      <c r="I322" s="17">
        <v>-18.11</v>
      </c>
      <c r="J322" s="17" t="s">
        <v>2490</v>
      </c>
      <c r="K322" s="17">
        <v>0</v>
      </c>
      <c r="L322" s="17">
        <v>100</v>
      </c>
      <c r="M322" s="18">
        <f>Raw_LIMS_Export!K322</f>
        <v>45445</v>
      </c>
      <c r="N322" s="19" t="s">
        <v>2932</v>
      </c>
    </row>
    <row r="323" spans="1:14" x14ac:dyDescent="0.35">
      <c r="A323" s="16" t="s">
        <v>332</v>
      </c>
      <c r="B323" s="17" t="s">
        <v>2253</v>
      </c>
      <c r="C323" s="17" t="s">
        <v>2461</v>
      </c>
      <c r="D323" s="17" t="str">
        <f>_xlfn.XLOOKUP(Raw_LIMS_Export!E323,'mapping Site table'!$B$4:$B$14,'mapping Site table'!$C$4:$C$14,Raw_LIMS_Export!E323)</f>
        <v>Dortmund DE</v>
      </c>
      <c r="E323" s="17" t="s">
        <v>2483</v>
      </c>
      <c r="F323" s="17">
        <f t="shared" ref="F323:F386" si="16">IF(I323="",0,1)</f>
        <v>1</v>
      </c>
      <c r="G323" s="17" t="str">
        <f t="shared" ref="G323:G386" si="17">IF(I323="", "Missing", IF(AND(I323&gt;=K323, I323&lt;=L323), "Pass", "Fail"))</f>
        <v>Fail</v>
      </c>
      <c r="H323" s="17" t="str">
        <f t="shared" si="15"/>
        <v>Fail</v>
      </c>
      <c r="I323" s="17">
        <v>-0.02</v>
      </c>
      <c r="J323" s="17" t="s">
        <v>2489</v>
      </c>
      <c r="K323" s="17">
        <v>0</v>
      </c>
      <c r="L323" s="17">
        <v>1</v>
      </c>
      <c r="M323" s="18">
        <f>Raw_LIMS_Export!K323</f>
        <v>45388</v>
      </c>
      <c r="N323" s="19" t="s">
        <v>2931</v>
      </c>
    </row>
    <row r="324" spans="1:14" x14ac:dyDescent="0.35">
      <c r="A324" s="16" t="s">
        <v>333</v>
      </c>
      <c r="B324" s="17" t="s">
        <v>2254</v>
      </c>
      <c r="C324" s="17" t="s">
        <v>2457</v>
      </c>
      <c r="D324" s="17" t="str">
        <f>_xlfn.XLOOKUP(Raw_LIMS_Export!E324,'mapping Site table'!$B$4:$B$14,'mapping Site table'!$C$4:$C$14,Raw_LIMS_Export!E324)</f>
        <v>Budapest</v>
      </c>
      <c r="E324" s="17" t="s">
        <v>2482</v>
      </c>
      <c r="F324" s="17">
        <f t="shared" si="16"/>
        <v>1</v>
      </c>
      <c r="G324" s="17" t="str">
        <f t="shared" si="17"/>
        <v>Pass</v>
      </c>
      <c r="H324" s="17" t="str">
        <f t="shared" si="15"/>
        <v>Pass</v>
      </c>
      <c r="I324" s="17">
        <v>98.35</v>
      </c>
      <c r="J324" s="17" t="s">
        <v>2489</v>
      </c>
      <c r="K324" s="17">
        <v>97</v>
      </c>
      <c r="L324" s="17">
        <v>100</v>
      </c>
      <c r="M324" s="18">
        <f>Raw_LIMS_Export!K324</f>
        <v>45774</v>
      </c>
      <c r="N324" s="19" t="s">
        <v>2932</v>
      </c>
    </row>
    <row r="325" spans="1:14" x14ac:dyDescent="0.35">
      <c r="A325" s="16" t="s">
        <v>334</v>
      </c>
      <c r="B325" s="17" t="s">
        <v>2255</v>
      </c>
      <c r="C325" s="17" t="s">
        <v>2457</v>
      </c>
      <c r="D325" s="17" t="str">
        <f>_xlfn.XLOOKUP(Raw_LIMS_Export!E325,'mapping Site table'!$B$4:$B$14,'mapping Site table'!$C$4:$C$14,Raw_LIMS_Export!E325)</f>
        <v>Ashford UK</v>
      </c>
      <c r="E325" s="17" t="s">
        <v>2480</v>
      </c>
      <c r="F325" s="17">
        <f t="shared" si="16"/>
        <v>1</v>
      </c>
      <c r="G325" s="17" t="str">
        <f t="shared" si="17"/>
        <v>Pass</v>
      </c>
      <c r="H325" s="17" t="str">
        <f t="shared" si="15"/>
        <v>Pass</v>
      </c>
      <c r="I325" s="17">
        <v>0.92</v>
      </c>
      <c r="J325" s="17" t="s">
        <v>2487</v>
      </c>
      <c r="K325" s="17">
        <v>0.88</v>
      </c>
      <c r="L325" s="17">
        <v>0.97</v>
      </c>
      <c r="M325" s="18">
        <f>Raw_LIMS_Export!K325</f>
        <v>45451</v>
      </c>
      <c r="N325" s="19" t="s">
        <v>2923</v>
      </c>
    </row>
    <row r="326" spans="1:14" x14ac:dyDescent="0.35">
      <c r="A326" s="16" t="s">
        <v>335</v>
      </c>
      <c r="B326" s="17" t="s">
        <v>2107</v>
      </c>
      <c r="C326" s="17" t="s">
        <v>2459</v>
      </c>
      <c r="D326" s="17" t="str">
        <f>_xlfn.XLOOKUP(Raw_LIMS_Export!E326,'mapping Site table'!$B$4:$B$14,'mapping Site table'!$C$4:$C$14,Raw_LIMS_Export!E326)</f>
        <v>East Hanover</v>
      </c>
      <c r="E326" s="17" t="s">
        <v>2481</v>
      </c>
      <c r="F326" s="17">
        <f t="shared" si="16"/>
        <v>1</v>
      </c>
      <c r="G326" s="17" t="str">
        <f t="shared" si="17"/>
        <v>Pass</v>
      </c>
      <c r="H326" s="17" t="str">
        <f t="shared" si="15"/>
        <v>Pass</v>
      </c>
      <c r="I326" s="17">
        <v>281.61</v>
      </c>
      <c r="J326" s="17" t="s">
        <v>2488</v>
      </c>
      <c r="K326" s="17">
        <v>150</v>
      </c>
      <c r="L326" s="17">
        <v>400</v>
      </c>
      <c r="M326" s="18">
        <f>Raw_LIMS_Export!K326</f>
        <v>45633</v>
      </c>
      <c r="N326" s="19" t="s">
        <v>2928</v>
      </c>
    </row>
    <row r="327" spans="1:14" x14ac:dyDescent="0.35">
      <c r="A327" s="16" t="s">
        <v>336</v>
      </c>
      <c r="B327" s="17" t="s">
        <v>2256</v>
      </c>
      <c r="C327" s="17" t="s">
        <v>2461</v>
      </c>
      <c r="D327" s="17" t="str">
        <f>_xlfn.XLOOKUP(Raw_LIMS_Export!E327,'mapping Site table'!$B$4:$B$14,'mapping Site table'!$C$4:$C$14,Raw_LIMS_Export!E327)</f>
        <v>East Hanover</v>
      </c>
      <c r="E327" s="17" t="s">
        <v>2480</v>
      </c>
      <c r="F327" s="17">
        <f t="shared" si="16"/>
        <v>1</v>
      </c>
      <c r="G327" s="17" t="str">
        <f t="shared" si="17"/>
        <v>Fail</v>
      </c>
      <c r="H327" s="17" t="str">
        <f t="shared" si="15"/>
        <v>Fail</v>
      </c>
      <c r="I327" s="17">
        <v>0.99</v>
      </c>
      <c r="J327" s="17" t="s">
        <v>2487</v>
      </c>
      <c r="K327" s="17">
        <v>0.88</v>
      </c>
      <c r="L327" s="17">
        <v>0.97</v>
      </c>
      <c r="M327" s="18">
        <f>Raw_LIMS_Export!K327</f>
        <v>45676</v>
      </c>
      <c r="N327" s="19" t="s">
        <v>2924</v>
      </c>
    </row>
    <row r="328" spans="1:14" x14ac:dyDescent="0.35">
      <c r="A328" s="16" t="s">
        <v>337</v>
      </c>
      <c r="B328" s="17" t="s">
        <v>2186</v>
      </c>
      <c r="C328" s="17" t="s">
        <v>2457</v>
      </c>
      <c r="D328" s="17" t="str">
        <f>_xlfn.XLOOKUP(Raw_LIMS_Export!E328,'mapping Site table'!$B$4:$B$14,'mapping Site table'!$C$4:$C$14,Raw_LIMS_Export!E328)</f>
        <v>Budapest</v>
      </c>
      <c r="E328" s="17" t="s">
        <v>2479</v>
      </c>
      <c r="F328" s="17">
        <f t="shared" si="16"/>
        <v>1</v>
      </c>
      <c r="G328" s="17" t="str">
        <f t="shared" si="17"/>
        <v>Pass</v>
      </c>
      <c r="H328" s="17" t="str">
        <f t="shared" si="15"/>
        <v>Pass</v>
      </c>
      <c r="I328" s="17">
        <v>32.299999999999997</v>
      </c>
      <c r="J328" s="17" t="s">
        <v>2486</v>
      </c>
      <c r="K328" s="17">
        <v>0</v>
      </c>
      <c r="L328" s="17">
        <v>120</v>
      </c>
      <c r="M328" s="18">
        <f>Raw_LIMS_Export!K328</f>
        <v>45579</v>
      </c>
      <c r="N328" s="19" t="s">
        <v>2924</v>
      </c>
    </row>
    <row r="329" spans="1:14" x14ac:dyDescent="0.35">
      <c r="A329" s="16" t="s">
        <v>338</v>
      </c>
      <c r="B329" s="17" t="s">
        <v>2244</v>
      </c>
      <c r="C329" s="17" t="s">
        <v>2458</v>
      </c>
      <c r="D329" s="17" t="str">
        <f>_xlfn.XLOOKUP(Raw_LIMS_Export!E329,'mapping Site table'!$B$4:$B$14,'mapping Site table'!$C$4:$C$14,Raw_LIMS_Export!E329)</f>
        <v>East Hanover</v>
      </c>
      <c r="E329" s="17" t="s">
        <v>2480</v>
      </c>
      <c r="F329" s="17">
        <f t="shared" si="16"/>
        <v>1</v>
      </c>
      <c r="G329" s="17" t="str">
        <f t="shared" si="17"/>
        <v>Pass</v>
      </c>
      <c r="H329" s="17" t="str">
        <f t="shared" si="15"/>
        <v>Pass</v>
      </c>
      <c r="I329" s="17">
        <v>0.9</v>
      </c>
      <c r="J329" s="17" t="s">
        <v>2487</v>
      </c>
      <c r="K329" s="17">
        <v>0.88</v>
      </c>
      <c r="L329" s="17">
        <v>0.97</v>
      </c>
      <c r="M329" s="18">
        <f>Raw_LIMS_Export!K329</f>
        <v>45821</v>
      </c>
      <c r="N329" s="19" t="s">
        <v>2932</v>
      </c>
    </row>
    <row r="330" spans="1:14" x14ac:dyDescent="0.35">
      <c r="A330" s="16" t="s">
        <v>339</v>
      </c>
      <c r="B330" s="17" t="s">
        <v>2146</v>
      </c>
      <c r="C330" s="17" t="s">
        <v>2459</v>
      </c>
      <c r="D330" s="17" t="str">
        <f>_xlfn.XLOOKUP(Raw_LIMS_Export!E330,'mapping Site table'!$B$4:$B$14,'mapping Site table'!$C$4:$C$14,Raw_LIMS_Export!E330)</f>
        <v>Budapest</v>
      </c>
      <c r="E330" s="17" t="s">
        <v>2480</v>
      </c>
      <c r="F330" s="17">
        <f t="shared" si="16"/>
        <v>1</v>
      </c>
      <c r="G330" s="17" t="str">
        <f t="shared" si="17"/>
        <v>Pass</v>
      </c>
      <c r="H330" s="17" t="str">
        <f t="shared" si="15"/>
        <v>Pass</v>
      </c>
      <c r="I330" s="17">
        <v>0.9</v>
      </c>
      <c r="J330" s="17" t="s">
        <v>2487</v>
      </c>
      <c r="K330" s="17">
        <v>0.88</v>
      </c>
      <c r="L330" s="17">
        <v>0.97</v>
      </c>
      <c r="M330" s="18">
        <f>Raw_LIMS_Export!K330</f>
        <v>45476</v>
      </c>
      <c r="N330" s="19" t="s">
        <v>2924</v>
      </c>
    </row>
    <row r="331" spans="1:14" x14ac:dyDescent="0.35">
      <c r="A331" s="16" t="s">
        <v>340</v>
      </c>
      <c r="B331" s="17" t="s">
        <v>2257</v>
      </c>
      <c r="C331" s="17" t="s">
        <v>2457</v>
      </c>
      <c r="D331" s="17" t="str">
        <f>_xlfn.XLOOKUP(Raw_LIMS_Export!E331,'mapping Site table'!$B$4:$B$14,'mapping Site table'!$C$4:$C$14,Raw_LIMS_Export!E331)</f>
        <v>Dortmund DE</v>
      </c>
      <c r="E331" s="17" t="s">
        <v>2481</v>
      </c>
      <c r="F331" s="17">
        <f t="shared" si="16"/>
        <v>1</v>
      </c>
      <c r="G331" s="17" t="str">
        <f t="shared" si="17"/>
        <v>Pass</v>
      </c>
      <c r="H331" s="17" t="str">
        <f t="shared" si="15"/>
        <v>Fail</v>
      </c>
      <c r="I331" s="17">
        <v>199.13</v>
      </c>
      <c r="J331" s="17" t="s">
        <v>2488</v>
      </c>
      <c r="K331" s="17">
        <v>150</v>
      </c>
      <c r="L331" s="17">
        <v>400</v>
      </c>
      <c r="M331" s="18">
        <f>Raw_LIMS_Export!K331</f>
        <v>45635</v>
      </c>
      <c r="N331" s="19" t="s">
        <v>2930</v>
      </c>
    </row>
    <row r="332" spans="1:14" x14ac:dyDescent="0.35">
      <c r="A332" s="16" t="s">
        <v>341</v>
      </c>
      <c r="B332" s="17" t="s">
        <v>2019</v>
      </c>
      <c r="C332" s="17" t="s">
        <v>2461</v>
      </c>
      <c r="D332" s="17" t="str">
        <f>_xlfn.XLOOKUP(Raw_LIMS_Export!E332,'mapping Site table'!$B$4:$B$14,'mapping Site table'!$C$4:$C$14,Raw_LIMS_Export!E332)</f>
        <v>East Hanover</v>
      </c>
      <c r="E332" s="17" t="s">
        <v>2483</v>
      </c>
      <c r="F332" s="17">
        <f t="shared" si="16"/>
        <v>1</v>
      </c>
      <c r="G332" s="17" t="str">
        <f t="shared" si="17"/>
        <v>Pass</v>
      </c>
      <c r="H332" s="17" t="str">
        <f t="shared" si="15"/>
        <v>Pass</v>
      </c>
      <c r="I332" s="17">
        <v>0.53</v>
      </c>
      <c r="J332" s="17" t="s">
        <v>2489</v>
      </c>
      <c r="K332" s="17">
        <v>0</v>
      </c>
      <c r="L332" s="17">
        <v>1</v>
      </c>
      <c r="M332" s="18">
        <f>Raw_LIMS_Export!K332</f>
        <v>45881</v>
      </c>
      <c r="N332" s="19" t="s">
        <v>2932</v>
      </c>
    </row>
    <row r="333" spans="1:14" x14ac:dyDescent="0.35">
      <c r="A333" s="16" t="s">
        <v>342</v>
      </c>
      <c r="B333" s="17" t="s">
        <v>2238</v>
      </c>
      <c r="C333" s="17" t="s">
        <v>2460</v>
      </c>
      <c r="D333" s="17" t="str">
        <f>_xlfn.XLOOKUP(Raw_LIMS_Export!E333,'mapping Site table'!$B$4:$B$14,'mapping Site table'!$C$4:$C$14,Raw_LIMS_Export!E333)</f>
        <v>Budapest</v>
      </c>
      <c r="E333" s="17" t="s">
        <v>2483</v>
      </c>
      <c r="F333" s="17">
        <f t="shared" si="16"/>
        <v>1</v>
      </c>
      <c r="G333" s="17" t="str">
        <f t="shared" si="17"/>
        <v>Pass</v>
      </c>
      <c r="H333" s="17" t="str">
        <f t="shared" si="15"/>
        <v>Pass</v>
      </c>
      <c r="I333" s="17">
        <v>0.15</v>
      </c>
      <c r="J333" s="17" t="s">
        <v>2489</v>
      </c>
      <c r="K333" s="17">
        <v>0</v>
      </c>
      <c r="L333" s="17">
        <v>1</v>
      </c>
      <c r="M333" s="18">
        <f>Raw_LIMS_Export!K333</f>
        <v>45698</v>
      </c>
      <c r="N333" s="19" t="s">
        <v>2924</v>
      </c>
    </row>
    <row r="334" spans="1:14" x14ac:dyDescent="0.35">
      <c r="A334" s="16" t="s">
        <v>343</v>
      </c>
      <c r="B334" s="17" t="s">
        <v>2041</v>
      </c>
      <c r="C334" s="17" t="s">
        <v>2460</v>
      </c>
      <c r="D334" s="17" t="str">
        <f>_xlfn.XLOOKUP(Raw_LIMS_Export!E334,'mapping Site table'!$B$4:$B$14,'mapping Site table'!$C$4:$C$14,Raw_LIMS_Export!E334)</f>
        <v>Ashford UK</v>
      </c>
      <c r="E334" s="17" t="s">
        <v>2480</v>
      </c>
      <c r="F334" s="17">
        <f t="shared" si="16"/>
        <v>1</v>
      </c>
      <c r="G334" s="17" t="str">
        <f t="shared" si="17"/>
        <v>Pass</v>
      </c>
      <c r="H334" s="17" t="str">
        <f t="shared" si="15"/>
        <v>Pass</v>
      </c>
      <c r="I334" s="17">
        <v>0.91</v>
      </c>
      <c r="J334" s="17" t="s">
        <v>2487</v>
      </c>
      <c r="K334" s="17">
        <v>0.88</v>
      </c>
      <c r="L334" s="17">
        <v>0.97</v>
      </c>
      <c r="M334" s="18">
        <f>Raw_LIMS_Export!K334</f>
        <v>45824</v>
      </c>
      <c r="N334" s="19" t="s">
        <v>2932</v>
      </c>
    </row>
    <row r="335" spans="1:14" x14ac:dyDescent="0.35">
      <c r="A335" s="16" t="s">
        <v>344</v>
      </c>
      <c r="B335" s="17" t="s">
        <v>2057</v>
      </c>
      <c r="C335" s="17" t="s">
        <v>2461</v>
      </c>
      <c r="D335" s="17" t="str">
        <f>_xlfn.XLOOKUP(Raw_LIMS_Export!E335,'mapping Site table'!$B$4:$B$14,'mapping Site table'!$C$4:$C$14,Raw_LIMS_Export!E335)</f>
        <v>Ashford UK</v>
      </c>
      <c r="E335" s="17" t="s">
        <v>2483</v>
      </c>
      <c r="F335" s="17">
        <f t="shared" si="16"/>
        <v>1</v>
      </c>
      <c r="G335" s="17" t="str">
        <f t="shared" si="17"/>
        <v>Pass</v>
      </c>
      <c r="H335" s="17" t="str">
        <f t="shared" si="15"/>
        <v>Fail</v>
      </c>
      <c r="I335" s="17">
        <v>0.36</v>
      </c>
      <c r="J335" s="17" t="s">
        <v>2489</v>
      </c>
      <c r="K335" s="17">
        <v>0</v>
      </c>
      <c r="L335" s="17">
        <v>1</v>
      </c>
      <c r="M335" s="18">
        <f>Raw_LIMS_Export!K335</f>
        <v>45869</v>
      </c>
      <c r="N335" s="19" t="s">
        <v>2931</v>
      </c>
    </row>
    <row r="336" spans="1:14" x14ac:dyDescent="0.35">
      <c r="A336" s="16" t="s">
        <v>345</v>
      </c>
      <c r="B336" s="17" t="s">
        <v>2258</v>
      </c>
      <c r="C336" s="17" t="s">
        <v>2460</v>
      </c>
      <c r="D336" s="17" t="str">
        <f>_xlfn.XLOOKUP(Raw_LIMS_Export!E336,'mapping Site table'!$B$4:$B$14,'mapping Site table'!$C$4:$C$14,Raw_LIMS_Export!E336)</f>
        <v>Vernier CH</v>
      </c>
      <c r="E336" s="17" t="s">
        <v>2481</v>
      </c>
      <c r="F336" s="17">
        <f t="shared" si="16"/>
        <v>1</v>
      </c>
      <c r="G336" s="17" t="str">
        <f t="shared" si="17"/>
        <v>Pass</v>
      </c>
      <c r="H336" s="17" t="str">
        <f t="shared" si="15"/>
        <v>Pass</v>
      </c>
      <c r="I336" s="17">
        <v>253.45</v>
      </c>
      <c r="J336" s="17" t="s">
        <v>2488</v>
      </c>
      <c r="K336" s="17">
        <v>150</v>
      </c>
      <c r="L336" s="17">
        <v>400</v>
      </c>
      <c r="M336" s="18">
        <f>Raw_LIMS_Export!K336</f>
        <v>45883</v>
      </c>
      <c r="N336" s="19" t="s">
        <v>2932</v>
      </c>
    </row>
    <row r="337" spans="1:14" x14ac:dyDescent="0.35">
      <c r="A337" s="16" t="s">
        <v>346</v>
      </c>
      <c r="B337" s="17" t="s">
        <v>2259</v>
      </c>
      <c r="C337" s="17" t="s">
        <v>2457</v>
      </c>
      <c r="D337" s="17" t="str">
        <f>_xlfn.XLOOKUP(Raw_LIMS_Export!E337,'mapping Site table'!$B$4:$B$14,'mapping Site table'!$C$4:$C$14,Raw_LIMS_Export!E337)</f>
        <v>Vernier CH</v>
      </c>
      <c r="E337" s="17" t="s">
        <v>2484</v>
      </c>
      <c r="F337" s="17">
        <f t="shared" si="16"/>
        <v>1</v>
      </c>
      <c r="G337" s="17" t="str">
        <f t="shared" si="17"/>
        <v>Pass</v>
      </c>
      <c r="H337" s="17" t="str">
        <f t="shared" si="15"/>
        <v>Fail</v>
      </c>
      <c r="I337" s="17">
        <v>7.08</v>
      </c>
      <c r="J337" s="17"/>
      <c r="K337" s="17">
        <v>6</v>
      </c>
      <c r="L337" s="17">
        <v>7.5</v>
      </c>
      <c r="M337" s="18">
        <f>Raw_LIMS_Export!K337</f>
        <v>45863</v>
      </c>
      <c r="N337" s="19" t="s">
        <v>2930</v>
      </c>
    </row>
    <row r="338" spans="1:14" x14ac:dyDescent="0.35">
      <c r="A338" s="16" t="s">
        <v>347</v>
      </c>
      <c r="B338" s="17" t="s">
        <v>2260</v>
      </c>
      <c r="C338" s="17" t="s">
        <v>2461</v>
      </c>
      <c r="D338" s="17" t="str">
        <f>_xlfn.XLOOKUP(Raw_LIMS_Export!E338,'mapping Site table'!$B$4:$B$14,'mapping Site table'!$C$4:$C$14,Raw_LIMS_Export!E338)</f>
        <v>Budapest</v>
      </c>
      <c r="E338" s="17" t="s">
        <v>2484</v>
      </c>
      <c r="F338" s="17">
        <f t="shared" si="16"/>
        <v>1</v>
      </c>
      <c r="G338" s="17" t="str">
        <f t="shared" si="17"/>
        <v>Pass</v>
      </c>
      <c r="H338" s="17" t="str">
        <f t="shared" si="15"/>
        <v>Pass</v>
      </c>
      <c r="I338" s="17">
        <v>7.07</v>
      </c>
      <c r="J338" s="17"/>
      <c r="K338" s="17">
        <v>6</v>
      </c>
      <c r="L338" s="17">
        <v>7.5</v>
      </c>
      <c r="M338" s="18">
        <f>Raw_LIMS_Export!K338</f>
        <v>45623</v>
      </c>
      <c r="N338" s="19" t="s">
        <v>2925</v>
      </c>
    </row>
    <row r="339" spans="1:14" x14ac:dyDescent="0.35">
      <c r="A339" s="16" t="s">
        <v>348</v>
      </c>
      <c r="B339" s="17" t="s">
        <v>2236</v>
      </c>
      <c r="C339" s="17" t="s">
        <v>2457</v>
      </c>
      <c r="D339" s="17" t="str">
        <f>_xlfn.XLOOKUP(Raw_LIMS_Export!E339,'mapping Site table'!$B$4:$B$14,'mapping Site table'!$C$4:$C$14,Raw_LIMS_Export!E339)</f>
        <v>Budapest</v>
      </c>
      <c r="E339" s="17" t="s">
        <v>2483</v>
      </c>
      <c r="F339" s="17">
        <f t="shared" si="16"/>
        <v>1</v>
      </c>
      <c r="G339" s="17" t="str">
        <f t="shared" si="17"/>
        <v>Pass</v>
      </c>
      <c r="H339" s="17" t="str">
        <f t="shared" si="15"/>
        <v>Pass</v>
      </c>
      <c r="I339" s="17">
        <v>0.1</v>
      </c>
      <c r="J339" s="17" t="s">
        <v>2489</v>
      </c>
      <c r="K339" s="17">
        <v>0</v>
      </c>
      <c r="L339" s="17">
        <v>1</v>
      </c>
      <c r="M339" s="18">
        <f>Raw_LIMS_Export!K339</f>
        <v>45536</v>
      </c>
      <c r="N339" s="19" t="s">
        <v>2930</v>
      </c>
    </row>
    <row r="340" spans="1:14" x14ac:dyDescent="0.35">
      <c r="A340" s="16" t="s">
        <v>349</v>
      </c>
      <c r="B340" s="17" t="s">
        <v>2261</v>
      </c>
      <c r="C340" s="17" t="s">
        <v>2457</v>
      </c>
      <c r="D340" s="17" t="str">
        <f>_xlfn.XLOOKUP(Raw_LIMS_Export!E340,'mapping Site table'!$B$4:$B$14,'mapping Site table'!$C$4:$C$14,Raw_LIMS_Export!E340)</f>
        <v>Ashford UK</v>
      </c>
      <c r="E340" s="17" t="s">
        <v>2480</v>
      </c>
      <c r="F340" s="17">
        <f t="shared" si="16"/>
        <v>1</v>
      </c>
      <c r="G340" s="17" t="str">
        <f t="shared" si="17"/>
        <v>Pass</v>
      </c>
      <c r="H340" s="17" t="str">
        <f t="shared" si="15"/>
        <v>Pending</v>
      </c>
      <c r="I340" s="17">
        <v>0.92</v>
      </c>
      <c r="J340" s="17" t="s">
        <v>2487</v>
      </c>
      <c r="K340" s="17">
        <v>0.88</v>
      </c>
      <c r="L340" s="17">
        <v>0.97</v>
      </c>
      <c r="M340" s="18">
        <f>Raw_LIMS_Export!K340</f>
        <v>45409</v>
      </c>
      <c r="N340" s="19" t="s">
        <v>2930</v>
      </c>
    </row>
    <row r="341" spans="1:14" x14ac:dyDescent="0.35">
      <c r="A341" s="16" t="s">
        <v>350</v>
      </c>
      <c r="B341" s="17" t="s">
        <v>2262</v>
      </c>
      <c r="C341" s="17" t="s">
        <v>2459</v>
      </c>
      <c r="D341" s="17" t="str">
        <f>_xlfn.XLOOKUP(Raw_LIMS_Export!E341,'mapping Site table'!$B$4:$B$14,'mapping Site table'!$C$4:$C$14,Raw_LIMS_Export!E341)</f>
        <v>Vernier CH</v>
      </c>
      <c r="E341" s="17" t="s">
        <v>2485</v>
      </c>
      <c r="F341" s="17">
        <f t="shared" si="16"/>
        <v>1</v>
      </c>
      <c r="G341" s="17" t="str">
        <f t="shared" si="17"/>
        <v>Fail</v>
      </c>
      <c r="H341" s="17" t="str">
        <f t="shared" si="15"/>
        <v>Fail</v>
      </c>
      <c r="I341" s="17">
        <v>175</v>
      </c>
      <c r="J341" s="17" t="s">
        <v>2490</v>
      </c>
      <c r="K341" s="17">
        <v>0</v>
      </c>
      <c r="L341" s="17">
        <v>100</v>
      </c>
      <c r="M341" s="18">
        <f>Raw_LIMS_Export!K341</f>
        <v>45659</v>
      </c>
      <c r="N341" s="19" t="s">
        <v>2929</v>
      </c>
    </row>
    <row r="342" spans="1:14" x14ac:dyDescent="0.35">
      <c r="A342" s="16" t="s">
        <v>351</v>
      </c>
      <c r="B342" s="17" t="s">
        <v>2161</v>
      </c>
      <c r="C342" s="17" t="s">
        <v>2459</v>
      </c>
      <c r="D342" s="17" t="str">
        <f>_xlfn.XLOOKUP(Raw_LIMS_Export!E342,'mapping Site table'!$B$4:$B$14,'mapping Site table'!$C$4:$C$14,Raw_LIMS_Export!E342)</f>
        <v>Dortmund DE</v>
      </c>
      <c r="E342" s="17" t="s">
        <v>2480</v>
      </c>
      <c r="F342" s="17">
        <f t="shared" si="16"/>
        <v>1</v>
      </c>
      <c r="G342" s="17" t="str">
        <f t="shared" si="17"/>
        <v>Pass</v>
      </c>
      <c r="H342" s="17" t="str">
        <f t="shared" si="15"/>
        <v>Pass</v>
      </c>
      <c r="I342" s="17">
        <v>0.9</v>
      </c>
      <c r="J342" s="17" t="s">
        <v>2487</v>
      </c>
      <c r="K342" s="17">
        <v>0.88</v>
      </c>
      <c r="L342" s="17">
        <v>0.97</v>
      </c>
      <c r="M342" s="18">
        <f>Raw_LIMS_Export!K342</f>
        <v>45963</v>
      </c>
      <c r="N342" s="19" t="s">
        <v>2924</v>
      </c>
    </row>
    <row r="343" spans="1:14" x14ac:dyDescent="0.35">
      <c r="A343" s="16" t="s">
        <v>352</v>
      </c>
      <c r="B343" s="17" t="s">
        <v>2263</v>
      </c>
      <c r="C343" s="17" t="s">
        <v>2459</v>
      </c>
      <c r="D343" s="17" t="str">
        <f>_xlfn.XLOOKUP(Raw_LIMS_Export!E343,'mapping Site table'!$B$4:$B$14,'mapping Site table'!$C$4:$C$14,Raw_LIMS_Export!E343)</f>
        <v>Dortmund DE</v>
      </c>
      <c r="E343" s="17" t="s">
        <v>2482</v>
      </c>
      <c r="F343" s="17">
        <f t="shared" si="16"/>
        <v>1</v>
      </c>
      <c r="G343" s="17" t="str">
        <f t="shared" si="17"/>
        <v>Pass</v>
      </c>
      <c r="H343" s="17" t="str">
        <f t="shared" si="15"/>
        <v>Pass</v>
      </c>
      <c r="I343" s="17">
        <v>99.28</v>
      </c>
      <c r="J343" s="17" t="s">
        <v>2489</v>
      </c>
      <c r="K343" s="17">
        <v>97</v>
      </c>
      <c r="L343" s="17">
        <v>100</v>
      </c>
      <c r="M343" s="18">
        <f>Raw_LIMS_Export!K343</f>
        <v>45573</v>
      </c>
      <c r="N343" s="19" t="s">
        <v>2924</v>
      </c>
    </row>
    <row r="344" spans="1:14" x14ac:dyDescent="0.35">
      <c r="A344" s="16" t="s">
        <v>353</v>
      </c>
      <c r="B344" s="17" t="s">
        <v>2187</v>
      </c>
      <c r="C344" s="17" t="s">
        <v>2457</v>
      </c>
      <c r="D344" s="17" t="str">
        <f>_xlfn.XLOOKUP(Raw_LIMS_Export!E344,'mapping Site table'!$B$4:$B$14,'mapping Site table'!$C$4:$C$14,Raw_LIMS_Export!E344)</f>
        <v>Ashford UK</v>
      </c>
      <c r="E344" s="17" t="s">
        <v>2479</v>
      </c>
      <c r="F344" s="17">
        <f t="shared" si="16"/>
        <v>1</v>
      </c>
      <c r="G344" s="17" t="str">
        <f t="shared" si="17"/>
        <v>Pass</v>
      </c>
      <c r="H344" s="17" t="str">
        <f t="shared" si="15"/>
        <v>Pass</v>
      </c>
      <c r="I344" s="17">
        <v>74.34</v>
      </c>
      <c r="J344" s="17" t="s">
        <v>2486</v>
      </c>
      <c r="K344" s="17">
        <v>0</v>
      </c>
      <c r="L344" s="17">
        <v>120</v>
      </c>
      <c r="M344" s="18">
        <f>Raw_LIMS_Export!K344</f>
        <v>46002</v>
      </c>
      <c r="N344" s="19" t="s">
        <v>2923</v>
      </c>
    </row>
    <row r="345" spans="1:14" x14ac:dyDescent="0.35">
      <c r="A345" s="16" t="s">
        <v>354</v>
      </c>
      <c r="B345" s="17" t="s">
        <v>2264</v>
      </c>
      <c r="C345" s="17" t="s">
        <v>2459</v>
      </c>
      <c r="D345" s="17" t="str">
        <f>_xlfn.XLOOKUP(Raw_LIMS_Export!E345,'mapping Site table'!$B$4:$B$14,'mapping Site table'!$C$4:$C$14,Raw_LIMS_Export!E345)</f>
        <v>Dortmund DE</v>
      </c>
      <c r="E345" s="17" t="s">
        <v>2485</v>
      </c>
      <c r="F345" s="17">
        <f t="shared" si="16"/>
        <v>1</v>
      </c>
      <c r="G345" s="17" t="str">
        <f t="shared" si="17"/>
        <v>Fail</v>
      </c>
      <c r="H345" s="17" t="str">
        <f t="shared" si="15"/>
        <v>Fail</v>
      </c>
      <c r="I345" s="17">
        <v>-4.1399999999999997</v>
      </c>
      <c r="J345" s="17" t="s">
        <v>2490</v>
      </c>
      <c r="K345" s="17">
        <v>0</v>
      </c>
      <c r="L345" s="17">
        <v>100</v>
      </c>
      <c r="M345" s="18">
        <f>Raw_LIMS_Export!K345</f>
        <v>45795</v>
      </c>
      <c r="N345" s="19" t="s">
        <v>2926</v>
      </c>
    </row>
    <row r="346" spans="1:14" x14ac:dyDescent="0.35">
      <c r="A346" s="16" t="s">
        <v>355</v>
      </c>
      <c r="B346" s="17" t="s">
        <v>2265</v>
      </c>
      <c r="C346" s="17" t="s">
        <v>2460</v>
      </c>
      <c r="D346" s="17" t="str">
        <f>_xlfn.XLOOKUP(Raw_LIMS_Export!E346,'mapping Site table'!$B$4:$B$14,'mapping Site table'!$C$4:$C$14,Raw_LIMS_Export!E346)</f>
        <v>Budapest</v>
      </c>
      <c r="E346" s="17" t="s">
        <v>2484</v>
      </c>
      <c r="F346" s="17">
        <f t="shared" si="16"/>
        <v>1</v>
      </c>
      <c r="G346" s="17" t="str">
        <f t="shared" si="17"/>
        <v>Pass</v>
      </c>
      <c r="H346" s="17" t="str">
        <f t="shared" si="15"/>
        <v>Pass</v>
      </c>
      <c r="I346" s="17">
        <v>6.71</v>
      </c>
      <c r="J346" s="17"/>
      <c r="K346" s="17">
        <v>6</v>
      </c>
      <c r="L346" s="17">
        <v>7.5</v>
      </c>
      <c r="M346" s="18">
        <f>Raw_LIMS_Export!K346</f>
        <v>45521</v>
      </c>
      <c r="N346" s="19" t="s">
        <v>2924</v>
      </c>
    </row>
    <row r="347" spans="1:14" x14ac:dyDescent="0.35">
      <c r="A347" s="16" t="s">
        <v>356</v>
      </c>
      <c r="B347" s="17" t="s">
        <v>2250</v>
      </c>
      <c r="C347" s="17" t="s">
        <v>2460</v>
      </c>
      <c r="D347" s="17" t="str">
        <f>_xlfn.XLOOKUP(Raw_LIMS_Export!E347,'mapping Site table'!$B$4:$B$14,'mapping Site table'!$C$4:$C$14,Raw_LIMS_Export!E347)</f>
        <v>Budapest</v>
      </c>
      <c r="E347" s="17" t="s">
        <v>2483</v>
      </c>
      <c r="F347" s="17">
        <f t="shared" si="16"/>
        <v>1</v>
      </c>
      <c r="G347" s="17" t="str">
        <f t="shared" si="17"/>
        <v>Pass</v>
      </c>
      <c r="H347" s="17" t="str">
        <f t="shared" si="15"/>
        <v>Pass</v>
      </c>
      <c r="I347" s="17">
        <v>0.36</v>
      </c>
      <c r="J347" s="17" t="s">
        <v>2489</v>
      </c>
      <c r="K347" s="17">
        <v>0</v>
      </c>
      <c r="L347" s="17">
        <v>1</v>
      </c>
      <c r="M347" s="18">
        <f>Raw_LIMS_Export!K347</f>
        <v>45670</v>
      </c>
      <c r="N347" s="19" t="s">
        <v>2928</v>
      </c>
    </row>
    <row r="348" spans="1:14" x14ac:dyDescent="0.35">
      <c r="A348" s="16" t="s">
        <v>357</v>
      </c>
      <c r="B348" s="17" t="s">
        <v>2065</v>
      </c>
      <c r="C348" s="17" t="s">
        <v>2459</v>
      </c>
      <c r="D348" s="17" t="str">
        <f>_xlfn.XLOOKUP(Raw_LIMS_Export!E348,'mapping Site table'!$B$4:$B$14,'mapping Site table'!$C$4:$C$14,Raw_LIMS_Export!E348)</f>
        <v>East Hanover</v>
      </c>
      <c r="E348" s="17" t="s">
        <v>2481</v>
      </c>
      <c r="F348" s="17">
        <f t="shared" si="16"/>
        <v>1</v>
      </c>
      <c r="G348" s="17" t="str">
        <f t="shared" si="17"/>
        <v>Pass</v>
      </c>
      <c r="H348" s="17" t="str">
        <f t="shared" si="15"/>
        <v>Pass</v>
      </c>
      <c r="I348" s="17">
        <v>246.76</v>
      </c>
      <c r="J348" s="17" t="s">
        <v>2488</v>
      </c>
      <c r="K348" s="17">
        <v>150</v>
      </c>
      <c r="L348" s="17">
        <v>400</v>
      </c>
      <c r="M348" s="18">
        <f>Raw_LIMS_Export!K348</f>
        <v>45950</v>
      </c>
      <c r="N348" s="19" t="s">
        <v>2926</v>
      </c>
    </row>
    <row r="349" spans="1:14" x14ac:dyDescent="0.35">
      <c r="A349" s="16" t="s">
        <v>358</v>
      </c>
      <c r="B349" s="17" t="s">
        <v>2266</v>
      </c>
      <c r="C349" s="17" t="s">
        <v>2460</v>
      </c>
      <c r="D349" s="17" t="str">
        <f>_xlfn.XLOOKUP(Raw_LIMS_Export!E349,'mapping Site table'!$B$4:$B$14,'mapping Site table'!$C$4:$C$14,Raw_LIMS_Export!E349)</f>
        <v>Ashford UK</v>
      </c>
      <c r="E349" s="17" t="s">
        <v>2479</v>
      </c>
      <c r="F349" s="17">
        <f t="shared" si="16"/>
        <v>1</v>
      </c>
      <c r="G349" s="17" t="str">
        <f t="shared" si="17"/>
        <v>Pass</v>
      </c>
      <c r="H349" s="17" t="str">
        <f t="shared" si="15"/>
        <v>Pass</v>
      </c>
      <c r="I349" s="17">
        <v>52.29</v>
      </c>
      <c r="J349" s="17" t="s">
        <v>2486</v>
      </c>
      <c r="K349" s="17">
        <v>0</v>
      </c>
      <c r="L349" s="17">
        <v>120</v>
      </c>
      <c r="M349" s="18">
        <f>Raw_LIMS_Export!K349</f>
        <v>45819</v>
      </c>
      <c r="N349" s="19" t="s">
        <v>2932</v>
      </c>
    </row>
    <row r="350" spans="1:14" x14ac:dyDescent="0.35">
      <c r="A350" s="16" t="s">
        <v>359</v>
      </c>
      <c r="B350" s="17" t="s">
        <v>2119</v>
      </c>
      <c r="C350" s="17" t="s">
        <v>2459</v>
      </c>
      <c r="D350" s="17" t="str">
        <f>_xlfn.XLOOKUP(Raw_LIMS_Export!E350,'mapping Site table'!$B$4:$B$14,'mapping Site table'!$C$4:$C$14,Raw_LIMS_Export!E350)</f>
        <v>Vernier CH</v>
      </c>
      <c r="E350" s="17" t="s">
        <v>2482</v>
      </c>
      <c r="F350" s="17">
        <f t="shared" si="16"/>
        <v>1</v>
      </c>
      <c r="G350" s="17" t="str">
        <f t="shared" si="17"/>
        <v>Pass</v>
      </c>
      <c r="H350" s="17" t="str">
        <f t="shared" si="15"/>
        <v>Pass</v>
      </c>
      <c r="I350" s="17">
        <v>99.27</v>
      </c>
      <c r="J350" s="17" t="s">
        <v>2489</v>
      </c>
      <c r="K350" s="17">
        <v>97</v>
      </c>
      <c r="L350" s="17">
        <v>100</v>
      </c>
      <c r="M350" s="18">
        <f>Raw_LIMS_Export!K350</f>
        <v>45348</v>
      </c>
      <c r="N350" s="19" t="s">
        <v>2929</v>
      </c>
    </row>
    <row r="351" spans="1:14" x14ac:dyDescent="0.35">
      <c r="A351" s="16" t="s">
        <v>360</v>
      </c>
      <c r="B351" s="17" t="s">
        <v>2267</v>
      </c>
      <c r="C351" s="17" t="s">
        <v>2460</v>
      </c>
      <c r="D351" s="17" t="str">
        <f>_xlfn.XLOOKUP(Raw_LIMS_Export!E351,'mapping Site table'!$B$4:$B$14,'mapping Site table'!$C$4:$C$14,Raw_LIMS_Export!E351)</f>
        <v>East Hanover</v>
      </c>
      <c r="E351" s="17" t="s">
        <v>2481</v>
      </c>
      <c r="F351" s="17">
        <f t="shared" si="16"/>
        <v>1</v>
      </c>
      <c r="G351" s="17" t="str">
        <f t="shared" si="17"/>
        <v>Pass</v>
      </c>
      <c r="H351" s="17" t="str">
        <f t="shared" si="15"/>
        <v>Pass</v>
      </c>
      <c r="I351" s="17">
        <v>198.92</v>
      </c>
      <c r="J351" s="17" t="s">
        <v>2488</v>
      </c>
      <c r="K351" s="17">
        <v>150</v>
      </c>
      <c r="L351" s="17">
        <v>400</v>
      </c>
      <c r="M351" s="18">
        <f>Raw_LIMS_Export!K351</f>
        <v>45995</v>
      </c>
      <c r="N351" s="19" t="s">
        <v>2924</v>
      </c>
    </row>
    <row r="352" spans="1:14" x14ac:dyDescent="0.35">
      <c r="A352" s="16" t="s">
        <v>361</v>
      </c>
      <c r="B352" s="17" t="s">
        <v>2268</v>
      </c>
      <c r="C352" s="17" t="s">
        <v>2459</v>
      </c>
      <c r="D352" s="17" t="str">
        <f>_xlfn.XLOOKUP(Raw_LIMS_Export!E352,'mapping Site table'!$B$4:$B$14,'mapping Site table'!$C$4:$C$14,Raw_LIMS_Export!E352)</f>
        <v>East Hanover</v>
      </c>
      <c r="E352" s="17" t="s">
        <v>2483</v>
      </c>
      <c r="F352" s="17">
        <f t="shared" si="16"/>
        <v>1</v>
      </c>
      <c r="G352" s="17" t="str">
        <f t="shared" si="17"/>
        <v>Pass</v>
      </c>
      <c r="H352" s="17" t="str">
        <f t="shared" si="15"/>
        <v>Fail</v>
      </c>
      <c r="I352" s="17">
        <v>0.47</v>
      </c>
      <c r="J352" s="17" t="s">
        <v>2489</v>
      </c>
      <c r="K352" s="17">
        <v>0</v>
      </c>
      <c r="L352" s="17">
        <v>1</v>
      </c>
      <c r="M352" s="18">
        <f>Raw_LIMS_Export!K352</f>
        <v>45367</v>
      </c>
      <c r="N352" s="19" t="s">
        <v>2925</v>
      </c>
    </row>
    <row r="353" spans="1:14" x14ac:dyDescent="0.35">
      <c r="A353" s="16" t="s">
        <v>362</v>
      </c>
      <c r="B353" s="17" t="s">
        <v>2269</v>
      </c>
      <c r="C353" s="17" t="s">
        <v>2458</v>
      </c>
      <c r="D353" s="17" t="str">
        <f>_xlfn.XLOOKUP(Raw_LIMS_Export!E353,'mapping Site table'!$B$4:$B$14,'mapping Site table'!$C$4:$C$14,Raw_LIMS_Export!E353)</f>
        <v>East Hanover</v>
      </c>
      <c r="E353" s="17" t="s">
        <v>2480</v>
      </c>
      <c r="F353" s="17">
        <f t="shared" si="16"/>
        <v>1</v>
      </c>
      <c r="G353" s="17" t="str">
        <f t="shared" si="17"/>
        <v>Pass</v>
      </c>
      <c r="H353" s="17" t="str">
        <f t="shared" si="15"/>
        <v>Fail</v>
      </c>
      <c r="I353" s="17">
        <v>0.93</v>
      </c>
      <c r="J353" s="17" t="s">
        <v>2487</v>
      </c>
      <c r="K353" s="17">
        <v>0.88</v>
      </c>
      <c r="L353" s="17">
        <v>0.97</v>
      </c>
      <c r="M353" s="18">
        <f>Raw_LIMS_Export!K353</f>
        <v>45638</v>
      </c>
      <c r="N353" s="19" t="s">
        <v>2932</v>
      </c>
    </row>
    <row r="354" spans="1:14" x14ac:dyDescent="0.35">
      <c r="A354" s="16" t="s">
        <v>363</v>
      </c>
      <c r="B354" s="17" t="s">
        <v>2270</v>
      </c>
      <c r="C354" s="17" t="s">
        <v>2459</v>
      </c>
      <c r="D354" s="17" t="str">
        <f>_xlfn.XLOOKUP(Raw_LIMS_Export!E354,'mapping Site table'!$B$4:$B$14,'mapping Site table'!$C$4:$C$14,Raw_LIMS_Export!E354)</f>
        <v>East Hanover</v>
      </c>
      <c r="E354" s="17" t="s">
        <v>2485</v>
      </c>
      <c r="F354" s="17">
        <f t="shared" si="16"/>
        <v>0</v>
      </c>
      <c r="G354" s="17" t="str">
        <f t="shared" si="17"/>
        <v>Missing</v>
      </c>
      <c r="H354" s="17" t="str">
        <f t="shared" si="15"/>
        <v>Pending</v>
      </c>
      <c r="I354" s="17"/>
      <c r="J354" s="17" t="s">
        <v>2490</v>
      </c>
      <c r="K354" s="17">
        <v>0</v>
      </c>
      <c r="L354" s="17">
        <v>100</v>
      </c>
      <c r="M354" s="18">
        <f>Raw_LIMS_Export!K354</f>
        <v>45799</v>
      </c>
      <c r="N354" s="19" t="s">
        <v>2929</v>
      </c>
    </row>
    <row r="355" spans="1:14" x14ac:dyDescent="0.35">
      <c r="A355" s="16" t="s">
        <v>364</v>
      </c>
      <c r="B355" s="17" t="s">
        <v>2271</v>
      </c>
      <c r="C355" s="17" t="s">
        <v>2459</v>
      </c>
      <c r="D355" s="17" t="str">
        <f>_xlfn.XLOOKUP(Raw_LIMS_Export!E355,'mapping Site table'!$B$4:$B$14,'mapping Site table'!$C$4:$C$14,Raw_LIMS_Export!E355)</f>
        <v>Budapest</v>
      </c>
      <c r="E355" s="17" t="s">
        <v>2482</v>
      </c>
      <c r="F355" s="17">
        <f t="shared" si="16"/>
        <v>1</v>
      </c>
      <c r="G355" s="17" t="str">
        <f t="shared" si="17"/>
        <v>Pass</v>
      </c>
      <c r="H355" s="17" t="str">
        <f t="shared" si="15"/>
        <v>Pass</v>
      </c>
      <c r="I355" s="17">
        <v>98.3</v>
      </c>
      <c r="J355" s="17" t="s">
        <v>2489</v>
      </c>
      <c r="K355" s="17">
        <v>97</v>
      </c>
      <c r="L355" s="17">
        <v>100</v>
      </c>
      <c r="M355" s="18">
        <f>Raw_LIMS_Export!K355</f>
        <v>45583</v>
      </c>
      <c r="N355" s="19" t="s">
        <v>2930</v>
      </c>
    </row>
    <row r="356" spans="1:14" x14ac:dyDescent="0.35">
      <c r="A356" s="16" t="s">
        <v>365</v>
      </c>
      <c r="B356" s="17" t="s">
        <v>2272</v>
      </c>
      <c r="C356" s="17" t="s">
        <v>2459</v>
      </c>
      <c r="D356" s="17" t="str">
        <f>_xlfn.XLOOKUP(Raw_LIMS_Export!E356,'mapping Site table'!$B$4:$B$14,'mapping Site table'!$C$4:$C$14,Raw_LIMS_Export!E356)</f>
        <v>Ashford UK</v>
      </c>
      <c r="E356" s="17" t="s">
        <v>2480</v>
      </c>
      <c r="F356" s="17">
        <f t="shared" si="16"/>
        <v>1</v>
      </c>
      <c r="G356" s="17" t="str">
        <f t="shared" si="17"/>
        <v>Pass</v>
      </c>
      <c r="H356" s="17" t="str">
        <f t="shared" si="15"/>
        <v>Pass</v>
      </c>
      <c r="I356" s="17">
        <v>0.92</v>
      </c>
      <c r="J356" s="17" t="s">
        <v>2487</v>
      </c>
      <c r="K356" s="17">
        <v>0.88</v>
      </c>
      <c r="L356" s="17">
        <v>0.97</v>
      </c>
      <c r="M356" s="18">
        <f>Raw_LIMS_Export!K356</f>
        <v>45680</v>
      </c>
      <c r="N356" s="19" t="s">
        <v>2923</v>
      </c>
    </row>
    <row r="357" spans="1:14" x14ac:dyDescent="0.35">
      <c r="A357" s="16" t="s">
        <v>366</v>
      </c>
      <c r="B357" s="17" t="s">
        <v>2273</v>
      </c>
      <c r="C357" s="17" t="s">
        <v>2459</v>
      </c>
      <c r="D357" s="17" t="str">
        <f>_xlfn.XLOOKUP(Raw_LIMS_Export!E357,'mapping Site table'!$B$4:$B$14,'mapping Site table'!$C$4:$C$14,Raw_LIMS_Export!E357)</f>
        <v>Budapest</v>
      </c>
      <c r="E357" s="17" t="s">
        <v>2483</v>
      </c>
      <c r="F357" s="17">
        <f t="shared" si="16"/>
        <v>1</v>
      </c>
      <c r="G357" s="17" t="str">
        <f t="shared" si="17"/>
        <v>Pass</v>
      </c>
      <c r="H357" s="17" t="str">
        <f t="shared" si="15"/>
        <v>Pass</v>
      </c>
      <c r="I357" s="17">
        <v>0.35</v>
      </c>
      <c r="J357" s="17" t="s">
        <v>2489</v>
      </c>
      <c r="K357" s="17">
        <v>0</v>
      </c>
      <c r="L357" s="17">
        <v>1</v>
      </c>
      <c r="M357" s="18">
        <f>Raw_LIMS_Export!K357</f>
        <v>45657</v>
      </c>
      <c r="N357" s="19" t="s">
        <v>2925</v>
      </c>
    </row>
    <row r="358" spans="1:14" x14ac:dyDescent="0.35">
      <c r="A358" s="16" t="s">
        <v>367</v>
      </c>
      <c r="B358" s="17" t="s">
        <v>2274</v>
      </c>
      <c r="C358" s="17" t="s">
        <v>2458</v>
      </c>
      <c r="D358" s="17" t="str">
        <f>_xlfn.XLOOKUP(Raw_LIMS_Export!E358,'mapping Site table'!$B$4:$B$14,'mapping Site table'!$C$4:$C$14,Raw_LIMS_Export!E358)</f>
        <v>East Hanover</v>
      </c>
      <c r="E358" s="17" t="s">
        <v>2481</v>
      </c>
      <c r="F358" s="17">
        <f t="shared" si="16"/>
        <v>1</v>
      </c>
      <c r="G358" s="17" t="str">
        <f t="shared" si="17"/>
        <v>Pass</v>
      </c>
      <c r="H358" s="17" t="str">
        <f t="shared" si="15"/>
        <v>Pass</v>
      </c>
      <c r="I358" s="17">
        <v>282.47000000000003</v>
      </c>
      <c r="J358" s="17" t="s">
        <v>2488</v>
      </c>
      <c r="K358" s="17">
        <v>150</v>
      </c>
      <c r="L358" s="17">
        <v>400</v>
      </c>
      <c r="M358" s="18">
        <f>Raw_LIMS_Export!K358</f>
        <v>45910</v>
      </c>
      <c r="N358" s="19" t="s">
        <v>2924</v>
      </c>
    </row>
    <row r="359" spans="1:14" x14ac:dyDescent="0.35">
      <c r="A359" s="16" t="s">
        <v>368</v>
      </c>
      <c r="B359" s="17" t="s">
        <v>2112</v>
      </c>
      <c r="C359" s="17" t="s">
        <v>2457</v>
      </c>
      <c r="D359" s="17" t="str">
        <f>_xlfn.XLOOKUP(Raw_LIMS_Export!E359,'mapping Site table'!$B$4:$B$14,'mapping Site table'!$C$4:$C$14,Raw_LIMS_Export!E359)</f>
        <v>Dortmund DE</v>
      </c>
      <c r="E359" s="17" t="s">
        <v>2482</v>
      </c>
      <c r="F359" s="17">
        <f t="shared" si="16"/>
        <v>1</v>
      </c>
      <c r="G359" s="17" t="str">
        <f t="shared" si="17"/>
        <v>Pass</v>
      </c>
      <c r="H359" s="17" t="str">
        <f t="shared" si="15"/>
        <v>Pass</v>
      </c>
      <c r="I359" s="17">
        <v>99.19</v>
      </c>
      <c r="J359" s="17" t="s">
        <v>2489</v>
      </c>
      <c r="K359" s="17">
        <v>97</v>
      </c>
      <c r="L359" s="17">
        <v>100</v>
      </c>
      <c r="M359" s="18">
        <f>Raw_LIMS_Export!K359</f>
        <v>45993</v>
      </c>
      <c r="N359" s="19" t="s">
        <v>2926</v>
      </c>
    </row>
    <row r="360" spans="1:14" x14ac:dyDescent="0.35">
      <c r="A360" s="16" t="s">
        <v>369</v>
      </c>
      <c r="B360" s="17" t="s">
        <v>2021</v>
      </c>
      <c r="C360" s="17" t="s">
        <v>2457</v>
      </c>
      <c r="D360" s="17" t="str">
        <f>_xlfn.XLOOKUP(Raw_LIMS_Export!E360,'mapping Site table'!$B$4:$B$14,'mapping Site table'!$C$4:$C$14,Raw_LIMS_Export!E360)</f>
        <v>East Hanover</v>
      </c>
      <c r="E360" s="17" t="s">
        <v>2485</v>
      </c>
      <c r="F360" s="17">
        <f t="shared" si="16"/>
        <v>1</v>
      </c>
      <c r="G360" s="17" t="str">
        <f t="shared" si="17"/>
        <v>Fail</v>
      </c>
      <c r="H360" s="17" t="str">
        <f t="shared" si="15"/>
        <v>Fail</v>
      </c>
      <c r="I360" s="17">
        <v>-21.65</v>
      </c>
      <c r="J360" s="17" t="s">
        <v>2490</v>
      </c>
      <c r="K360" s="17">
        <v>0</v>
      </c>
      <c r="L360" s="17">
        <v>100</v>
      </c>
      <c r="M360" s="18">
        <f>Raw_LIMS_Export!K360</f>
        <v>45577</v>
      </c>
      <c r="N360" s="19" t="s">
        <v>2923</v>
      </c>
    </row>
    <row r="361" spans="1:14" x14ac:dyDescent="0.35">
      <c r="A361" s="16" t="s">
        <v>370</v>
      </c>
      <c r="B361" s="17" t="s">
        <v>2178</v>
      </c>
      <c r="C361" s="17" t="s">
        <v>2457</v>
      </c>
      <c r="D361" s="17" t="str">
        <f>_xlfn.XLOOKUP(Raw_LIMS_Export!E361,'mapping Site table'!$B$4:$B$14,'mapping Site table'!$C$4:$C$14,Raw_LIMS_Export!E361)</f>
        <v>Ashford UK</v>
      </c>
      <c r="E361" s="17" t="s">
        <v>2480</v>
      </c>
      <c r="F361" s="17">
        <f t="shared" si="16"/>
        <v>1</v>
      </c>
      <c r="G361" s="17" t="str">
        <f t="shared" si="17"/>
        <v>Pass</v>
      </c>
      <c r="H361" s="17" t="str">
        <f t="shared" si="15"/>
        <v>Pass</v>
      </c>
      <c r="I361" s="17">
        <v>0.93</v>
      </c>
      <c r="J361" s="17" t="s">
        <v>2487</v>
      </c>
      <c r="K361" s="17">
        <v>0.88</v>
      </c>
      <c r="L361" s="17">
        <v>0.97</v>
      </c>
      <c r="M361" s="18">
        <f>Raw_LIMS_Export!K361</f>
        <v>45816</v>
      </c>
      <c r="N361" s="19" t="s">
        <v>2928</v>
      </c>
    </row>
    <row r="362" spans="1:14" x14ac:dyDescent="0.35">
      <c r="A362" s="16" t="s">
        <v>371</v>
      </c>
      <c r="B362" s="17" t="s">
        <v>2275</v>
      </c>
      <c r="C362" s="17" t="s">
        <v>2458</v>
      </c>
      <c r="D362" s="17" t="str">
        <f>_xlfn.XLOOKUP(Raw_LIMS_Export!E362,'mapping Site table'!$B$4:$B$14,'mapping Site table'!$C$4:$C$14,Raw_LIMS_Export!E362)</f>
        <v>Vernier CH</v>
      </c>
      <c r="E362" s="17" t="s">
        <v>2484</v>
      </c>
      <c r="F362" s="17">
        <f t="shared" si="16"/>
        <v>1</v>
      </c>
      <c r="G362" s="17" t="str">
        <f t="shared" si="17"/>
        <v>Pass</v>
      </c>
      <c r="H362" s="17" t="str">
        <f t="shared" si="15"/>
        <v>Pass</v>
      </c>
      <c r="I362" s="17">
        <v>6.93</v>
      </c>
      <c r="J362" s="17"/>
      <c r="K362" s="17">
        <v>6</v>
      </c>
      <c r="L362" s="17">
        <v>7.5</v>
      </c>
      <c r="M362" s="18">
        <f>Raw_LIMS_Export!K362</f>
        <v>45513</v>
      </c>
      <c r="N362" s="19" t="s">
        <v>2926</v>
      </c>
    </row>
    <row r="363" spans="1:14" x14ac:dyDescent="0.35">
      <c r="A363" s="16" t="s">
        <v>372</v>
      </c>
      <c r="B363" s="17" t="s">
        <v>2276</v>
      </c>
      <c r="C363" s="17" t="s">
        <v>2457</v>
      </c>
      <c r="D363" s="17" t="str">
        <f>_xlfn.XLOOKUP(Raw_LIMS_Export!E363,'mapping Site table'!$B$4:$B$14,'mapping Site table'!$C$4:$C$14,Raw_LIMS_Export!E363)</f>
        <v>Budapest</v>
      </c>
      <c r="E363" s="17" t="s">
        <v>2479</v>
      </c>
      <c r="F363" s="17">
        <f t="shared" si="16"/>
        <v>1</v>
      </c>
      <c r="G363" s="17" t="str">
        <f t="shared" si="17"/>
        <v>Pass</v>
      </c>
      <c r="H363" s="17" t="str">
        <f t="shared" si="15"/>
        <v>Pass</v>
      </c>
      <c r="I363" s="17">
        <v>16.649999999999999</v>
      </c>
      <c r="J363" s="17" t="s">
        <v>2486</v>
      </c>
      <c r="K363" s="17">
        <v>0</v>
      </c>
      <c r="L363" s="17">
        <v>120</v>
      </c>
      <c r="M363" s="18">
        <f>Raw_LIMS_Export!K363</f>
        <v>45685</v>
      </c>
      <c r="N363" s="19" t="s">
        <v>2927</v>
      </c>
    </row>
    <row r="364" spans="1:14" x14ac:dyDescent="0.35">
      <c r="A364" s="16" t="s">
        <v>373</v>
      </c>
      <c r="B364" s="17" t="s">
        <v>2218</v>
      </c>
      <c r="C364" s="17" t="s">
        <v>2457</v>
      </c>
      <c r="D364" s="17" t="str">
        <f>_xlfn.XLOOKUP(Raw_LIMS_Export!E364,'mapping Site table'!$B$4:$B$14,'mapping Site table'!$C$4:$C$14,Raw_LIMS_Export!E364)</f>
        <v>Dortmund DE</v>
      </c>
      <c r="E364" s="17" t="s">
        <v>2480</v>
      </c>
      <c r="F364" s="17">
        <f t="shared" si="16"/>
        <v>1</v>
      </c>
      <c r="G364" s="17" t="str">
        <f t="shared" si="17"/>
        <v>Pass</v>
      </c>
      <c r="H364" s="17" t="str">
        <f t="shared" si="15"/>
        <v>Fail</v>
      </c>
      <c r="I364" s="17">
        <v>0.88</v>
      </c>
      <c r="J364" s="17" t="s">
        <v>2487</v>
      </c>
      <c r="K364" s="17">
        <v>0.88</v>
      </c>
      <c r="L364" s="17">
        <v>0.97</v>
      </c>
      <c r="M364" s="18">
        <f>Raw_LIMS_Export!K364</f>
        <v>45621</v>
      </c>
      <c r="N364" s="19" t="s">
        <v>2926</v>
      </c>
    </row>
    <row r="365" spans="1:14" x14ac:dyDescent="0.35">
      <c r="A365" s="16" t="s">
        <v>374</v>
      </c>
      <c r="B365" s="17" t="s">
        <v>2277</v>
      </c>
      <c r="C365" s="17" t="s">
        <v>2457</v>
      </c>
      <c r="D365" s="17" t="str">
        <f>_xlfn.XLOOKUP(Raw_LIMS_Export!E365,'mapping Site table'!$B$4:$B$14,'mapping Site table'!$C$4:$C$14,Raw_LIMS_Export!E365)</f>
        <v>Budapest</v>
      </c>
      <c r="E365" s="17" t="s">
        <v>2479</v>
      </c>
      <c r="F365" s="17">
        <f t="shared" si="16"/>
        <v>1</v>
      </c>
      <c r="G365" s="17" t="str">
        <f t="shared" si="17"/>
        <v>Pass</v>
      </c>
      <c r="H365" s="17" t="str">
        <f t="shared" si="15"/>
        <v>Pass</v>
      </c>
      <c r="I365" s="17">
        <v>62.27</v>
      </c>
      <c r="J365" s="17" t="s">
        <v>2486</v>
      </c>
      <c r="K365" s="17">
        <v>0</v>
      </c>
      <c r="L365" s="17">
        <v>120</v>
      </c>
      <c r="M365" s="18">
        <f>Raw_LIMS_Export!K365</f>
        <v>45587</v>
      </c>
      <c r="N365" s="19" t="s">
        <v>2932</v>
      </c>
    </row>
    <row r="366" spans="1:14" x14ac:dyDescent="0.35">
      <c r="A366" s="16" t="s">
        <v>375</v>
      </c>
      <c r="B366" s="17" t="s">
        <v>2278</v>
      </c>
      <c r="C366" s="17" t="s">
        <v>2460</v>
      </c>
      <c r="D366" s="17" t="str">
        <f>_xlfn.XLOOKUP(Raw_LIMS_Export!E366,'mapping Site table'!$B$4:$B$14,'mapping Site table'!$C$4:$C$14,Raw_LIMS_Export!E366)</f>
        <v>Ashford UK</v>
      </c>
      <c r="E366" s="17" t="s">
        <v>2480</v>
      </c>
      <c r="F366" s="17">
        <f t="shared" si="16"/>
        <v>1</v>
      </c>
      <c r="G366" s="17" t="str">
        <f t="shared" si="17"/>
        <v>Pass</v>
      </c>
      <c r="H366" s="17" t="str">
        <f t="shared" si="15"/>
        <v>Pass</v>
      </c>
      <c r="I366" s="17">
        <v>0.93</v>
      </c>
      <c r="J366" s="17" t="s">
        <v>2487</v>
      </c>
      <c r="K366" s="17">
        <v>0.88</v>
      </c>
      <c r="L366" s="17">
        <v>0.97</v>
      </c>
      <c r="M366" s="18">
        <f>Raw_LIMS_Export!K366</f>
        <v>45658</v>
      </c>
      <c r="N366" s="19" t="s">
        <v>2928</v>
      </c>
    </row>
    <row r="367" spans="1:14" x14ac:dyDescent="0.35">
      <c r="A367" s="16" t="s">
        <v>376</v>
      </c>
      <c r="B367" s="17" t="s">
        <v>2207</v>
      </c>
      <c r="C367" s="17" t="s">
        <v>2460</v>
      </c>
      <c r="D367" s="17" t="str">
        <f>_xlfn.XLOOKUP(Raw_LIMS_Export!E367,'mapping Site table'!$B$4:$B$14,'mapping Site table'!$C$4:$C$14,Raw_LIMS_Export!E367)</f>
        <v>Budapest</v>
      </c>
      <c r="E367" s="17" t="s">
        <v>2480</v>
      </c>
      <c r="F367" s="17">
        <f t="shared" si="16"/>
        <v>1</v>
      </c>
      <c r="G367" s="17" t="str">
        <f t="shared" si="17"/>
        <v>Pass</v>
      </c>
      <c r="H367" s="17" t="str">
        <f t="shared" si="15"/>
        <v>Fail</v>
      </c>
      <c r="I367" s="17">
        <v>0.9</v>
      </c>
      <c r="J367" s="17" t="s">
        <v>2487</v>
      </c>
      <c r="K367" s="17">
        <v>0.88</v>
      </c>
      <c r="L367" s="17">
        <v>0.97</v>
      </c>
      <c r="M367" s="18">
        <f>Raw_LIMS_Export!K367</f>
        <v>45736</v>
      </c>
      <c r="N367" s="19" t="s">
        <v>2925</v>
      </c>
    </row>
    <row r="368" spans="1:14" x14ac:dyDescent="0.35">
      <c r="A368" s="16" t="s">
        <v>377</v>
      </c>
      <c r="B368" s="17" t="s">
        <v>2138</v>
      </c>
      <c r="C368" s="17" t="s">
        <v>2457</v>
      </c>
      <c r="D368" s="17" t="str">
        <f>_xlfn.XLOOKUP(Raw_LIMS_Export!E368,'mapping Site table'!$B$4:$B$14,'mapping Site table'!$C$4:$C$14,Raw_LIMS_Export!E368)</f>
        <v>Dortmund DE</v>
      </c>
      <c r="E368" s="17" t="s">
        <v>2480</v>
      </c>
      <c r="F368" s="17">
        <f t="shared" si="16"/>
        <v>1</v>
      </c>
      <c r="G368" s="17" t="str">
        <f t="shared" si="17"/>
        <v>Fail</v>
      </c>
      <c r="H368" s="17" t="str">
        <f t="shared" si="15"/>
        <v>Fail</v>
      </c>
      <c r="I368" s="17">
        <v>0.86</v>
      </c>
      <c r="J368" s="17" t="s">
        <v>2487</v>
      </c>
      <c r="K368" s="17">
        <v>0.88</v>
      </c>
      <c r="L368" s="17">
        <v>0.97</v>
      </c>
      <c r="M368" s="18">
        <f>Raw_LIMS_Export!K368</f>
        <v>45747</v>
      </c>
      <c r="N368" s="19" t="s">
        <v>2931</v>
      </c>
    </row>
    <row r="369" spans="1:14" x14ac:dyDescent="0.35">
      <c r="A369" s="16" t="s">
        <v>378</v>
      </c>
      <c r="B369" s="17" t="s">
        <v>2279</v>
      </c>
      <c r="C369" s="17" t="s">
        <v>2457</v>
      </c>
      <c r="D369" s="17" t="str">
        <f>_xlfn.XLOOKUP(Raw_LIMS_Export!E369,'mapping Site table'!$B$4:$B$14,'mapping Site table'!$C$4:$C$14,Raw_LIMS_Export!E369)</f>
        <v>Vernier CH</v>
      </c>
      <c r="E369" s="17" t="s">
        <v>2483</v>
      </c>
      <c r="F369" s="17">
        <f t="shared" si="16"/>
        <v>1</v>
      </c>
      <c r="G369" s="17" t="str">
        <f t="shared" si="17"/>
        <v>Pass</v>
      </c>
      <c r="H369" s="17" t="str">
        <f t="shared" si="15"/>
        <v>Pass</v>
      </c>
      <c r="I369" s="17">
        <v>0.33</v>
      </c>
      <c r="J369" s="17" t="s">
        <v>2489</v>
      </c>
      <c r="K369" s="17">
        <v>0</v>
      </c>
      <c r="L369" s="17">
        <v>1</v>
      </c>
      <c r="M369" s="18">
        <f>Raw_LIMS_Export!K369</f>
        <v>45485</v>
      </c>
      <c r="N369" s="19" t="s">
        <v>2930</v>
      </c>
    </row>
    <row r="370" spans="1:14" x14ac:dyDescent="0.35">
      <c r="A370" s="16" t="s">
        <v>379</v>
      </c>
      <c r="B370" s="17" t="s">
        <v>2275</v>
      </c>
      <c r="C370" s="17" t="s">
        <v>2458</v>
      </c>
      <c r="D370" s="17" t="str">
        <f>_xlfn.XLOOKUP(Raw_LIMS_Export!E370,'mapping Site table'!$B$4:$B$14,'mapping Site table'!$C$4:$C$14,Raw_LIMS_Export!E370)</f>
        <v>Vernier CH</v>
      </c>
      <c r="E370" s="17" t="s">
        <v>2482</v>
      </c>
      <c r="F370" s="17">
        <f t="shared" si="16"/>
        <v>1</v>
      </c>
      <c r="G370" s="17" t="str">
        <f t="shared" si="17"/>
        <v>Pass</v>
      </c>
      <c r="H370" s="17" t="str">
        <f t="shared" si="15"/>
        <v>Pass</v>
      </c>
      <c r="I370" s="17">
        <v>97.94</v>
      </c>
      <c r="J370" s="17" t="s">
        <v>2489</v>
      </c>
      <c r="K370" s="17">
        <v>97</v>
      </c>
      <c r="L370" s="17">
        <v>100</v>
      </c>
      <c r="M370" s="18">
        <f>Raw_LIMS_Export!K370</f>
        <v>45513</v>
      </c>
      <c r="N370" s="19" t="s">
        <v>2931</v>
      </c>
    </row>
    <row r="371" spans="1:14" x14ac:dyDescent="0.35">
      <c r="A371" s="16" t="s">
        <v>380</v>
      </c>
      <c r="B371" s="17" t="s">
        <v>2135</v>
      </c>
      <c r="C371" s="17" t="s">
        <v>2461</v>
      </c>
      <c r="D371" s="17" t="str">
        <f>_xlfn.XLOOKUP(Raw_LIMS_Export!E371,'mapping Site table'!$B$4:$B$14,'mapping Site table'!$C$4:$C$14,Raw_LIMS_Export!E371)</f>
        <v>Budapest</v>
      </c>
      <c r="E371" s="17" t="s">
        <v>2479</v>
      </c>
      <c r="F371" s="17">
        <f t="shared" si="16"/>
        <v>1</v>
      </c>
      <c r="G371" s="17" t="str">
        <f t="shared" si="17"/>
        <v>Pass</v>
      </c>
      <c r="H371" s="17" t="str">
        <f t="shared" si="15"/>
        <v>Pass</v>
      </c>
      <c r="I371" s="17">
        <v>10.19</v>
      </c>
      <c r="J371" s="17" t="s">
        <v>2486</v>
      </c>
      <c r="K371" s="17">
        <v>0</v>
      </c>
      <c r="L371" s="17">
        <v>120</v>
      </c>
      <c r="M371" s="18">
        <f>Raw_LIMS_Export!K371</f>
        <v>45904</v>
      </c>
      <c r="N371" s="19" t="s">
        <v>2928</v>
      </c>
    </row>
    <row r="372" spans="1:14" x14ac:dyDescent="0.35">
      <c r="A372" s="16" t="s">
        <v>381</v>
      </c>
      <c r="B372" s="17" t="s">
        <v>2280</v>
      </c>
      <c r="C372" s="17" t="s">
        <v>2460</v>
      </c>
      <c r="D372" s="17" t="str">
        <f>_xlfn.XLOOKUP(Raw_LIMS_Export!E372,'mapping Site table'!$B$4:$B$14,'mapping Site table'!$C$4:$C$14,Raw_LIMS_Export!E372)</f>
        <v>East Hanover</v>
      </c>
      <c r="E372" s="17" t="s">
        <v>2482</v>
      </c>
      <c r="F372" s="17">
        <f t="shared" si="16"/>
        <v>1</v>
      </c>
      <c r="G372" s="17" t="str">
        <f t="shared" si="17"/>
        <v>Pass</v>
      </c>
      <c r="H372" s="17" t="str">
        <f t="shared" si="15"/>
        <v>Pass</v>
      </c>
      <c r="I372" s="17">
        <v>97.22</v>
      </c>
      <c r="J372" s="17" t="s">
        <v>2489</v>
      </c>
      <c r="K372" s="17">
        <v>97</v>
      </c>
      <c r="L372" s="17">
        <v>100</v>
      </c>
      <c r="M372" s="18">
        <f>Raw_LIMS_Export!K372</f>
        <v>45685</v>
      </c>
      <c r="N372" s="19" t="s">
        <v>2924</v>
      </c>
    </row>
    <row r="373" spans="1:14" x14ac:dyDescent="0.35">
      <c r="A373" s="16" t="s">
        <v>382</v>
      </c>
      <c r="B373" s="17" t="s">
        <v>2230</v>
      </c>
      <c r="C373" s="17" t="s">
        <v>2457</v>
      </c>
      <c r="D373" s="17" t="str">
        <f>_xlfn.XLOOKUP(Raw_LIMS_Export!E373,'mapping Site table'!$B$4:$B$14,'mapping Site table'!$C$4:$C$14,Raw_LIMS_Export!E373)</f>
        <v>Dortmund DE</v>
      </c>
      <c r="E373" s="17" t="s">
        <v>2485</v>
      </c>
      <c r="F373" s="17">
        <f t="shared" si="16"/>
        <v>1</v>
      </c>
      <c r="G373" s="17" t="str">
        <f t="shared" si="17"/>
        <v>Pass</v>
      </c>
      <c r="H373" s="17" t="str">
        <f t="shared" si="15"/>
        <v>Pass</v>
      </c>
      <c r="I373" s="17">
        <v>7.48</v>
      </c>
      <c r="J373" s="17" t="s">
        <v>2490</v>
      </c>
      <c r="K373" s="17">
        <v>0</v>
      </c>
      <c r="L373" s="17">
        <v>100</v>
      </c>
      <c r="M373" s="18">
        <f>Raw_LIMS_Export!K373</f>
        <v>45721</v>
      </c>
      <c r="N373" s="19" t="s">
        <v>2929</v>
      </c>
    </row>
    <row r="374" spans="1:14" x14ac:dyDescent="0.35">
      <c r="A374" s="16" t="s">
        <v>383</v>
      </c>
      <c r="B374" s="17" t="s">
        <v>2281</v>
      </c>
      <c r="C374" s="17" t="s">
        <v>2458</v>
      </c>
      <c r="D374" s="17" t="str">
        <f>_xlfn.XLOOKUP(Raw_LIMS_Export!E374,'mapping Site table'!$B$4:$B$14,'mapping Site table'!$C$4:$C$14,Raw_LIMS_Export!E374)</f>
        <v>East Hanover</v>
      </c>
      <c r="E374" s="17" t="s">
        <v>2481</v>
      </c>
      <c r="F374" s="17">
        <f t="shared" si="16"/>
        <v>1</v>
      </c>
      <c r="G374" s="17" t="str">
        <f t="shared" si="17"/>
        <v>Pass</v>
      </c>
      <c r="H374" s="17" t="str">
        <f t="shared" si="15"/>
        <v>Pass</v>
      </c>
      <c r="I374" s="17">
        <v>237.02</v>
      </c>
      <c r="J374" s="17" t="s">
        <v>2488</v>
      </c>
      <c r="K374" s="17">
        <v>150</v>
      </c>
      <c r="L374" s="17">
        <v>400</v>
      </c>
      <c r="M374" s="18">
        <f>Raw_LIMS_Export!K374</f>
        <v>45759</v>
      </c>
      <c r="N374" s="19" t="s">
        <v>2925</v>
      </c>
    </row>
    <row r="375" spans="1:14" x14ac:dyDescent="0.35">
      <c r="A375" s="16" t="s">
        <v>384</v>
      </c>
      <c r="B375" s="17" t="s">
        <v>2052</v>
      </c>
      <c r="C375" s="17" t="s">
        <v>2460</v>
      </c>
      <c r="D375" s="17" t="str">
        <f>_xlfn.XLOOKUP(Raw_LIMS_Export!E375,'mapping Site table'!$B$4:$B$14,'mapping Site table'!$C$4:$C$14,Raw_LIMS_Export!E375)</f>
        <v>East Hanover</v>
      </c>
      <c r="E375" s="17" t="s">
        <v>2482</v>
      </c>
      <c r="F375" s="17">
        <f t="shared" si="16"/>
        <v>1</v>
      </c>
      <c r="G375" s="17" t="str">
        <f t="shared" si="17"/>
        <v>Pass</v>
      </c>
      <c r="H375" s="17" t="str">
        <f t="shared" si="15"/>
        <v>Fail</v>
      </c>
      <c r="I375" s="17">
        <v>99.47</v>
      </c>
      <c r="J375" s="17" t="s">
        <v>2489</v>
      </c>
      <c r="K375" s="17">
        <v>97</v>
      </c>
      <c r="L375" s="17">
        <v>100</v>
      </c>
      <c r="M375" s="18">
        <f>Raw_LIMS_Export!K375</f>
        <v>45461</v>
      </c>
      <c r="N375" s="19" t="s">
        <v>2931</v>
      </c>
    </row>
    <row r="376" spans="1:14" x14ac:dyDescent="0.35">
      <c r="A376" s="16" t="s">
        <v>385</v>
      </c>
      <c r="B376" s="17" t="s">
        <v>2282</v>
      </c>
      <c r="C376" s="17" t="s">
        <v>2459</v>
      </c>
      <c r="D376" s="17" t="str">
        <f>_xlfn.XLOOKUP(Raw_LIMS_Export!E376,'mapping Site table'!$B$4:$B$14,'mapping Site table'!$C$4:$C$14,Raw_LIMS_Export!E376)</f>
        <v>Dortmund DE</v>
      </c>
      <c r="E376" s="17" t="s">
        <v>2480</v>
      </c>
      <c r="F376" s="17">
        <f t="shared" si="16"/>
        <v>1</v>
      </c>
      <c r="G376" s="17" t="str">
        <f t="shared" si="17"/>
        <v>Pass</v>
      </c>
      <c r="H376" s="17" t="str">
        <f t="shared" si="15"/>
        <v>Pass</v>
      </c>
      <c r="I376" s="17">
        <v>0.92</v>
      </c>
      <c r="J376" s="17" t="s">
        <v>2487</v>
      </c>
      <c r="K376" s="17">
        <v>0.88</v>
      </c>
      <c r="L376" s="17">
        <v>0.97</v>
      </c>
      <c r="M376" s="18">
        <f>Raw_LIMS_Export!K376</f>
        <v>45367</v>
      </c>
      <c r="N376" s="19" t="s">
        <v>2930</v>
      </c>
    </row>
    <row r="377" spans="1:14" x14ac:dyDescent="0.35">
      <c r="A377" s="16" t="s">
        <v>386</v>
      </c>
      <c r="B377" s="17" t="s">
        <v>2119</v>
      </c>
      <c r="C377" s="17" t="s">
        <v>2459</v>
      </c>
      <c r="D377" s="17" t="str">
        <f>_xlfn.XLOOKUP(Raw_LIMS_Export!E377,'mapping Site table'!$B$4:$B$14,'mapping Site table'!$C$4:$C$14,Raw_LIMS_Export!E377)</f>
        <v>Vernier CH</v>
      </c>
      <c r="E377" s="17" t="s">
        <v>2479</v>
      </c>
      <c r="F377" s="17">
        <f t="shared" si="16"/>
        <v>1</v>
      </c>
      <c r="G377" s="17" t="str">
        <f t="shared" si="17"/>
        <v>Pass</v>
      </c>
      <c r="H377" s="17" t="str">
        <f t="shared" si="15"/>
        <v>Pass</v>
      </c>
      <c r="I377" s="17">
        <v>60.22</v>
      </c>
      <c r="J377" s="17" t="s">
        <v>2486</v>
      </c>
      <c r="K377" s="17">
        <v>0</v>
      </c>
      <c r="L377" s="17">
        <v>120</v>
      </c>
      <c r="M377" s="18">
        <f>Raw_LIMS_Export!K377</f>
        <v>45348</v>
      </c>
      <c r="N377" s="19" t="s">
        <v>2932</v>
      </c>
    </row>
    <row r="378" spans="1:14" x14ac:dyDescent="0.35">
      <c r="A378" s="16" t="s">
        <v>387</v>
      </c>
      <c r="B378" s="17" t="s">
        <v>2165</v>
      </c>
      <c r="C378" s="17" t="s">
        <v>2458</v>
      </c>
      <c r="D378" s="17" t="str">
        <f>_xlfn.XLOOKUP(Raw_LIMS_Export!E378,'mapping Site table'!$B$4:$B$14,'mapping Site table'!$C$4:$C$14,Raw_LIMS_Export!E378)</f>
        <v>Budapest</v>
      </c>
      <c r="E378" s="17" t="s">
        <v>2481</v>
      </c>
      <c r="F378" s="17">
        <f t="shared" si="16"/>
        <v>1</v>
      </c>
      <c r="G378" s="17" t="str">
        <f t="shared" si="17"/>
        <v>Pass</v>
      </c>
      <c r="H378" s="17" t="str">
        <f t="shared" si="15"/>
        <v>Pass</v>
      </c>
      <c r="I378" s="17">
        <v>236.87</v>
      </c>
      <c r="J378" s="17" t="s">
        <v>2488</v>
      </c>
      <c r="K378" s="17">
        <v>150</v>
      </c>
      <c r="L378" s="17">
        <v>400</v>
      </c>
      <c r="M378" s="18">
        <f>Raw_LIMS_Export!K378</f>
        <v>45886</v>
      </c>
      <c r="N378" s="19" t="s">
        <v>2927</v>
      </c>
    </row>
    <row r="379" spans="1:14" x14ac:dyDescent="0.35">
      <c r="A379" s="16" t="s">
        <v>388</v>
      </c>
      <c r="B379" s="17" t="s">
        <v>2158</v>
      </c>
      <c r="C379" s="17" t="s">
        <v>2459</v>
      </c>
      <c r="D379" s="17" t="str">
        <f>_xlfn.XLOOKUP(Raw_LIMS_Export!E379,'mapping Site table'!$B$4:$B$14,'mapping Site table'!$C$4:$C$14,Raw_LIMS_Export!E379)</f>
        <v>East Hanover</v>
      </c>
      <c r="E379" s="17" t="s">
        <v>2482</v>
      </c>
      <c r="F379" s="17">
        <f t="shared" si="16"/>
        <v>1</v>
      </c>
      <c r="G379" s="17" t="str">
        <f t="shared" si="17"/>
        <v>Pass</v>
      </c>
      <c r="H379" s="17" t="str">
        <f t="shared" si="15"/>
        <v>Pass</v>
      </c>
      <c r="I379" s="17">
        <v>98.79</v>
      </c>
      <c r="J379" s="17" t="s">
        <v>2489</v>
      </c>
      <c r="K379" s="17">
        <v>97</v>
      </c>
      <c r="L379" s="17">
        <v>100</v>
      </c>
      <c r="M379" s="18">
        <f>Raw_LIMS_Export!K379</f>
        <v>45374</v>
      </c>
      <c r="N379" s="19" t="s">
        <v>2925</v>
      </c>
    </row>
    <row r="380" spans="1:14" x14ac:dyDescent="0.35">
      <c r="A380" s="16" t="s">
        <v>389</v>
      </c>
      <c r="B380" s="17" t="s">
        <v>2283</v>
      </c>
      <c r="C380" s="17" t="s">
        <v>2461</v>
      </c>
      <c r="D380" s="17" t="str">
        <f>_xlfn.XLOOKUP(Raw_LIMS_Export!E380,'mapping Site table'!$B$4:$B$14,'mapping Site table'!$C$4:$C$14,Raw_LIMS_Export!E380)</f>
        <v>Vernier CH</v>
      </c>
      <c r="E380" s="17" t="s">
        <v>2485</v>
      </c>
      <c r="F380" s="17">
        <f t="shared" si="16"/>
        <v>1</v>
      </c>
      <c r="G380" s="17" t="str">
        <f t="shared" si="17"/>
        <v>Pass</v>
      </c>
      <c r="H380" s="17" t="str">
        <f t="shared" si="15"/>
        <v>Pending</v>
      </c>
      <c r="I380" s="17">
        <v>19.16</v>
      </c>
      <c r="J380" s="17" t="s">
        <v>2490</v>
      </c>
      <c r="K380" s="17">
        <v>0</v>
      </c>
      <c r="L380" s="17">
        <v>100</v>
      </c>
      <c r="M380" s="18">
        <f>Raw_LIMS_Export!K380</f>
        <v>45487</v>
      </c>
      <c r="N380" s="19" t="s">
        <v>2932</v>
      </c>
    </row>
    <row r="381" spans="1:14" x14ac:dyDescent="0.35">
      <c r="A381" s="16" t="s">
        <v>390</v>
      </c>
      <c r="B381" s="17" t="s">
        <v>2284</v>
      </c>
      <c r="C381" s="17" t="s">
        <v>2461</v>
      </c>
      <c r="D381" s="17" t="str">
        <f>_xlfn.XLOOKUP(Raw_LIMS_Export!E381,'mapping Site table'!$B$4:$B$14,'mapping Site table'!$C$4:$C$14,Raw_LIMS_Export!E381)</f>
        <v>Budapest</v>
      </c>
      <c r="E381" s="17" t="s">
        <v>2483</v>
      </c>
      <c r="F381" s="17">
        <f t="shared" si="16"/>
        <v>1</v>
      </c>
      <c r="G381" s="17" t="str">
        <f t="shared" si="17"/>
        <v>Pass</v>
      </c>
      <c r="H381" s="17" t="str">
        <f t="shared" si="15"/>
        <v>Pending</v>
      </c>
      <c r="I381" s="17">
        <v>0.64</v>
      </c>
      <c r="J381" s="17" t="s">
        <v>2489</v>
      </c>
      <c r="K381" s="17">
        <v>0</v>
      </c>
      <c r="L381" s="17">
        <v>1</v>
      </c>
      <c r="M381" s="18">
        <f>Raw_LIMS_Export!K381</f>
        <v>45542</v>
      </c>
      <c r="N381" s="19" t="s">
        <v>2925</v>
      </c>
    </row>
    <row r="382" spans="1:14" x14ac:dyDescent="0.35">
      <c r="A382" s="16" t="s">
        <v>391</v>
      </c>
      <c r="B382" s="17" t="s">
        <v>2285</v>
      </c>
      <c r="C382" s="17" t="s">
        <v>2457</v>
      </c>
      <c r="D382" s="17" t="str">
        <f>_xlfn.XLOOKUP(Raw_LIMS_Export!E382,'mapping Site table'!$B$4:$B$14,'mapping Site table'!$C$4:$C$14,Raw_LIMS_Export!E382)</f>
        <v>Vernier CH</v>
      </c>
      <c r="E382" s="17" t="s">
        <v>2480</v>
      </c>
      <c r="F382" s="17">
        <f t="shared" si="16"/>
        <v>1</v>
      </c>
      <c r="G382" s="17" t="str">
        <f t="shared" si="17"/>
        <v>Pass</v>
      </c>
      <c r="H382" s="17" t="str">
        <f t="shared" si="15"/>
        <v>Fail</v>
      </c>
      <c r="I382" s="17">
        <v>0.97</v>
      </c>
      <c r="J382" s="17" t="s">
        <v>2487</v>
      </c>
      <c r="K382" s="17">
        <v>0.88</v>
      </c>
      <c r="L382" s="17">
        <v>0.97</v>
      </c>
      <c r="M382" s="18">
        <f>Raw_LIMS_Export!K382</f>
        <v>45960</v>
      </c>
      <c r="N382" s="19" t="s">
        <v>2930</v>
      </c>
    </row>
    <row r="383" spans="1:14" x14ac:dyDescent="0.35">
      <c r="A383" s="16" t="s">
        <v>392</v>
      </c>
      <c r="B383" s="17" t="s">
        <v>2068</v>
      </c>
      <c r="C383" s="17" t="s">
        <v>2459</v>
      </c>
      <c r="D383" s="17" t="str">
        <f>_xlfn.XLOOKUP(Raw_LIMS_Export!E383,'mapping Site table'!$B$4:$B$14,'mapping Site table'!$C$4:$C$14,Raw_LIMS_Export!E383)</f>
        <v>Budapest</v>
      </c>
      <c r="E383" s="17" t="s">
        <v>2484</v>
      </c>
      <c r="F383" s="17">
        <f t="shared" si="16"/>
        <v>1</v>
      </c>
      <c r="G383" s="17" t="str">
        <f t="shared" si="17"/>
        <v>Pass</v>
      </c>
      <c r="H383" s="17" t="str">
        <f t="shared" si="15"/>
        <v>Fail</v>
      </c>
      <c r="I383" s="17">
        <v>6.32</v>
      </c>
      <c r="J383" s="17"/>
      <c r="K383" s="17">
        <v>6</v>
      </c>
      <c r="L383" s="17">
        <v>7.5</v>
      </c>
      <c r="M383" s="18">
        <f>Raw_LIMS_Export!K383</f>
        <v>45999</v>
      </c>
      <c r="N383" s="19" t="s">
        <v>2925</v>
      </c>
    </row>
    <row r="384" spans="1:14" x14ac:dyDescent="0.35">
      <c r="A384" s="16" t="s">
        <v>393</v>
      </c>
      <c r="B384" s="17" t="s">
        <v>2090</v>
      </c>
      <c r="C384" s="17" t="s">
        <v>2457</v>
      </c>
      <c r="D384" s="17" t="str">
        <f>_xlfn.XLOOKUP(Raw_LIMS_Export!E384,'mapping Site table'!$B$4:$B$14,'mapping Site table'!$C$4:$C$14,Raw_LIMS_Export!E384)</f>
        <v>Ashford UK</v>
      </c>
      <c r="E384" s="17" t="s">
        <v>2479</v>
      </c>
      <c r="F384" s="17">
        <f t="shared" si="16"/>
        <v>1</v>
      </c>
      <c r="G384" s="17" t="str">
        <f t="shared" si="17"/>
        <v>Pass</v>
      </c>
      <c r="H384" s="17" t="str">
        <f t="shared" si="15"/>
        <v>Fail</v>
      </c>
      <c r="I384" s="17">
        <v>33.82</v>
      </c>
      <c r="J384" s="17" t="s">
        <v>2486</v>
      </c>
      <c r="K384" s="17">
        <v>0</v>
      </c>
      <c r="L384" s="17">
        <v>120</v>
      </c>
      <c r="M384" s="18">
        <f>Raw_LIMS_Export!K384</f>
        <v>45534</v>
      </c>
      <c r="N384" s="19" t="s">
        <v>2931</v>
      </c>
    </row>
    <row r="385" spans="1:14" x14ac:dyDescent="0.35">
      <c r="A385" s="16" t="s">
        <v>394</v>
      </c>
      <c r="B385" s="17" t="s">
        <v>2286</v>
      </c>
      <c r="C385" s="17" t="s">
        <v>2458</v>
      </c>
      <c r="D385" s="17" t="str">
        <f>_xlfn.XLOOKUP(Raw_LIMS_Export!E385,'mapping Site table'!$B$4:$B$14,'mapping Site table'!$C$4:$C$14,Raw_LIMS_Export!E385)</f>
        <v>Dortmund DE</v>
      </c>
      <c r="E385" s="17" t="s">
        <v>2479</v>
      </c>
      <c r="F385" s="17">
        <f t="shared" si="16"/>
        <v>1</v>
      </c>
      <c r="G385" s="17" t="str">
        <f t="shared" si="17"/>
        <v>Fail</v>
      </c>
      <c r="H385" s="17" t="str">
        <f t="shared" si="15"/>
        <v>Fail</v>
      </c>
      <c r="I385" s="17">
        <v>180</v>
      </c>
      <c r="J385" s="17" t="s">
        <v>2486</v>
      </c>
      <c r="K385" s="17">
        <v>0</v>
      </c>
      <c r="L385" s="17">
        <v>120</v>
      </c>
      <c r="M385" s="18">
        <f>Raw_LIMS_Export!K385</f>
        <v>45739</v>
      </c>
      <c r="N385" s="19" t="s">
        <v>2928</v>
      </c>
    </row>
    <row r="386" spans="1:14" x14ac:dyDescent="0.35">
      <c r="A386" s="16" t="s">
        <v>395</v>
      </c>
      <c r="B386" s="17" t="s">
        <v>2287</v>
      </c>
      <c r="C386" s="17" t="s">
        <v>2460</v>
      </c>
      <c r="D386" s="17" t="str">
        <f>_xlfn.XLOOKUP(Raw_LIMS_Export!E386,'mapping Site table'!$B$4:$B$14,'mapping Site table'!$C$4:$C$14,Raw_LIMS_Export!E386)</f>
        <v>Vernier CH</v>
      </c>
      <c r="E386" s="17" t="s">
        <v>2485</v>
      </c>
      <c r="F386" s="17">
        <f t="shared" si="16"/>
        <v>1</v>
      </c>
      <c r="G386" s="17" t="str">
        <f t="shared" si="17"/>
        <v>Fail</v>
      </c>
      <c r="H386" s="17" t="str">
        <f t="shared" ref="H386:H449" si="18">IF(COUNTIFS($B$2:$B$2016,B386,$G$2:$G$2016,"Fail")&gt;0,"Fail",
  IF(COUNTIFS($B$2:$B$2016,B386,$G$2:$G$2016,"Missing")&gt;0,"Pending",
    "Pass"))</f>
        <v>Fail</v>
      </c>
      <c r="I386" s="17">
        <v>-33.4</v>
      </c>
      <c r="J386" s="17" t="s">
        <v>2490</v>
      </c>
      <c r="K386" s="17">
        <v>0</v>
      </c>
      <c r="L386" s="17">
        <v>100</v>
      </c>
      <c r="M386" s="18">
        <f>Raw_LIMS_Export!K386</f>
        <v>45448</v>
      </c>
      <c r="N386" s="19" t="s">
        <v>2928</v>
      </c>
    </row>
    <row r="387" spans="1:14" x14ac:dyDescent="0.35">
      <c r="A387" s="16" t="s">
        <v>396</v>
      </c>
      <c r="B387" s="17" t="s">
        <v>2288</v>
      </c>
      <c r="C387" s="17" t="s">
        <v>2457</v>
      </c>
      <c r="D387" s="17" t="str">
        <f>_xlfn.XLOOKUP(Raw_LIMS_Export!E387,'mapping Site table'!$B$4:$B$14,'mapping Site table'!$C$4:$C$14,Raw_LIMS_Export!E387)</f>
        <v>Dortmund DE</v>
      </c>
      <c r="E387" s="17" t="s">
        <v>2483</v>
      </c>
      <c r="F387" s="17">
        <f t="shared" ref="F387:F450" si="19">IF(I387="",0,1)</f>
        <v>1</v>
      </c>
      <c r="G387" s="17" t="str">
        <f t="shared" ref="G387:G450" si="20">IF(I387="", "Missing", IF(AND(I387&gt;=K387, I387&lt;=L387), "Pass", "Fail"))</f>
        <v>Pass</v>
      </c>
      <c r="H387" s="17" t="str">
        <f t="shared" si="18"/>
        <v>Fail</v>
      </c>
      <c r="I387" s="17">
        <v>0.22</v>
      </c>
      <c r="J387" s="17" t="s">
        <v>2489</v>
      </c>
      <c r="K387" s="17">
        <v>0</v>
      </c>
      <c r="L387" s="17">
        <v>1</v>
      </c>
      <c r="M387" s="18">
        <f>Raw_LIMS_Export!K387</f>
        <v>45894</v>
      </c>
      <c r="N387" s="19" t="s">
        <v>2930</v>
      </c>
    </row>
    <row r="388" spans="1:14" x14ac:dyDescent="0.35">
      <c r="A388" s="16" t="s">
        <v>397</v>
      </c>
      <c r="B388" s="17" t="s">
        <v>2228</v>
      </c>
      <c r="C388" s="17" t="s">
        <v>2458</v>
      </c>
      <c r="D388" s="17" t="str">
        <f>_xlfn.XLOOKUP(Raw_LIMS_Export!E388,'mapping Site table'!$B$4:$B$14,'mapping Site table'!$C$4:$C$14,Raw_LIMS_Export!E388)</f>
        <v>East Hanover</v>
      </c>
      <c r="E388" s="17" t="s">
        <v>2483</v>
      </c>
      <c r="F388" s="17">
        <f t="shared" si="19"/>
        <v>1</v>
      </c>
      <c r="G388" s="17" t="str">
        <f t="shared" si="20"/>
        <v>Pass</v>
      </c>
      <c r="H388" s="17" t="str">
        <f t="shared" si="18"/>
        <v>Fail</v>
      </c>
      <c r="I388" s="17">
        <v>0.65</v>
      </c>
      <c r="J388" s="17" t="s">
        <v>2489</v>
      </c>
      <c r="K388" s="17">
        <v>0</v>
      </c>
      <c r="L388" s="17">
        <v>1</v>
      </c>
      <c r="M388" s="18">
        <f>Raw_LIMS_Export!K388</f>
        <v>45813</v>
      </c>
      <c r="N388" s="19" t="s">
        <v>2932</v>
      </c>
    </row>
    <row r="389" spans="1:14" x14ac:dyDescent="0.35">
      <c r="A389" s="16" t="s">
        <v>398</v>
      </c>
      <c r="B389" s="17" t="s">
        <v>2158</v>
      </c>
      <c r="C389" s="17" t="s">
        <v>2459</v>
      </c>
      <c r="D389" s="17" t="str">
        <f>_xlfn.XLOOKUP(Raw_LIMS_Export!E389,'mapping Site table'!$B$4:$B$14,'mapping Site table'!$C$4:$C$14,Raw_LIMS_Export!E389)</f>
        <v>East Hanover</v>
      </c>
      <c r="E389" s="17" t="s">
        <v>2480</v>
      </c>
      <c r="F389" s="17">
        <f t="shared" si="19"/>
        <v>1</v>
      </c>
      <c r="G389" s="17" t="str">
        <f t="shared" si="20"/>
        <v>Pass</v>
      </c>
      <c r="H389" s="17" t="str">
        <f t="shared" si="18"/>
        <v>Pass</v>
      </c>
      <c r="I389" s="17">
        <v>0.89</v>
      </c>
      <c r="J389" s="17" t="s">
        <v>2487</v>
      </c>
      <c r="K389" s="17">
        <v>0.88</v>
      </c>
      <c r="L389" s="17">
        <v>0.97</v>
      </c>
      <c r="M389" s="18">
        <f>Raw_LIMS_Export!K389</f>
        <v>45374</v>
      </c>
      <c r="N389" s="19" t="s">
        <v>2932</v>
      </c>
    </row>
    <row r="390" spans="1:14" x14ac:dyDescent="0.35">
      <c r="A390" s="16" t="s">
        <v>399</v>
      </c>
      <c r="B390" s="17" t="s">
        <v>2289</v>
      </c>
      <c r="C390" s="17" t="s">
        <v>2457</v>
      </c>
      <c r="D390" s="17" t="str">
        <f>_xlfn.XLOOKUP(Raw_LIMS_Export!E390,'mapping Site table'!$B$4:$B$14,'mapping Site table'!$C$4:$C$14,Raw_LIMS_Export!E390)</f>
        <v>Budapest</v>
      </c>
      <c r="E390" s="17" t="s">
        <v>2479</v>
      </c>
      <c r="F390" s="17">
        <f t="shared" si="19"/>
        <v>1</v>
      </c>
      <c r="G390" s="17" t="str">
        <f t="shared" si="20"/>
        <v>Pass</v>
      </c>
      <c r="H390" s="17" t="str">
        <f t="shared" si="18"/>
        <v>Pass</v>
      </c>
      <c r="I390" s="17">
        <v>86.04</v>
      </c>
      <c r="J390" s="17" t="s">
        <v>2486</v>
      </c>
      <c r="K390" s="17">
        <v>0</v>
      </c>
      <c r="L390" s="17">
        <v>120</v>
      </c>
      <c r="M390" s="18">
        <f>Raw_LIMS_Export!K390</f>
        <v>45326</v>
      </c>
      <c r="N390" s="19" t="s">
        <v>2923</v>
      </c>
    </row>
    <row r="391" spans="1:14" x14ac:dyDescent="0.35">
      <c r="A391" s="16" t="s">
        <v>400</v>
      </c>
      <c r="B391" s="17" t="s">
        <v>2179</v>
      </c>
      <c r="C391" s="17" t="s">
        <v>2460</v>
      </c>
      <c r="D391" s="17" t="str">
        <f>_xlfn.XLOOKUP(Raw_LIMS_Export!E391,'mapping Site table'!$B$4:$B$14,'mapping Site table'!$C$4:$C$14,Raw_LIMS_Export!E391)</f>
        <v>Dortmund DE</v>
      </c>
      <c r="E391" s="17" t="s">
        <v>2484</v>
      </c>
      <c r="F391" s="17">
        <f t="shared" si="19"/>
        <v>1</v>
      </c>
      <c r="G391" s="17" t="str">
        <f t="shared" si="20"/>
        <v>Pass</v>
      </c>
      <c r="H391" s="17" t="str">
        <f t="shared" si="18"/>
        <v>Pass</v>
      </c>
      <c r="I391" s="17">
        <v>6.59</v>
      </c>
      <c r="J391" s="17"/>
      <c r="K391" s="17">
        <v>6</v>
      </c>
      <c r="L391" s="17">
        <v>7.5</v>
      </c>
      <c r="M391" s="18">
        <f>Raw_LIMS_Export!K391</f>
        <v>45693</v>
      </c>
      <c r="N391" s="19" t="s">
        <v>2925</v>
      </c>
    </row>
    <row r="392" spans="1:14" x14ac:dyDescent="0.35">
      <c r="A392" s="16" t="s">
        <v>401</v>
      </c>
      <c r="B392" s="17" t="s">
        <v>2211</v>
      </c>
      <c r="C392" s="17" t="s">
        <v>2457</v>
      </c>
      <c r="D392" s="17" t="str">
        <f>_xlfn.XLOOKUP(Raw_LIMS_Export!E392,'mapping Site table'!$B$4:$B$14,'mapping Site table'!$C$4:$C$14,Raw_LIMS_Export!E392)</f>
        <v>Budapest</v>
      </c>
      <c r="E392" s="17" t="s">
        <v>2484</v>
      </c>
      <c r="F392" s="17">
        <f t="shared" si="19"/>
        <v>0</v>
      </c>
      <c r="G392" s="17" t="str">
        <f t="shared" si="20"/>
        <v>Missing</v>
      </c>
      <c r="H392" s="17" t="str">
        <f t="shared" si="18"/>
        <v>Fail</v>
      </c>
      <c r="I392" s="17"/>
      <c r="J392" s="17"/>
      <c r="K392" s="17">
        <v>6</v>
      </c>
      <c r="L392" s="17">
        <v>7.5</v>
      </c>
      <c r="M392" s="18">
        <f>Raw_LIMS_Export!K392</f>
        <v>45540</v>
      </c>
      <c r="N392" s="19" t="s">
        <v>2924</v>
      </c>
    </row>
    <row r="393" spans="1:14" x14ac:dyDescent="0.35">
      <c r="A393" s="16" t="s">
        <v>402</v>
      </c>
      <c r="B393" s="17" t="s">
        <v>2095</v>
      </c>
      <c r="C393" s="17" t="s">
        <v>2459</v>
      </c>
      <c r="D393" s="17" t="str">
        <f>_xlfn.XLOOKUP(Raw_LIMS_Export!E393,'mapping Site table'!$B$4:$B$14,'mapping Site table'!$C$4:$C$14,Raw_LIMS_Export!E393)</f>
        <v>Ashford UK</v>
      </c>
      <c r="E393" s="17" t="s">
        <v>2482</v>
      </c>
      <c r="F393" s="17">
        <f t="shared" si="19"/>
        <v>1</v>
      </c>
      <c r="G393" s="17" t="str">
        <f t="shared" si="20"/>
        <v>Pass</v>
      </c>
      <c r="H393" s="17" t="str">
        <f t="shared" si="18"/>
        <v>Pending</v>
      </c>
      <c r="I393" s="17">
        <v>99.23</v>
      </c>
      <c r="J393" s="17" t="s">
        <v>2489</v>
      </c>
      <c r="K393" s="17">
        <v>97</v>
      </c>
      <c r="L393" s="17">
        <v>100</v>
      </c>
      <c r="M393" s="18">
        <f>Raw_LIMS_Export!K393</f>
        <v>45825</v>
      </c>
      <c r="N393" s="19" t="s">
        <v>2929</v>
      </c>
    </row>
    <row r="394" spans="1:14" x14ac:dyDescent="0.35">
      <c r="A394" s="16" t="s">
        <v>403</v>
      </c>
      <c r="B394" s="17" t="s">
        <v>2290</v>
      </c>
      <c r="C394" s="17" t="s">
        <v>2461</v>
      </c>
      <c r="D394" s="17" t="str">
        <f>_xlfn.XLOOKUP(Raw_LIMS_Export!E394,'mapping Site table'!$B$4:$B$14,'mapping Site table'!$C$4:$C$14,Raw_LIMS_Export!E394)</f>
        <v>Dortmund DE</v>
      </c>
      <c r="E394" s="17" t="s">
        <v>2481</v>
      </c>
      <c r="F394" s="17">
        <f t="shared" si="19"/>
        <v>1</v>
      </c>
      <c r="G394" s="17" t="str">
        <f t="shared" si="20"/>
        <v>Pass</v>
      </c>
      <c r="H394" s="17" t="str">
        <f t="shared" si="18"/>
        <v>Pass</v>
      </c>
      <c r="I394" s="17">
        <v>271.75</v>
      </c>
      <c r="J394" s="17" t="s">
        <v>2488</v>
      </c>
      <c r="K394" s="17">
        <v>150</v>
      </c>
      <c r="L394" s="17">
        <v>400</v>
      </c>
      <c r="M394" s="18">
        <f>Raw_LIMS_Export!K394</f>
        <v>45864</v>
      </c>
      <c r="N394" s="19" t="s">
        <v>2927</v>
      </c>
    </row>
    <row r="395" spans="1:14" x14ac:dyDescent="0.35">
      <c r="A395" s="16" t="s">
        <v>404</v>
      </c>
      <c r="B395" s="17" t="s">
        <v>2291</v>
      </c>
      <c r="C395" s="17" t="s">
        <v>2458</v>
      </c>
      <c r="D395" s="17" t="str">
        <f>_xlfn.XLOOKUP(Raw_LIMS_Export!E395,'mapping Site table'!$B$4:$B$14,'mapping Site table'!$C$4:$C$14,Raw_LIMS_Export!E395)</f>
        <v>East Hanover</v>
      </c>
      <c r="E395" s="17" t="s">
        <v>2480</v>
      </c>
      <c r="F395" s="17">
        <f t="shared" si="19"/>
        <v>1</v>
      </c>
      <c r="G395" s="17" t="str">
        <f t="shared" si="20"/>
        <v>Pass</v>
      </c>
      <c r="H395" s="17" t="str">
        <f t="shared" si="18"/>
        <v>Pass</v>
      </c>
      <c r="I395" s="17">
        <v>0.91</v>
      </c>
      <c r="J395" s="17" t="s">
        <v>2487</v>
      </c>
      <c r="K395" s="17">
        <v>0.88</v>
      </c>
      <c r="L395" s="17">
        <v>0.97</v>
      </c>
      <c r="M395" s="18">
        <f>Raw_LIMS_Export!K395</f>
        <v>45763</v>
      </c>
      <c r="N395" s="19" t="s">
        <v>2926</v>
      </c>
    </row>
    <row r="396" spans="1:14" x14ac:dyDescent="0.35">
      <c r="A396" s="16" t="s">
        <v>405</v>
      </c>
      <c r="B396" s="17" t="s">
        <v>2292</v>
      </c>
      <c r="C396" s="17" t="s">
        <v>2461</v>
      </c>
      <c r="D396" s="17" t="str">
        <f>_xlfn.XLOOKUP(Raw_LIMS_Export!E396,'mapping Site table'!$B$4:$B$14,'mapping Site table'!$C$4:$C$14,Raw_LIMS_Export!E396)</f>
        <v>Vernier CH</v>
      </c>
      <c r="E396" s="17" t="s">
        <v>2485</v>
      </c>
      <c r="F396" s="17">
        <f t="shared" si="19"/>
        <v>1</v>
      </c>
      <c r="G396" s="17" t="str">
        <f t="shared" si="20"/>
        <v>Fail</v>
      </c>
      <c r="H396" s="17" t="str">
        <f t="shared" si="18"/>
        <v>Fail</v>
      </c>
      <c r="I396" s="17">
        <v>-19.41</v>
      </c>
      <c r="J396" s="17" t="s">
        <v>2490</v>
      </c>
      <c r="K396" s="17">
        <v>0</v>
      </c>
      <c r="L396" s="17">
        <v>100</v>
      </c>
      <c r="M396" s="18">
        <f>Raw_LIMS_Export!K396</f>
        <v>45646</v>
      </c>
      <c r="N396" s="19" t="s">
        <v>2928</v>
      </c>
    </row>
    <row r="397" spans="1:14" x14ac:dyDescent="0.35">
      <c r="A397" s="16" t="s">
        <v>406</v>
      </c>
      <c r="B397" s="17" t="s">
        <v>2237</v>
      </c>
      <c r="C397" s="17" t="s">
        <v>2458</v>
      </c>
      <c r="D397" s="17" t="str">
        <f>_xlfn.XLOOKUP(Raw_LIMS_Export!E397,'mapping Site table'!$B$4:$B$14,'mapping Site table'!$C$4:$C$14,Raw_LIMS_Export!E397)</f>
        <v>Vernier CH</v>
      </c>
      <c r="E397" s="17" t="s">
        <v>2484</v>
      </c>
      <c r="F397" s="17">
        <f t="shared" si="19"/>
        <v>1</v>
      </c>
      <c r="G397" s="17" t="str">
        <f t="shared" si="20"/>
        <v>Pass</v>
      </c>
      <c r="H397" s="17" t="str">
        <f t="shared" si="18"/>
        <v>Pass</v>
      </c>
      <c r="I397" s="17">
        <v>6.7</v>
      </c>
      <c r="J397" s="17"/>
      <c r="K397" s="17">
        <v>6</v>
      </c>
      <c r="L397" s="17">
        <v>7.5</v>
      </c>
      <c r="M397" s="18">
        <f>Raw_LIMS_Export!K397</f>
        <v>45697</v>
      </c>
      <c r="N397" s="19" t="s">
        <v>2930</v>
      </c>
    </row>
    <row r="398" spans="1:14" x14ac:dyDescent="0.35">
      <c r="A398" s="16" t="s">
        <v>407</v>
      </c>
      <c r="B398" s="17" t="s">
        <v>2127</v>
      </c>
      <c r="C398" s="17" t="s">
        <v>2459</v>
      </c>
      <c r="D398" s="17" t="str">
        <f>_xlfn.XLOOKUP(Raw_LIMS_Export!E398,'mapping Site table'!$B$4:$B$14,'mapping Site table'!$C$4:$C$14,Raw_LIMS_Export!E398)</f>
        <v>Vernier CH</v>
      </c>
      <c r="E398" s="17" t="s">
        <v>2484</v>
      </c>
      <c r="F398" s="17">
        <f t="shared" si="19"/>
        <v>1</v>
      </c>
      <c r="G398" s="17" t="str">
        <f t="shared" si="20"/>
        <v>Pass</v>
      </c>
      <c r="H398" s="17" t="str">
        <f t="shared" si="18"/>
        <v>Pass</v>
      </c>
      <c r="I398" s="17">
        <v>6.42</v>
      </c>
      <c r="J398" s="17"/>
      <c r="K398" s="17">
        <v>6</v>
      </c>
      <c r="L398" s="17">
        <v>7.5</v>
      </c>
      <c r="M398" s="18">
        <f>Raw_LIMS_Export!K398</f>
        <v>45788</v>
      </c>
      <c r="N398" s="19" t="s">
        <v>2928</v>
      </c>
    </row>
    <row r="399" spans="1:14" x14ac:dyDescent="0.35">
      <c r="A399" s="16" t="s">
        <v>408</v>
      </c>
      <c r="B399" s="17" t="s">
        <v>2096</v>
      </c>
      <c r="C399" s="17" t="s">
        <v>2460</v>
      </c>
      <c r="D399" s="17" t="str">
        <f>_xlfn.XLOOKUP(Raw_LIMS_Export!E399,'mapping Site table'!$B$4:$B$14,'mapping Site table'!$C$4:$C$14,Raw_LIMS_Export!E399)</f>
        <v>East Hanover</v>
      </c>
      <c r="E399" s="17" t="s">
        <v>2479</v>
      </c>
      <c r="F399" s="17">
        <f t="shared" si="19"/>
        <v>1</v>
      </c>
      <c r="G399" s="17" t="str">
        <f t="shared" si="20"/>
        <v>Pass</v>
      </c>
      <c r="H399" s="17" t="str">
        <f t="shared" si="18"/>
        <v>Pass</v>
      </c>
      <c r="I399" s="17">
        <v>30.18</v>
      </c>
      <c r="J399" s="17" t="s">
        <v>2486</v>
      </c>
      <c r="K399" s="17">
        <v>0</v>
      </c>
      <c r="L399" s="17">
        <v>120</v>
      </c>
      <c r="M399" s="18">
        <f>Raw_LIMS_Export!K399</f>
        <v>45385</v>
      </c>
      <c r="N399" s="19" t="s">
        <v>2923</v>
      </c>
    </row>
    <row r="400" spans="1:14" x14ac:dyDescent="0.35">
      <c r="A400" s="16" t="s">
        <v>409</v>
      </c>
      <c r="B400" s="17" t="s">
        <v>2293</v>
      </c>
      <c r="C400" s="17" t="s">
        <v>2459</v>
      </c>
      <c r="D400" s="17" t="str">
        <f>_xlfn.XLOOKUP(Raw_LIMS_Export!E400,'mapping Site table'!$B$4:$B$14,'mapping Site table'!$C$4:$C$14,Raw_LIMS_Export!E400)</f>
        <v>East Hanover</v>
      </c>
      <c r="E400" s="17" t="s">
        <v>2483</v>
      </c>
      <c r="F400" s="17">
        <f t="shared" si="19"/>
        <v>1</v>
      </c>
      <c r="G400" s="17" t="str">
        <f t="shared" si="20"/>
        <v>Pass</v>
      </c>
      <c r="H400" s="17" t="str">
        <f t="shared" si="18"/>
        <v>Pass</v>
      </c>
      <c r="I400" s="17">
        <v>0.61</v>
      </c>
      <c r="J400" s="17" t="s">
        <v>2489</v>
      </c>
      <c r="K400" s="17">
        <v>0</v>
      </c>
      <c r="L400" s="17">
        <v>1</v>
      </c>
      <c r="M400" s="18">
        <f>Raw_LIMS_Export!K400</f>
        <v>45970</v>
      </c>
      <c r="N400" s="19" t="s">
        <v>2929</v>
      </c>
    </row>
    <row r="401" spans="1:14" x14ac:dyDescent="0.35">
      <c r="A401" s="16" t="s">
        <v>410</v>
      </c>
      <c r="B401" s="17" t="s">
        <v>2294</v>
      </c>
      <c r="C401" s="17" t="s">
        <v>2460</v>
      </c>
      <c r="D401" s="17" t="str">
        <f>_xlfn.XLOOKUP(Raw_LIMS_Export!E401,'mapping Site table'!$B$4:$B$14,'mapping Site table'!$C$4:$C$14,Raw_LIMS_Export!E401)</f>
        <v>Budapest</v>
      </c>
      <c r="E401" s="17" t="s">
        <v>2482</v>
      </c>
      <c r="F401" s="17">
        <f t="shared" si="19"/>
        <v>1</v>
      </c>
      <c r="G401" s="17" t="str">
        <f t="shared" si="20"/>
        <v>Pass</v>
      </c>
      <c r="H401" s="17" t="str">
        <f t="shared" si="18"/>
        <v>Pass</v>
      </c>
      <c r="I401" s="17">
        <v>98.82</v>
      </c>
      <c r="J401" s="17" t="s">
        <v>2489</v>
      </c>
      <c r="K401" s="17">
        <v>97</v>
      </c>
      <c r="L401" s="17">
        <v>100</v>
      </c>
      <c r="M401" s="18">
        <f>Raw_LIMS_Export!K401</f>
        <v>45560</v>
      </c>
      <c r="N401" s="19" t="s">
        <v>2926</v>
      </c>
    </row>
    <row r="402" spans="1:14" x14ac:dyDescent="0.35">
      <c r="A402" s="16" t="s">
        <v>411</v>
      </c>
      <c r="B402" s="17" t="s">
        <v>2295</v>
      </c>
      <c r="C402" s="17" t="s">
        <v>2459</v>
      </c>
      <c r="D402" s="17" t="str">
        <f>_xlfn.XLOOKUP(Raw_LIMS_Export!E402,'mapping Site table'!$B$4:$B$14,'mapping Site table'!$C$4:$C$14,Raw_LIMS_Export!E402)</f>
        <v>Vernier CH</v>
      </c>
      <c r="E402" s="17" t="s">
        <v>2479</v>
      </c>
      <c r="F402" s="17">
        <f t="shared" si="19"/>
        <v>1</v>
      </c>
      <c r="G402" s="17" t="str">
        <f t="shared" si="20"/>
        <v>Pass</v>
      </c>
      <c r="H402" s="17" t="str">
        <f t="shared" si="18"/>
        <v>Pass</v>
      </c>
      <c r="I402" s="17">
        <v>41.46</v>
      </c>
      <c r="J402" s="17" t="s">
        <v>2486</v>
      </c>
      <c r="K402" s="17">
        <v>0</v>
      </c>
      <c r="L402" s="17">
        <v>120</v>
      </c>
      <c r="M402" s="18">
        <f>Raw_LIMS_Export!K402</f>
        <v>45977</v>
      </c>
      <c r="N402" s="19" t="s">
        <v>2928</v>
      </c>
    </row>
    <row r="403" spans="1:14" x14ac:dyDescent="0.35">
      <c r="A403" s="16" t="s">
        <v>412</v>
      </c>
      <c r="B403" s="17" t="s">
        <v>2296</v>
      </c>
      <c r="C403" s="17" t="s">
        <v>2459</v>
      </c>
      <c r="D403" s="17" t="str">
        <f>_xlfn.XLOOKUP(Raw_LIMS_Export!E403,'mapping Site table'!$B$4:$B$14,'mapping Site table'!$C$4:$C$14,Raw_LIMS_Export!E403)</f>
        <v>Budapest</v>
      </c>
      <c r="E403" s="17" t="s">
        <v>2483</v>
      </c>
      <c r="F403" s="17">
        <f t="shared" si="19"/>
        <v>1</v>
      </c>
      <c r="G403" s="17" t="str">
        <f t="shared" si="20"/>
        <v>Pass</v>
      </c>
      <c r="H403" s="17" t="str">
        <f t="shared" si="18"/>
        <v>Fail</v>
      </c>
      <c r="I403" s="17">
        <v>0.48</v>
      </c>
      <c r="J403" s="17" t="s">
        <v>2489</v>
      </c>
      <c r="K403" s="17">
        <v>0</v>
      </c>
      <c r="L403" s="17">
        <v>1</v>
      </c>
      <c r="M403" s="18">
        <f>Raw_LIMS_Export!K403</f>
        <v>45697</v>
      </c>
      <c r="N403" s="19" t="s">
        <v>2925</v>
      </c>
    </row>
    <row r="404" spans="1:14" x14ac:dyDescent="0.35">
      <c r="A404" s="16" t="s">
        <v>413</v>
      </c>
      <c r="B404" s="17" t="s">
        <v>2297</v>
      </c>
      <c r="C404" s="17" t="s">
        <v>2458</v>
      </c>
      <c r="D404" s="17" t="str">
        <f>_xlfn.XLOOKUP(Raw_LIMS_Export!E404,'mapping Site table'!$B$4:$B$14,'mapping Site table'!$C$4:$C$14,Raw_LIMS_Export!E404)</f>
        <v>East Hanover</v>
      </c>
      <c r="E404" s="17" t="s">
        <v>2482</v>
      </c>
      <c r="F404" s="17">
        <f t="shared" si="19"/>
        <v>1</v>
      </c>
      <c r="G404" s="17" t="str">
        <f t="shared" si="20"/>
        <v>Pass</v>
      </c>
      <c r="H404" s="17" t="str">
        <f t="shared" si="18"/>
        <v>Pass</v>
      </c>
      <c r="I404" s="17">
        <v>98.19</v>
      </c>
      <c r="J404" s="17" t="s">
        <v>2489</v>
      </c>
      <c r="K404" s="17">
        <v>97</v>
      </c>
      <c r="L404" s="17">
        <v>100</v>
      </c>
      <c r="M404" s="18">
        <f>Raw_LIMS_Export!K404</f>
        <v>45800</v>
      </c>
      <c r="N404" s="19" t="s">
        <v>2924</v>
      </c>
    </row>
    <row r="405" spans="1:14" x14ac:dyDescent="0.35">
      <c r="A405" s="16" t="s">
        <v>414</v>
      </c>
      <c r="B405" s="17" t="s">
        <v>2298</v>
      </c>
      <c r="C405" s="17" t="s">
        <v>2458</v>
      </c>
      <c r="D405" s="17" t="str">
        <f>_xlfn.XLOOKUP(Raw_LIMS_Export!E405,'mapping Site table'!$B$4:$B$14,'mapping Site table'!$C$4:$C$14,Raw_LIMS_Export!E405)</f>
        <v>Dortmund DE</v>
      </c>
      <c r="E405" s="17" t="s">
        <v>2479</v>
      </c>
      <c r="F405" s="17">
        <f t="shared" si="19"/>
        <v>1</v>
      </c>
      <c r="G405" s="17" t="str">
        <f t="shared" si="20"/>
        <v>Pass</v>
      </c>
      <c r="H405" s="17" t="str">
        <f t="shared" si="18"/>
        <v>Fail</v>
      </c>
      <c r="I405" s="17">
        <v>68.59</v>
      </c>
      <c r="J405" s="17" t="s">
        <v>2486</v>
      </c>
      <c r="K405" s="17">
        <v>0</v>
      </c>
      <c r="L405" s="17">
        <v>120</v>
      </c>
      <c r="M405" s="18">
        <f>Raw_LIMS_Export!K405</f>
        <v>45323</v>
      </c>
      <c r="N405" s="19" t="s">
        <v>2930</v>
      </c>
    </row>
    <row r="406" spans="1:14" x14ac:dyDescent="0.35">
      <c r="A406" s="16" t="s">
        <v>415</v>
      </c>
      <c r="B406" s="17" t="s">
        <v>2299</v>
      </c>
      <c r="C406" s="17" t="s">
        <v>2459</v>
      </c>
      <c r="D406" s="17" t="str">
        <f>_xlfn.XLOOKUP(Raw_LIMS_Export!E406,'mapping Site table'!$B$4:$B$14,'mapping Site table'!$C$4:$C$14,Raw_LIMS_Export!E406)</f>
        <v>Ashford UK</v>
      </c>
      <c r="E406" s="17" t="s">
        <v>2485</v>
      </c>
      <c r="F406" s="17">
        <f t="shared" si="19"/>
        <v>1</v>
      </c>
      <c r="G406" s="17" t="str">
        <f t="shared" si="20"/>
        <v>Fail</v>
      </c>
      <c r="H406" s="17" t="str">
        <f t="shared" si="18"/>
        <v>Fail</v>
      </c>
      <c r="I406" s="17">
        <v>-6.68</v>
      </c>
      <c r="J406" s="17" t="s">
        <v>2490</v>
      </c>
      <c r="K406" s="17">
        <v>0</v>
      </c>
      <c r="L406" s="17">
        <v>100</v>
      </c>
      <c r="M406" s="18">
        <f>Raw_LIMS_Export!K406</f>
        <v>45508</v>
      </c>
      <c r="N406" s="19" t="s">
        <v>2928</v>
      </c>
    </row>
    <row r="407" spans="1:14" x14ac:dyDescent="0.35">
      <c r="A407" s="16" t="s">
        <v>416</v>
      </c>
      <c r="B407" s="17" t="s">
        <v>2300</v>
      </c>
      <c r="C407" s="17" t="s">
        <v>2459</v>
      </c>
      <c r="D407" s="17" t="str">
        <f>_xlfn.XLOOKUP(Raw_LIMS_Export!E407,'mapping Site table'!$B$4:$B$14,'mapping Site table'!$C$4:$C$14,Raw_LIMS_Export!E407)</f>
        <v>Vernier CH</v>
      </c>
      <c r="E407" s="17" t="s">
        <v>2485</v>
      </c>
      <c r="F407" s="17">
        <f t="shared" si="19"/>
        <v>1</v>
      </c>
      <c r="G407" s="17" t="str">
        <f t="shared" si="20"/>
        <v>Pass</v>
      </c>
      <c r="H407" s="17" t="str">
        <f t="shared" si="18"/>
        <v>Pass</v>
      </c>
      <c r="I407" s="17">
        <v>8.68</v>
      </c>
      <c r="J407" s="17" t="s">
        <v>2490</v>
      </c>
      <c r="K407" s="17">
        <v>0</v>
      </c>
      <c r="L407" s="17">
        <v>100</v>
      </c>
      <c r="M407" s="18">
        <f>Raw_LIMS_Export!K407</f>
        <v>45595</v>
      </c>
      <c r="N407" s="19" t="s">
        <v>2925</v>
      </c>
    </row>
    <row r="408" spans="1:14" x14ac:dyDescent="0.35">
      <c r="A408" s="16" t="s">
        <v>417</v>
      </c>
      <c r="B408" s="17" t="s">
        <v>2301</v>
      </c>
      <c r="C408" s="17" t="s">
        <v>2460</v>
      </c>
      <c r="D408" s="17" t="str">
        <f>_xlfn.XLOOKUP(Raw_LIMS_Export!E408,'mapping Site table'!$B$4:$B$14,'mapping Site table'!$C$4:$C$14,Raw_LIMS_Export!E408)</f>
        <v>Vernier CH</v>
      </c>
      <c r="E408" s="17" t="s">
        <v>2481</v>
      </c>
      <c r="F408" s="17">
        <f t="shared" si="19"/>
        <v>1</v>
      </c>
      <c r="G408" s="17" t="str">
        <f t="shared" si="20"/>
        <v>Pass</v>
      </c>
      <c r="H408" s="17" t="str">
        <f t="shared" si="18"/>
        <v>Pass</v>
      </c>
      <c r="I408" s="17">
        <v>240.64</v>
      </c>
      <c r="J408" s="17" t="s">
        <v>2488</v>
      </c>
      <c r="K408" s="17">
        <v>150</v>
      </c>
      <c r="L408" s="17">
        <v>400</v>
      </c>
      <c r="M408" s="18">
        <f>Raw_LIMS_Export!K408</f>
        <v>45595</v>
      </c>
      <c r="N408" s="19" t="s">
        <v>2925</v>
      </c>
    </row>
    <row r="409" spans="1:14" x14ac:dyDescent="0.35">
      <c r="A409" s="16" t="s">
        <v>418</v>
      </c>
      <c r="B409" s="17" t="s">
        <v>2110</v>
      </c>
      <c r="C409" s="17" t="s">
        <v>2460</v>
      </c>
      <c r="D409" s="17" t="str">
        <f>_xlfn.XLOOKUP(Raw_LIMS_Export!E409,'mapping Site table'!$B$4:$B$14,'mapping Site table'!$C$4:$C$14,Raw_LIMS_Export!E409)</f>
        <v>Vernier CH</v>
      </c>
      <c r="E409" s="17" t="s">
        <v>2485</v>
      </c>
      <c r="F409" s="17">
        <f t="shared" si="19"/>
        <v>1</v>
      </c>
      <c r="G409" s="17" t="str">
        <f t="shared" si="20"/>
        <v>Pass</v>
      </c>
      <c r="H409" s="17" t="str">
        <f t="shared" si="18"/>
        <v>Fail</v>
      </c>
      <c r="I409" s="17">
        <v>39.65</v>
      </c>
      <c r="J409" s="17" t="s">
        <v>2490</v>
      </c>
      <c r="K409" s="17">
        <v>0</v>
      </c>
      <c r="L409" s="17">
        <v>100</v>
      </c>
      <c r="M409" s="18">
        <f>Raw_LIMS_Export!K409</f>
        <v>45860</v>
      </c>
      <c r="N409" s="19" t="s">
        <v>2923</v>
      </c>
    </row>
    <row r="410" spans="1:14" x14ac:dyDescent="0.35">
      <c r="A410" s="16" t="s">
        <v>419</v>
      </c>
      <c r="B410" s="17" t="s">
        <v>2253</v>
      </c>
      <c r="C410" s="17" t="s">
        <v>2461</v>
      </c>
      <c r="D410" s="17" t="str">
        <f>_xlfn.XLOOKUP(Raw_LIMS_Export!E410,'mapping Site table'!$B$4:$B$14,'mapping Site table'!$C$4:$C$14,Raw_LIMS_Export!E410)</f>
        <v>Dortmund DE</v>
      </c>
      <c r="E410" s="17" t="s">
        <v>2482</v>
      </c>
      <c r="F410" s="17">
        <f t="shared" si="19"/>
        <v>1</v>
      </c>
      <c r="G410" s="17" t="str">
        <f t="shared" si="20"/>
        <v>Pass</v>
      </c>
      <c r="H410" s="17" t="str">
        <f t="shared" si="18"/>
        <v>Fail</v>
      </c>
      <c r="I410" s="17">
        <v>98.64</v>
      </c>
      <c r="J410" s="17" t="s">
        <v>2489</v>
      </c>
      <c r="K410" s="17">
        <v>97</v>
      </c>
      <c r="L410" s="17">
        <v>100</v>
      </c>
      <c r="M410" s="18">
        <f>Raw_LIMS_Export!K410</f>
        <v>45388</v>
      </c>
      <c r="N410" s="19" t="s">
        <v>2932</v>
      </c>
    </row>
    <row r="411" spans="1:14" x14ac:dyDescent="0.35">
      <c r="A411" s="16" t="s">
        <v>420</v>
      </c>
      <c r="B411" s="17" t="s">
        <v>2302</v>
      </c>
      <c r="C411" s="17" t="s">
        <v>2460</v>
      </c>
      <c r="D411" s="17" t="str">
        <f>_xlfn.XLOOKUP(Raw_LIMS_Export!E411,'mapping Site table'!$B$4:$B$14,'mapping Site table'!$C$4:$C$14,Raw_LIMS_Export!E411)</f>
        <v>Ashford UK</v>
      </c>
      <c r="E411" s="17" t="s">
        <v>2480</v>
      </c>
      <c r="F411" s="17">
        <f t="shared" si="19"/>
        <v>1</v>
      </c>
      <c r="G411" s="17" t="str">
        <f t="shared" si="20"/>
        <v>Pass</v>
      </c>
      <c r="H411" s="17" t="str">
        <f t="shared" si="18"/>
        <v>Fail</v>
      </c>
      <c r="I411" s="17">
        <v>0.89</v>
      </c>
      <c r="J411" s="17" t="s">
        <v>2487</v>
      </c>
      <c r="K411" s="17">
        <v>0.88</v>
      </c>
      <c r="L411" s="17">
        <v>0.97</v>
      </c>
      <c r="M411" s="18">
        <f>Raw_LIMS_Export!K411</f>
        <v>45776</v>
      </c>
      <c r="N411" s="19" t="s">
        <v>2931</v>
      </c>
    </row>
    <row r="412" spans="1:14" x14ac:dyDescent="0.35">
      <c r="A412" s="16" t="s">
        <v>421</v>
      </c>
      <c r="B412" s="17" t="s">
        <v>2303</v>
      </c>
      <c r="C412" s="17" t="s">
        <v>2460</v>
      </c>
      <c r="D412" s="17" t="str">
        <f>_xlfn.XLOOKUP(Raw_LIMS_Export!E412,'mapping Site table'!$B$4:$B$14,'mapping Site table'!$C$4:$C$14,Raw_LIMS_Export!E412)</f>
        <v>East Hanover</v>
      </c>
      <c r="E412" s="17" t="s">
        <v>2480</v>
      </c>
      <c r="F412" s="17">
        <f t="shared" si="19"/>
        <v>1</v>
      </c>
      <c r="G412" s="17" t="str">
        <f t="shared" si="20"/>
        <v>Fail</v>
      </c>
      <c r="H412" s="17" t="str">
        <f t="shared" si="18"/>
        <v>Fail</v>
      </c>
      <c r="I412" s="17">
        <v>1.06</v>
      </c>
      <c r="J412" s="17" t="s">
        <v>2487</v>
      </c>
      <c r="K412" s="17">
        <v>0.88</v>
      </c>
      <c r="L412" s="17">
        <v>0.97</v>
      </c>
      <c r="M412" s="18">
        <f>Raw_LIMS_Export!K412</f>
        <v>45870</v>
      </c>
      <c r="N412" s="19" t="s">
        <v>2929</v>
      </c>
    </row>
    <row r="413" spans="1:14" x14ac:dyDescent="0.35">
      <c r="A413" s="16" t="s">
        <v>422</v>
      </c>
      <c r="B413" s="17" t="s">
        <v>2130</v>
      </c>
      <c r="C413" s="17" t="s">
        <v>2457</v>
      </c>
      <c r="D413" s="17" t="str">
        <f>_xlfn.XLOOKUP(Raw_LIMS_Export!E413,'mapping Site table'!$B$4:$B$14,'mapping Site table'!$C$4:$C$14,Raw_LIMS_Export!E413)</f>
        <v>East Hanover</v>
      </c>
      <c r="E413" s="17" t="s">
        <v>2482</v>
      </c>
      <c r="F413" s="17">
        <f t="shared" si="19"/>
        <v>1</v>
      </c>
      <c r="G413" s="17" t="str">
        <f t="shared" si="20"/>
        <v>Pass</v>
      </c>
      <c r="H413" s="17" t="str">
        <f t="shared" si="18"/>
        <v>Pass</v>
      </c>
      <c r="I413" s="17">
        <v>98.54</v>
      </c>
      <c r="J413" s="17" t="s">
        <v>2489</v>
      </c>
      <c r="K413" s="17">
        <v>97</v>
      </c>
      <c r="L413" s="17">
        <v>100</v>
      </c>
      <c r="M413" s="18">
        <f>Raw_LIMS_Export!K413</f>
        <v>45943</v>
      </c>
      <c r="N413" s="19" t="s">
        <v>2930</v>
      </c>
    </row>
    <row r="414" spans="1:14" x14ac:dyDescent="0.35">
      <c r="A414" s="16" t="s">
        <v>423</v>
      </c>
      <c r="B414" s="17" t="s">
        <v>2304</v>
      </c>
      <c r="C414" s="17" t="s">
        <v>2460</v>
      </c>
      <c r="D414" s="17" t="str">
        <f>_xlfn.XLOOKUP(Raw_LIMS_Export!E414,'mapping Site table'!$B$4:$B$14,'mapping Site table'!$C$4:$C$14,Raw_LIMS_Export!E414)</f>
        <v>East Hanover</v>
      </c>
      <c r="E414" s="17" t="s">
        <v>2481</v>
      </c>
      <c r="F414" s="17">
        <f t="shared" si="19"/>
        <v>1</v>
      </c>
      <c r="G414" s="17" t="str">
        <f t="shared" si="20"/>
        <v>Pass</v>
      </c>
      <c r="H414" s="17" t="str">
        <f t="shared" si="18"/>
        <v>Pass</v>
      </c>
      <c r="I414" s="17">
        <v>199.45</v>
      </c>
      <c r="J414" s="17" t="s">
        <v>2488</v>
      </c>
      <c r="K414" s="17">
        <v>150</v>
      </c>
      <c r="L414" s="17">
        <v>400</v>
      </c>
      <c r="M414" s="18">
        <f>Raw_LIMS_Export!K414</f>
        <v>45398</v>
      </c>
      <c r="N414" s="19" t="s">
        <v>2930</v>
      </c>
    </row>
    <row r="415" spans="1:14" x14ac:dyDescent="0.35">
      <c r="A415" s="16" t="s">
        <v>424</v>
      </c>
      <c r="B415" s="17" t="s">
        <v>2170</v>
      </c>
      <c r="C415" s="17" t="s">
        <v>2459</v>
      </c>
      <c r="D415" s="17" t="str">
        <f>_xlfn.XLOOKUP(Raw_LIMS_Export!E415,'mapping Site table'!$B$4:$B$14,'mapping Site table'!$C$4:$C$14,Raw_LIMS_Export!E415)</f>
        <v>Budapest</v>
      </c>
      <c r="E415" s="17" t="s">
        <v>2483</v>
      </c>
      <c r="F415" s="17">
        <f t="shared" si="19"/>
        <v>1</v>
      </c>
      <c r="G415" s="17" t="str">
        <f t="shared" si="20"/>
        <v>Pass</v>
      </c>
      <c r="H415" s="17" t="str">
        <f t="shared" si="18"/>
        <v>Fail</v>
      </c>
      <c r="I415" s="17">
        <v>0.4</v>
      </c>
      <c r="J415" s="17" t="s">
        <v>2489</v>
      </c>
      <c r="K415" s="17">
        <v>0</v>
      </c>
      <c r="L415" s="17">
        <v>1</v>
      </c>
      <c r="M415" s="18">
        <f>Raw_LIMS_Export!K415</f>
        <v>45737</v>
      </c>
      <c r="N415" s="19" t="s">
        <v>2932</v>
      </c>
    </row>
    <row r="416" spans="1:14" x14ac:dyDescent="0.35">
      <c r="A416" s="16" t="s">
        <v>425</v>
      </c>
      <c r="B416" s="17" t="s">
        <v>2305</v>
      </c>
      <c r="C416" s="17" t="s">
        <v>2458</v>
      </c>
      <c r="D416" s="17" t="str">
        <f>_xlfn.XLOOKUP(Raw_LIMS_Export!E416,'mapping Site table'!$B$4:$B$14,'mapping Site table'!$C$4:$C$14,Raw_LIMS_Export!E416)</f>
        <v>Vernier CH</v>
      </c>
      <c r="E416" s="17" t="s">
        <v>2484</v>
      </c>
      <c r="F416" s="17">
        <f t="shared" si="19"/>
        <v>1</v>
      </c>
      <c r="G416" s="17" t="str">
        <f t="shared" si="20"/>
        <v>Pass</v>
      </c>
      <c r="H416" s="17" t="str">
        <f t="shared" si="18"/>
        <v>Pass</v>
      </c>
      <c r="I416" s="17">
        <v>6.87</v>
      </c>
      <c r="J416" s="17"/>
      <c r="K416" s="17">
        <v>6</v>
      </c>
      <c r="L416" s="17">
        <v>7.5</v>
      </c>
      <c r="M416" s="18">
        <f>Raw_LIMS_Export!K416</f>
        <v>45959</v>
      </c>
      <c r="N416" s="19" t="s">
        <v>2930</v>
      </c>
    </row>
    <row r="417" spans="1:14" x14ac:dyDescent="0.35">
      <c r="A417" s="16" t="s">
        <v>426</v>
      </c>
      <c r="B417" s="17" t="s">
        <v>2296</v>
      </c>
      <c r="C417" s="17" t="s">
        <v>2459</v>
      </c>
      <c r="D417" s="17" t="str">
        <f>_xlfn.XLOOKUP(Raw_LIMS_Export!E417,'mapping Site table'!$B$4:$B$14,'mapping Site table'!$C$4:$C$14,Raw_LIMS_Export!E417)</f>
        <v>Budapest</v>
      </c>
      <c r="E417" s="17" t="s">
        <v>2485</v>
      </c>
      <c r="F417" s="17">
        <f t="shared" si="19"/>
        <v>1</v>
      </c>
      <c r="G417" s="17" t="str">
        <f t="shared" si="20"/>
        <v>Fail</v>
      </c>
      <c r="H417" s="17" t="str">
        <f t="shared" si="18"/>
        <v>Fail</v>
      </c>
      <c r="I417" s="17">
        <v>-7.99</v>
      </c>
      <c r="J417" s="17" t="s">
        <v>2490</v>
      </c>
      <c r="K417" s="17">
        <v>0</v>
      </c>
      <c r="L417" s="17">
        <v>100</v>
      </c>
      <c r="M417" s="18">
        <f>Raw_LIMS_Export!K417</f>
        <v>45697</v>
      </c>
      <c r="N417" s="19" t="s">
        <v>2928</v>
      </c>
    </row>
    <row r="418" spans="1:14" x14ac:dyDescent="0.35">
      <c r="A418" s="16" t="s">
        <v>427</v>
      </c>
      <c r="B418" s="17" t="s">
        <v>2074</v>
      </c>
      <c r="C418" s="17" t="s">
        <v>2457</v>
      </c>
      <c r="D418" s="17" t="str">
        <f>_xlfn.XLOOKUP(Raw_LIMS_Export!E418,'mapping Site table'!$B$4:$B$14,'mapping Site table'!$C$4:$C$14,Raw_LIMS_Export!E418)</f>
        <v>Ashford UK</v>
      </c>
      <c r="E418" s="17" t="s">
        <v>2481</v>
      </c>
      <c r="F418" s="17">
        <f t="shared" si="19"/>
        <v>1</v>
      </c>
      <c r="G418" s="17" t="str">
        <f t="shared" si="20"/>
        <v>Pass</v>
      </c>
      <c r="H418" s="17" t="str">
        <f t="shared" si="18"/>
        <v>Pass</v>
      </c>
      <c r="I418" s="17">
        <v>274.04000000000002</v>
      </c>
      <c r="J418" s="17" t="s">
        <v>2488</v>
      </c>
      <c r="K418" s="17">
        <v>150</v>
      </c>
      <c r="L418" s="17">
        <v>400</v>
      </c>
      <c r="M418" s="18">
        <f>Raw_LIMS_Export!K418</f>
        <v>45416</v>
      </c>
      <c r="N418" s="19" t="s">
        <v>2932</v>
      </c>
    </row>
    <row r="419" spans="1:14" x14ac:dyDescent="0.35">
      <c r="A419" s="16" t="s">
        <v>428</v>
      </c>
      <c r="B419" s="17" t="s">
        <v>2306</v>
      </c>
      <c r="C419" s="17" t="s">
        <v>2461</v>
      </c>
      <c r="D419" s="17" t="str">
        <f>_xlfn.XLOOKUP(Raw_LIMS_Export!E419,'mapping Site table'!$B$4:$B$14,'mapping Site table'!$C$4:$C$14,Raw_LIMS_Export!E419)</f>
        <v>Budapest</v>
      </c>
      <c r="E419" s="17" t="s">
        <v>2485</v>
      </c>
      <c r="F419" s="17">
        <f t="shared" si="19"/>
        <v>1</v>
      </c>
      <c r="G419" s="17" t="str">
        <f t="shared" si="20"/>
        <v>Pass</v>
      </c>
      <c r="H419" s="17" t="str">
        <f t="shared" si="18"/>
        <v>Pass</v>
      </c>
      <c r="I419" s="17">
        <v>44.53</v>
      </c>
      <c r="J419" s="17" t="s">
        <v>2490</v>
      </c>
      <c r="K419" s="17">
        <v>0</v>
      </c>
      <c r="L419" s="17">
        <v>100</v>
      </c>
      <c r="M419" s="18">
        <f>Raw_LIMS_Export!K419</f>
        <v>45909</v>
      </c>
      <c r="N419" s="19" t="s">
        <v>2927</v>
      </c>
    </row>
    <row r="420" spans="1:14" x14ac:dyDescent="0.35">
      <c r="A420" s="16" t="s">
        <v>429</v>
      </c>
      <c r="B420" s="17" t="s">
        <v>2053</v>
      </c>
      <c r="C420" s="17" t="s">
        <v>2460</v>
      </c>
      <c r="D420" s="17" t="str">
        <f>_xlfn.XLOOKUP(Raw_LIMS_Export!E420,'mapping Site table'!$B$4:$B$14,'mapping Site table'!$C$4:$C$14,Raw_LIMS_Export!E420)</f>
        <v>East Hanover</v>
      </c>
      <c r="E420" s="17" t="s">
        <v>2484</v>
      </c>
      <c r="F420" s="17">
        <f t="shared" si="19"/>
        <v>1</v>
      </c>
      <c r="G420" s="17" t="str">
        <f t="shared" si="20"/>
        <v>Pass</v>
      </c>
      <c r="H420" s="17" t="str">
        <f t="shared" si="18"/>
        <v>Pass</v>
      </c>
      <c r="I420" s="17">
        <v>6.87</v>
      </c>
      <c r="J420" s="17"/>
      <c r="K420" s="17">
        <v>6</v>
      </c>
      <c r="L420" s="17">
        <v>7.5</v>
      </c>
      <c r="M420" s="18">
        <f>Raw_LIMS_Export!K420</f>
        <v>45703</v>
      </c>
      <c r="N420" s="19" t="s">
        <v>2925</v>
      </c>
    </row>
    <row r="421" spans="1:14" x14ac:dyDescent="0.35">
      <c r="A421" s="16" t="s">
        <v>430</v>
      </c>
      <c r="B421" s="17" t="s">
        <v>2307</v>
      </c>
      <c r="C421" s="17" t="s">
        <v>2460</v>
      </c>
      <c r="D421" s="17" t="str">
        <f>_xlfn.XLOOKUP(Raw_LIMS_Export!E421,'mapping Site table'!$B$4:$B$14,'mapping Site table'!$C$4:$C$14,Raw_LIMS_Export!E421)</f>
        <v>Vernier CH</v>
      </c>
      <c r="E421" s="17" t="s">
        <v>2481</v>
      </c>
      <c r="F421" s="17">
        <f t="shared" si="19"/>
        <v>1</v>
      </c>
      <c r="G421" s="17" t="str">
        <f t="shared" si="20"/>
        <v>Pass</v>
      </c>
      <c r="H421" s="17" t="str">
        <f t="shared" si="18"/>
        <v>Fail</v>
      </c>
      <c r="I421" s="17">
        <v>259.14</v>
      </c>
      <c r="J421" s="17" t="s">
        <v>2488</v>
      </c>
      <c r="K421" s="17">
        <v>150</v>
      </c>
      <c r="L421" s="17">
        <v>400</v>
      </c>
      <c r="M421" s="18">
        <f>Raw_LIMS_Export!K421</f>
        <v>45622</v>
      </c>
      <c r="N421" s="19" t="s">
        <v>2930</v>
      </c>
    </row>
    <row r="422" spans="1:14" x14ac:dyDescent="0.35">
      <c r="A422" s="16" t="s">
        <v>431</v>
      </c>
      <c r="B422" s="17" t="s">
        <v>2085</v>
      </c>
      <c r="C422" s="17" t="s">
        <v>2461</v>
      </c>
      <c r="D422" s="17" t="str">
        <f>_xlfn.XLOOKUP(Raw_LIMS_Export!E422,'mapping Site table'!$B$4:$B$14,'mapping Site table'!$C$4:$C$14,Raw_LIMS_Export!E422)</f>
        <v>Dortmund DE</v>
      </c>
      <c r="E422" s="17" t="s">
        <v>2479</v>
      </c>
      <c r="F422" s="17">
        <f t="shared" si="19"/>
        <v>1</v>
      </c>
      <c r="G422" s="17" t="str">
        <f t="shared" si="20"/>
        <v>Pass</v>
      </c>
      <c r="H422" s="17" t="str">
        <f t="shared" si="18"/>
        <v>Fail</v>
      </c>
      <c r="I422" s="17">
        <v>18.53</v>
      </c>
      <c r="J422" s="17" t="s">
        <v>2486</v>
      </c>
      <c r="K422" s="17">
        <v>0</v>
      </c>
      <c r="L422" s="17">
        <v>120</v>
      </c>
      <c r="M422" s="18">
        <f>Raw_LIMS_Export!K422</f>
        <v>46008</v>
      </c>
      <c r="N422" s="19" t="s">
        <v>2930</v>
      </c>
    </row>
    <row r="423" spans="1:14" x14ac:dyDescent="0.35">
      <c r="A423" s="16" t="s">
        <v>432</v>
      </c>
      <c r="B423" s="17" t="s">
        <v>2247</v>
      </c>
      <c r="C423" s="17" t="s">
        <v>2461</v>
      </c>
      <c r="D423" s="17" t="str">
        <f>_xlfn.XLOOKUP(Raw_LIMS_Export!E423,'mapping Site table'!$B$4:$B$14,'mapping Site table'!$C$4:$C$14,Raw_LIMS_Export!E423)</f>
        <v>Ashford UK</v>
      </c>
      <c r="E423" s="17" t="s">
        <v>2482</v>
      </c>
      <c r="F423" s="17">
        <f t="shared" si="19"/>
        <v>1</v>
      </c>
      <c r="G423" s="17" t="str">
        <f t="shared" si="20"/>
        <v>Pass</v>
      </c>
      <c r="H423" s="17" t="str">
        <f t="shared" si="18"/>
        <v>Fail</v>
      </c>
      <c r="I423" s="17">
        <v>97.87</v>
      </c>
      <c r="J423" s="17" t="s">
        <v>2489</v>
      </c>
      <c r="K423" s="17">
        <v>97</v>
      </c>
      <c r="L423" s="17">
        <v>100</v>
      </c>
      <c r="M423" s="18">
        <f>Raw_LIMS_Export!K423</f>
        <v>45307</v>
      </c>
      <c r="N423" s="19" t="s">
        <v>2931</v>
      </c>
    </row>
    <row r="424" spans="1:14" x14ac:dyDescent="0.35">
      <c r="A424" s="16" t="s">
        <v>433</v>
      </c>
      <c r="B424" s="17" t="s">
        <v>2226</v>
      </c>
      <c r="C424" s="17" t="s">
        <v>2457</v>
      </c>
      <c r="D424" s="17" t="str">
        <f>_xlfn.XLOOKUP(Raw_LIMS_Export!E424,'mapping Site table'!$B$4:$B$14,'mapping Site table'!$C$4:$C$14,Raw_LIMS_Export!E424)</f>
        <v>Budapest</v>
      </c>
      <c r="E424" s="17" t="s">
        <v>2484</v>
      </c>
      <c r="F424" s="17">
        <f t="shared" si="19"/>
        <v>1</v>
      </c>
      <c r="G424" s="17" t="str">
        <f t="shared" si="20"/>
        <v>Pass</v>
      </c>
      <c r="H424" s="17" t="str">
        <f t="shared" si="18"/>
        <v>Pass</v>
      </c>
      <c r="I424" s="17">
        <v>7.38</v>
      </c>
      <c r="J424" s="17"/>
      <c r="K424" s="17">
        <v>6</v>
      </c>
      <c r="L424" s="17">
        <v>7.5</v>
      </c>
      <c r="M424" s="18">
        <f>Raw_LIMS_Export!K424</f>
        <v>45595</v>
      </c>
      <c r="N424" s="19" t="s">
        <v>2923</v>
      </c>
    </row>
    <row r="425" spans="1:14" x14ac:dyDescent="0.35">
      <c r="A425" s="16" t="s">
        <v>434</v>
      </c>
      <c r="B425" s="17" t="s">
        <v>2085</v>
      </c>
      <c r="C425" s="17" t="s">
        <v>2461</v>
      </c>
      <c r="D425" s="17" t="str">
        <f>_xlfn.XLOOKUP(Raw_LIMS_Export!E425,'mapping Site table'!$B$4:$B$14,'mapping Site table'!$C$4:$C$14,Raw_LIMS_Export!E425)</f>
        <v>Dortmund DE</v>
      </c>
      <c r="E425" s="17" t="s">
        <v>2485</v>
      </c>
      <c r="F425" s="17">
        <f t="shared" si="19"/>
        <v>1</v>
      </c>
      <c r="G425" s="17" t="str">
        <f t="shared" si="20"/>
        <v>Fail</v>
      </c>
      <c r="H425" s="17" t="str">
        <f t="shared" si="18"/>
        <v>Fail</v>
      </c>
      <c r="I425" s="17">
        <v>-25.47</v>
      </c>
      <c r="J425" s="17" t="s">
        <v>2490</v>
      </c>
      <c r="K425" s="17">
        <v>0</v>
      </c>
      <c r="L425" s="17">
        <v>100</v>
      </c>
      <c r="M425" s="18">
        <f>Raw_LIMS_Export!K425</f>
        <v>46008</v>
      </c>
      <c r="N425" s="19" t="s">
        <v>2927</v>
      </c>
    </row>
    <row r="426" spans="1:14" x14ac:dyDescent="0.35">
      <c r="A426" s="16" t="s">
        <v>435</v>
      </c>
      <c r="B426" s="17" t="s">
        <v>2111</v>
      </c>
      <c r="C426" s="17" t="s">
        <v>2461</v>
      </c>
      <c r="D426" s="17" t="str">
        <f>_xlfn.XLOOKUP(Raw_LIMS_Export!E426,'mapping Site table'!$B$4:$B$14,'mapping Site table'!$C$4:$C$14,Raw_LIMS_Export!E426)</f>
        <v>Vernier CH</v>
      </c>
      <c r="E426" s="17" t="s">
        <v>2484</v>
      </c>
      <c r="F426" s="17">
        <f t="shared" si="19"/>
        <v>1</v>
      </c>
      <c r="G426" s="17" t="str">
        <f t="shared" si="20"/>
        <v>Pass</v>
      </c>
      <c r="H426" s="17" t="str">
        <f t="shared" si="18"/>
        <v>Pass</v>
      </c>
      <c r="I426" s="17">
        <v>6.59</v>
      </c>
      <c r="J426" s="17"/>
      <c r="K426" s="17">
        <v>6</v>
      </c>
      <c r="L426" s="17">
        <v>7.5</v>
      </c>
      <c r="M426" s="18">
        <f>Raw_LIMS_Export!K426</f>
        <v>45547</v>
      </c>
      <c r="N426" s="19" t="s">
        <v>2923</v>
      </c>
    </row>
    <row r="427" spans="1:14" x14ac:dyDescent="0.35">
      <c r="A427" s="16" t="s">
        <v>436</v>
      </c>
      <c r="B427" s="17" t="s">
        <v>2124</v>
      </c>
      <c r="C427" s="17" t="s">
        <v>2457</v>
      </c>
      <c r="D427" s="17" t="str">
        <f>_xlfn.XLOOKUP(Raw_LIMS_Export!E427,'mapping Site table'!$B$4:$B$14,'mapping Site table'!$C$4:$C$14,Raw_LIMS_Export!E427)</f>
        <v>Dortmund DE</v>
      </c>
      <c r="E427" s="17" t="s">
        <v>2484</v>
      </c>
      <c r="F427" s="17">
        <f t="shared" si="19"/>
        <v>1</v>
      </c>
      <c r="G427" s="17" t="str">
        <f t="shared" si="20"/>
        <v>Pass</v>
      </c>
      <c r="H427" s="17" t="str">
        <f t="shared" si="18"/>
        <v>Pass</v>
      </c>
      <c r="I427" s="17">
        <v>6.35</v>
      </c>
      <c r="J427" s="17"/>
      <c r="K427" s="17">
        <v>6</v>
      </c>
      <c r="L427" s="17">
        <v>7.5</v>
      </c>
      <c r="M427" s="18">
        <f>Raw_LIMS_Export!K427</f>
        <v>45733</v>
      </c>
      <c r="N427" s="19" t="s">
        <v>2932</v>
      </c>
    </row>
    <row r="428" spans="1:14" x14ac:dyDescent="0.35">
      <c r="A428" s="16" t="s">
        <v>437</v>
      </c>
      <c r="B428" s="17" t="s">
        <v>2097</v>
      </c>
      <c r="C428" s="17" t="s">
        <v>2457</v>
      </c>
      <c r="D428" s="17" t="str">
        <f>_xlfn.XLOOKUP(Raw_LIMS_Export!E428,'mapping Site table'!$B$4:$B$14,'mapping Site table'!$C$4:$C$14,Raw_LIMS_Export!E428)</f>
        <v>East Hanover</v>
      </c>
      <c r="E428" s="17" t="s">
        <v>2481</v>
      </c>
      <c r="F428" s="17">
        <f t="shared" si="19"/>
        <v>1</v>
      </c>
      <c r="G428" s="17" t="str">
        <f t="shared" si="20"/>
        <v>Pass</v>
      </c>
      <c r="H428" s="17" t="str">
        <f t="shared" si="18"/>
        <v>Pass</v>
      </c>
      <c r="I428" s="17">
        <v>276.92</v>
      </c>
      <c r="J428" s="17" t="s">
        <v>2488</v>
      </c>
      <c r="K428" s="17">
        <v>150</v>
      </c>
      <c r="L428" s="17">
        <v>400</v>
      </c>
      <c r="M428" s="18">
        <f>Raw_LIMS_Export!K428</f>
        <v>45826</v>
      </c>
      <c r="N428" s="19" t="s">
        <v>2926</v>
      </c>
    </row>
    <row r="429" spans="1:14" x14ac:dyDescent="0.35">
      <c r="A429" s="16" t="s">
        <v>438</v>
      </c>
      <c r="B429" s="17" t="s">
        <v>2140</v>
      </c>
      <c r="C429" s="17" t="s">
        <v>2460</v>
      </c>
      <c r="D429" s="17" t="str">
        <f>_xlfn.XLOOKUP(Raw_LIMS_Export!E429,'mapping Site table'!$B$4:$B$14,'mapping Site table'!$C$4:$C$14,Raw_LIMS_Export!E429)</f>
        <v>Budapest</v>
      </c>
      <c r="E429" s="17" t="s">
        <v>2484</v>
      </c>
      <c r="F429" s="17">
        <f t="shared" si="19"/>
        <v>1</v>
      </c>
      <c r="G429" s="17" t="str">
        <f t="shared" si="20"/>
        <v>Pass</v>
      </c>
      <c r="H429" s="17" t="str">
        <f t="shared" si="18"/>
        <v>Fail</v>
      </c>
      <c r="I429" s="17">
        <v>6.5</v>
      </c>
      <c r="J429" s="17"/>
      <c r="K429" s="17">
        <v>6</v>
      </c>
      <c r="L429" s="17">
        <v>7.5</v>
      </c>
      <c r="M429" s="18">
        <f>Raw_LIMS_Export!K429</f>
        <v>45891</v>
      </c>
      <c r="N429" s="19" t="s">
        <v>2927</v>
      </c>
    </row>
    <row r="430" spans="1:14" x14ac:dyDescent="0.35">
      <c r="A430" s="16" t="s">
        <v>439</v>
      </c>
      <c r="B430" s="17" t="s">
        <v>2019</v>
      </c>
      <c r="C430" s="17" t="s">
        <v>2461</v>
      </c>
      <c r="D430" s="17" t="str">
        <f>_xlfn.XLOOKUP(Raw_LIMS_Export!E430,'mapping Site table'!$B$4:$B$14,'mapping Site table'!$C$4:$C$14,Raw_LIMS_Export!E430)</f>
        <v>East Hanover</v>
      </c>
      <c r="E430" s="17" t="s">
        <v>2481</v>
      </c>
      <c r="F430" s="17">
        <f t="shared" si="19"/>
        <v>1</v>
      </c>
      <c r="G430" s="17" t="str">
        <f t="shared" si="20"/>
        <v>Pass</v>
      </c>
      <c r="H430" s="17" t="str">
        <f t="shared" si="18"/>
        <v>Pass</v>
      </c>
      <c r="I430" s="17">
        <v>174.65</v>
      </c>
      <c r="J430" s="17" t="s">
        <v>2488</v>
      </c>
      <c r="K430" s="17">
        <v>150</v>
      </c>
      <c r="L430" s="17">
        <v>400</v>
      </c>
      <c r="M430" s="18">
        <f>Raw_LIMS_Export!K430</f>
        <v>45881</v>
      </c>
      <c r="N430" s="19" t="s">
        <v>2932</v>
      </c>
    </row>
    <row r="431" spans="1:14" x14ac:dyDescent="0.35">
      <c r="A431" s="16" t="s">
        <v>440</v>
      </c>
      <c r="B431" s="17" t="s">
        <v>2308</v>
      </c>
      <c r="C431" s="17" t="s">
        <v>2457</v>
      </c>
      <c r="D431" s="17" t="str">
        <f>_xlfn.XLOOKUP(Raw_LIMS_Export!E431,'mapping Site table'!$B$4:$B$14,'mapping Site table'!$C$4:$C$14,Raw_LIMS_Export!E431)</f>
        <v>Budapest</v>
      </c>
      <c r="E431" s="17" t="s">
        <v>2483</v>
      </c>
      <c r="F431" s="17">
        <f t="shared" si="19"/>
        <v>1</v>
      </c>
      <c r="G431" s="17" t="str">
        <f t="shared" si="20"/>
        <v>Pass</v>
      </c>
      <c r="H431" s="17" t="str">
        <f t="shared" si="18"/>
        <v>Pass</v>
      </c>
      <c r="I431" s="17">
        <v>0.31</v>
      </c>
      <c r="J431" s="17" t="s">
        <v>2489</v>
      </c>
      <c r="K431" s="17">
        <v>0</v>
      </c>
      <c r="L431" s="17">
        <v>1</v>
      </c>
      <c r="M431" s="18">
        <f>Raw_LIMS_Export!K431</f>
        <v>45797</v>
      </c>
      <c r="N431" s="19" t="s">
        <v>2931</v>
      </c>
    </row>
    <row r="432" spans="1:14" x14ac:dyDescent="0.35">
      <c r="A432" s="16" t="s">
        <v>441</v>
      </c>
      <c r="B432" s="17" t="s">
        <v>2309</v>
      </c>
      <c r="C432" s="17" t="s">
        <v>2457</v>
      </c>
      <c r="D432" s="17" t="str">
        <f>_xlfn.XLOOKUP(Raw_LIMS_Export!E432,'mapping Site table'!$B$4:$B$14,'mapping Site table'!$C$4:$C$14,Raw_LIMS_Export!E432)</f>
        <v>Budapest</v>
      </c>
      <c r="E432" s="17" t="s">
        <v>2479</v>
      </c>
      <c r="F432" s="17">
        <f t="shared" si="19"/>
        <v>0</v>
      </c>
      <c r="G432" s="17" t="str">
        <f t="shared" si="20"/>
        <v>Missing</v>
      </c>
      <c r="H432" s="17" t="str">
        <f t="shared" si="18"/>
        <v>Fail</v>
      </c>
      <c r="I432" s="17"/>
      <c r="J432" s="17" t="s">
        <v>2486</v>
      </c>
      <c r="K432" s="17">
        <v>0</v>
      </c>
      <c r="L432" s="17">
        <v>120</v>
      </c>
      <c r="M432" s="18">
        <f>Raw_LIMS_Export!K432</f>
        <v>45826</v>
      </c>
      <c r="N432" s="19" t="s">
        <v>2923</v>
      </c>
    </row>
    <row r="433" spans="1:14" x14ac:dyDescent="0.35">
      <c r="A433" s="16" t="s">
        <v>442</v>
      </c>
      <c r="B433" s="17" t="s">
        <v>2011</v>
      </c>
      <c r="C433" s="17" t="s">
        <v>2457</v>
      </c>
      <c r="D433" s="17" t="str">
        <f>_xlfn.XLOOKUP(Raw_LIMS_Export!E433,'mapping Site table'!$B$4:$B$14,'mapping Site table'!$C$4:$C$14,Raw_LIMS_Export!E433)</f>
        <v>Ashford UK</v>
      </c>
      <c r="E433" s="17" t="s">
        <v>2485</v>
      </c>
      <c r="F433" s="17">
        <f t="shared" si="19"/>
        <v>1</v>
      </c>
      <c r="G433" s="17" t="str">
        <f t="shared" si="20"/>
        <v>Pass</v>
      </c>
      <c r="H433" s="17" t="str">
        <f t="shared" si="18"/>
        <v>Pending</v>
      </c>
      <c r="I433" s="17">
        <v>24.68</v>
      </c>
      <c r="J433" s="17" t="s">
        <v>2490</v>
      </c>
      <c r="K433" s="17">
        <v>0</v>
      </c>
      <c r="L433" s="17">
        <v>100</v>
      </c>
      <c r="M433" s="18">
        <f>Raw_LIMS_Export!K433</f>
        <v>45350</v>
      </c>
      <c r="N433" s="19" t="s">
        <v>2926</v>
      </c>
    </row>
    <row r="434" spans="1:14" x14ac:dyDescent="0.35">
      <c r="A434" s="16" t="s">
        <v>443</v>
      </c>
      <c r="B434" s="17" t="s">
        <v>2310</v>
      </c>
      <c r="C434" s="17" t="s">
        <v>2461</v>
      </c>
      <c r="D434" s="17" t="str">
        <f>_xlfn.XLOOKUP(Raw_LIMS_Export!E434,'mapping Site table'!$B$4:$B$14,'mapping Site table'!$C$4:$C$14,Raw_LIMS_Export!E434)</f>
        <v>East Hanover</v>
      </c>
      <c r="E434" s="17" t="s">
        <v>2479</v>
      </c>
      <c r="F434" s="17">
        <f t="shared" si="19"/>
        <v>0</v>
      </c>
      <c r="G434" s="17" t="str">
        <f t="shared" si="20"/>
        <v>Missing</v>
      </c>
      <c r="H434" s="17" t="str">
        <f t="shared" si="18"/>
        <v>Pending</v>
      </c>
      <c r="I434" s="17"/>
      <c r="J434" s="17" t="s">
        <v>2486</v>
      </c>
      <c r="K434" s="17">
        <v>0</v>
      </c>
      <c r="L434" s="17">
        <v>120</v>
      </c>
      <c r="M434" s="18">
        <f>Raw_LIMS_Export!K434</f>
        <v>45390</v>
      </c>
      <c r="N434" s="19" t="s">
        <v>2924</v>
      </c>
    </row>
    <row r="435" spans="1:14" x14ac:dyDescent="0.35">
      <c r="A435" s="16" t="s">
        <v>444</v>
      </c>
      <c r="B435" s="17" t="s">
        <v>2311</v>
      </c>
      <c r="C435" s="17" t="s">
        <v>2459</v>
      </c>
      <c r="D435" s="17" t="str">
        <f>_xlfn.XLOOKUP(Raw_LIMS_Export!E435,'mapping Site table'!$B$4:$B$14,'mapping Site table'!$C$4:$C$14,Raw_LIMS_Export!E435)</f>
        <v>East Hanover</v>
      </c>
      <c r="E435" s="17" t="s">
        <v>2480</v>
      </c>
      <c r="F435" s="17">
        <f t="shared" si="19"/>
        <v>1</v>
      </c>
      <c r="G435" s="17" t="str">
        <f t="shared" si="20"/>
        <v>Pass</v>
      </c>
      <c r="H435" s="17" t="str">
        <f t="shared" si="18"/>
        <v>Fail</v>
      </c>
      <c r="I435" s="17">
        <v>0.93</v>
      </c>
      <c r="J435" s="17" t="s">
        <v>2487</v>
      </c>
      <c r="K435" s="17">
        <v>0.88</v>
      </c>
      <c r="L435" s="17">
        <v>0.97</v>
      </c>
      <c r="M435" s="18">
        <f>Raw_LIMS_Export!K435</f>
        <v>45958</v>
      </c>
      <c r="N435" s="19" t="s">
        <v>2925</v>
      </c>
    </row>
    <row r="436" spans="1:14" x14ac:dyDescent="0.35">
      <c r="A436" s="16" t="s">
        <v>445</v>
      </c>
      <c r="B436" s="17" t="s">
        <v>2039</v>
      </c>
      <c r="C436" s="17" t="s">
        <v>2458</v>
      </c>
      <c r="D436" s="17" t="str">
        <f>_xlfn.XLOOKUP(Raw_LIMS_Export!E436,'mapping Site table'!$B$4:$B$14,'mapping Site table'!$C$4:$C$14,Raw_LIMS_Export!E436)</f>
        <v>Budapest</v>
      </c>
      <c r="E436" s="17" t="s">
        <v>2481</v>
      </c>
      <c r="F436" s="17">
        <f t="shared" si="19"/>
        <v>1</v>
      </c>
      <c r="G436" s="17" t="str">
        <f t="shared" si="20"/>
        <v>Pass</v>
      </c>
      <c r="H436" s="17" t="str">
        <f t="shared" si="18"/>
        <v>Fail</v>
      </c>
      <c r="I436" s="17">
        <v>252.9</v>
      </c>
      <c r="J436" s="17" t="s">
        <v>2488</v>
      </c>
      <c r="K436" s="17">
        <v>150</v>
      </c>
      <c r="L436" s="17">
        <v>400</v>
      </c>
      <c r="M436" s="18">
        <f>Raw_LIMS_Export!K436</f>
        <v>45969</v>
      </c>
      <c r="N436" s="19" t="s">
        <v>2929</v>
      </c>
    </row>
    <row r="437" spans="1:14" x14ac:dyDescent="0.35">
      <c r="A437" s="16" t="s">
        <v>446</v>
      </c>
      <c r="B437" s="17" t="s">
        <v>2312</v>
      </c>
      <c r="C437" s="17" t="s">
        <v>2461</v>
      </c>
      <c r="D437" s="17" t="str">
        <f>_xlfn.XLOOKUP(Raw_LIMS_Export!E437,'mapping Site table'!$B$4:$B$14,'mapping Site table'!$C$4:$C$14,Raw_LIMS_Export!E437)</f>
        <v>Ashford UK</v>
      </c>
      <c r="E437" s="17" t="s">
        <v>2479</v>
      </c>
      <c r="F437" s="17">
        <f t="shared" si="19"/>
        <v>1</v>
      </c>
      <c r="G437" s="17" t="str">
        <f t="shared" si="20"/>
        <v>Pass</v>
      </c>
      <c r="H437" s="17" t="str">
        <f t="shared" si="18"/>
        <v>Pass</v>
      </c>
      <c r="I437" s="17">
        <v>29.03</v>
      </c>
      <c r="J437" s="17" t="s">
        <v>2486</v>
      </c>
      <c r="K437" s="17">
        <v>0</v>
      </c>
      <c r="L437" s="17">
        <v>120</v>
      </c>
      <c r="M437" s="18">
        <f>Raw_LIMS_Export!K437</f>
        <v>45344</v>
      </c>
      <c r="N437" s="19" t="s">
        <v>2925</v>
      </c>
    </row>
    <row r="438" spans="1:14" x14ac:dyDescent="0.35">
      <c r="A438" s="16" t="s">
        <v>447</v>
      </c>
      <c r="B438" s="17" t="s">
        <v>2313</v>
      </c>
      <c r="C438" s="17" t="s">
        <v>2459</v>
      </c>
      <c r="D438" s="17" t="str">
        <f>_xlfn.XLOOKUP(Raw_LIMS_Export!E438,'mapping Site table'!$B$4:$B$14,'mapping Site table'!$C$4:$C$14,Raw_LIMS_Export!E438)</f>
        <v>Budapest</v>
      </c>
      <c r="E438" s="17" t="s">
        <v>2481</v>
      </c>
      <c r="F438" s="17">
        <f t="shared" si="19"/>
        <v>1</v>
      </c>
      <c r="G438" s="17" t="str">
        <f t="shared" si="20"/>
        <v>Fail</v>
      </c>
      <c r="H438" s="17" t="str">
        <f t="shared" si="18"/>
        <v>Fail</v>
      </c>
      <c r="I438" s="17">
        <v>520</v>
      </c>
      <c r="J438" s="17" t="s">
        <v>2488</v>
      </c>
      <c r="K438" s="17">
        <v>150</v>
      </c>
      <c r="L438" s="17">
        <v>400</v>
      </c>
      <c r="M438" s="18">
        <f>Raw_LIMS_Export!K438</f>
        <v>45742</v>
      </c>
      <c r="N438" s="19" t="s">
        <v>2928</v>
      </c>
    </row>
    <row r="439" spans="1:14" x14ac:dyDescent="0.35">
      <c r="A439" s="16" t="s">
        <v>448</v>
      </c>
      <c r="B439" s="17" t="s">
        <v>2282</v>
      </c>
      <c r="C439" s="17" t="s">
        <v>2459</v>
      </c>
      <c r="D439" s="17" t="str">
        <f>_xlfn.XLOOKUP(Raw_LIMS_Export!E439,'mapping Site table'!$B$4:$B$14,'mapping Site table'!$C$4:$C$14,Raw_LIMS_Export!E439)</f>
        <v>Dortmund DE</v>
      </c>
      <c r="E439" s="17" t="s">
        <v>2482</v>
      </c>
      <c r="F439" s="17">
        <f t="shared" si="19"/>
        <v>1</v>
      </c>
      <c r="G439" s="17" t="str">
        <f t="shared" si="20"/>
        <v>Pass</v>
      </c>
      <c r="H439" s="17" t="str">
        <f t="shared" si="18"/>
        <v>Pass</v>
      </c>
      <c r="I439" s="17">
        <v>97.22</v>
      </c>
      <c r="J439" s="17" t="s">
        <v>2489</v>
      </c>
      <c r="K439" s="17">
        <v>97</v>
      </c>
      <c r="L439" s="17">
        <v>100</v>
      </c>
      <c r="M439" s="18">
        <f>Raw_LIMS_Export!K439</f>
        <v>45367</v>
      </c>
      <c r="N439" s="19" t="s">
        <v>2925</v>
      </c>
    </row>
    <row r="440" spans="1:14" x14ac:dyDescent="0.35">
      <c r="A440" s="16" t="s">
        <v>449</v>
      </c>
      <c r="B440" s="17" t="s">
        <v>2314</v>
      </c>
      <c r="C440" s="17" t="s">
        <v>2460</v>
      </c>
      <c r="D440" s="17" t="str">
        <f>_xlfn.XLOOKUP(Raw_LIMS_Export!E440,'mapping Site table'!$B$4:$B$14,'mapping Site table'!$C$4:$C$14,Raw_LIMS_Export!E440)</f>
        <v>Ashford UK</v>
      </c>
      <c r="E440" s="17" t="s">
        <v>2481</v>
      </c>
      <c r="F440" s="17">
        <f t="shared" si="19"/>
        <v>1</v>
      </c>
      <c r="G440" s="17" t="str">
        <f t="shared" si="20"/>
        <v>Pass</v>
      </c>
      <c r="H440" s="17" t="str">
        <f t="shared" si="18"/>
        <v>Fail</v>
      </c>
      <c r="I440" s="17">
        <v>230.04</v>
      </c>
      <c r="J440" s="17" t="s">
        <v>2488</v>
      </c>
      <c r="K440" s="17">
        <v>150</v>
      </c>
      <c r="L440" s="17">
        <v>400</v>
      </c>
      <c r="M440" s="18">
        <f>Raw_LIMS_Export!K440</f>
        <v>45671</v>
      </c>
      <c r="N440" s="19" t="s">
        <v>2931</v>
      </c>
    </row>
    <row r="441" spans="1:14" x14ac:dyDescent="0.35">
      <c r="A441" s="16" t="s">
        <v>450</v>
      </c>
      <c r="B441" s="17" t="s">
        <v>2315</v>
      </c>
      <c r="C441" s="17" t="s">
        <v>2460</v>
      </c>
      <c r="D441" s="17" t="str">
        <f>_xlfn.XLOOKUP(Raw_LIMS_Export!E441,'mapping Site table'!$B$4:$B$14,'mapping Site table'!$C$4:$C$14,Raw_LIMS_Export!E441)</f>
        <v>Vernier CH</v>
      </c>
      <c r="E441" s="17" t="s">
        <v>2479</v>
      </c>
      <c r="F441" s="17">
        <f t="shared" si="19"/>
        <v>1</v>
      </c>
      <c r="G441" s="17" t="str">
        <f t="shared" si="20"/>
        <v>Pass</v>
      </c>
      <c r="H441" s="17" t="str">
        <f t="shared" si="18"/>
        <v>Pass</v>
      </c>
      <c r="I441" s="17">
        <v>70.540000000000006</v>
      </c>
      <c r="J441" s="17" t="s">
        <v>2486</v>
      </c>
      <c r="K441" s="17">
        <v>0</v>
      </c>
      <c r="L441" s="17">
        <v>120</v>
      </c>
      <c r="M441" s="18">
        <f>Raw_LIMS_Export!K441</f>
        <v>46011</v>
      </c>
      <c r="N441" s="19" t="s">
        <v>2926</v>
      </c>
    </row>
    <row r="442" spans="1:14" x14ac:dyDescent="0.35">
      <c r="A442" s="16" t="s">
        <v>451</v>
      </c>
      <c r="B442" s="17" t="s">
        <v>2304</v>
      </c>
      <c r="C442" s="17" t="s">
        <v>2460</v>
      </c>
      <c r="D442" s="17" t="str">
        <f>_xlfn.XLOOKUP(Raw_LIMS_Export!E442,'mapping Site table'!$B$4:$B$14,'mapping Site table'!$C$4:$C$14,Raw_LIMS_Export!E442)</f>
        <v>East Hanover</v>
      </c>
      <c r="E442" s="17" t="s">
        <v>2480</v>
      </c>
      <c r="F442" s="17">
        <f t="shared" si="19"/>
        <v>1</v>
      </c>
      <c r="G442" s="17" t="str">
        <f t="shared" si="20"/>
        <v>Pass</v>
      </c>
      <c r="H442" s="17" t="str">
        <f t="shared" si="18"/>
        <v>Pass</v>
      </c>
      <c r="I442" s="17">
        <v>0.89</v>
      </c>
      <c r="J442" s="17" t="s">
        <v>2487</v>
      </c>
      <c r="K442" s="17">
        <v>0.88</v>
      </c>
      <c r="L442" s="17">
        <v>0.97</v>
      </c>
      <c r="M442" s="18">
        <f>Raw_LIMS_Export!K442</f>
        <v>45398</v>
      </c>
      <c r="N442" s="19" t="s">
        <v>2923</v>
      </c>
    </row>
    <row r="443" spans="1:14" x14ac:dyDescent="0.35">
      <c r="A443" s="16" t="s">
        <v>452</v>
      </c>
      <c r="B443" s="17" t="s">
        <v>2316</v>
      </c>
      <c r="C443" s="17" t="s">
        <v>2460</v>
      </c>
      <c r="D443" s="17" t="str">
        <f>_xlfn.XLOOKUP(Raw_LIMS_Export!E443,'mapping Site table'!$B$4:$B$14,'mapping Site table'!$C$4:$C$14,Raw_LIMS_Export!E443)</f>
        <v>Dortmund DE</v>
      </c>
      <c r="E443" s="17" t="s">
        <v>2480</v>
      </c>
      <c r="F443" s="17">
        <f t="shared" si="19"/>
        <v>1</v>
      </c>
      <c r="G443" s="17" t="str">
        <f t="shared" si="20"/>
        <v>Pass</v>
      </c>
      <c r="H443" s="17" t="str">
        <f t="shared" si="18"/>
        <v>Fail</v>
      </c>
      <c r="I443" s="17">
        <v>0.93</v>
      </c>
      <c r="J443" s="17" t="s">
        <v>2487</v>
      </c>
      <c r="K443" s="17">
        <v>0.88</v>
      </c>
      <c r="L443" s="17">
        <v>0.97</v>
      </c>
      <c r="M443" s="18">
        <f>Raw_LIMS_Export!K443</f>
        <v>45524</v>
      </c>
      <c r="N443" s="19" t="s">
        <v>2924</v>
      </c>
    </row>
    <row r="444" spans="1:14" x14ac:dyDescent="0.35">
      <c r="A444" s="16" t="s">
        <v>453</v>
      </c>
      <c r="B444" s="17" t="s">
        <v>2215</v>
      </c>
      <c r="C444" s="17" t="s">
        <v>2459</v>
      </c>
      <c r="D444" s="17" t="str">
        <f>_xlfn.XLOOKUP(Raw_LIMS_Export!E444,'mapping Site table'!$B$4:$B$14,'mapping Site table'!$C$4:$C$14,Raw_LIMS_Export!E444)</f>
        <v>East Hanover</v>
      </c>
      <c r="E444" s="17" t="s">
        <v>2480</v>
      </c>
      <c r="F444" s="17">
        <f t="shared" si="19"/>
        <v>1</v>
      </c>
      <c r="G444" s="17" t="str">
        <f t="shared" si="20"/>
        <v>Pass</v>
      </c>
      <c r="H444" s="17" t="str">
        <f t="shared" si="18"/>
        <v>Pass</v>
      </c>
      <c r="I444" s="17">
        <v>0.91</v>
      </c>
      <c r="J444" s="17" t="s">
        <v>2487</v>
      </c>
      <c r="K444" s="17">
        <v>0.88</v>
      </c>
      <c r="L444" s="17">
        <v>0.97</v>
      </c>
      <c r="M444" s="18">
        <f>Raw_LIMS_Export!K444</f>
        <v>45945</v>
      </c>
      <c r="N444" s="19" t="s">
        <v>2931</v>
      </c>
    </row>
    <row r="445" spans="1:14" x14ac:dyDescent="0.35">
      <c r="A445" s="16" t="s">
        <v>454</v>
      </c>
      <c r="B445" s="17" t="s">
        <v>2282</v>
      </c>
      <c r="C445" s="17" t="s">
        <v>2459</v>
      </c>
      <c r="D445" s="17" t="str">
        <f>_xlfn.XLOOKUP(Raw_LIMS_Export!E445,'mapping Site table'!$B$4:$B$14,'mapping Site table'!$C$4:$C$14,Raw_LIMS_Export!E445)</f>
        <v>Dortmund DE</v>
      </c>
      <c r="E445" s="17" t="s">
        <v>2479</v>
      </c>
      <c r="F445" s="17">
        <f t="shared" si="19"/>
        <v>1</v>
      </c>
      <c r="G445" s="17" t="str">
        <f t="shared" si="20"/>
        <v>Pass</v>
      </c>
      <c r="H445" s="17" t="str">
        <f t="shared" si="18"/>
        <v>Pass</v>
      </c>
      <c r="I445" s="17">
        <v>84.93</v>
      </c>
      <c r="J445" s="17" t="s">
        <v>2486</v>
      </c>
      <c r="K445" s="17">
        <v>0</v>
      </c>
      <c r="L445" s="17">
        <v>120</v>
      </c>
      <c r="M445" s="18">
        <f>Raw_LIMS_Export!K445</f>
        <v>45367</v>
      </c>
      <c r="N445" s="19" t="s">
        <v>2923</v>
      </c>
    </row>
    <row r="446" spans="1:14" x14ac:dyDescent="0.35">
      <c r="A446" s="16" t="s">
        <v>455</v>
      </c>
      <c r="B446" s="17" t="s">
        <v>2188</v>
      </c>
      <c r="C446" s="17" t="s">
        <v>2457</v>
      </c>
      <c r="D446" s="17" t="str">
        <f>_xlfn.XLOOKUP(Raw_LIMS_Export!E446,'mapping Site table'!$B$4:$B$14,'mapping Site table'!$C$4:$C$14,Raw_LIMS_Export!E446)</f>
        <v>Ashford UK</v>
      </c>
      <c r="E446" s="17" t="s">
        <v>2484</v>
      </c>
      <c r="F446" s="17">
        <f t="shared" si="19"/>
        <v>1</v>
      </c>
      <c r="G446" s="17" t="str">
        <f t="shared" si="20"/>
        <v>Pass</v>
      </c>
      <c r="H446" s="17" t="str">
        <f t="shared" si="18"/>
        <v>Pass</v>
      </c>
      <c r="I446" s="17">
        <v>6.4</v>
      </c>
      <c r="J446" s="17"/>
      <c r="K446" s="17">
        <v>6</v>
      </c>
      <c r="L446" s="17">
        <v>7.5</v>
      </c>
      <c r="M446" s="18">
        <f>Raw_LIMS_Export!K446</f>
        <v>45916</v>
      </c>
      <c r="N446" s="19" t="s">
        <v>2929</v>
      </c>
    </row>
    <row r="447" spans="1:14" x14ac:dyDescent="0.35">
      <c r="A447" s="16" t="s">
        <v>456</v>
      </c>
      <c r="B447" s="17" t="s">
        <v>2129</v>
      </c>
      <c r="C447" s="17" t="s">
        <v>2461</v>
      </c>
      <c r="D447" s="17" t="str">
        <f>_xlfn.XLOOKUP(Raw_LIMS_Export!E447,'mapping Site table'!$B$4:$B$14,'mapping Site table'!$C$4:$C$14,Raw_LIMS_Export!E447)</f>
        <v>Dortmund DE</v>
      </c>
      <c r="E447" s="17" t="s">
        <v>2484</v>
      </c>
      <c r="F447" s="17">
        <f t="shared" si="19"/>
        <v>1</v>
      </c>
      <c r="G447" s="17" t="str">
        <f t="shared" si="20"/>
        <v>Pass</v>
      </c>
      <c r="H447" s="17" t="str">
        <f t="shared" si="18"/>
        <v>Pass</v>
      </c>
      <c r="I447" s="17">
        <v>7.02</v>
      </c>
      <c r="J447" s="17"/>
      <c r="K447" s="17">
        <v>6</v>
      </c>
      <c r="L447" s="17">
        <v>7.5</v>
      </c>
      <c r="M447" s="18">
        <f>Raw_LIMS_Export!K447</f>
        <v>45617</v>
      </c>
      <c r="N447" s="19" t="s">
        <v>2930</v>
      </c>
    </row>
    <row r="448" spans="1:14" x14ac:dyDescent="0.35">
      <c r="A448" s="16" t="s">
        <v>457</v>
      </c>
      <c r="B448" s="17" t="s">
        <v>2237</v>
      </c>
      <c r="C448" s="17" t="s">
        <v>2458</v>
      </c>
      <c r="D448" s="17" t="str">
        <f>_xlfn.XLOOKUP(Raw_LIMS_Export!E448,'mapping Site table'!$B$4:$B$14,'mapping Site table'!$C$4:$C$14,Raw_LIMS_Export!E448)</f>
        <v>Vernier CH</v>
      </c>
      <c r="E448" s="17" t="s">
        <v>2481</v>
      </c>
      <c r="F448" s="17">
        <f t="shared" si="19"/>
        <v>1</v>
      </c>
      <c r="G448" s="17" t="str">
        <f t="shared" si="20"/>
        <v>Pass</v>
      </c>
      <c r="H448" s="17" t="str">
        <f t="shared" si="18"/>
        <v>Pass</v>
      </c>
      <c r="I448" s="17">
        <v>228.45</v>
      </c>
      <c r="J448" s="17" t="s">
        <v>2488</v>
      </c>
      <c r="K448" s="17">
        <v>150</v>
      </c>
      <c r="L448" s="17">
        <v>400</v>
      </c>
      <c r="M448" s="18">
        <f>Raw_LIMS_Export!K448</f>
        <v>45697</v>
      </c>
      <c r="N448" s="19" t="s">
        <v>2929</v>
      </c>
    </row>
    <row r="449" spans="1:14" x14ac:dyDescent="0.35">
      <c r="A449" s="16" t="s">
        <v>458</v>
      </c>
      <c r="B449" s="17" t="s">
        <v>2317</v>
      </c>
      <c r="C449" s="17" t="s">
        <v>2457</v>
      </c>
      <c r="D449" s="17" t="str">
        <f>_xlfn.XLOOKUP(Raw_LIMS_Export!E449,'mapping Site table'!$B$4:$B$14,'mapping Site table'!$C$4:$C$14,Raw_LIMS_Export!E449)</f>
        <v>East Hanover</v>
      </c>
      <c r="E449" s="17" t="s">
        <v>2484</v>
      </c>
      <c r="F449" s="17">
        <f t="shared" si="19"/>
        <v>1</v>
      </c>
      <c r="G449" s="17" t="str">
        <f t="shared" si="20"/>
        <v>Fail</v>
      </c>
      <c r="H449" s="17" t="str">
        <f t="shared" si="18"/>
        <v>Fail</v>
      </c>
      <c r="I449" s="17">
        <v>8.6999999999999993</v>
      </c>
      <c r="J449" s="17"/>
      <c r="K449" s="17">
        <v>6</v>
      </c>
      <c r="L449" s="17">
        <v>7.5</v>
      </c>
      <c r="M449" s="18">
        <f>Raw_LIMS_Export!K449</f>
        <v>45786</v>
      </c>
      <c r="N449" s="19" t="s">
        <v>2929</v>
      </c>
    </row>
    <row r="450" spans="1:14" x14ac:dyDescent="0.35">
      <c r="A450" s="16" t="s">
        <v>459</v>
      </c>
      <c r="B450" s="17" t="s">
        <v>2318</v>
      </c>
      <c r="C450" s="17" t="s">
        <v>2461</v>
      </c>
      <c r="D450" s="17" t="str">
        <f>_xlfn.XLOOKUP(Raw_LIMS_Export!E450,'mapping Site table'!$B$4:$B$14,'mapping Site table'!$C$4:$C$14,Raw_LIMS_Export!E450)</f>
        <v>Budapest</v>
      </c>
      <c r="E450" s="17" t="s">
        <v>2485</v>
      </c>
      <c r="F450" s="17">
        <f t="shared" si="19"/>
        <v>1</v>
      </c>
      <c r="G450" s="17" t="str">
        <f t="shared" si="20"/>
        <v>Pass</v>
      </c>
      <c r="H450" s="17" t="str">
        <f t="shared" ref="H450:H513" si="21">IF(COUNTIFS($B$2:$B$2016,B450,$G$2:$G$2016,"Fail")&gt;0,"Fail",
  IF(COUNTIFS($B$2:$B$2016,B450,$G$2:$G$2016,"Missing")&gt;0,"Pending",
    "Pass"))</f>
        <v>Pass</v>
      </c>
      <c r="I450" s="17">
        <v>14.67</v>
      </c>
      <c r="J450" s="17" t="s">
        <v>2490</v>
      </c>
      <c r="K450" s="17">
        <v>0</v>
      </c>
      <c r="L450" s="17">
        <v>100</v>
      </c>
      <c r="M450" s="18">
        <f>Raw_LIMS_Export!K450</f>
        <v>45458</v>
      </c>
      <c r="N450" s="19" t="s">
        <v>2932</v>
      </c>
    </row>
    <row r="451" spans="1:14" x14ac:dyDescent="0.35">
      <c r="A451" s="16" t="s">
        <v>460</v>
      </c>
      <c r="B451" s="17" t="s">
        <v>2319</v>
      </c>
      <c r="C451" s="17" t="s">
        <v>2458</v>
      </c>
      <c r="D451" s="17" t="str">
        <f>_xlfn.XLOOKUP(Raw_LIMS_Export!E451,'mapping Site table'!$B$4:$B$14,'mapping Site table'!$C$4:$C$14,Raw_LIMS_Export!E451)</f>
        <v>Dortmund DE</v>
      </c>
      <c r="E451" s="17" t="s">
        <v>2482</v>
      </c>
      <c r="F451" s="17">
        <f t="shared" ref="F451:F514" si="22">IF(I451="",0,1)</f>
        <v>1</v>
      </c>
      <c r="G451" s="17" t="str">
        <f t="shared" ref="G451:G514" si="23">IF(I451="", "Missing", IF(AND(I451&gt;=K451, I451&lt;=L451), "Pass", "Fail"))</f>
        <v>Pass</v>
      </c>
      <c r="H451" s="17" t="str">
        <f t="shared" si="21"/>
        <v>Pass</v>
      </c>
      <c r="I451" s="17">
        <v>97.38</v>
      </c>
      <c r="J451" s="17" t="s">
        <v>2489</v>
      </c>
      <c r="K451" s="17">
        <v>97</v>
      </c>
      <c r="L451" s="17">
        <v>100</v>
      </c>
      <c r="M451" s="18">
        <f>Raw_LIMS_Export!K451</f>
        <v>45477</v>
      </c>
      <c r="N451" s="19" t="s">
        <v>2925</v>
      </c>
    </row>
    <row r="452" spans="1:14" x14ac:dyDescent="0.35">
      <c r="A452" s="16" t="s">
        <v>461</v>
      </c>
      <c r="B452" s="17" t="s">
        <v>2237</v>
      </c>
      <c r="C452" s="17" t="s">
        <v>2458</v>
      </c>
      <c r="D452" s="17" t="str">
        <f>_xlfn.XLOOKUP(Raw_LIMS_Export!E452,'mapping Site table'!$B$4:$B$14,'mapping Site table'!$C$4:$C$14,Raw_LIMS_Export!E452)</f>
        <v>Vernier CH</v>
      </c>
      <c r="E452" s="17" t="s">
        <v>2482</v>
      </c>
      <c r="F452" s="17">
        <f t="shared" si="22"/>
        <v>1</v>
      </c>
      <c r="G452" s="17" t="str">
        <f t="shared" si="23"/>
        <v>Pass</v>
      </c>
      <c r="H452" s="17" t="str">
        <f t="shared" si="21"/>
        <v>Pass</v>
      </c>
      <c r="I452" s="17">
        <v>98.92</v>
      </c>
      <c r="J452" s="17" t="s">
        <v>2489</v>
      </c>
      <c r="K452" s="17">
        <v>97</v>
      </c>
      <c r="L452" s="17">
        <v>100</v>
      </c>
      <c r="M452" s="18">
        <f>Raw_LIMS_Export!K452</f>
        <v>45697</v>
      </c>
      <c r="N452" s="19" t="s">
        <v>2932</v>
      </c>
    </row>
    <row r="453" spans="1:14" x14ac:dyDescent="0.35">
      <c r="A453" s="16" t="s">
        <v>462</v>
      </c>
      <c r="B453" s="17" t="s">
        <v>2320</v>
      </c>
      <c r="C453" s="17" t="s">
        <v>2457</v>
      </c>
      <c r="D453" s="17" t="str">
        <f>_xlfn.XLOOKUP(Raw_LIMS_Export!E453,'mapping Site table'!$B$4:$B$14,'mapping Site table'!$C$4:$C$14,Raw_LIMS_Export!E453)</f>
        <v>East Hanover</v>
      </c>
      <c r="E453" s="17" t="s">
        <v>2485</v>
      </c>
      <c r="F453" s="17">
        <f t="shared" si="22"/>
        <v>1</v>
      </c>
      <c r="G453" s="17" t="str">
        <f t="shared" si="23"/>
        <v>Pass</v>
      </c>
      <c r="H453" s="17" t="str">
        <f t="shared" si="21"/>
        <v>Pass</v>
      </c>
      <c r="I453" s="17">
        <v>55.82</v>
      </c>
      <c r="J453" s="17" t="s">
        <v>2490</v>
      </c>
      <c r="K453" s="17">
        <v>0</v>
      </c>
      <c r="L453" s="17">
        <v>100</v>
      </c>
      <c r="M453" s="18">
        <f>Raw_LIMS_Export!K453</f>
        <v>45595</v>
      </c>
      <c r="N453" s="19" t="s">
        <v>2931</v>
      </c>
    </row>
    <row r="454" spans="1:14" x14ac:dyDescent="0.35">
      <c r="A454" s="16" t="s">
        <v>463</v>
      </c>
      <c r="B454" s="17" t="s">
        <v>2096</v>
      </c>
      <c r="C454" s="17" t="s">
        <v>2460</v>
      </c>
      <c r="D454" s="17" t="str">
        <f>_xlfn.XLOOKUP(Raw_LIMS_Export!E454,'mapping Site table'!$B$4:$B$14,'mapping Site table'!$C$4:$C$14,Raw_LIMS_Export!E454)</f>
        <v>East Hanover</v>
      </c>
      <c r="E454" s="17" t="s">
        <v>2481</v>
      </c>
      <c r="F454" s="17">
        <f t="shared" si="22"/>
        <v>1</v>
      </c>
      <c r="G454" s="17" t="str">
        <f t="shared" si="23"/>
        <v>Pass</v>
      </c>
      <c r="H454" s="17" t="str">
        <f t="shared" si="21"/>
        <v>Pass</v>
      </c>
      <c r="I454" s="17">
        <v>260.11</v>
      </c>
      <c r="J454" s="17" t="s">
        <v>2488</v>
      </c>
      <c r="K454" s="17">
        <v>150</v>
      </c>
      <c r="L454" s="17">
        <v>400</v>
      </c>
      <c r="M454" s="18">
        <f>Raw_LIMS_Export!K454</f>
        <v>45385</v>
      </c>
      <c r="N454" s="19" t="s">
        <v>2929</v>
      </c>
    </row>
    <row r="455" spans="1:14" x14ac:dyDescent="0.35">
      <c r="A455" s="16" t="s">
        <v>464</v>
      </c>
      <c r="B455" s="17" t="s">
        <v>2025</v>
      </c>
      <c r="C455" s="17" t="s">
        <v>2458</v>
      </c>
      <c r="D455" s="17" t="str">
        <f>_xlfn.XLOOKUP(Raw_LIMS_Export!E455,'mapping Site table'!$B$4:$B$14,'mapping Site table'!$C$4:$C$14,Raw_LIMS_Export!E455)</f>
        <v>East Hanover</v>
      </c>
      <c r="E455" s="17" t="s">
        <v>2485</v>
      </c>
      <c r="F455" s="17">
        <f t="shared" si="22"/>
        <v>1</v>
      </c>
      <c r="G455" s="17" t="str">
        <f t="shared" si="23"/>
        <v>Pass</v>
      </c>
      <c r="H455" s="17" t="str">
        <f t="shared" si="21"/>
        <v>Fail</v>
      </c>
      <c r="I455" s="17">
        <v>63.2</v>
      </c>
      <c r="J455" s="17" t="s">
        <v>2490</v>
      </c>
      <c r="K455" s="17">
        <v>0</v>
      </c>
      <c r="L455" s="17">
        <v>100</v>
      </c>
      <c r="M455" s="18">
        <f>Raw_LIMS_Export!K455</f>
        <v>45351</v>
      </c>
      <c r="N455" s="19" t="s">
        <v>2932</v>
      </c>
    </row>
    <row r="456" spans="1:14" x14ac:dyDescent="0.35">
      <c r="A456" s="16" t="s">
        <v>465</v>
      </c>
      <c r="B456" s="17" t="s">
        <v>2029</v>
      </c>
      <c r="C456" s="17" t="s">
        <v>2459</v>
      </c>
      <c r="D456" s="17" t="str">
        <f>_xlfn.XLOOKUP(Raw_LIMS_Export!E456,'mapping Site table'!$B$4:$B$14,'mapping Site table'!$C$4:$C$14,Raw_LIMS_Export!E456)</f>
        <v>Dortmund DE</v>
      </c>
      <c r="E456" s="17" t="s">
        <v>2482</v>
      </c>
      <c r="F456" s="17">
        <f t="shared" si="22"/>
        <v>1</v>
      </c>
      <c r="G456" s="17" t="str">
        <f t="shared" si="23"/>
        <v>Pass</v>
      </c>
      <c r="H456" s="17" t="str">
        <f t="shared" si="21"/>
        <v>Pass</v>
      </c>
      <c r="I456" s="17">
        <v>98.79</v>
      </c>
      <c r="J456" s="17" t="s">
        <v>2489</v>
      </c>
      <c r="K456" s="17">
        <v>97</v>
      </c>
      <c r="L456" s="17">
        <v>100</v>
      </c>
      <c r="M456" s="18">
        <f>Raw_LIMS_Export!K456</f>
        <v>45740</v>
      </c>
      <c r="N456" s="19" t="s">
        <v>2932</v>
      </c>
    </row>
    <row r="457" spans="1:14" x14ac:dyDescent="0.35">
      <c r="A457" s="16" t="s">
        <v>466</v>
      </c>
      <c r="B457" s="17" t="s">
        <v>2132</v>
      </c>
      <c r="C457" s="17" t="s">
        <v>2457</v>
      </c>
      <c r="D457" s="17" t="str">
        <f>_xlfn.XLOOKUP(Raw_LIMS_Export!E457,'mapping Site table'!$B$4:$B$14,'mapping Site table'!$C$4:$C$14,Raw_LIMS_Export!E457)</f>
        <v>Budapest</v>
      </c>
      <c r="E457" s="17" t="s">
        <v>2485</v>
      </c>
      <c r="F457" s="17">
        <f t="shared" si="22"/>
        <v>1</v>
      </c>
      <c r="G457" s="17" t="str">
        <f t="shared" si="23"/>
        <v>Fail</v>
      </c>
      <c r="H457" s="17" t="str">
        <f t="shared" si="21"/>
        <v>Fail</v>
      </c>
      <c r="I457" s="17">
        <v>-3.63</v>
      </c>
      <c r="J457" s="17" t="s">
        <v>2490</v>
      </c>
      <c r="K457" s="17">
        <v>0</v>
      </c>
      <c r="L457" s="17">
        <v>100</v>
      </c>
      <c r="M457" s="18">
        <f>Raw_LIMS_Export!K457</f>
        <v>45493</v>
      </c>
      <c r="N457" s="19" t="s">
        <v>2932</v>
      </c>
    </row>
    <row r="458" spans="1:14" x14ac:dyDescent="0.35">
      <c r="A458" s="16" t="s">
        <v>467</v>
      </c>
      <c r="B458" s="17" t="s">
        <v>2168</v>
      </c>
      <c r="C458" s="17" t="s">
        <v>2459</v>
      </c>
      <c r="D458" s="17" t="str">
        <f>_xlfn.XLOOKUP(Raw_LIMS_Export!E458,'mapping Site table'!$B$4:$B$14,'mapping Site table'!$C$4:$C$14,Raw_LIMS_Export!E458)</f>
        <v>Budapest</v>
      </c>
      <c r="E458" s="17" t="s">
        <v>2480</v>
      </c>
      <c r="F458" s="17">
        <f t="shared" si="22"/>
        <v>1</v>
      </c>
      <c r="G458" s="17" t="str">
        <f t="shared" si="23"/>
        <v>Pass</v>
      </c>
      <c r="H458" s="17" t="str">
        <f t="shared" si="21"/>
        <v>Pass</v>
      </c>
      <c r="I458" s="17">
        <v>0.94</v>
      </c>
      <c r="J458" s="17" t="s">
        <v>2487</v>
      </c>
      <c r="K458" s="17">
        <v>0.88</v>
      </c>
      <c r="L458" s="17">
        <v>0.97</v>
      </c>
      <c r="M458" s="18">
        <f>Raw_LIMS_Export!K458</f>
        <v>45558</v>
      </c>
      <c r="N458" s="19" t="s">
        <v>2926</v>
      </c>
    </row>
    <row r="459" spans="1:14" x14ac:dyDescent="0.35">
      <c r="A459" s="16" t="s">
        <v>468</v>
      </c>
      <c r="B459" s="17" t="s">
        <v>2138</v>
      </c>
      <c r="C459" s="17" t="s">
        <v>2457</v>
      </c>
      <c r="D459" s="17" t="str">
        <f>_xlfn.XLOOKUP(Raw_LIMS_Export!E459,'mapping Site table'!$B$4:$B$14,'mapping Site table'!$C$4:$C$14,Raw_LIMS_Export!E459)</f>
        <v>Dortmund DE</v>
      </c>
      <c r="E459" s="17" t="s">
        <v>2479</v>
      </c>
      <c r="F459" s="17">
        <f t="shared" si="22"/>
        <v>1</v>
      </c>
      <c r="G459" s="17" t="str">
        <f t="shared" si="23"/>
        <v>Pass</v>
      </c>
      <c r="H459" s="17" t="str">
        <f t="shared" si="21"/>
        <v>Fail</v>
      </c>
      <c r="I459" s="17">
        <v>22.64</v>
      </c>
      <c r="J459" s="17" t="s">
        <v>2486</v>
      </c>
      <c r="K459" s="17">
        <v>0</v>
      </c>
      <c r="L459" s="17">
        <v>120</v>
      </c>
      <c r="M459" s="18">
        <f>Raw_LIMS_Export!K459</f>
        <v>45747</v>
      </c>
      <c r="N459" s="19" t="s">
        <v>2930</v>
      </c>
    </row>
    <row r="460" spans="1:14" x14ac:dyDescent="0.35">
      <c r="A460" s="16" t="s">
        <v>469</v>
      </c>
      <c r="B460" s="17" t="s">
        <v>2321</v>
      </c>
      <c r="C460" s="17" t="s">
        <v>2457</v>
      </c>
      <c r="D460" s="17" t="str">
        <f>_xlfn.XLOOKUP(Raw_LIMS_Export!E460,'mapping Site table'!$B$4:$B$14,'mapping Site table'!$C$4:$C$14,Raw_LIMS_Export!E460)</f>
        <v>Budapest</v>
      </c>
      <c r="E460" s="17" t="s">
        <v>2480</v>
      </c>
      <c r="F460" s="17">
        <f t="shared" si="22"/>
        <v>1</v>
      </c>
      <c r="G460" s="17" t="str">
        <f t="shared" si="23"/>
        <v>Pass</v>
      </c>
      <c r="H460" s="17" t="str">
        <f t="shared" si="21"/>
        <v>Pass</v>
      </c>
      <c r="I460" s="17">
        <v>0.94</v>
      </c>
      <c r="J460" s="17" t="s">
        <v>2487</v>
      </c>
      <c r="K460" s="17">
        <v>0.88</v>
      </c>
      <c r="L460" s="17">
        <v>0.97</v>
      </c>
      <c r="M460" s="18">
        <f>Raw_LIMS_Export!K460</f>
        <v>45491</v>
      </c>
      <c r="N460" s="19" t="s">
        <v>2931</v>
      </c>
    </row>
    <row r="461" spans="1:14" x14ac:dyDescent="0.35">
      <c r="A461" s="16" t="s">
        <v>470</v>
      </c>
      <c r="B461" s="17" t="s">
        <v>2322</v>
      </c>
      <c r="C461" s="17" t="s">
        <v>2461</v>
      </c>
      <c r="D461" s="17" t="str">
        <f>_xlfn.XLOOKUP(Raw_LIMS_Export!E461,'mapping Site table'!$B$4:$B$14,'mapping Site table'!$C$4:$C$14,Raw_LIMS_Export!E461)</f>
        <v>Budapest</v>
      </c>
      <c r="E461" s="17" t="s">
        <v>2481</v>
      </c>
      <c r="F461" s="17">
        <f t="shared" si="22"/>
        <v>1</v>
      </c>
      <c r="G461" s="17" t="str">
        <f t="shared" si="23"/>
        <v>Pass</v>
      </c>
      <c r="H461" s="17" t="str">
        <f t="shared" si="21"/>
        <v>Pass</v>
      </c>
      <c r="I461" s="17">
        <v>231.43</v>
      </c>
      <c r="J461" s="17" t="s">
        <v>2488</v>
      </c>
      <c r="K461" s="17">
        <v>150</v>
      </c>
      <c r="L461" s="17">
        <v>400</v>
      </c>
      <c r="M461" s="18">
        <f>Raw_LIMS_Export!K461</f>
        <v>45813</v>
      </c>
      <c r="N461" s="19" t="s">
        <v>2930</v>
      </c>
    </row>
    <row r="462" spans="1:14" x14ac:dyDescent="0.35">
      <c r="A462" s="16" t="s">
        <v>471</v>
      </c>
      <c r="B462" s="17" t="s">
        <v>2268</v>
      </c>
      <c r="C462" s="17" t="s">
        <v>2459</v>
      </c>
      <c r="D462" s="17" t="str">
        <f>_xlfn.XLOOKUP(Raw_LIMS_Export!E462,'mapping Site table'!$B$4:$B$14,'mapping Site table'!$C$4:$C$14,Raw_LIMS_Export!E462)</f>
        <v>East Hanover</v>
      </c>
      <c r="E462" s="17" t="s">
        <v>2479</v>
      </c>
      <c r="F462" s="17">
        <f t="shared" si="22"/>
        <v>1</v>
      </c>
      <c r="G462" s="17" t="str">
        <f t="shared" si="23"/>
        <v>Pass</v>
      </c>
      <c r="H462" s="17" t="str">
        <f t="shared" si="21"/>
        <v>Fail</v>
      </c>
      <c r="I462" s="17">
        <v>53.5</v>
      </c>
      <c r="J462" s="17" t="s">
        <v>2486</v>
      </c>
      <c r="K462" s="17">
        <v>0</v>
      </c>
      <c r="L462" s="17">
        <v>120</v>
      </c>
      <c r="M462" s="18">
        <f>Raw_LIMS_Export!K462</f>
        <v>45367</v>
      </c>
      <c r="N462" s="19" t="s">
        <v>2923</v>
      </c>
    </row>
    <row r="463" spans="1:14" x14ac:dyDescent="0.35">
      <c r="A463" s="16" t="s">
        <v>472</v>
      </c>
      <c r="B463" s="17" t="s">
        <v>2233</v>
      </c>
      <c r="C463" s="17" t="s">
        <v>2459</v>
      </c>
      <c r="D463" s="17" t="str">
        <f>_xlfn.XLOOKUP(Raw_LIMS_Export!E463,'mapping Site table'!$B$4:$B$14,'mapping Site table'!$C$4:$C$14,Raw_LIMS_Export!E463)</f>
        <v>Budapest</v>
      </c>
      <c r="E463" s="17" t="s">
        <v>2485</v>
      </c>
      <c r="F463" s="17">
        <f t="shared" si="22"/>
        <v>1</v>
      </c>
      <c r="G463" s="17" t="str">
        <f t="shared" si="23"/>
        <v>Fail</v>
      </c>
      <c r="H463" s="17" t="str">
        <f t="shared" si="21"/>
        <v>Fail</v>
      </c>
      <c r="I463" s="17">
        <v>-75</v>
      </c>
      <c r="J463" s="17" t="s">
        <v>2490</v>
      </c>
      <c r="K463" s="17">
        <v>0</v>
      </c>
      <c r="L463" s="17">
        <v>100</v>
      </c>
      <c r="M463" s="18">
        <f>Raw_LIMS_Export!K463</f>
        <v>45854</v>
      </c>
      <c r="N463" s="19" t="s">
        <v>2931</v>
      </c>
    </row>
    <row r="464" spans="1:14" x14ac:dyDescent="0.35">
      <c r="A464" s="16" t="s">
        <v>473</v>
      </c>
      <c r="B464" s="17" t="s">
        <v>2150</v>
      </c>
      <c r="C464" s="17" t="s">
        <v>2459</v>
      </c>
      <c r="D464" s="17" t="str">
        <f>_xlfn.XLOOKUP(Raw_LIMS_Export!E464,'mapping Site table'!$B$4:$B$14,'mapping Site table'!$C$4:$C$14,Raw_LIMS_Export!E464)</f>
        <v>Dortmund DE</v>
      </c>
      <c r="E464" s="17" t="s">
        <v>2485</v>
      </c>
      <c r="F464" s="17">
        <f t="shared" si="22"/>
        <v>1</v>
      </c>
      <c r="G464" s="17" t="str">
        <f t="shared" si="23"/>
        <v>Pass</v>
      </c>
      <c r="H464" s="17" t="str">
        <f t="shared" si="21"/>
        <v>Pass</v>
      </c>
      <c r="I464" s="17">
        <v>8.7799999999999994</v>
      </c>
      <c r="J464" s="17" t="s">
        <v>2490</v>
      </c>
      <c r="K464" s="17">
        <v>0</v>
      </c>
      <c r="L464" s="17">
        <v>100</v>
      </c>
      <c r="M464" s="18">
        <f>Raw_LIMS_Export!K464</f>
        <v>45787</v>
      </c>
      <c r="N464" s="19" t="s">
        <v>2926</v>
      </c>
    </row>
    <row r="465" spans="1:14" x14ac:dyDescent="0.35">
      <c r="A465" s="16" t="s">
        <v>474</v>
      </c>
      <c r="B465" s="17" t="s">
        <v>2312</v>
      </c>
      <c r="C465" s="17" t="s">
        <v>2461</v>
      </c>
      <c r="D465" s="17" t="str">
        <f>_xlfn.XLOOKUP(Raw_LIMS_Export!E465,'mapping Site table'!$B$4:$B$14,'mapping Site table'!$C$4:$C$14,Raw_LIMS_Export!E465)</f>
        <v>Ashford UK</v>
      </c>
      <c r="E465" s="17" t="s">
        <v>2485</v>
      </c>
      <c r="F465" s="17">
        <f t="shared" si="22"/>
        <v>1</v>
      </c>
      <c r="G465" s="17" t="str">
        <f t="shared" si="23"/>
        <v>Pass</v>
      </c>
      <c r="H465" s="17" t="str">
        <f t="shared" si="21"/>
        <v>Pass</v>
      </c>
      <c r="I465" s="17">
        <v>14.61</v>
      </c>
      <c r="J465" s="17" t="s">
        <v>2490</v>
      </c>
      <c r="K465" s="17">
        <v>0</v>
      </c>
      <c r="L465" s="17">
        <v>100</v>
      </c>
      <c r="M465" s="18">
        <f>Raw_LIMS_Export!K465</f>
        <v>45344</v>
      </c>
      <c r="N465" s="19" t="s">
        <v>2931</v>
      </c>
    </row>
    <row r="466" spans="1:14" x14ac:dyDescent="0.35">
      <c r="A466" s="16" t="s">
        <v>475</v>
      </c>
      <c r="B466" s="17" t="s">
        <v>2323</v>
      </c>
      <c r="C466" s="17" t="s">
        <v>2461</v>
      </c>
      <c r="D466" s="17" t="str">
        <f>_xlfn.XLOOKUP(Raw_LIMS_Export!E466,'mapping Site table'!$B$4:$B$14,'mapping Site table'!$C$4:$C$14,Raw_LIMS_Export!E466)</f>
        <v>Budapest</v>
      </c>
      <c r="E466" s="17" t="s">
        <v>2479</v>
      </c>
      <c r="F466" s="17">
        <f t="shared" si="22"/>
        <v>1</v>
      </c>
      <c r="G466" s="17" t="str">
        <f t="shared" si="23"/>
        <v>Pass</v>
      </c>
      <c r="H466" s="17" t="str">
        <f t="shared" si="21"/>
        <v>Pass</v>
      </c>
      <c r="I466" s="17">
        <v>51.46</v>
      </c>
      <c r="J466" s="17" t="s">
        <v>2486</v>
      </c>
      <c r="K466" s="17">
        <v>0</v>
      </c>
      <c r="L466" s="17">
        <v>120</v>
      </c>
      <c r="M466" s="18">
        <f>Raw_LIMS_Export!K466</f>
        <v>45571</v>
      </c>
      <c r="N466" s="19" t="s">
        <v>2929</v>
      </c>
    </row>
    <row r="467" spans="1:14" x14ac:dyDescent="0.35">
      <c r="A467" s="16" t="s">
        <v>476</v>
      </c>
      <c r="B467" s="17" t="s">
        <v>2324</v>
      </c>
      <c r="C467" s="17" t="s">
        <v>2459</v>
      </c>
      <c r="D467" s="17" t="str">
        <f>_xlfn.XLOOKUP(Raw_LIMS_Export!E467,'mapping Site table'!$B$4:$B$14,'mapping Site table'!$C$4:$C$14,Raw_LIMS_Export!E467)</f>
        <v>Ashford UK</v>
      </c>
      <c r="E467" s="17" t="s">
        <v>2485</v>
      </c>
      <c r="F467" s="17">
        <f t="shared" si="22"/>
        <v>1</v>
      </c>
      <c r="G467" s="17" t="str">
        <f t="shared" si="23"/>
        <v>Pass</v>
      </c>
      <c r="H467" s="17" t="str">
        <f t="shared" si="21"/>
        <v>Pass</v>
      </c>
      <c r="I467" s="17">
        <v>29.68</v>
      </c>
      <c r="J467" s="17" t="s">
        <v>2490</v>
      </c>
      <c r="K467" s="17">
        <v>0</v>
      </c>
      <c r="L467" s="17">
        <v>100</v>
      </c>
      <c r="M467" s="18">
        <f>Raw_LIMS_Export!K467</f>
        <v>45828</v>
      </c>
      <c r="N467" s="19" t="s">
        <v>2929</v>
      </c>
    </row>
    <row r="468" spans="1:14" x14ac:dyDescent="0.35">
      <c r="A468" s="16" t="s">
        <v>477</v>
      </c>
      <c r="B468" s="17" t="s">
        <v>2215</v>
      </c>
      <c r="C468" s="17" t="s">
        <v>2459</v>
      </c>
      <c r="D468" s="17" t="str">
        <f>_xlfn.XLOOKUP(Raw_LIMS_Export!E468,'mapping Site table'!$B$4:$B$14,'mapping Site table'!$C$4:$C$14,Raw_LIMS_Export!E468)</f>
        <v>East Hanover</v>
      </c>
      <c r="E468" s="17" t="s">
        <v>2484</v>
      </c>
      <c r="F468" s="17">
        <f t="shared" si="22"/>
        <v>1</v>
      </c>
      <c r="G468" s="17" t="str">
        <f t="shared" si="23"/>
        <v>Pass</v>
      </c>
      <c r="H468" s="17" t="str">
        <f t="shared" si="21"/>
        <v>Pass</v>
      </c>
      <c r="I468" s="17">
        <v>6.67</v>
      </c>
      <c r="J468" s="17"/>
      <c r="K468" s="17">
        <v>6</v>
      </c>
      <c r="L468" s="17">
        <v>7.5</v>
      </c>
      <c r="M468" s="18">
        <f>Raw_LIMS_Export!K468</f>
        <v>45945</v>
      </c>
      <c r="N468" s="19" t="s">
        <v>2931</v>
      </c>
    </row>
    <row r="469" spans="1:14" x14ac:dyDescent="0.35">
      <c r="A469" s="16" t="s">
        <v>478</v>
      </c>
      <c r="B469" s="17" t="s">
        <v>2043</v>
      </c>
      <c r="C469" s="17" t="s">
        <v>2461</v>
      </c>
      <c r="D469" s="17" t="str">
        <f>_xlfn.XLOOKUP(Raw_LIMS_Export!E469,'mapping Site table'!$B$4:$B$14,'mapping Site table'!$C$4:$C$14,Raw_LIMS_Export!E469)</f>
        <v>Vernier CH</v>
      </c>
      <c r="E469" s="17" t="s">
        <v>2480</v>
      </c>
      <c r="F469" s="17">
        <f t="shared" si="22"/>
        <v>1</v>
      </c>
      <c r="G469" s="17" t="str">
        <f t="shared" si="23"/>
        <v>Pass</v>
      </c>
      <c r="H469" s="17" t="str">
        <f t="shared" si="21"/>
        <v>Pass</v>
      </c>
      <c r="I469" s="17">
        <v>0.96</v>
      </c>
      <c r="J469" s="17" t="s">
        <v>2487</v>
      </c>
      <c r="K469" s="17">
        <v>0.88</v>
      </c>
      <c r="L469" s="17">
        <v>0.97</v>
      </c>
      <c r="M469" s="18">
        <f>Raw_LIMS_Export!K469</f>
        <v>45431</v>
      </c>
      <c r="N469" s="19" t="s">
        <v>2927</v>
      </c>
    </row>
    <row r="470" spans="1:14" x14ac:dyDescent="0.35">
      <c r="A470" s="16" t="s">
        <v>479</v>
      </c>
      <c r="B470" s="17" t="s">
        <v>2325</v>
      </c>
      <c r="C470" s="17" t="s">
        <v>2458</v>
      </c>
      <c r="D470" s="17" t="str">
        <f>_xlfn.XLOOKUP(Raw_LIMS_Export!E470,'mapping Site table'!$B$4:$B$14,'mapping Site table'!$C$4:$C$14,Raw_LIMS_Export!E470)</f>
        <v>Vernier CH</v>
      </c>
      <c r="E470" s="17" t="s">
        <v>2482</v>
      </c>
      <c r="F470" s="17">
        <f t="shared" si="22"/>
        <v>1</v>
      </c>
      <c r="G470" s="17" t="str">
        <f t="shared" si="23"/>
        <v>Pass</v>
      </c>
      <c r="H470" s="17" t="str">
        <f t="shared" si="21"/>
        <v>Pass</v>
      </c>
      <c r="I470" s="17">
        <v>98.5</v>
      </c>
      <c r="J470" s="17" t="s">
        <v>2489</v>
      </c>
      <c r="K470" s="17">
        <v>97</v>
      </c>
      <c r="L470" s="17">
        <v>100</v>
      </c>
      <c r="M470" s="18">
        <f>Raw_LIMS_Export!K470</f>
        <v>45491</v>
      </c>
      <c r="N470" s="19" t="s">
        <v>2932</v>
      </c>
    </row>
    <row r="471" spans="1:14" x14ac:dyDescent="0.35">
      <c r="A471" s="16" t="s">
        <v>480</v>
      </c>
      <c r="B471" s="17" t="s">
        <v>2192</v>
      </c>
      <c r="C471" s="17" t="s">
        <v>2457</v>
      </c>
      <c r="D471" s="17" t="str">
        <f>_xlfn.XLOOKUP(Raw_LIMS_Export!E471,'mapping Site table'!$B$4:$B$14,'mapping Site table'!$C$4:$C$14,Raw_LIMS_Export!E471)</f>
        <v>Dortmund DE</v>
      </c>
      <c r="E471" s="17" t="s">
        <v>2480</v>
      </c>
      <c r="F471" s="17">
        <f t="shared" si="22"/>
        <v>1</v>
      </c>
      <c r="G471" s="17" t="str">
        <f t="shared" si="23"/>
        <v>Pass</v>
      </c>
      <c r="H471" s="17" t="str">
        <f t="shared" si="21"/>
        <v>Pass</v>
      </c>
      <c r="I471" s="17">
        <v>0.89</v>
      </c>
      <c r="J471" s="17" t="s">
        <v>2487</v>
      </c>
      <c r="K471" s="17">
        <v>0.88</v>
      </c>
      <c r="L471" s="17">
        <v>0.97</v>
      </c>
      <c r="M471" s="18">
        <f>Raw_LIMS_Export!K471</f>
        <v>45661</v>
      </c>
      <c r="N471" s="19" t="s">
        <v>2925</v>
      </c>
    </row>
    <row r="472" spans="1:14" x14ac:dyDescent="0.35">
      <c r="A472" s="16" t="s">
        <v>481</v>
      </c>
      <c r="B472" s="17" t="s">
        <v>2326</v>
      </c>
      <c r="C472" s="17" t="s">
        <v>2459</v>
      </c>
      <c r="D472" s="17" t="str">
        <f>_xlfn.XLOOKUP(Raw_LIMS_Export!E472,'mapping Site table'!$B$4:$B$14,'mapping Site table'!$C$4:$C$14,Raw_LIMS_Export!E472)</f>
        <v>Ashford UK</v>
      </c>
      <c r="E472" s="17" t="s">
        <v>2480</v>
      </c>
      <c r="F472" s="17">
        <f t="shared" si="22"/>
        <v>1</v>
      </c>
      <c r="G472" s="17" t="str">
        <f t="shared" si="23"/>
        <v>Pass</v>
      </c>
      <c r="H472" s="17" t="str">
        <f t="shared" si="21"/>
        <v>Pass</v>
      </c>
      <c r="I472" s="17">
        <v>0.93</v>
      </c>
      <c r="J472" s="17" t="s">
        <v>2487</v>
      </c>
      <c r="K472" s="17">
        <v>0.88</v>
      </c>
      <c r="L472" s="17">
        <v>0.97</v>
      </c>
      <c r="M472" s="18">
        <f>Raw_LIMS_Export!K472</f>
        <v>45676</v>
      </c>
      <c r="N472" s="19" t="s">
        <v>2925</v>
      </c>
    </row>
    <row r="473" spans="1:14" x14ac:dyDescent="0.35">
      <c r="A473" s="16" t="s">
        <v>482</v>
      </c>
      <c r="B473" s="17" t="s">
        <v>2209</v>
      </c>
      <c r="C473" s="17" t="s">
        <v>2458</v>
      </c>
      <c r="D473" s="17" t="str">
        <f>_xlfn.XLOOKUP(Raw_LIMS_Export!E473,'mapping Site table'!$B$4:$B$14,'mapping Site table'!$C$4:$C$14,Raw_LIMS_Export!E473)</f>
        <v>Ashford UK</v>
      </c>
      <c r="E473" s="17" t="s">
        <v>2481</v>
      </c>
      <c r="F473" s="17">
        <f t="shared" si="22"/>
        <v>1</v>
      </c>
      <c r="G473" s="17" t="str">
        <f t="shared" si="23"/>
        <v>Pass</v>
      </c>
      <c r="H473" s="17" t="str">
        <f t="shared" si="21"/>
        <v>Fail</v>
      </c>
      <c r="I473" s="17">
        <v>232.02</v>
      </c>
      <c r="J473" s="17" t="s">
        <v>2488</v>
      </c>
      <c r="K473" s="17">
        <v>150</v>
      </c>
      <c r="L473" s="17">
        <v>400</v>
      </c>
      <c r="M473" s="18">
        <f>Raw_LIMS_Export!K473</f>
        <v>45673</v>
      </c>
      <c r="N473" s="19" t="s">
        <v>2923</v>
      </c>
    </row>
    <row r="474" spans="1:14" x14ac:dyDescent="0.35">
      <c r="A474" s="16" t="s">
        <v>483</v>
      </c>
      <c r="B474" s="17" t="s">
        <v>2234</v>
      </c>
      <c r="C474" s="17" t="s">
        <v>2457</v>
      </c>
      <c r="D474" s="17" t="str">
        <f>_xlfn.XLOOKUP(Raw_LIMS_Export!E474,'mapping Site table'!$B$4:$B$14,'mapping Site table'!$C$4:$C$14,Raw_LIMS_Export!E474)</f>
        <v>Budapest</v>
      </c>
      <c r="E474" s="17" t="s">
        <v>2485</v>
      </c>
      <c r="F474" s="17">
        <f t="shared" si="22"/>
        <v>1</v>
      </c>
      <c r="G474" s="17" t="str">
        <f t="shared" si="23"/>
        <v>Pass</v>
      </c>
      <c r="H474" s="17" t="str">
        <f t="shared" si="21"/>
        <v>Pass</v>
      </c>
      <c r="I474" s="17">
        <v>9.33</v>
      </c>
      <c r="J474" s="17" t="s">
        <v>2490</v>
      </c>
      <c r="K474" s="17">
        <v>0</v>
      </c>
      <c r="L474" s="17">
        <v>100</v>
      </c>
      <c r="M474" s="18">
        <f>Raw_LIMS_Export!K474</f>
        <v>45774</v>
      </c>
      <c r="N474" s="19" t="s">
        <v>2931</v>
      </c>
    </row>
    <row r="475" spans="1:14" x14ac:dyDescent="0.35">
      <c r="A475" s="16" t="s">
        <v>484</v>
      </c>
      <c r="B475" s="17" t="s">
        <v>2299</v>
      </c>
      <c r="C475" s="17" t="s">
        <v>2459</v>
      </c>
      <c r="D475" s="17" t="str">
        <f>_xlfn.XLOOKUP(Raw_LIMS_Export!E475,'mapping Site table'!$B$4:$B$14,'mapping Site table'!$C$4:$C$14,Raw_LIMS_Export!E475)</f>
        <v>Ashford UK</v>
      </c>
      <c r="E475" s="17" t="s">
        <v>2482</v>
      </c>
      <c r="F475" s="17">
        <f t="shared" si="22"/>
        <v>1</v>
      </c>
      <c r="G475" s="17" t="str">
        <f t="shared" si="23"/>
        <v>Pass</v>
      </c>
      <c r="H475" s="17" t="str">
        <f t="shared" si="21"/>
        <v>Fail</v>
      </c>
      <c r="I475" s="17">
        <v>98.05</v>
      </c>
      <c r="J475" s="17" t="s">
        <v>2489</v>
      </c>
      <c r="K475" s="17">
        <v>97</v>
      </c>
      <c r="L475" s="17">
        <v>100</v>
      </c>
      <c r="M475" s="18">
        <f>Raw_LIMS_Export!K475</f>
        <v>45508</v>
      </c>
      <c r="N475" s="19" t="s">
        <v>2923</v>
      </c>
    </row>
    <row r="476" spans="1:14" x14ac:dyDescent="0.35">
      <c r="A476" s="16" t="s">
        <v>485</v>
      </c>
      <c r="B476" s="17" t="s">
        <v>2256</v>
      </c>
      <c r="C476" s="17" t="s">
        <v>2461</v>
      </c>
      <c r="D476" s="17" t="str">
        <f>_xlfn.XLOOKUP(Raw_LIMS_Export!E476,'mapping Site table'!$B$4:$B$14,'mapping Site table'!$C$4:$C$14,Raw_LIMS_Export!E476)</f>
        <v>East Hanover</v>
      </c>
      <c r="E476" s="17" t="s">
        <v>2485</v>
      </c>
      <c r="F476" s="17">
        <f t="shared" si="22"/>
        <v>1</v>
      </c>
      <c r="G476" s="17" t="str">
        <f t="shared" si="23"/>
        <v>Pass</v>
      </c>
      <c r="H476" s="17" t="str">
        <f t="shared" si="21"/>
        <v>Fail</v>
      </c>
      <c r="I476" s="17">
        <v>16.95</v>
      </c>
      <c r="J476" s="17" t="s">
        <v>2490</v>
      </c>
      <c r="K476" s="17">
        <v>0</v>
      </c>
      <c r="L476" s="17">
        <v>100</v>
      </c>
      <c r="M476" s="18">
        <f>Raw_LIMS_Export!K476</f>
        <v>45676</v>
      </c>
      <c r="N476" s="19" t="s">
        <v>2927</v>
      </c>
    </row>
    <row r="477" spans="1:14" x14ac:dyDescent="0.35">
      <c r="A477" s="16" t="s">
        <v>486</v>
      </c>
      <c r="B477" s="17" t="s">
        <v>2056</v>
      </c>
      <c r="C477" s="17" t="s">
        <v>2459</v>
      </c>
      <c r="D477" s="17" t="str">
        <f>_xlfn.XLOOKUP(Raw_LIMS_Export!E477,'mapping Site table'!$B$4:$B$14,'mapping Site table'!$C$4:$C$14,Raw_LIMS_Export!E477)</f>
        <v>Budapest</v>
      </c>
      <c r="E477" s="17" t="s">
        <v>2480</v>
      </c>
      <c r="F477" s="17">
        <f t="shared" si="22"/>
        <v>1</v>
      </c>
      <c r="G477" s="17" t="str">
        <f t="shared" si="23"/>
        <v>Pass</v>
      </c>
      <c r="H477" s="17" t="str">
        <f t="shared" si="21"/>
        <v>Pass</v>
      </c>
      <c r="I477" s="17">
        <v>0.9</v>
      </c>
      <c r="J477" s="17" t="s">
        <v>2487</v>
      </c>
      <c r="K477" s="17">
        <v>0.88</v>
      </c>
      <c r="L477" s="17">
        <v>0.97</v>
      </c>
      <c r="M477" s="18">
        <f>Raw_LIMS_Export!K477</f>
        <v>45997</v>
      </c>
      <c r="N477" s="19" t="s">
        <v>2926</v>
      </c>
    </row>
    <row r="478" spans="1:14" x14ac:dyDescent="0.35">
      <c r="A478" s="16" t="s">
        <v>487</v>
      </c>
      <c r="B478" s="17" t="s">
        <v>2309</v>
      </c>
      <c r="C478" s="17" t="s">
        <v>2457</v>
      </c>
      <c r="D478" s="17" t="str">
        <f>_xlfn.XLOOKUP(Raw_LIMS_Export!E478,'mapping Site table'!$B$4:$B$14,'mapping Site table'!$C$4:$C$14,Raw_LIMS_Export!E478)</f>
        <v>Budapest</v>
      </c>
      <c r="E478" s="17" t="s">
        <v>2481</v>
      </c>
      <c r="F478" s="17">
        <f t="shared" si="22"/>
        <v>1</v>
      </c>
      <c r="G478" s="17" t="str">
        <f t="shared" si="23"/>
        <v>Pass</v>
      </c>
      <c r="H478" s="17" t="str">
        <f t="shared" si="21"/>
        <v>Fail</v>
      </c>
      <c r="I478" s="17">
        <v>270.91000000000003</v>
      </c>
      <c r="J478" s="17" t="s">
        <v>2488</v>
      </c>
      <c r="K478" s="17">
        <v>150</v>
      </c>
      <c r="L478" s="17">
        <v>400</v>
      </c>
      <c r="M478" s="18">
        <f>Raw_LIMS_Export!K478</f>
        <v>45826</v>
      </c>
      <c r="N478" s="19" t="s">
        <v>2930</v>
      </c>
    </row>
    <row r="479" spans="1:14" x14ac:dyDescent="0.35">
      <c r="A479" s="16" t="s">
        <v>488</v>
      </c>
      <c r="B479" s="17" t="s">
        <v>2327</v>
      </c>
      <c r="C479" s="17" t="s">
        <v>2458</v>
      </c>
      <c r="D479" s="17" t="str">
        <f>_xlfn.XLOOKUP(Raw_LIMS_Export!E479,'mapping Site table'!$B$4:$B$14,'mapping Site table'!$C$4:$C$14,Raw_LIMS_Export!E479)</f>
        <v>Budapest</v>
      </c>
      <c r="E479" s="17" t="s">
        <v>2482</v>
      </c>
      <c r="F479" s="17">
        <f t="shared" si="22"/>
        <v>1</v>
      </c>
      <c r="G479" s="17" t="str">
        <f t="shared" si="23"/>
        <v>Pass</v>
      </c>
      <c r="H479" s="17" t="str">
        <f t="shared" si="21"/>
        <v>Pass</v>
      </c>
      <c r="I479" s="17">
        <v>98.88</v>
      </c>
      <c r="J479" s="17" t="s">
        <v>2489</v>
      </c>
      <c r="K479" s="17">
        <v>97</v>
      </c>
      <c r="L479" s="17">
        <v>100</v>
      </c>
      <c r="M479" s="18">
        <f>Raw_LIMS_Export!K479</f>
        <v>45699</v>
      </c>
      <c r="N479" s="19" t="s">
        <v>2929</v>
      </c>
    </row>
    <row r="480" spans="1:14" x14ac:dyDescent="0.35">
      <c r="A480" s="16" t="s">
        <v>489</v>
      </c>
      <c r="B480" s="17" t="s">
        <v>2134</v>
      </c>
      <c r="C480" s="17" t="s">
        <v>2459</v>
      </c>
      <c r="D480" s="17" t="str">
        <f>_xlfn.XLOOKUP(Raw_LIMS_Export!E480,'mapping Site table'!$B$4:$B$14,'mapping Site table'!$C$4:$C$14,Raw_LIMS_Export!E480)</f>
        <v>Vernier CH</v>
      </c>
      <c r="E480" s="17" t="s">
        <v>2482</v>
      </c>
      <c r="F480" s="17">
        <f t="shared" si="22"/>
        <v>1</v>
      </c>
      <c r="G480" s="17" t="str">
        <f t="shared" si="23"/>
        <v>Pass</v>
      </c>
      <c r="H480" s="17" t="str">
        <f t="shared" si="21"/>
        <v>Pass</v>
      </c>
      <c r="I480" s="17">
        <v>97.9</v>
      </c>
      <c r="J480" s="17" t="s">
        <v>2489</v>
      </c>
      <c r="K480" s="17">
        <v>97</v>
      </c>
      <c r="L480" s="17">
        <v>100</v>
      </c>
      <c r="M480" s="18">
        <f>Raw_LIMS_Export!K480</f>
        <v>45721</v>
      </c>
      <c r="N480" s="19" t="s">
        <v>2926</v>
      </c>
    </row>
    <row r="481" spans="1:14" x14ac:dyDescent="0.35">
      <c r="A481" s="16" t="s">
        <v>490</v>
      </c>
      <c r="B481" s="17" t="s">
        <v>2279</v>
      </c>
      <c r="C481" s="17" t="s">
        <v>2457</v>
      </c>
      <c r="D481" s="17" t="str">
        <f>_xlfn.XLOOKUP(Raw_LIMS_Export!E481,'mapping Site table'!$B$4:$B$14,'mapping Site table'!$C$4:$C$14,Raw_LIMS_Export!E481)</f>
        <v>Vernier CH</v>
      </c>
      <c r="E481" s="17" t="s">
        <v>2479</v>
      </c>
      <c r="F481" s="17">
        <f t="shared" si="22"/>
        <v>1</v>
      </c>
      <c r="G481" s="17" t="str">
        <f t="shared" si="23"/>
        <v>Pass</v>
      </c>
      <c r="H481" s="17" t="str">
        <f t="shared" si="21"/>
        <v>Pass</v>
      </c>
      <c r="I481" s="17">
        <v>59.89</v>
      </c>
      <c r="J481" s="17" t="s">
        <v>2486</v>
      </c>
      <c r="K481" s="17">
        <v>0</v>
      </c>
      <c r="L481" s="17">
        <v>120</v>
      </c>
      <c r="M481" s="18">
        <f>Raw_LIMS_Export!K481</f>
        <v>45485</v>
      </c>
      <c r="N481" s="19" t="s">
        <v>2923</v>
      </c>
    </row>
    <row r="482" spans="1:14" x14ac:dyDescent="0.35">
      <c r="A482" s="16" t="s">
        <v>491</v>
      </c>
      <c r="B482" s="17" t="s">
        <v>2012</v>
      </c>
      <c r="C482" s="17" t="s">
        <v>2458</v>
      </c>
      <c r="D482" s="17" t="str">
        <f>_xlfn.XLOOKUP(Raw_LIMS_Export!E482,'mapping Site table'!$B$4:$B$14,'mapping Site table'!$C$4:$C$14,Raw_LIMS_Export!E482)</f>
        <v>Vernier CH</v>
      </c>
      <c r="E482" s="17" t="s">
        <v>2482</v>
      </c>
      <c r="F482" s="17">
        <f t="shared" si="22"/>
        <v>1</v>
      </c>
      <c r="G482" s="17" t="str">
        <f t="shared" si="23"/>
        <v>Pass</v>
      </c>
      <c r="H482" s="17" t="str">
        <f t="shared" si="21"/>
        <v>Pass</v>
      </c>
      <c r="I482" s="17">
        <v>97.85</v>
      </c>
      <c r="J482" s="17" t="s">
        <v>2489</v>
      </c>
      <c r="K482" s="17">
        <v>97</v>
      </c>
      <c r="L482" s="17">
        <v>100</v>
      </c>
      <c r="M482" s="18">
        <f>Raw_LIMS_Export!K482</f>
        <v>45399</v>
      </c>
      <c r="N482" s="19" t="s">
        <v>2931</v>
      </c>
    </row>
    <row r="483" spans="1:14" x14ac:dyDescent="0.35">
      <c r="A483" s="16" t="s">
        <v>492</v>
      </c>
      <c r="B483" s="17" t="s">
        <v>2249</v>
      </c>
      <c r="C483" s="17" t="s">
        <v>2461</v>
      </c>
      <c r="D483" s="17" t="str">
        <f>_xlfn.XLOOKUP(Raw_LIMS_Export!E483,'mapping Site table'!$B$4:$B$14,'mapping Site table'!$C$4:$C$14,Raw_LIMS_Export!E483)</f>
        <v>Vernier CH</v>
      </c>
      <c r="E483" s="17" t="s">
        <v>2481</v>
      </c>
      <c r="F483" s="17">
        <f t="shared" si="22"/>
        <v>1</v>
      </c>
      <c r="G483" s="17" t="str">
        <f t="shared" si="23"/>
        <v>Pass</v>
      </c>
      <c r="H483" s="17" t="str">
        <f t="shared" si="21"/>
        <v>Fail</v>
      </c>
      <c r="I483" s="17">
        <v>260.76</v>
      </c>
      <c r="J483" s="17" t="s">
        <v>2488</v>
      </c>
      <c r="K483" s="17">
        <v>150</v>
      </c>
      <c r="L483" s="17">
        <v>400</v>
      </c>
      <c r="M483" s="18">
        <f>Raw_LIMS_Export!K483</f>
        <v>45987</v>
      </c>
      <c r="N483" s="19" t="s">
        <v>2925</v>
      </c>
    </row>
    <row r="484" spans="1:14" x14ac:dyDescent="0.35">
      <c r="A484" s="16" t="s">
        <v>493</v>
      </c>
      <c r="B484" s="17" t="s">
        <v>2328</v>
      </c>
      <c r="C484" s="17" t="s">
        <v>2461</v>
      </c>
      <c r="D484" s="17" t="str">
        <f>_xlfn.XLOOKUP(Raw_LIMS_Export!E484,'mapping Site table'!$B$4:$B$14,'mapping Site table'!$C$4:$C$14,Raw_LIMS_Export!E484)</f>
        <v>Ashford UK</v>
      </c>
      <c r="E484" s="17" t="s">
        <v>2484</v>
      </c>
      <c r="F484" s="17">
        <f t="shared" si="22"/>
        <v>1</v>
      </c>
      <c r="G484" s="17" t="str">
        <f t="shared" si="23"/>
        <v>Pass</v>
      </c>
      <c r="H484" s="17" t="str">
        <f t="shared" si="21"/>
        <v>Pass</v>
      </c>
      <c r="I484" s="17">
        <v>6.74</v>
      </c>
      <c r="J484" s="17"/>
      <c r="K484" s="17">
        <v>6</v>
      </c>
      <c r="L484" s="17">
        <v>7.5</v>
      </c>
      <c r="M484" s="18">
        <f>Raw_LIMS_Export!K484</f>
        <v>45710</v>
      </c>
      <c r="N484" s="19" t="s">
        <v>2927</v>
      </c>
    </row>
    <row r="485" spans="1:14" x14ac:dyDescent="0.35">
      <c r="A485" s="16" t="s">
        <v>494</v>
      </c>
      <c r="B485" s="17" t="s">
        <v>2308</v>
      </c>
      <c r="C485" s="17" t="s">
        <v>2457</v>
      </c>
      <c r="D485" s="17" t="str">
        <f>_xlfn.XLOOKUP(Raw_LIMS_Export!E485,'mapping Site table'!$B$4:$B$14,'mapping Site table'!$C$4:$C$14,Raw_LIMS_Export!E485)</f>
        <v>Budapest</v>
      </c>
      <c r="E485" s="17" t="s">
        <v>2485</v>
      </c>
      <c r="F485" s="17">
        <f t="shared" si="22"/>
        <v>1</v>
      </c>
      <c r="G485" s="17" t="str">
        <f t="shared" si="23"/>
        <v>Pass</v>
      </c>
      <c r="H485" s="17" t="str">
        <f t="shared" si="21"/>
        <v>Pass</v>
      </c>
      <c r="I485" s="17">
        <v>35.799999999999997</v>
      </c>
      <c r="J485" s="17" t="s">
        <v>2490</v>
      </c>
      <c r="K485" s="17">
        <v>0</v>
      </c>
      <c r="L485" s="17">
        <v>100</v>
      </c>
      <c r="M485" s="18">
        <f>Raw_LIMS_Export!K485</f>
        <v>45797</v>
      </c>
      <c r="N485" s="19" t="s">
        <v>2930</v>
      </c>
    </row>
    <row r="486" spans="1:14" x14ac:dyDescent="0.35">
      <c r="A486" s="16" t="s">
        <v>495</v>
      </c>
      <c r="B486" s="17" t="s">
        <v>2272</v>
      </c>
      <c r="C486" s="17" t="s">
        <v>2459</v>
      </c>
      <c r="D486" s="17" t="str">
        <f>_xlfn.XLOOKUP(Raw_LIMS_Export!E486,'mapping Site table'!$B$4:$B$14,'mapping Site table'!$C$4:$C$14,Raw_LIMS_Export!E486)</f>
        <v>Ashford UK</v>
      </c>
      <c r="E486" s="17" t="s">
        <v>2482</v>
      </c>
      <c r="F486" s="17">
        <f t="shared" si="22"/>
        <v>1</v>
      </c>
      <c r="G486" s="17" t="str">
        <f t="shared" si="23"/>
        <v>Pass</v>
      </c>
      <c r="H486" s="17" t="str">
        <f t="shared" si="21"/>
        <v>Pass</v>
      </c>
      <c r="I486" s="17">
        <v>99.02</v>
      </c>
      <c r="J486" s="17" t="s">
        <v>2489</v>
      </c>
      <c r="K486" s="17">
        <v>97</v>
      </c>
      <c r="L486" s="17">
        <v>100</v>
      </c>
      <c r="M486" s="18">
        <f>Raw_LIMS_Export!K486</f>
        <v>45680</v>
      </c>
      <c r="N486" s="19" t="s">
        <v>2924</v>
      </c>
    </row>
    <row r="487" spans="1:14" x14ac:dyDescent="0.35">
      <c r="A487" s="16" t="s">
        <v>496</v>
      </c>
      <c r="B487" s="17" t="s">
        <v>2329</v>
      </c>
      <c r="C487" s="17" t="s">
        <v>2459</v>
      </c>
      <c r="D487" s="17" t="str">
        <f>_xlfn.XLOOKUP(Raw_LIMS_Export!E487,'mapping Site table'!$B$4:$B$14,'mapping Site table'!$C$4:$C$14,Raw_LIMS_Export!E487)</f>
        <v>Dortmund DE</v>
      </c>
      <c r="E487" s="17" t="s">
        <v>2484</v>
      </c>
      <c r="F487" s="17">
        <f t="shared" si="22"/>
        <v>1</v>
      </c>
      <c r="G487" s="17" t="str">
        <f t="shared" si="23"/>
        <v>Pass</v>
      </c>
      <c r="H487" s="17" t="str">
        <f t="shared" si="21"/>
        <v>Pass</v>
      </c>
      <c r="I487" s="17">
        <v>6.91</v>
      </c>
      <c r="J487" s="17"/>
      <c r="K487" s="17">
        <v>6</v>
      </c>
      <c r="L487" s="17">
        <v>7.5</v>
      </c>
      <c r="M487" s="18">
        <f>Raw_LIMS_Export!K487</f>
        <v>45849</v>
      </c>
      <c r="N487" s="19" t="s">
        <v>2932</v>
      </c>
    </row>
    <row r="488" spans="1:14" x14ac:dyDescent="0.35">
      <c r="A488" s="16" t="s">
        <v>497</v>
      </c>
      <c r="B488" s="17" t="s">
        <v>2259</v>
      </c>
      <c r="C488" s="17" t="s">
        <v>2457</v>
      </c>
      <c r="D488" s="17" t="str">
        <f>_xlfn.XLOOKUP(Raw_LIMS_Export!E488,'mapping Site table'!$B$4:$B$14,'mapping Site table'!$C$4:$C$14,Raw_LIMS_Export!E488)</f>
        <v>Vernier CH</v>
      </c>
      <c r="E488" s="17" t="s">
        <v>2485</v>
      </c>
      <c r="F488" s="17">
        <f t="shared" si="22"/>
        <v>1</v>
      </c>
      <c r="G488" s="17" t="str">
        <f t="shared" si="23"/>
        <v>Pass</v>
      </c>
      <c r="H488" s="17" t="str">
        <f t="shared" si="21"/>
        <v>Fail</v>
      </c>
      <c r="I488" s="17">
        <v>38.86</v>
      </c>
      <c r="J488" s="17" t="s">
        <v>2490</v>
      </c>
      <c r="K488" s="17">
        <v>0</v>
      </c>
      <c r="L488" s="17">
        <v>100</v>
      </c>
      <c r="M488" s="18">
        <f>Raw_LIMS_Export!K488</f>
        <v>45863</v>
      </c>
      <c r="N488" s="19" t="s">
        <v>2927</v>
      </c>
    </row>
    <row r="489" spans="1:14" x14ac:dyDescent="0.35">
      <c r="A489" s="16" t="s">
        <v>498</v>
      </c>
      <c r="B489" s="17" t="s">
        <v>2079</v>
      </c>
      <c r="C489" s="17" t="s">
        <v>2459</v>
      </c>
      <c r="D489" s="17" t="str">
        <f>_xlfn.XLOOKUP(Raw_LIMS_Export!E489,'mapping Site table'!$B$4:$B$14,'mapping Site table'!$C$4:$C$14,Raw_LIMS_Export!E489)</f>
        <v>Ashford UK</v>
      </c>
      <c r="E489" s="17" t="s">
        <v>2482</v>
      </c>
      <c r="F489" s="17">
        <f t="shared" si="22"/>
        <v>1</v>
      </c>
      <c r="G489" s="17" t="str">
        <f t="shared" si="23"/>
        <v>Pass</v>
      </c>
      <c r="H489" s="17" t="str">
        <f t="shared" si="21"/>
        <v>Pass</v>
      </c>
      <c r="I489" s="17">
        <v>98.51</v>
      </c>
      <c r="J489" s="17" t="s">
        <v>2489</v>
      </c>
      <c r="K489" s="17">
        <v>97</v>
      </c>
      <c r="L489" s="17">
        <v>100</v>
      </c>
      <c r="M489" s="18">
        <f>Raw_LIMS_Export!K489</f>
        <v>45860</v>
      </c>
      <c r="N489" s="19" t="s">
        <v>2925</v>
      </c>
    </row>
    <row r="490" spans="1:14" x14ac:dyDescent="0.35">
      <c r="A490" s="16" t="s">
        <v>499</v>
      </c>
      <c r="B490" s="17" t="s">
        <v>2110</v>
      </c>
      <c r="C490" s="17" t="s">
        <v>2460</v>
      </c>
      <c r="D490" s="17" t="str">
        <f>_xlfn.XLOOKUP(Raw_LIMS_Export!E490,'mapping Site table'!$B$4:$B$14,'mapping Site table'!$C$4:$C$14,Raw_LIMS_Export!E490)</f>
        <v>Vernier CH</v>
      </c>
      <c r="E490" s="17" t="s">
        <v>2479</v>
      </c>
      <c r="F490" s="17">
        <f t="shared" si="22"/>
        <v>1</v>
      </c>
      <c r="G490" s="17" t="str">
        <f t="shared" si="23"/>
        <v>Pass</v>
      </c>
      <c r="H490" s="17" t="str">
        <f t="shared" si="21"/>
        <v>Fail</v>
      </c>
      <c r="I490" s="17">
        <v>44.91</v>
      </c>
      <c r="J490" s="17" t="s">
        <v>2486</v>
      </c>
      <c r="K490" s="17">
        <v>0</v>
      </c>
      <c r="L490" s="17">
        <v>120</v>
      </c>
      <c r="M490" s="18">
        <f>Raw_LIMS_Export!K490</f>
        <v>45860</v>
      </c>
      <c r="N490" s="19" t="s">
        <v>2932</v>
      </c>
    </row>
    <row r="491" spans="1:14" x14ac:dyDescent="0.35">
      <c r="A491" s="16" t="s">
        <v>500</v>
      </c>
      <c r="B491" s="17" t="s">
        <v>2304</v>
      </c>
      <c r="C491" s="17" t="s">
        <v>2460</v>
      </c>
      <c r="D491" s="17" t="str">
        <f>_xlfn.XLOOKUP(Raw_LIMS_Export!E491,'mapping Site table'!$B$4:$B$14,'mapping Site table'!$C$4:$C$14,Raw_LIMS_Export!E491)</f>
        <v>East Hanover</v>
      </c>
      <c r="E491" s="17" t="s">
        <v>2483</v>
      </c>
      <c r="F491" s="17">
        <f t="shared" si="22"/>
        <v>1</v>
      </c>
      <c r="G491" s="17" t="str">
        <f t="shared" si="23"/>
        <v>Pass</v>
      </c>
      <c r="H491" s="17" t="str">
        <f t="shared" si="21"/>
        <v>Pass</v>
      </c>
      <c r="I491" s="17">
        <v>0.26</v>
      </c>
      <c r="J491" s="17" t="s">
        <v>2489</v>
      </c>
      <c r="K491" s="17">
        <v>0</v>
      </c>
      <c r="L491" s="17">
        <v>1</v>
      </c>
      <c r="M491" s="18">
        <f>Raw_LIMS_Export!K491</f>
        <v>45398</v>
      </c>
      <c r="N491" s="19" t="s">
        <v>2927</v>
      </c>
    </row>
    <row r="492" spans="1:14" x14ac:dyDescent="0.35">
      <c r="A492" s="16" t="s">
        <v>501</v>
      </c>
      <c r="B492" s="17" t="s">
        <v>2024</v>
      </c>
      <c r="C492" s="17" t="s">
        <v>2457</v>
      </c>
      <c r="D492" s="17" t="str">
        <f>_xlfn.XLOOKUP(Raw_LIMS_Export!E492,'mapping Site table'!$B$4:$B$14,'mapping Site table'!$C$4:$C$14,Raw_LIMS_Export!E492)</f>
        <v>Vernier CH</v>
      </c>
      <c r="E492" s="17" t="s">
        <v>2483</v>
      </c>
      <c r="F492" s="17">
        <f t="shared" si="22"/>
        <v>1</v>
      </c>
      <c r="G492" s="17" t="str">
        <f t="shared" si="23"/>
        <v>Pass</v>
      </c>
      <c r="H492" s="17" t="str">
        <f t="shared" si="21"/>
        <v>Fail</v>
      </c>
      <c r="I492" s="17">
        <v>0.26</v>
      </c>
      <c r="J492" s="17" t="s">
        <v>2489</v>
      </c>
      <c r="K492" s="17">
        <v>0</v>
      </c>
      <c r="L492" s="17">
        <v>1</v>
      </c>
      <c r="M492" s="18">
        <f>Raw_LIMS_Export!K492</f>
        <v>45529</v>
      </c>
      <c r="N492" s="19" t="s">
        <v>2932</v>
      </c>
    </row>
    <row r="493" spans="1:14" x14ac:dyDescent="0.35">
      <c r="A493" s="16" t="s">
        <v>502</v>
      </c>
      <c r="B493" s="17" t="s">
        <v>2079</v>
      </c>
      <c r="C493" s="17" t="s">
        <v>2459</v>
      </c>
      <c r="D493" s="17" t="str">
        <f>_xlfn.XLOOKUP(Raw_LIMS_Export!E493,'mapping Site table'!$B$4:$B$14,'mapping Site table'!$C$4:$C$14,Raw_LIMS_Export!E493)</f>
        <v>Ashford UK</v>
      </c>
      <c r="E493" s="17" t="s">
        <v>2483</v>
      </c>
      <c r="F493" s="17">
        <f t="shared" si="22"/>
        <v>1</v>
      </c>
      <c r="G493" s="17" t="str">
        <f t="shared" si="23"/>
        <v>Pass</v>
      </c>
      <c r="H493" s="17" t="str">
        <f t="shared" si="21"/>
        <v>Pass</v>
      </c>
      <c r="I493" s="17">
        <v>0.26</v>
      </c>
      <c r="J493" s="17" t="s">
        <v>2489</v>
      </c>
      <c r="K493" s="17">
        <v>0</v>
      </c>
      <c r="L493" s="17">
        <v>1</v>
      </c>
      <c r="M493" s="18">
        <f>Raw_LIMS_Export!K493</f>
        <v>45860</v>
      </c>
      <c r="N493" s="19" t="s">
        <v>2924</v>
      </c>
    </row>
    <row r="494" spans="1:14" x14ac:dyDescent="0.35">
      <c r="A494" s="16" t="s">
        <v>503</v>
      </c>
      <c r="B494" s="17" t="s">
        <v>2204</v>
      </c>
      <c r="C494" s="17" t="s">
        <v>2460</v>
      </c>
      <c r="D494" s="17" t="str">
        <f>_xlfn.XLOOKUP(Raw_LIMS_Export!E494,'mapping Site table'!$B$4:$B$14,'mapping Site table'!$C$4:$C$14,Raw_LIMS_Export!E494)</f>
        <v>Vernier CH</v>
      </c>
      <c r="E494" s="17" t="s">
        <v>2479</v>
      </c>
      <c r="F494" s="17">
        <f t="shared" si="22"/>
        <v>1</v>
      </c>
      <c r="G494" s="17" t="str">
        <f t="shared" si="23"/>
        <v>Pass</v>
      </c>
      <c r="H494" s="17" t="str">
        <f t="shared" si="21"/>
        <v>Fail</v>
      </c>
      <c r="I494" s="17">
        <v>20.6</v>
      </c>
      <c r="J494" s="17" t="s">
        <v>2486</v>
      </c>
      <c r="K494" s="17">
        <v>0</v>
      </c>
      <c r="L494" s="17">
        <v>120</v>
      </c>
      <c r="M494" s="18">
        <f>Raw_LIMS_Export!K494</f>
        <v>45445</v>
      </c>
      <c r="N494" s="19" t="s">
        <v>2927</v>
      </c>
    </row>
    <row r="495" spans="1:14" x14ac:dyDescent="0.35">
      <c r="A495" s="16" t="s">
        <v>504</v>
      </c>
      <c r="B495" s="17" t="s">
        <v>2060</v>
      </c>
      <c r="C495" s="17" t="s">
        <v>2458</v>
      </c>
      <c r="D495" s="17" t="str">
        <f>_xlfn.XLOOKUP(Raw_LIMS_Export!E495,'mapping Site table'!$B$4:$B$14,'mapping Site table'!$C$4:$C$14,Raw_LIMS_Export!E495)</f>
        <v>East Hanover</v>
      </c>
      <c r="E495" s="17" t="s">
        <v>2480</v>
      </c>
      <c r="F495" s="17">
        <f t="shared" si="22"/>
        <v>1</v>
      </c>
      <c r="G495" s="17" t="str">
        <f t="shared" si="23"/>
        <v>Pass</v>
      </c>
      <c r="H495" s="17" t="str">
        <f t="shared" si="21"/>
        <v>Fail</v>
      </c>
      <c r="I495" s="17">
        <v>0.94</v>
      </c>
      <c r="J495" s="17" t="s">
        <v>2487</v>
      </c>
      <c r="K495" s="17">
        <v>0.88</v>
      </c>
      <c r="L495" s="17">
        <v>0.97</v>
      </c>
      <c r="M495" s="18">
        <f>Raw_LIMS_Export!K495</f>
        <v>45751</v>
      </c>
      <c r="N495" s="19" t="s">
        <v>2929</v>
      </c>
    </row>
    <row r="496" spans="1:14" x14ac:dyDescent="0.35">
      <c r="A496" s="16" t="s">
        <v>505</v>
      </c>
      <c r="B496" s="17" t="s">
        <v>2128</v>
      </c>
      <c r="C496" s="17" t="s">
        <v>2458</v>
      </c>
      <c r="D496" s="17" t="str">
        <f>_xlfn.XLOOKUP(Raw_LIMS_Export!E496,'mapping Site table'!$B$4:$B$14,'mapping Site table'!$C$4:$C$14,Raw_LIMS_Export!E496)</f>
        <v>Budapest</v>
      </c>
      <c r="E496" s="17" t="s">
        <v>2481</v>
      </c>
      <c r="F496" s="17">
        <f t="shared" si="22"/>
        <v>1</v>
      </c>
      <c r="G496" s="17" t="str">
        <f t="shared" si="23"/>
        <v>Pass</v>
      </c>
      <c r="H496" s="17" t="str">
        <f t="shared" si="21"/>
        <v>Pass</v>
      </c>
      <c r="I496" s="17">
        <v>269.38</v>
      </c>
      <c r="J496" s="17" t="s">
        <v>2488</v>
      </c>
      <c r="K496" s="17">
        <v>150</v>
      </c>
      <c r="L496" s="17">
        <v>400</v>
      </c>
      <c r="M496" s="18">
        <f>Raw_LIMS_Export!K496</f>
        <v>45565</v>
      </c>
      <c r="N496" s="19" t="s">
        <v>2927</v>
      </c>
    </row>
    <row r="497" spans="1:14" x14ac:dyDescent="0.35">
      <c r="A497" s="16" t="s">
        <v>506</v>
      </c>
      <c r="B497" s="17" t="s">
        <v>2063</v>
      </c>
      <c r="C497" s="17" t="s">
        <v>2461</v>
      </c>
      <c r="D497" s="17" t="str">
        <f>_xlfn.XLOOKUP(Raw_LIMS_Export!E497,'mapping Site table'!$B$4:$B$14,'mapping Site table'!$C$4:$C$14,Raw_LIMS_Export!E497)</f>
        <v>East Hanover</v>
      </c>
      <c r="E497" s="17" t="s">
        <v>2482</v>
      </c>
      <c r="F497" s="17">
        <f t="shared" si="22"/>
        <v>1</v>
      </c>
      <c r="G497" s="17" t="str">
        <f t="shared" si="23"/>
        <v>Pass</v>
      </c>
      <c r="H497" s="17" t="str">
        <f t="shared" si="21"/>
        <v>Fail</v>
      </c>
      <c r="I497" s="17">
        <v>98.83</v>
      </c>
      <c r="J497" s="17" t="s">
        <v>2489</v>
      </c>
      <c r="K497" s="17">
        <v>97</v>
      </c>
      <c r="L497" s="17">
        <v>100</v>
      </c>
      <c r="M497" s="18">
        <f>Raw_LIMS_Export!K497</f>
        <v>45884</v>
      </c>
      <c r="N497" s="19" t="s">
        <v>2926</v>
      </c>
    </row>
    <row r="498" spans="1:14" x14ac:dyDescent="0.35">
      <c r="A498" s="16" t="s">
        <v>507</v>
      </c>
      <c r="B498" s="17" t="s">
        <v>2174</v>
      </c>
      <c r="C498" s="17" t="s">
        <v>2459</v>
      </c>
      <c r="D498" s="17" t="str">
        <f>_xlfn.XLOOKUP(Raw_LIMS_Export!E498,'mapping Site table'!$B$4:$B$14,'mapping Site table'!$C$4:$C$14,Raw_LIMS_Export!E498)</f>
        <v>East Hanover</v>
      </c>
      <c r="E498" s="17" t="s">
        <v>2481</v>
      </c>
      <c r="F498" s="17">
        <f t="shared" si="22"/>
        <v>1</v>
      </c>
      <c r="G498" s="17" t="str">
        <f t="shared" si="23"/>
        <v>Pass</v>
      </c>
      <c r="H498" s="17" t="str">
        <f t="shared" si="21"/>
        <v>Pass</v>
      </c>
      <c r="I498" s="17">
        <v>246.33</v>
      </c>
      <c r="J498" s="17" t="s">
        <v>2488</v>
      </c>
      <c r="K498" s="17">
        <v>150</v>
      </c>
      <c r="L498" s="17">
        <v>400</v>
      </c>
      <c r="M498" s="18">
        <f>Raw_LIMS_Export!K498</f>
        <v>45634</v>
      </c>
      <c r="N498" s="19" t="s">
        <v>2928</v>
      </c>
    </row>
    <row r="499" spans="1:14" x14ac:dyDescent="0.35">
      <c r="A499" s="16" t="s">
        <v>508</v>
      </c>
      <c r="B499" s="17" t="s">
        <v>2179</v>
      </c>
      <c r="C499" s="17" t="s">
        <v>2460</v>
      </c>
      <c r="D499" s="17" t="str">
        <f>_xlfn.XLOOKUP(Raw_LIMS_Export!E499,'mapping Site table'!$B$4:$B$14,'mapping Site table'!$C$4:$C$14,Raw_LIMS_Export!E499)</f>
        <v>Dortmund DE</v>
      </c>
      <c r="E499" s="17" t="s">
        <v>2481</v>
      </c>
      <c r="F499" s="17">
        <f t="shared" si="22"/>
        <v>1</v>
      </c>
      <c r="G499" s="17" t="str">
        <f t="shared" si="23"/>
        <v>Pass</v>
      </c>
      <c r="H499" s="17" t="str">
        <f t="shared" si="21"/>
        <v>Pass</v>
      </c>
      <c r="I499" s="17">
        <v>175.71</v>
      </c>
      <c r="J499" s="17" t="s">
        <v>2488</v>
      </c>
      <c r="K499" s="17">
        <v>150</v>
      </c>
      <c r="L499" s="17">
        <v>400</v>
      </c>
      <c r="M499" s="18">
        <f>Raw_LIMS_Export!K499</f>
        <v>45693</v>
      </c>
      <c r="N499" s="19" t="s">
        <v>2930</v>
      </c>
    </row>
    <row r="500" spans="1:14" x14ac:dyDescent="0.35">
      <c r="A500" s="16" t="s">
        <v>509</v>
      </c>
      <c r="B500" s="17" t="s">
        <v>2084</v>
      </c>
      <c r="C500" s="17" t="s">
        <v>2458</v>
      </c>
      <c r="D500" s="17" t="str">
        <f>_xlfn.XLOOKUP(Raw_LIMS_Export!E500,'mapping Site table'!$B$4:$B$14,'mapping Site table'!$C$4:$C$14,Raw_LIMS_Export!E500)</f>
        <v>Ashford UK</v>
      </c>
      <c r="E500" s="17" t="s">
        <v>2481</v>
      </c>
      <c r="F500" s="17">
        <f t="shared" si="22"/>
        <v>1</v>
      </c>
      <c r="G500" s="17" t="str">
        <f t="shared" si="23"/>
        <v>Pass</v>
      </c>
      <c r="H500" s="17" t="str">
        <f t="shared" si="21"/>
        <v>Pass</v>
      </c>
      <c r="I500" s="17">
        <v>345.48</v>
      </c>
      <c r="J500" s="17" t="s">
        <v>2488</v>
      </c>
      <c r="K500" s="17">
        <v>150</v>
      </c>
      <c r="L500" s="17">
        <v>400</v>
      </c>
      <c r="M500" s="18">
        <f>Raw_LIMS_Export!K500</f>
        <v>45874</v>
      </c>
      <c r="N500" s="19" t="s">
        <v>2932</v>
      </c>
    </row>
    <row r="501" spans="1:14" x14ac:dyDescent="0.35">
      <c r="A501" s="16" t="s">
        <v>510</v>
      </c>
      <c r="B501" s="17" t="s">
        <v>2286</v>
      </c>
      <c r="C501" s="17" t="s">
        <v>2458</v>
      </c>
      <c r="D501" s="17" t="str">
        <f>_xlfn.XLOOKUP(Raw_LIMS_Export!E501,'mapping Site table'!$B$4:$B$14,'mapping Site table'!$C$4:$C$14,Raw_LIMS_Export!E501)</f>
        <v>Dortmund DE</v>
      </c>
      <c r="E501" s="17" t="s">
        <v>2484</v>
      </c>
      <c r="F501" s="17">
        <f t="shared" si="22"/>
        <v>1</v>
      </c>
      <c r="G501" s="17" t="str">
        <f t="shared" si="23"/>
        <v>Fail</v>
      </c>
      <c r="H501" s="17" t="str">
        <f t="shared" si="21"/>
        <v>Fail</v>
      </c>
      <c r="I501" s="17">
        <v>4.8</v>
      </c>
      <c r="J501" s="17"/>
      <c r="K501" s="17">
        <v>6</v>
      </c>
      <c r="L501" s="17">
        <v>7.5</v>
      </c>
      <c r="M501" s="18">
        <f>Raw_LIMS_Export!K501</f>
        <v>45739</v>
      </c>
      <c r="N501" s="19" t="s">
        <v>2931</v>
      </c>
    </row>
    <row r="502" spans="1:14" x14ac:dyDescent="0.35">
      <c r="A502" s="16" t="s">
        <v>511</v>
      </c>
      <c r="B502" s="17" t="s">
        <v>2330</v>
      </c>
      <c r="C502" s="17" t="s">
        <v>2461</v>
      </c>
      <c r="D502" s="17" t="str">
        <f>_xlfn.XLOOKUP(Raw_LIMS_Export!E502,'mapping Site table'!$B$4:$B$14,'mapping Site table'!$C$4:$C$14,Raw_LIMS_Export!E502)</f>
        <v>East Hanover</v>
      </c>
      <c r="E502" s="17" t="s">
        <v>2485</v>
      </c>
      <c r="F502" s="17">
        <f t="shared" si="22"/>
        <v>1</v>
      </c>
      <c r="G502" s="17" t="str">
        <f t="shared" si="23"/>
        <v>Fail</v>
      </c>
      <c r="H502" s="17" t="str">
        <f t="shared" si="21"/>
        <v>Fail</v>
      </c>
      <c r="I502" s="17">
        <v>-4.37</v>
      </c>
      <c r="J502" s="17" t="s">
        <v>2490</v>
      </c>
      <c r="K502" s="17">
        <v>0</v>
      </c>
      <c r="L502" s="17">
        <v>100</v>
      </c>
      <c r="M502" s="18">
        <f>Raw_LIMS_Export!K502</f>
        <v>45600</v>
      </c>
      <c r="N502" s="19" t="s">
        <v>2928</v>
      </c>
    </row>
    <row r="503" spans="1:14" x14ac:dyDescent="0.35">
      <c r="A503" s="16" t="s">
        <v>512</v>
      </c>
      <c r="B503" s="17" t="s">
        <v>2280</v>
      </c>
      <c r="C503" s="17" t="s">
        <v>2460</v>
      </c>
      <c r="D503" s="17" t="str">
        <f>_xlfn.XLOOKUP(Raw_LIMS_Export!E503,'mapping Site table'!$B$4:$B$14,'mapping Site table'!$C$4:$C$14,Raw_LIMS_Export!E503)</f>
        <v>East Hanover</v>
      </c>
      <c r="E503" s="17" t="s">
        <v>2481</v>
      </c>
      <c r="F503" s="17">
        <f t="shared" si="22"/>
        <v>1</v>
      </c>
      <c r="G503" s="17" t="str">
        <f t="shared" si="23"/>
        <v>Pass</v>
      </c>
      <c r="H503" s="17" t="str">
        <f t="shared" si="21"/>
        <v>Pass</v>
      </c>
      <c r="I503" s="17">
        <v>229.14</v>
      </c>
      <c r="J503" s="17" t="s">
        <v>2488</v>
      </c>
      <c r="K503" s="17">
        <v>150</v>
      </c>
      <c r="L503" s="17">
        <v>400</v>
      </c>
      <c r="M503" s="18">
        <f>Raw_LIMS_Export!K503</f>
        <v>45685</v>
      </c>
      <c r="N503" s="19" t="s">
        <v>2923</v>
      </c>
    </row>
    <row r="504" spans="1:14" x14ac:dyDescent="0.35">
      <c r="A504" s="16" t="s">
        <v>513</v>
      </c>
      <c r="B504" s="17" t="s">
        <v>2331</v>
      </c>
      <c r="C504" s="17" t="s">
        <v>2457</v>
      </c>
      <c r="D504" s="17" t="str">
        <f>_xlfn.XLOOKUP(Raw_LIMS_Export!E504,'mapping Site table'!$B$4:$B$14,'mapping Site table'!$C$4:$C$14,Raw_LIMS_Export!E504)</f>
        <v>Budapest</v>
      </c>
      <c r="E504" s="17" t="s">
        <v>2484</v>
      </c>
      <c r="F504" s="17">
        <f t="shared" si="22"/>
        <v>1</v>
      </c>
      <c r="G504" s="17" t="str">
        <f t="shared" si="23"/>
        <v>Pass</v>
      </c>
      <c r="H504" s="17" t="str">
        <f t="shared" si="21"/>
        <v>Pass</v>
      </c>
      <c r="I504" s="17">
        <v>6.15</v>
      </c>
      <c r="J504" s="17"/>
      <c r="K504" s="17">
        <v>6</v>
      </c>
      <c r="L504" s="17">
        <v>7.5</v>
      </c>
      <c r="M504" s="18">
        <f>Raw_LIMS_Export!K504</f>
        <v>46019</v>
      </c>
      <c r="N504" s="19" t="s">
        <v>2923</v>
      </c>
    </row>
    <row r="505" spans="1:14" x14ac:dyDescent="0.35">
      <c r="A505" s="16" t="s">
        <v>514</v>
      </c>
      <c r="B505" s="17" t="s">
        <v>2029</v>
      </c>
      <c r="C505" s="17" t="s">
        <v>2459</v>
      </c>
      <c r="D505" s="17" t="str">
        <f>_xlfn.XLOOKUP(Raw_LIMS_Export!E505,'mapping Site table'!$B$4:$B$14,'mapping Site table'!$C$4:$C$14,Raw_LIMS_Export!E505)</f>
        <v>Dortmund DE</v>
      </c>
      <c r="E505" s="17" t="s">
        <v>2480</v>
      </c>
      <c r="F505" s="17">
        <f t="shared" si="22"/>
        <v>1</v>
      </c>
      <c r="G505" s="17" t="str">
        <f t="shared" si="23"/>
        <v>Pass</v>
      </c>
      <c r="H505" s="17" t="str">
        <f t="shared" si="21"/>
        <v>Pass</v>
      </c>
      <c r="I505" s="17">
        <v>0.9</v>
      </c>
      <c r="J505" s="17" t="s">
        <v>2487</v>
      </c>
      <c r="K505" s="17">
        <v>0.88</v>
      </c>
      <c r="L505" s="17">
        <v>0.97</v>
      </c>
      <c r="M505" s="18">
        <f>Raw_LIMS_Export!K505</f>
        <v>45740</v>
      </c>
      <c r="N505" s="19" t="s">
        <v>2923</v>
      </c>
    </row>
    <row r="506" spans="1:14" x14ac:dyDescent="0.35">
      <c r="A506" s="16" t="s">
        <v>515</v>
      </c>
      <c r="B506" s="17" t="s">
        <v>2332</v>
      </c>
      <c r="C506" s="17" t="s">
        <v>2461</v>
      </c>
      <c r="D506" s="17" t="str">
        <f>_xlfn.XLOOKUP(Raw_LIMS_Export!E506,'mapping Site table'!$B$4:$B$14,'mapping Site table'!$C$4:$C$14,Raw_LIMS_Export!E506)</f>
        <v>Ashford UK</v>
      </c>
      <c r="E506" s="17" t="s">
        <v>2485</v>
      </c>
      <c r="F506" s="17">
        <f t="shared" si="22"/>
        <v>1</v>
      </c>
      <c r="G506" s="17" t="str">
        <f t="shared" si="23"/>
        <v>Pass</v>
      </c>
      <c r="H506" s="17" t="str">
        <f t="shared" si="21"/>
        <v>Pending</v>
      </c>
      <c r="I506" s="17">
        <v>43.2</v>
      </c>
      <c r="J506" s="17" t="s">
        <v>2490</v>
      </c>
      <c r="K506" s="17">
        <v>0</v>
      </c>
      <c r="L506" s="17">
        <v>100</v>
      </c>
      <c r="M506" s="18">
        <f>Raw_LIMS_Export!K506</f>
        <v>45649</v>
      </c>
      <c r="N506" s="19" t="s">
        <v>2925</v>
      </c>
    </row>
    <row r="507" spans="1:14" x14ac:dyDescent="0.35">
      <c r="A507" s="16" t="s">
        <v>516</v>
      </c>
      <c r="B507" s="17" t="s">
        <v>2163</v>
      </c>
      <c r="C507" s="17" t="s">
        <v>2460</v>
      </c>
      <c r="D507" s="17" t="str">
        <f>_xlfn.XLOOKUP(Raw_LIMS_Export!E507,'mapping Site table'!$B$4:$B$14,'mapping Site table'!$C$4:$C$14,Raw_LIMS_Export!E507)</f>
        <v>East Hanover</v>
      </c>
      <c r="E507" s="17" t="s">
        <v>2482</v>
      </c>
      <c r="F507" s="17">
        <f t="shared" si="22"/>
        <v>1</v>
      </c>
      <c r="G507" s="17" t="str">
        <f t="shared" si="23"/>
        <v>Pass</v>
      </c>
      <c r="H507" s="17" t="str">
        <f t="shared" si="21"/>
        <v>Fail</v>
      </c>
      <c r="I507" s="17">
        <v>98.79</v>
      </c>
      <c r="J507" s="17" t="s">
        <v>2489</v>
      </c>
      <c r="K507" s="17">
        <v>97</v>
      </c>
      <c r="L507" s="17">
        <v>100</v>
      </c>
      <c r="M507" s="18">
        <f>Raw_LIMS_Export!K507</f>
        <v>45698</v>
      </c>
      <c r="N507" s="19" t="s">
        <v>2930</v>
      </c>
    </row>
    <row r="508" spans="1:14" x14ac:dyDescent="0.35">
      <c r="A508" s="16" t="s">
        <v>517</v>
      </c>
      <c r="B508" s="17" t="s">
        <v>2333</v>
      </c>
      <c r="C508" s="17" t="s">
        <v>2460</v>
      </c>
      <c r="D508" s="17" t="str">
        <f>_xlfn.XLOOKUP(Raw_LIMS_Export!E508,'mapping Site table'!$B$4:$B$14,'mapping Site table'!$C$4:$C$14,Raw_LIMS_Export!E508)</f>
        <v>East Hanover</v>
      </c>
      <c r="E508" s="17" t="s">
        <v>2482</v>
      </c>
      <c r="F508" s="17">
        <f t="shared" si="22"/>
        <v>1</v>
      </c>
      <c r="G508" s="17" t="str">
        <f t="shared" si="23"/>
        <v>Pass</v>
      </c>
      <c r="H508" s="17" t="str">
        <f t="shared" si="21"/>
        <v>Pass</v>
      </c>
      <c r="I508" s="17">
        <v>99.53</v>
      </c>
      <c r="J508" s="17" t="s">
        <v>2489</v>
      </c>
      <c r="K508" s="17">
        <v>97</v>
      </c>
      <c r="L508" s="17">
        <v>100</v>
      </c>
      <c r="M508" s="18">
        <f>Raw_LIMS_Export!K508</f>
        <v>45452</v>
      </c>
      <c r="N508" s="19" t="s">
        <v>2924</v>
      </c>
    </row>
    <row r="509" spans="1:14" x14ac:dyDescent="0.35">
      <c r="A509" s="16" t="s">
        <v>518</v>
      </c>
      <c r="B509" s="17" t="s">
        <v>2110</v>
      </c>
      <c r="C509" s="17" t="s">
        <v>2460</v>
      </c>
      <c r="D509" s="17" t="str">
        <f>_xlfn.XLOOKUP(Raw_LIMS_Export!E509,'mapping Site table'!$B$4:$B$14,'mapping Site table'!$C$4:$C$14,Raw_LIMS_Export!E509)</f>
        <v>Vernier CH</v>
      </c>
      <c r="E509" s="17" t="s">
        <v>2484</v>
      </c>
      <c r="F509" s="17">
        <f t="shared" si="22"/>
        <v>1</v>
      </c>
      <c r="G509" s="17" t="str">
        <f t="shared" si="23"/>
        <v>Pass</v>
      </c>
      <c r="H509" s="17" t="str">
        <f t="shared" si="21"/>
        <v>Fail</v>
      </c>
      <c r="I509" s="17">
        <v>6.42</v>
      </c>
      <c r="J509" s="17"/>
      <c r="K509" s="17">
        <v>6</v>
      </c>
      <c r="L509" s="17">
        <v>7.5</v>
      </c>
      <c r="M509" s="18">
        <f>Raw_LIMS_Export!K509</f>
        <v>45860</v>
      </c>
      <c r="N509" s="19" t="s">
        <v>2929</v>
      </c>
    </row>
    <row r="510" spans="1:14" x14ac:dyDescent="0.35">
      <c r="A510" s="16" t="s">
        <v>519</v>
      </c>
      <c r="B510" s="17" t="s">
        <v>2282</v>
      </c>
      <c r="C510" s="17" t="s">
        <v>2459</v>
      </c>
      <c r="D510" s="17" t="str">
        <f>_xlfn.XLOOKUP(Raw_LIMS_Export!E510,'mapping Site table'!$B$4:$B$14,'mapping Site table'!$C$4:$C$14,Raw_LIMS_Export!E510)</f>
        <v>Dortmund DE</v>
      </c>
      <c r="E510" s="17" t="s">
        <v>2485</v>
      </c>
      <c r="F510" s="17">
        <f t="shared" si="22"/>
        <v>1</v>
      </c>
      <c r="G510" s="17" t="str">
        <f t="shared" si="23"/>
        <v>Pass</v>
      </c>
      <c r="H510" s="17" t="str">
        <f t="shared" si="21"/>
        <v>Pass</v>
      </c>
      <c r="I510" s="17">
        <v>11.03</v>
      </c>
      <c r="J510" s="17" t="s">
        <v>2490</v>
      </c>
      <c r="K510" s="17">
        <v>0</v>
      </c>
      <c r="L510" s="17">
        <v>100</v>
      </c>
      <c r="M510" s="18">
        <f>Raw_LIMS_Export!K510</f>
        <v>45367</v>
      </c>
      <c r="N510" s="19" t="s">
        <v>2929</v>
      </c>
    </row>
    <row r="511" spans="1:14" x14ac:dyDescent="0.35">
      <c r="A511" s="16" t="s">
        <v>520</v>
      </c>
      <c r="B511" s="17" t="s">
        <v>2334</v>
      </c>
      <c r="C511" s="17" t="s">
        <v>2461</v>
      </c>
      <c r="D511" s="17" t="str">
        <f>_xlfn.XLOOKUP(Raw_LIMS_Export!E511,'mapping Site table'!$B$4:$B$14,'mapping Site table'!$C$4:$C$14,Raw_LIMS_Export!E511)</f>
        <v>East Hanover</v>
      </c>
      <c r="E511" s="17" t="s">
        <v>2480</v>
      </c>
      <c r="F511" s="17">
        <f t="shared" si="22"/>
        <v>1</v>
      </c>
      <c r="G511" s="17" t="str">
        <f t="shared" si="23"/>
        <v>Pass</v>
      </c>
      <c r="H511" s="17" t="str">
        <f t="shared" si="21"/>
        <v>Fail</v>
      </c>
      <c r="I511" s="17">
        <v>0.92</v>
      </c>
      <c r="J511" s="17" t="s">
        <v>2487</v>
      </c>
      <c r="K511" s="17">
        <v>0.88</v>
      </c>
      <c r="L511" s="17">
        <v>0.97</v>
      </c>
      <c r="M511" s="18">
        <f>Raw_LIMS_Export!K511</f>
        <v>45399</v>
      </c>
      <c r="N511" s="19" t="s">
        <v>2924</v>
      </c>
    </row>
    <row r="512" spans="1:14" x14ac:dyDescent="0.35">
      <c r="A512" s="16" t="s">
        <v>521</v>
      </c>
      <c r="B512" s="17" t="s">
        <v>2021</v>
      </c>
      <c r="C512" s="17" t="s">
        <v>2457</v>
      </c>
      <c r="D512" s="17" t="str">
        <f>_xlfn.XLOOKUP(Raw_LIMS_Export!E512,'mapping Site table'!$B$4:$B$14,'mapping Site table'!$C$4:$C$14,Raw_LIMS_Export!E512)</f>
        <v>East Hanover</v>
      </c>
      <c r="E512" s="17" t="s">
        <v>2484</v>
      </c>
      <c r="F512" s="17">
        <f t="shared" si="22"/>
        <v>1</v>
      </c>
      <c r="G512" s="17" t="str">
        <f t="shared" si="23"/>
        <v>Pass</v>
      </c>
      <c r="H512" s="17" t="str">
        <f t="shared" si="21"/>
        <v>Fail</v>
      </c>
      <c r="I512" s="17">
        <v>6.81</v>
      </c>
      <c r="J512" s="17"/>
      <c r="K512" s="17">
        <v>6</v>
      </c>
      <c r="L512" s="17">
        <v>7.5</v>
      </c>
      <c r="M512" s="18">
        <f>Raw_LIMS_Export!K512</f>
        <v>45577</v>
      </c>
      <c r="N512" s="19" t="s">
        <v>2926</v>
      </c>
    </row>
    <row r="513" spans="1:14" x14ac:dyDescent="0.35">
      <c r="A513" s="16" t="s">
        <v>522</v>
      </c>
      <c r="B513" s="17" t="s">
        <v>2335</v>
      </c>
      <c r="C513" s="17" t="s">
        <v>2459</v>
      </c>
      <c r="D513" s="17" t="str">
        <f>_xlfn.XLOOKUP(Raw_LIMS_Export!E513,'mapping Site table'!$B$4:$B$14,'mapping Site table'!$C$4:$C$14,Raw_LIMS_Export!E513)</f>
        <v>East Hanover</v>
      </c>
      <c r="E513" s="17" t="s">
        <v>2482</v>
      </c>
      <c r="F513" s="17">
        <f t="shared" si="22"/>
        <v>1</v>
      </c>
      <c r="G513" s="17" t="str">
        <f t="shared" si="23"/>
        <v>Pass</v>
      </c>
      <c r="H513" s="17" t="str">
        <f t="shared" si="21"/>
        <v>Pending</v>
      </c>
      <c r="I513" s="17">
        <v>97.23</v>
      </c>
      <c r="J513" s="17" t="s">
        <v>2489</v>
      </c>
      <c r="K513" s="17">
        <v>97</v>
      </c>
      <c r="L513" s="17">
        <v>100</v>
      </c>
      <c r="M513" s="18">
        <f>Raw_LIMS_Export!K513</f>
        <v>45419</v>
      </c>
      <c r="N513" s="19" t="s">
        <v>2927</v>
      </c>
    </row>
    <row r="514" spans="1:14" x14ac:dyDescent="0.35">
      <c r="A514" s="16" t="s">
        <v>523</v>
      </c>
      <c r="B514" s="17" t="s">
        <v>2223</v>
      </c>
      <c r="C514" s="17" t="s">
        <v>2458</v>
      </c>
      <c r="D514" s="17" t="str">
        <f>_xlfn.XLOOKUP(Raw_LIMS_Export!E514,'mapping Site table'!$B$4:$B$14,'mapping Site table'!$C$4:$C$14,Raw_LIMS_Export!E514)</f>
        <v>East Hanover</v>
      </c>
      <c r="E514" s="17" t="s">
        <v>2483</v>
      </c>
      <c r="F514" s="17">
        <f t="shared" si="22"/>
        <v>1</v>
      </c>
      <c r="G514" s="17" t="str">
        <f t="shared" si="23"/>
        <v>Pass</v>
      </c>
      <c r="H514" s="17" t="str">
        <f t="shared" ref="H514:H577" si="24">IF(COUNTIFS($B$2:$B$2016,B514,$G$2:$G$2016,"Fail")&gt;0,"Fail",
  IF(COUNTIFS($B$2:$B$2016,B514,$G$2:$G$2016,"Missing")&gt;0,"Pending",
    "Pass"))</f>
        <v>Fail</v>
      </c>
      <c r="I514" s="17">
        <v>0.23</v>
      </c>
      <c r="J514" s="17" t="s">
        <v>2489</v>
      </c>
      <c r="K514" s="17">
        <v>0</v>
      </c>
      <c r="L514" s="17">
        <v>1</v>
      </c>
      <c r="M514" s="18">
        <f>Raw_LIMS_Export!K514</f>
        <v>45496</v>
      </c>
      <c r="N514" s="19" t="s">
        <v>2932</v>
      </c>
    </row>
    <row r="515" spans="1:14" x14ac:dyDescent="0.35">
      <c r="A515" s="16" t="s">
        <v>524</v>
      </c>
      <c r="B515" s="17" t="s">
        <v>2091</v>
      </c>
      <c r="C515" s="17" t="s">
        <v>2460</v>
      </c>
      <c r="D515" s="17" t="str">
        <f>_xlfn.XLOOKUP(Raw_LIMS_Export!E515,'mapping Site table'!$B$4:$B$14,'mapping Site table'!$C$4:$C$14,Raw_LIMS_Export!E515)</f>
        <v>Vernier CH</v>
      </c>
      <c r="E515" s="17" t="s">
        <v>2482</v>
      </c>
      <c r="F515" s="17">
        <f t="shared" ref="F515:F578" si="25">IF(I515="",0,1)</f>
        <v>1</v>
      </c>
      <c r="G515" s="17" t="str">
        <f t="shared" ref="G515:G578" si="26">IF(I515="", "Missing", IF(AND(I515&gt;=K515, I515&lt;=L515), "Pass", "Fail"))</f>
        <v>Pass</v>
      </c>
      <c r="H515" s="17" t="str">
        <f t="shared" si="24"/>
        <v>Pass</v>
      </c>
      <c r="I515" s="17">
        <v>99.33</v>
      </c>
      <c r="J515" s="17" t="s">
        <v>2489</v>
      </c>
      <c r="K515" s="17">
        <v>97</v>
      </c>
      <c r="L515" s="17">
        <v>100</v>
      </c>
      <c r="M515" s="18">
        <f>Raw_LIMS_Export!K515</f>
        <v>45517</v>
      </c>
      <c r="N515" s="19" t="s">
        <v>2924</v>
      </c>
    </row>
    <row r="516" spans="1:14" x14ac:dyDescent="0.35">
      <c r="A516" s="16" t="s">
        <v>525</v>
      </c>
      <c r="B516" s="17" t="s">
        <v>2050</v>
      </c>
      <c r="C516" s="17" t="s">
        <v>2461</v>
      </c>
      <c r="D516" s="17" t="str">
        <f>_xlfn.XLOOKUP(Raw_LIMS_Export!E516,'mapping Site table'!$B$4:$B$14,'mapping Site table'!$C$4:$C$14,Raw_LIMS_Export!E516)</f>
        <v>East Hanover</v>
      </c>
      <c r="E516" s="17" t="s">
        <v>2480</v>
      </c>
      <c r="F516" s="17">
        <f t="shared" si="25"/>
        <v>1</v>
      </c>
      <c r="G516" s="17" t="str">
        <f t="shared" si="26"/>
        <v>Pass</v>
      </c>
      <c r="H516" s="17" t="str">
        <f t="shared" si="24"/>
        <v>Pass</v>
      </c>
      <c r="I516" s="17">
        <v>0.91</v>
      </c>
      <c r="J516" s="17" t="s">
        <v>2487</v>
      </c>
      <c r="K516" s="17">
        <v>0.88</v>
      </c>
      <c r="L516" s="17">
        <v>0.97</v>
      </c>
      <c r="M516" s="18">
        <f>Raw_LIMS_Export!K516</f>
        <v>45398</v>
      </c>
      <c r="N516" s="19" t="s">
        <v>2927</v>
      </c>
    </row>
    <row r="517" spans="1:14" x14ac:dyDescent="0.35">
      <c r="A517" s="16" t="s">
        <v>526</v>
      </c>
      <c r="B517" s="17" t="s">
        <v>2045</v>
      </c>
      <c r="C517" s="17" t="s">
        <v>2457</v>
      </c>
      <c r="D517" s="17" t="str">
        <f>_xlfn.XLOOKUP(Raw_LIMS_Export!E517,'mapping Site table'!$B$4:$B$14,'mapping Site table'!$C$4:$C$14,Raw_LIMS_Export!E517)</f>
        <v>Budapest</v>
      </c>
      <c r="E517" s="17" t="s">
        <v>2484</v>
      </c>
      <c r="F517" s="17">
        <f t="shared" si="25"/>
        <v>1</v>
      </c>
      <c r="G517" s="17" t="str">
        <f t="shared" si="26"/>
        <v>Pass</v>
      </c>
      <c r="H517" s="17" t="str">
        <f t="shared" si="24"/>
        <v>Pass</v>
      </c>
      <c r="I517" s="17">
        <v>6.96</v>
      </c>
      <c r="J517" s="17"/>
      <c r="K517" s="17">
        <v>6</v>
      </c>
      <c r="L517" s="17">
        <v>7.5</v>
      </c>
      <c r="M517" s="18">
        <f>Raw_LIMS_Export!K517</f>
        <v>45655</v>
      </c>
      <c r="N517" s="19" t="s">
        <v>2929</v>
      </c>
    </row>
    <row r="518" spans="1:14" x14ac:dyDescent="0.35">
      <c r="A518" s="16" t="s">
        <v>527</v>
      </c>
      <c r="B518" s="17" t="s">
        <v>2256</v>
      </c>
      <c r="C518" s="17" t="s">
        <v>2461</v>
      </c>
      <c r="D518" s="17" t="str">
        <f>_xlfn.XLOOKUP(Raw_LIMS_Export!E518,'mapping Site table'!$B$4:$B$14,'mapping Site table'!$C$4:$C$14,Raw_LIMS_Export!E518)</f>
        <v>East Hanover</v>
      </c>
      <c r="E518" s="17" t="s">
        <v>2482</v>
      </c>
      <c r="F518" s="17">
        <f t="shared" si="25"/>
        <v>1</v>
      </c>
      <c r="G518" s="17" t="str">
        <f t="shared" si="26"/>
        <v>Pass</v>
      </c>
      <c r="H518" s="17" t="str">
        <f t="shared" si="24"/>
        <v>Fail</v>
      </c>
      <c r="I518" s="17">
        <v>97.77</v>
      </c>
      <c r="J518" s="17" t="s">
        <v>2489</v>
      </c>
      <c r="K518" s="17">
        <v>97</v>
      </c>
      <c r="L518" s="17">
        <v>100</v>
      </c>
      <c r="M518" s="18">
        <f>Raw_LIMS_Export!K518</f>
        <v>45676</v>
      </c>
      <c r="N518" s="19" t="s">
        <v>2925</v>
      </c>
    </row>
    <row r="519" spans="1:14" x14ac:dyDescent="0.35">
      <c r="A519" s="16" t="s">
        <v>528</v>
      </c>
      <c r="B519" s="17" t="s">
        <v>2336</v>
      </c>
      <c r="C519" s="17" t="s">
        <v>2460</v>
      </c>
      <c r="D519" s="17" t="str">
        <f>_xlfn.XLOOKUP(Raw_LIMS_Export!E519,'mapping Site table'!$B$4:$B$14,'mapping Site table'!$C$4:$C$14,Raw_LIMS_Export!E519)</f>
        <v>Vernier CH</v>
      </c>
      <c r="E519" s="17" t="s">
        <v>2481</v>
      </c>
      <c r="F519" s="17">
        <f t="shared" si="25"/>
        <v>1</v>
      </c>
      <c r="G519" s="17" t="str">
        <f t="shared" si="26"/>
        <v>Pass</v>
      </c>
      <c r="H519" s="17" t="str">
        <f t="shared" si="24"/>
        <v>Fail</v>
      </c>
      <c r="I519" s="17">
        <v>310.32</v>
      </c>
      <c r="J519" s="17" t="s">
        <v>2488</v>
      </c>
      <c r="K519" s="17">
        <v>150</v>
      </c>
      <c r="L519" s="17">
        <v>400</v>
      </c>
      <c r="M519" s="18">
        <f>Raw_LIMS_Export!K519</f>
        <v>45661</v>
      </c>
      <c r="N519" s="19" t="s">
        <v>2925</v>
      </c>
    </row>
    <row r="520" spans="1:14" x14ac:dyDescent="0.35">
      <c r="A520" s="16" t="s">
        <v>529</v>
      </c>
      <c r="B520" s="17" t="s">
        <v>2080</v>
      </c>
      <c r="C520" s="17" t="s">
        <v>2457</v>
      </c>
      <c r="D520" s="17" t="str">
        <f>_xlfn.XLOOKUP(Raw_LIMS_Export!E520,'mapping Site table'!$B$4:$B$14,'mapping Site table'!$C$4:$C$14,Raw_LIMS_Export!E520)</f>
        <v>Budapest</v>
      </c>
      <c r="E520" s="17" t="s">
        <v>2481</v>
      </c>
      <c r="F520" s="17">
        <f t="shared" si="25"/>
        <v>1</v>
      </c>
      <c r="G520" s="17" t="str">
        <f t="shared" si="26"/>
        <v>Pass</v>
      </c>
      <c r="H520" s="17" t="str">
        <f t="shared" si="24"/>
        <v>Pending</v>
      </c>
      <c r="I520" s="17">
        <v>231.86</v>
      </c>
      <c r="J520" s="17" t="s">
        <v>2488</v>
      </c>
      <c r="K520" s="17">
        <v>150</v>
      </c>
      <c r="L520" s="17">
        <v>400</v>
      </c>
      <c r="M520" s="18">
        <f>Raw_LIMS_Export!K520</f>
        <v>45304</v>
      </c>
      <c r="N520" s="19" t="s">
        <v>2928</v>
      </c>
    </row>
    <row r="521" spans="1:14" x14ac:dyDescent="0.35">
      <c r="A521" s="16" t="s">
        <v>530</v>
      </c>
      <c r="B521" s="17" t="s">
        <v>2337</v>
      </c>
      <c r="C521" s="17" t="s">
        <v>2461</v>
      </c>
      <c r="D521" s="17" t="str">
        <f>_xlfn.XLOOKUP(Raw_LIMS_Export!E521,'mapping Site table'!$B$4:$B$14,'mapping Site table'!$C$4:$C$14,Raw_LIMS_Export!E521)</f>
        <v>East Hanover</v>
      </c>
      <c r="E521" s="17" t="s">
        <v>2484</v>
      </c>
      <c r="F521" s="17">
        <f t="shared" si="25"/>
        <v>1</v>
      </c>
      <c r="G521" s="17" t="str">
        <f t="shared" si="26"/>
        <v>Pass</v>
      </c>
      <c r="H521" s="17" t="str">
        <f t="shared" si="24"/>
        <v>Pass</v>
      </c>
      <c r="I521" s="17">
        <v>6.72</v>
      </c>
      <c r="J521" s="17"/>
      <c r="K521" s="17">
        <v>6</v>
      </c>
      <c r="L521" s="17">
        <v>7.5</v>
      </c>
      <c r="M521" s="18">
        <f>Raw_LIMS_Export!K521</f>
        <v>45545</v>
      </c>
      <c r="N521" s="19" t="s">
        <v>2925</v>
      </c>
    </row>
    <row r="522" spans="1:14" x14ac:dyDescent="0.35">
      <c r="A522" s="16" t="s">
        <v>531</v>
      </c>
      <c r="B522" s="17" t="s">
        <v>2338</v>
      </c>
      <c r="C522" s="17" t="s">
        <v>2458</v>
      </c>
      <c r="D522" s="17" t="str">
        <f>_xlfn.XLOOKUP(Raw_LIMS_Export!E522,'mapping Site table'!$B$4:$B$14,'mapping Site table'!$C$4:$C$14,Raw_LIMS_Export!E522)</f>
        <v>Budapest</v>
      </c>
      <c r="E522" s="17" t="s">
        <v>2481</v>
      </c>
      <c r="F522" s="17">
        <f t="shared" si="25"/>
        <v>1</v>
      </c>
      <c r="G522" s="17" t="str">
        <f t="shared" si="26"/>
        <v>Pass</v>
      </c>
      <c r="H522" s="17" t="str">
        <f t="shared" si="24"/>
        <v>Pending</v>
      </c>
      <c r="I522" s="17">
        <v>180.92</v>
      </c>
      <c r="J522" s="17" t="s">
        <v>2488</v>
      </c>
      <c r="K522" s="17">
        <v>150</v>
      </c>
      <c r="L522" s="17">
        <v>400</v>
      </c>
      <c r="M522" s="18">
        <f>Raw_LIMS_Export!K522</f>
        <v>45311</v>
      </c>
      <c r="N522" s="19" t="s">
        <v>2932</v>
      </c>
    </row>
    <row r="523" spans="1:14" x14ac:dyDescent="0.35">
      <c r="A523" s="16" t="s">
        <v>532</v>
      </c>
      <c r="B523" s="17" t="s">
        <v>2339</v>
      </c>
      <c r="C523" s="17" t="s">
        <v>2459</v>
      </c>
      <c r="D523" s="17" t="str">
        <f>_xlfn.XLOOKUP(Raw_LIMS_Export!E523,'mapping Site table'!$B$4:$B$14,'mapping Site table'!$C$4:$C$14,Raw_LIMS_Export!E523)</f>
        <v>Dortmund DE</v>
      </c>
      <c r="E523" s="17" t="s">
        <v>2485</v>
      </c>
      <c r="F523" s="17">
        <f t="shared" si="25"/>
        <v>1</v>
      </c>
      <c r="G523" s="17" t="str">
        <f t="shared" si="26"/>
        <v>Pass</v>
      </c>
      <c r="H523" s="17" t="str">
        <f t="shared" si="24"/>
        <v>Pending</v>
      </c>
      <c r="I523" s="17">
        <v>10.5</v>
      </c>
      <c r="J523" s="17" t="s">
        <v>2490</v>
      </c>
      <c r="K523" s="17">
        <v>0</v>
      </c>
      <c r="L523" s="17">
        <v>100</v>
      </c>
      <c r="M523" s="18">
        <f>Raw_LIMS_Export!K523</f>
        <v>45673</v>
      </c>
      <c r="N523" s="19" t="s">
        <v>2926</v>
      </c>
    </row>
    <row r="524" spans="1:14" x14ac:dyDescent="0.35">
      <c r="A524" s="16" t="s">
        <v>533</v>
      </c>
      <c r="B524" s="17" t="s">
        <v>2340</v>
      </c>
      <c r="C524" s="17" t="s">
        <v>2460</v>
      </c>
      <c r="D524" s="17" t="str">
        <f>_xlfn.XLOOKUP(Raw_LIMS_Export!E524,'mapping Site table'!$B$4:$B$14,'mapping Site table'!$C$4:$C$14,Raw_LIMS_Export!E524)</f>
        <v>Vernier CH</v>
      </c>
      <c r="E524" s="17" t="s">
        <v>2479</v>
      </c>
      <c r="F524" s="17">
        <f t="shared" si="25"/>
        <v>1</v>
      </c>
      <c r="G524" s="17" t="str">
        <f t="shared" si="26"/>
        <v>Pass</v>
      </c>
      <c r="H524" s="17" t="str">
        <f t="shared" si="24"/>
        <v>Pass</v>
      </c>
      <c r="I524" s="17">
        <v>46.84</v>
      </c>
      <c r="J524" s="17" t="s">
        <v>2486</v>
      </c>
      <c r="K524" s="17">
        <v>0</v>
      </c>
      <c r="L524" s="17">
        <v>120</v>
      </c>
      <c r="M524" s="18">
        <f>Raw_LIMS_Export!K524</f>
        <v>45890</v>
      </c>
      <c r="N524" s="19" t="s">
        <v>2926</v>
      </c>
    </row>
    <row r="525" spans="1:14" x14ac:dyDescent="0.35">
      <c r="A525" s="16" t="s">
        <v>534</v>
      </c>
      <c r="B525" s="17" t="s">
        <v>2069</v>
      </c>
      <c r="C525" s="17" t="s">
        <v>2458</v>
      </c>
      <c r="D525" s="17" t="str">
        <f>_xlfn.XLOOKUP(Raw_LIMS_Export!E525,'mapping Site table'!$B$4:$B$14,'mapping Site table'!$C$4:$C$14,Raw_LIMS_Export!E525)</f>
        <v>East Hanover</v>
      </c>
      <c r="E525" s="17" t="s">
        <v>2479</v>
      </c>
      <c r="F525" s="17">
        <f t="shared" si="25"/>
        <v>1</v>
      </c>
      <c r="G525" s="17" t="str">
        <f t="shared" si="26"/>
        <v>Pass</v>
      </c>
      <c r="H525" s="17" t="str">
        <f t="shared" si="24"/>
        <v>Fail</v>
      </c>
      <c r="I525" s="17">
        <v>70.56</v>
      </c>
      <c r="J525" s="17" t="s">
        <v>2486</v>
      </c>
      <c r="K525" s="17">
        <v>0</v>
      </c>
      <c r="L525" s="17">
        <v>120</v>
      </c>
      <c r="M525" s="18">
        <f>Raw_LIMS_Export!K525</f>
        <v>45766</v>
      </c>
      <c r="N525" s="19" t="s">
        <v>2927</v>
      </c>
    </row>
    <row r="526" spans="1:14" x14ac:dyDescent="0.35">
      <c r="A526" s="16" t="s">
        <v>535</v>
      </c>
      <c r="B526" s="17" t="s">
        <v>2341</v>
      </c>
      <c r="C526" s="17" t="s">
        <v>2459</v>
      </c>
      <c r="D526" s="17" t="str">
        <f>_xlfn.XLOOKUP(Raw_LIMS_Export!E526,'mapping Site table'!$B$4:$B$14,'mapping Site table'!$C$4:$C$14,Raw_LIMS_Export!E526)</f>
        <v>East Hanover</v>
      </c>
      <c r="E526" s="17" t="s">
        <v>2484</v>
      </c>
      <c r="F526" s="17">
        <f t="shared" si="25"/>
        <v>1</v>
      </c>
      <c r="G526" s="17" t="str">
        <f t="shared" si="26"/>
        <v>Pass</v>
      </c>
      <c r="H526" s="17" t="str">
        <f t="shared" si="24"/>
        <v>Fail</v>
      </c>
      <c r="I526" s="17">
        <v>6.59</v>
      </c>
      <c r="J526" s="17"/>
      <c r="K526" s="17">
        <v>6</v>
      </c>
      <c r="L526" s="17">
        <v>7.5</v>
      </c>
      <c r="M526" s="18">
        <f>Raw_LIMS_Export!K526</f>
        <v>45812</v>
      </c>
      <c r="N526" s="19" t="s">
        <v>2925</v>
      </c>
    </row>
    <row r="527" spans="1:14" x14ac:dyDescent="0.35">
      <c r="A527" s="16" t="s">
        <v>536</v>
      </c>
      <c r="B527" s="17" t="s">
        <v>2342</v>
      </c>
      <c r="C527" s="17" t="s">
        <v>2458</v>
      </c>
      <c r="D527" s="17" t="str">
        <f>_xlfn.XLOOKUP(Raw_LIMS_Export!E527,'mapping Site table'!$B$4:$B$14,'mapping Site table'!$C$4:$C$14,Raw_LIMS_Export!E527)</f>
        <v>East Hanover</v>
      </c>
      <c r="E527" s="17" t="s">
        <v>2481</v>
      </c>
      <c r="F527" s="17">
        <f t="shared" si="25"/>
        <v>1</v>
      </c>
      <c r="G527" s="17" t="str">
        <f t="shared" si="26"/>
        <v>Pass</v>
      </c>
      <c r="H527" s="17" t="str">
        <f t="shared" si="24"/>
        <v>Pass</v>
      </c>
      <c r="I527" s="17">
        <v>215.54</v>
      </c>
      <c r="J527" s="17" t="s">
        <v>2488</v>
      </c>
      <c r="K527" s="17">
        <v>150</v>
      </c>
      <c r="L527" s="17">
        <v>400</v>
      </c>
      <c r="M527" s="18">
        <f>Raw_LIMS_Export!K527</f>
        <v>45686</v>
      </c>
      <c r="N527" s="19" t="s">
        <v>2929</v>
      </c>
    </row>
    <row r="528" spans="1:14" x14ac:dyDescent="0.35">
      <c r="A528" s="16" t="s">
        <v>537</v>
      </c>
      <c r="B528" s="17" t="s">
        <v>2343</v>
      </c>
      <c r="C528" s="17" t="s">
        <v>2457</v>
      </c>
      <c r="D528" s="17" t="str">
        <f>_xlfn.XLOOKUP(Raw_LIMS_Export!E528,'mapping Site table'!$B$4:$B$14,'mapping Site table'!$C$4:$C$14,Raw_LIMS_Export!E528)</f>
        <v>East Hanover</v>
      </c>
      <c r="E528" s="17" t="s">
        <v>2484</v>
      </c>
      <c r="F528" s="17">
        <f t="shared" si="25"/>
        <v>1</v>
      </c>
      <c r="G528" s="17" t="str">
        <f t="shared" si="26"/>
        <v>Pass</v>
      </c>
      <c r="H528" s="17" t="str">
        <f t="shared" si="24"/>
        <v>Pass</v>
      </c>
      <c r="I528" s="17">
        <v>6.51</v>
      </c>
      <c r="J528" s="17"/>
      <c r="K528" s="17">
        <v>6</v>
      </c>
      <c r="L528" s="17">
        <v>7.5</v>
      </c>
      <c r="M528" s="18">
        <f>Raw_LIMS_Export!K528</f>
        <v>45531</v>
      </c>
      <c r="N528" s="19" t="s">
        <v>2923</v>
      </c>
    </row>
    <row r="529" spans="1:14" x14ac:dyDescent="0.35">
      <c r="A529" s="16" t="s">
        <v>538</v>
      </c>
      <c r="B529" s="17" t="s">
        <v>2255</v>
      </c>
      <c r="C529" s="17" t="s">
        <v>2457</v>
      </c>
      <c r="D529" s="17" t="str">
        <f>_xlfn.XLOOKUP(Raw_LIMS_Export!E529,'mapping Site table'!$B$4:$B$14,'mapping Site table'!$C$4:$C$14,Raw_LIMS_Export!E529)</f>
        <v>Ashford UK</v>
      </c>
      <c r="E529" s="17" t="s">
        <v>2483</v>
      </c>
      <c r="F529" s="17">
        <f t="shared" si="25"/>
        <v>1</v>
      </c>
      <c r="G529" s="17" t="str">
        <f t="shared" si="26"/>
        <v>Pass</v>
      </c>
      <c r="H529" s="17" t="str">
        <f t="shared" si="24"/>
        <v>Pass</v>
      </c>
      <c r="I529" s="17">
        <v>0.11</v>
      </c>
      <c r="J529" s="17" t="s">
        <v>2489</v>
      </c>
      <c r="K529" s="17">
        <v>0</v>
      </c>
      <c r="L529" s="17">
        <v>1</v>
      </c>
      <c r="M529" s="18">
        <f>Raw_LIMS_Export!K529</f>
        <v>45451</v>
      </c>
      <c r="N529" s="19" t="s">
        <v>2926</v>
      </c>
    </row>
    <row r="530" spans="1:14" x14ac:dyDescent="0.35">
      <c r="A530" s="16" t="s">
        <v>539</v>
      </c>
      <c r="B530" s="17" t="s">
        <v>2024</v>
      </c>
      <c r="C530" s="17" t="s">
        <v>2457</v>
      </c>
      <c r="D530" s="17" t="str">
        <f>_xlfn.XLOOKUP(Raw_LIMS_Export!E530,'mapping Site table'!$B$4:$B$14,'mapping Site table'!$C$4:$C$14,Raw_LIMS_Export!E530)</f>
        <v>Vernier CH</v>
      </c>
      <c r="E530" s="17" t="s">
        <v>2482</v>
      </c>
      <c r="F530" s="17">
        <f t="shared" si="25"/>
        <v>1</v>
      </c>
      <c r="G530" s="17" t="str">
        <f t="shared" si="26"/>
        <v>Pass</v>
      </c>
      <c r="H530" s="17" t="str">
        <f t="shared" si="24"/>
        <v>Fail</v>
      </c>
      <c r="I530" s="17">
        <v>98.8</v>
      </c>
      <c r="J530" s="17" t="s">
        <v>2489</v>
      </c>
      <c r="K530" s="17">
        <v>97</v>
      </c>
      <c r="L530" s="17">
        <v>100</v>
      </c>
      <c r="M530" s="18">
        <f>Raw_LIMS_Export!K530</f>
        <v>45529</v>
      </c>
      <c r="N530" s="19" t="s">
        <v>2931</v>
      </c>
    </row>
    <row r="531" spans="1:14" x14ac:dyDescent="0.35">
      <c r="A531" s="16" t="s">
        <v>540</v>
      </c>
      <c r="B531" s="17" t="s">
        <v>2116</v>
      </c>
      <c r="C531" s="17" t="s">
        <v>2461</v>
      </c>
      <c r="D531" s="17" t="str">
        <f>_xlfn.XLOOKUP(Raw_LIMS_Export!E531,'mapping Site table'!$B$4:$B$14,'mapping Site table'!$C$4:$C$14,Raw_LIMS_Export!E531)</f>
        <v>Dortmund DE</v>
      </c>
      <c r="E531" s="17" t="s">
        <v>2483</v>
      </c>
      <c r="F531" s="17">
        <f t="shared" si="25"/>
        <v>1</v>
      </c>
      <c r="G531" s="17" t="str">
        <f t="shared" si="26"/>
        <v>Pass</v>
      </c>
      <c r="H531" s="17" t="str">
        <f t="shared" si="24"/>
        <v>Pass</v>
      </c>
      <c r="I531" s="17">
        <v>0.27</v>
      </c>
      <c r="J531" s="17" t="s">
        <v>2489</v>
      </c>
      <c r="K531" s="17">
        <v>0</v>
      </c>
      <c r="L531" s="17">
        <v>1</v>
      </c>
      <c r="M531" s="18">
        <f>Raw_LIMS_Export!K531</f>
        <v>45376</v>
      </c>
      <c r="N531" s="19" t="s">
        <v>2924</v>
      </c>
    </row>
    <row r="532" spans="1:14" x14ac:dyDescent="0.35">
      <c r="A532" s="16" t="s">
        <v>541</v>
      </c>
      <c r="B532" s="17" t="s">
        <v>2097</v>
      </c>
      <c r="C532" s="17" t="s">
        <v>2457</v>
      </c>
      <c r="D532" s="17" t="str">
        <f>_xlfn.XLOOKUP(Raw_LIMS_Export!E532,'mapping Site table'!$B$4:$B$14,'mapping Site table'!$C$4:$C$14,Raw_LIMS_Export!E532)</f>
        <v>East Hanover</v>
      </c>
      <c r="E532" s="17" t="s">
        <v>2480</v>
      </c>
      <c r="F532" s="17">
        <f t="shared" si="25"/>
        <v>1</v>
      </c>
      <c r="G532" s="17" t="str">
        <f t="shared" si="26"/>
        <v>Pass</v>
      </c>
      <c r="H532" s="17" t="str">
        <f t="shared" si="24"/>
        <v>Pass</v>
      </c>
      <c r="I532" s="17">
        <v>0.92</v>
      </c>
      <c r="J532" s="17" t="s">
        <v>2487</v>
      </c>
      <c r="K532" s="17">
        <v>0.88</v>
      </c>
      <c r="L532" s="17">
        <v>0.97</v>
      </c>
      <c r="M532" s="18">
        <f>Raw_LIMS_Export!K532</f>
        <v>45826</v>
      </c>
      <c r="N532" s="19" t="s">
        <v>2926</v>
      </c>
    </row>
    <row r="533" spans="1:14" x14ac:dyDescent="0.35">
      <c r="A533" s="16" t="s">
        <v>542</v>
      </c>
      <c r="B533" s="17" t="s">
        <v>2344</v>
      </c>
      <c r="C533" s="17" t="s">
        <v>2461</v>
      </c>
      <c r="D533" s="17" t="str">
        <f>_xlfn.XLOOKUP(Raw_LIMS_Export!E533,'mapping Site table'!$B$4:$B$14,'mapping Site table'!$C$4:$C$14,Raw_LIMS_Export!E533)</f>
        <v>Vernier CH</v>
      </c>
      <c r="E533" s="17" t="s">
        <v>2479</v>
      </c>
      <c r="F533" s="17">
        <f t="shared" si="25"/>
        <v>1</v>
      </c>
      <c r="G533" s="17" t="str">
        <f t="shared" si="26"/>
        <v>Pass</v>
      </c>
      <c r="H533" s="17" t="str">
        <f t="shared" si="24"/>
        <v>Pending</v>
      </c>
      <c r="I533" s="17">
        <v>38.78</v>
      </c>
      <c r="J533" s="17" t="s">
        <v>2486</v>
      </c>
      <c r="K533" s="17">
        <v>0</v>
      </c>
      <c r="L533" s="17">
        <v>120</v>
      </c>
      <c r="M533" s="18">
        <f>Raw_LIMS_Export!K533</f>
        <v>45458</v>
      </c>
      <c r="N533" s="19" t="s">
        <v>2932</v>
      </c>
    </row>
    <row r="534" spans="1:14" x14ac:dyDescent="0.35">
      <c r="A534" s="16" t="s">
        <v>543</v>
      </c>
      <c r="B534" s="17" t="s">
        <v>2196</v>
      </c>
      <c r="C534" s="17" t="s">
        <v>2457</v>
      </c>
      <c r="D534" s="17" t="str">
        <f>_xlfn.XLOOKUP(Raw_LIMS_Export!E534,'mapping Site table'!$B$4:$B$14,'mapping Site table'!$C$4:$C$14,Raw_LIMS_Export!E534)</f>
        <v>Vernier CH</v>
      </c>
      <c r="E534" s="17" t="s">
        <v>2482</v>
      </c>
      <c r="F534" s="17">
        <f t="shared" si="25"/>
        <v>1</v>
      </c>
      <c r="G534" s="17" t="str">
        <f t="shared" si="26"/>
        <v>Pass</v>
      </c>
      <c r="H534" s="17" t="str">
        <f t="shared" si="24"/>
        <v>Pass</v>
      </c>
      <c r="I534" s="17">
        <v>98.96</v>
      </c>
      <c r="J534" s="17" t="s">
        <v>2489</v>
      </c>
      <c r="K534" s="17">
        <v>97</v>
      </c>
      <c r="L534" s="17">
        <v>100</v>
      </c>
      <c r="M534" s="18">
        <f>Raw_LIMS_Export!K534</f>
        <v>45740</v>
      </c>
      <c r="N534" s="19" t="s">
        <v>2929</v>
      </c>
    </row>
    <row r="535" spans="1:14" x14ac:dyDescent="0.35">
      <c r="A535" s="16" t="s">
        <v>544</v>
      </c>
      <c r="B535" s="17" t="s">
        <v>2045</v>
      </c>
      <c r="C535" s="17" t="s">
        <v>2457</v>
      </c>
      <c r="D535" s="17" t="str">
        <f>_xlfn.XLOOKUP(Raw_LIMS_Export!E535,'mapping Site table'!$B$4:$B$14,'mapping Site table'!$C$4:$C$14,Raw_LIMS_Export!E535)</f>
        <v>Budapest</v>
      </c>
      <c r="E535" s="17" t="s">
        <v>2481</v>
      </c>
      <c r="F535" s="17">
        <f t="shared" si="25"/>
        <v>1</v>
      </c>
      <c r="G535" s="17" t="str">
        <f t="shared" si="26"/>
        <v>Pass</v>
      </c>
      <c r="H535" s="17" t="str">
        <f t="shared" si="24"/>
        <v>Pass</v>
      </c>
      <c r="I535" s="17">
        <v>298.18</v>
      </c>
      <c r="J535" s="17" t="s">
        <v>2488</v>
      </c>
      <c r="K535" s="17">
        <v>150</v>
      </c>
      <c r="L535" s="17">
        <v>400</v>
      </c>
      <c r="M535" s="18">
        <f>Raw_LIMS_Export!K535</f>
        <v>45655</v>
      </c>
      <c r="N535" s="19" t="s">
        <v>2924</v>
      </c>
    </row>
    <row r="536" spans="1:14" x14ac:dyDescent="0.35">
      <c r="A536" s="16" t="s">
        <v>545</v>
      </c>
      <c r="B536" s="17" t="s">
        <v>2042</v>
      </c>
      <c r="C536" s="17" t="s">
        <v>2460</v>
      </c>
      <c r="D536" s="17" t="str">
        <f>_xlfn.XLOOKUP(Raw_LIMS_Export!E536,'mapping Site table'!$B$4:$B$14,'mapping Site table'!$C$4:$C$14,Raw_LIMS_Export!E536)</f>
        <v>Vernier CH</v>
      </c>
      <c r="E536" s="17" t="s">
        <v>2480</v>
      </c>
      <c r="F536" s="17">
        <f t="shared" si="25"/>
        <v>1</v>
      </c>
      <c r="G536" s="17" t="str">
        <f t="shared" si="26"/>
        <v>Pass</v>
      </c>
      <c r="H536" s="17" t="str">
        <f t="shared" si="24"/>
        <v>Fail</v>
      </c>
      <c r="I536" s="17">
        <v>0.94</v>
      </c>
      <c r="J536" s="17" t="s">
        <v>2487</v>
      </c>
      <c r="K536" s="17">
        <v>0.88</v>
      </c>
      <c r="L536" s="17">
        <v>0.97</v>
      </c>
      <c r="M536" s="18">
        <f>Raw_LIMS_Export!K536</f>
        <v>45774</v>
      </c>
      <c r="N536" s="19" t="s">
        <v>2923</v>
      </c>
    </row>
    <row r="537" spans="1:14" x14ac:dyDescent="0.35">
      <c r="A537" s="16" t="s">
        <v>546</v>
      </c>
      <c r="B537" s="17" t="s">
        <v>2022</v>
      </c>
      <c r="C537" s="17" t="s">
        <v>2457</v>
      </c>
      <c r="D537" s="17" t="str">
        <f>_xlfn.XLOOKUP(Raw_LIMS_Export!E537,'mapping Site table'!$B$4:$B$14,'mapping Site table'!$C$4:$C$14,Raw_LIMS_Export!E537)</f>
        <v>Vernier CH</v>
      </c>
      <c r="E537" s="17" t="s">
        <v>2481</v>
      </c>
      <c r="F537" s="17">
        <f t="shared" si="25"/>
        <v>1</v>
      </c>
      <c r="G537" s="17" t="str">
        <f t="shared" si="26"/>
        <v>Pass</v>
      </c>
      <c r="H537" s="17" t="str">
        <f t="shared" si="24"/>
        <v>Pending</v>
      </c>
      <c r="I537" s="17">
        <v>232.28</v>
      </c>
      <c r="J537" s="17" t="s">
        <v>2488</v>
      </c>
      <c r="K537" s="17">
        <v>150</v>
      </c>
      <c r="L537" s="17">
        <v>400</v>
      </c>
      <c r="M537" s="18">
        <f>Raw_LIMS_Export!K537</f>
        <v>45530</v>
      </c>
      <c r="N537" s="19" t="s">
        <v>2930</v>
      </c>
    </row>
    <row r="538" spans="1:14" x14ac:dyDescent="0.35">
      <c r="A538" s="16" t="s">
        <v>547</v>
      </c>
      <c r="B538" s="17" t="s">
        <v>2046</v>
      </c>
      <c r="C538" s="17" t="s">
        <v>2457</v>
      </c>
      <c r="D538" s="17" t="str">
        <f>_xlfn.XLOOKUP(Raw_LIMS_Export!E538,'mapping Site table'!$B$4:$B$14,'mapping Site table'!$C$4:$C$14,Raw_LIMS_Export!E538)</f>
        <v>Dortmund DE</v>
      </c>
      <c r="E538" s="17" t="s">
        <v>2485</v>
      </c>
      <c r="F538" s="17">
        <f t="shared" si="25"/>
        <v>1</v>
      </c>
      <c r="G538" s="17" t="str">
        <f t="shared" si="26"/>
        <v>Fail</v>
      </c>
      <c r="H538" s="17" t="str">
        <f t="shared" si="24"/>
        <v>Fail</v>
      </c>
      <c r="I538" s="17">
        <v>-75</v>
      </c>
      <c r="J538" s="17" t="s">
        <v>2490</v>
      </c>
      <c r="K538" s="17">
        <v>0</v>
      </c>
      <c r="L538" s="17">
        <v>100</v>
      </c>
      <c r="M538" s="18">
        <f>Raw_LIMS_Export!K538</f>
        <v>45739</v>
      </c>
      <c r="N538" s="19" t="s">
        <v>2929</v>
      </c>
    </row>
    <row r="539" spans="1:14" x14ac:dyDescent="0.35">
      <c r="A539" s="16" t="s">
        <v>548</v>
      </c>
      <c r="B539" s="17" t="s">
        <v>2166</v>
      </c>
      <c r="C539" s="17" t="s">
        <v>2459</v>
      </c>
      <c r="D539" s="17" t="str">
        <f>_xlfn.XLOOKUP(Raw_LIMS_Export!E539,'mapping Site table'!$B$4:$B$14,'mapping Site table'!$C$4:$C$14,Raw_LIMS_Export!E539)</f>
        <v>Dortmund DE</v>
      </c>
      <c r="E539" s="17" t="s">
        <v>2485</v>
      </c>
      <c r="F539" s="17">
        <f t="shared" si="25"/>
        <v>1</v>
      </c>
      <c r="G539" s="17" t="str">
        <f t="shared" si="26"/>
        <v>Pass</v>
      </c>
      <c r="H539" s="17" t="str">
        <f t="shared" si="24"/>
        <v>Pass</v>
      </c>
      <c r="I539" s="17">
        <v>22.45</v>
      </c>
      <c r="J539" s="17" t="s">
        <v>2490</v>
      </c>
      <c r="K539" s="17">
        <v>0</v>
      </c>
      <c r="L539" s="17">
        <v>100</v>
      </c>
      <c r="M539" s="18">
        <f>Raw_LIMS_Export!K539</f>
        <v>45970</v>
      </c>
      <c r="N539" s="19" t="s">
        <v>2925</v>
      </c>
    </row>
    <row r="540" spans="1:14" x14ac:dyDescent="0.35">
      <c r="A540" s="16" t="s">
        <v>549</v>
      </c>
      <c r="B540" s="17" t="s">
        <v>2282</v>
      </c>
      <c r="C540" s="17" t="s">
        <v>2459</v>
      </c>
      <c r="D540" s="17" t="str">
        <f>_xlfn.XLOOKUP(Raw_LIMS_Export!E540,'mapping Site table'!$B$4:$B$14,'mapping Site table'!$C$4:$C$14,Raw_LIMS_Export!E540)</f>
        <v>Dortmund DE</v>
      </c>
      <c r="E540" s="17" t="s">
        <v>2484</v>
      </c>
      <c r="F540" s="17">
        <f t="shared" si="25"/>
        <v>1</v>
      </c>
      <c r="G540" s="17" t="str">
        <f t="shared" si="26"/>
        <v>Pass</v>
      </c>
      <c r="H540" s="17" t="str">
        <f t="shared" si="24"/>
        <v>Pass</v>
      </c>
      <c r="I540" s="17">
        <v>6.21</v>
      </c>
      <c r="J540" s="17"/>
      <c r="K540" s="17">
        <v>6</v>
      </c>
      <c r="L540" s="17">
        <v>7.5</v>
      </c>
      <c r="M540" s="18">
        <f>Raw_LIMS_Export!K540</f>
        <v>45367</v>
      </c>
      <c r="N540" s="19" t="s">
        <v>2923</v>
      </c>
    </row>
    <row r="541" spans="1:14" x14ac:dyDescent="0.35">
      <c r="A541" s="16" t="s">
        <v>550</v>
      </c>
      <c r="B541" s="17" t="s">
        <v>2164</v>
      </c>
      <c r="C541" s="17" t="s">
        <v>2460</v>
      </c>
      <c r="D541" s="17" t="str">
        <f>_xlfn.XLOOKUP(Raw_LIMS_Export!E541,'mapping Site table'!$B$4:$B$14,'mapping Site table'!$C$4:$C$14,Raw_LIMS_Export!E541)</f>
        <v>Ashford UK</v>
      </c>
      <c r="E541" s="17" t="s">
        <v>2484</v>
      </c>
      <c r="F541" s="17">
        <f t="shared" si="25"/>
        <v>1</v>
      </c>
      <c r="G541" s="17" t="str">
        <f t="shared" si="26"/>
        <v>Pass</v>
      </c>
      <c r="H541" s="17" t="str">
        <f t="shared" si="24"/>
        <v>Fail</v>
      </c>
      <c r="I541" s="17">
        <v>7.21</v>
      </c>
      <c r="J541" s="17"/>
      <c r="K541" s="17">
        <v>6</v>
      </c>
      <c r="L541" s="17">
        <v>7.5</v>
      </c>
      <c r="M541" s="18">
        <f>Raw_LIMS_Export!K541</f>
        <v>45912</v>
      </c>
      <c r="N541" s="19" t="s">
        <v>2928</v>
      </c>
    </row>
    <row r="542" spans="1:14" x14ac:dyDescent="0.35">
      <c r="A542" s="16" t="s">
        <v>551</v>
      </c>
      <c r="B542" s="17" t="s">
        <v>2121</v>
      </c>
      <c r="C542" s="17" t="s">
        <v>2457</v>
      </c>
      <c r="D542" s="17" t="str">
        <f>_xlfn.XLOOKUP(Raw_LIMS_Export!E542,'mapping Site table'!$B$4:$B$14,'mapping Site table'!$C$4:$C$14,Raw_LIMS_Export!E542)</f>
        <v>East Hanover</v>
      </c>
      <c r="E542" s="17" t="s">
        <v>2481</v>
      </c>
      <c r="F542" s="17">
        <f t="shared" si="25"/>
        <v>1</v>
      </c>
      <c r="G542" s="17" t="str">
        <f t="shared" si="26"/>
        <v>Pass</v>
      </c>
      <c r="H542" s="17" t="str">
        <f t="shared" si="24"/>
        <v>Fail</v>
      </c>
      <c r="I542" s="17">
        <v>268.32</v>
      </c>
      <c r="J542" s="17" t="s">
        <v>2488</v>
      </c>
      <c r="K542" s="17">
        <v>150</v>
      </c>
      <c r="L542" s="17">
        <v>400</v>
      </c>
      <c r="M542" s="18">
        <f>Raw_LIMS_Export!K542</f>
        <v>45690</v>
      </c>
      <c r="N542" s="19" t="s">
        <v>2925</v>
      </c>
    </row>
    <row r="543" spans="1:14" x14ac:dyDescent="0.35">
      <c r="A543" s="16" t="s">
        <v>552</v>
      </c>
      <c r="B543" s="17" t="s">
        <v>2086</v>
      </c>
      <c r="C543" s="17" t="s">
        <v>2459</v>
      </c>
      <c r="D543" s="17" t="str">
        <f>_xlfn.XLOOKUP(Raw_LIMS_Export!E543,'mapping Site table'!$B$4:$B$14,'mapping Site table'!$C$4:$C$14,Raw_LIMS_Export!E543)</f>
        <v>Ashford UK</v>
      </c>
      <c r="E543" s="17" t="s">
        <v>2481</v>
      </c>
      <c r="F543" s="17">
        <f t="shared" si="25"/>
        <v>1</v>
      </c>
      <c r="G543" s="17" t="str">
        <f t="shared" si="26"/>
        <v>Pass</v>
      </c>
      <c r="H543" s="17" t="str">
        <f t="shared" si="24"/>
        <v>Fail</v>
      </c>
      <c r="I543" s="17">
        <v>238.78</v>
      </c>
      <c r="J543" s="17" t="s">
        <v>2488</v>
      </c>
      <c r="K543" s="17">
        <v>150</v>
      </c>
      <c r="L543" s="17">
        <v>400</v>
      </c>
      <c r="M543" s="18">
        <f>Raw_LIMS_Export!K543</f>
        <v>45668</v>
      </c>
      <c r="N543" s="19" t="s">
        <v>2925</v>
      </c>
    </row>
    <row r="544" spans="1:14" x14ac:dyDescent="0.35">
      <c r="A544" s="16" t="s">
        <v>553</v>
      </c>
      <c r="B544" s="17" t="s">
        <v>2201</v>
      </c>
      <c r="C544" s="17" t="s">
        <v>2460</v>
      </c>
      <c r="D544" s="17" t="str">
        <f>_xlfn.XLOOKUP(Raw_LIMS_Export!E544,'mapping Site table'!$B$4:$B$14,'mapping Site table'!$C$4:$C$14,Raw_LIMS_Export!E544)</f>
        <v>Ashford UK</v>
      </c>
      <c r="E544" s="17" t="s">
        <v>2480</v>
      </c>
      <c r="F544" s="17">
        <f t="shared" si="25"/>
        <v>1</v>
      </c>
      <c r="G544" s="17" t="str">
        <f t="shared" si="26"/>
        <v>Pass</v>
      </c>
      <c r="H544" s="17" t="str">
        <f t="shared" si="24"/>
        <v>Pass</v>
      </c>
      <c r="I544" s="17">
        <v>0.9</v>
      </c>
      <c r="J544" s="17" t="s">
        <v>2487</v>
      </c>
      <c r="K544" s="17">
        <v>0.88</v>
      </c>
      <c r="L544" s="17">
        <v>0.97</v>
      </c>
      <c r="M544" s="18">
        <f>Raw_LIMS_Export!K544</f>
        <v>45947</v>
      </c>
      <c r="N544" s="19" t="s">
        <v>2924</v>
      </c>
    </row>
    <row r="545" spans="1:14" x14ac:dyDescent="0.35">
      <c r="A545" s="16" t="s">
        <v>554</v>
      </c>
      <c r="B545" s="17" t="s">
        <v>2130</v>
      </c>
      <c r="C545" s="17" t="s">
        <v>2457</v>
      </c>
      <c r="D545" s="17" t="str">
        <f>_xlfn.XLOOKUP(Raw_LIMS_Export!E545,'mapping Site table'!$B$4:$B$14,'mapping Site table'!$C$4:$C$14,Raw_LIMS_Export!E545)</f>
        <v>East Hanover</v>
      </c>
      <c r="E545" s="17" t="s">
        <v>2484</v>
      </c>
      <c r="F545" s="17">
        <f t="shared" si="25"/>
        <v>1</v>
      </c>
      <c r="G545" s="17" t="str">
        <f t="shared" si="26"/>
        <v>Pass</v>
      </c>
      <c r="H545" s="17" t="str">
        <f t="shared" si="24"/>
        <v>Pass</v>
      </c>
      <c r="I545" s="17">
        <v>6.89</v>
      </c>
      <c r="J545" s="17"/>
      <c r="K545" s="17">
        <v>6</v>
      </c>
      <c r="L545" s="17">
        <v>7.5</v>
      </c>
      <c r="M545" s="18">
        <f>Raw_LIMS_Export!K545</f>
        <v>45943</v>
      </c>
      <c r="N545" s="19" t="s">
        <v>2927</v>
      </c>
    </row>
    <row r="546" spans="1:14" x14ac:dyDescent="0.35">
      <c r="A546" s="16" t="s">
        <v>555</v>
      </c>
      <c r="B546" s="17" t="s">
        <v>2285</v>
      </c>
      <c r="C546" s="17" t="s">
        <v>2457</v>
      </c>
      <c r="D546" s="17" t="str">
        <f>_xlfn.XLOOKUP(Raw_LIMS_Export!E546,'mapping Site table'!$B$4:$B$14,'mapping Site table'!$C$4:$C$14,Raw_LIMS_Export!E546)</f>
        <v>Vernier CH</v>
      </c>
      <c r="E546" s="17" t="s">
        <v>2484</v>
      </c>
      <c r="F546" s="17">
        <f t="shared" si="25"/>
        <v>1</v>
      </c>
      <c r="G546" s="17" t="str">
        <f t="shared" si="26"/>
        <v>Pass</v>
      </c>
      <c r="H546" s="17" t="str">
        <f t="shared" si="24"/>
        <v>Fail</v>
      </c>
      <c r="I546" s="17">
        <v>6.55</v>
      </c>
      <c r="J546" s="17"/>
      <c r="K546" s="17">
        <v>6</v>
      </c>
      <c r="L546" s="17">
        <v>7.5</v>
      </c>
      <c r="M546" s="18">
        <f>Raw_LIMS_Export!K546</f>
        <v>45960</v>
      </c>
      <c r="N546" s="19" t="s">
        <v>2924</v>
      </c>
    </row>
    <row r="547" spans="1:14" x14ac:dyDescent="0.35">
      <c r="A547" s="16" t="s">
        <v>556</v>
      </c>
      <c r="B547" s="17" t="s">
        <v>2259</v>
      </c>
      <c r="C547" s="17" t="s">
        <v>2457</v>
      </c>
      <c r="D547" s="17" t="str">
        <f>_xlfn.XLOOKUP(Raw_LIMS_Export!E547,'mapping Site table'!$B$4:$B$14,'mapping Site table'!$C$4:$C$14,Raw_LIMS_Export!E547)</f>
        <v>Vernier CH</v>
      </c>
      <c r="E547" s="17" t="s">
        <v>2481</v>
      </c>
      <c r="F547" s="17">
        <f t="shared" si="25"/>
        <v>1</v>
      </c>
      <c r="G547" s="17" t="str">
        <f t="shared" si="26"/>
        <v>Pass</v>
      </c>
      <c r="H547" s="17" t="str">
        <f t="shared" si="24"/>
        <v>Fail</v>
      </c>
      <c r="I547" s="17">
        <v>215.52</v>
      </c>
      <c r="J547" s="17" t="s">
        <v>2488</v>
      </c>
      <c r="K547" s="17">
        <v>150</v>
      </c>
      <c r="L547" s="17">
        <v>400</v>
      </c>
      <c r="M547" s="18">
        <f>Raw_LIMS_Export!K547</f>
        <v>45863</v>
      </c>
      <c r="N547" s="19" t="s">
        <v>2931</v>
      </c>
    </row>
    <row r="548" spans="1:14" x14ac:dyDescent="0.35">
      <c r="A548" s="16" t="s">
        <v>557</v>
      </c>
      <c r="B548" s="17" t="s">
        <v>2292</v>
      </c>
      <c r="C548" s="17" t="s">
        <v>2461</v>
      </c>
      <c r="D548" s="17" t="str">
        <f>_xlfn.XLOOKUP(Raw_LIMS_Export!E548,'mapping Site table'!$B$4:$B$14,'mapping Site table'!$C$4:$C$14,Raw_LIMS_Export!E548)</f>
        <v>Vernier CH</v>
      </c>
      <c r="E548" s="17" t="s">
        <v>2483</v>
      </c>
      <c r="F548" s="17">
        <f t="shared" si="25"/>
        <v>1</v>
      </c>
      <c r="G548" s="17" t="str">
        <f t="shared" si="26"/>
        <v>Pass</v>
      </c>
      <c r="H548" s="17" t="str">
        <f t="shared" si="24"/>
        <v>Fail</v>
      </c>
      <c r="I548" s="17">
        <v>0.37</v>
      </c>
      <c r="J548" s="17" t="s">
        <v>2489</v>
      </c>
      <c r="K548" s="17">
        <v>0</v>
      </c>
      <c r="L548" s="17">
        <v>1</v>
      </c>
      <c r="M548" s="18">
        <f>Raw_LIMS_Export!K548</f>
        <v>45646</v>
      </c>
      <c r="N548" s="19" t="s">
        <v>2925</v>
      </c>
    </row>
    <row r="549" spans="1:14" x14ac:dyDescent="0.35">
      <c r="A549" s="16" t="s">
        <v>558</v>
      </c>
      <c r="B549" s="17" t="s">
        <v>2077</v>
      </c>
      <c r="C549" s="17" t="s">
        <v>2461</v>
      </c>
      <c r="D549" s="17" t="str">
        <f>_xlfn.XLOOKUP(Raw_LIMS_Export!E549,'mapping Site table'!$B$4:$B$14,'mapping Site table'!$C$4:$C$14,Raw_LIMS_Export!E549)</f>
        <v>Ashford UK</v>
      </c>
      <c r="E549" s="17" t="s">
        <v>2482</v>
      </c>
      <c r="F549" s="17">
        <f t="shared" si="25"/>
        <v>1</v>
      </c>
      <c r="G549" s="17" t="str">
        <f t="shared" si="26"/>
        <v>Pass</v>
      </c>
      <c r="H549" s="17" t="str">
        <f t="shared" si="24"/>
        <v>Pass</v>
      </c>
      <c r="I549" s="17">
        <v>98.95</v>
      </c>
      <c r="J549" s="17" t="s">
        <v>2489</v>
      </c>
      <c r="K549" s="17">
        <v>97</v>
      </c>
      <c r="L549" s="17">
        <v>100</v>
      </c>
      <c r="M549" s="18">
        <f>Raw_LIMS_Export!K549</f>
        <v>45885</v>
      </c>
      <c r="N549" s="19" t="s">
        <v>2925</v>
      </c>
    </row>
    <row r="550" spans="1:14" x14ac:dyDescent="0.35">
      <c r="A550" s="16" t="s">
        <v>559</v>
      </c>
      <c r="B550" s="17" t="s">
        <v>2345</v>
      </c>
      <c r="C550" s="17" t="s">
        <v>2458</v>
      </c>
      <c r="D550" s="17" t="str">
        <f>_xlfn.XLOOKUP(Raw_LIMS_Export!E550,'mapping Site table'!$B$4:$B$14,'mapping Site table'!$C$4:$C$14,Raw_LIMS_Export!E550)</f>
        <v>Budapest</v>
      </c>
      <c r="E550" s="17" t="s">
        <v>2485</v>
      </c>
      <c r="F550" s="17">
        <f t="shared" si="25"/>
        <v>1</v>
      </c>
      <c r="G550" s="17" t="str">
        <f t="shared" si="26"/>
        <v>Pass</v>
      </c>
      <c r="H550" s="17" t="str">
        <f t="shared" si="24"/>
        <v>Pass</v>
      </c>
      <c r="I550" s="17">
        <v>13.75</v>
      </c>
      <c r="J550" s="17" t="s">
        <v>2490</v>
      </c>
      <c r="K550" s="17">
        <v>0</v>
      </c>
      <c r="L550" s="17">
        <v>100</v>
      </c>
      <c r="M550" s="18">
        <f>Raw_LIMS_Export!K550</f>
        <v>45379</v>
      </c>
      <c r="N550" s="19" t="s">
        <v>2931</v>
      </c>
    </row>
    <row r="551" spans="1:14" x14ac:dyDescent="0.35">
      <c r="A551" s="16" t="s">
        <v>560</v>
      </c>
      <c r="B551" s="17" t="s">
        <v>2102</v>
      </c>
      <c r="C551" s="17" t="s">
        <v>2461</v>
      </c>
      <c r="D551" s="17" t="str">
        <f>_xlfn.XLOOKUP(Raw_LIMS_Export!E551,'mapping Site table'!$B$4:$B$14,'mapping Site table'!$C$4:$C$14,Raw_LIMS_Export!E551)</f>
        <v>Vernier CH</v>
      </c>
      <c r="E551" s="17" t="s">
        <v>2480</v>
      </c>
      <c r="F551" s="17">
        <f t="shared" si="25"/>
        <v>1</v>
      </c>
      <c r="G551" s="17" t="str">
        <f t="shared" si="26"/>
        <v>Pass</v>
      </c>
      <c r="H551" s="17" t="str">
        <f t="shared" si="24"/>
        <v>Pass</v>
      </c>
      <c r="I551" s="17">
        <v>0.92</v>
      </c>
      <c r="J551" s="17" t="s">
        <v>2487</v>
      </c>
      <c r="K551" s="17">
        <v>0.88</v>
      </c>
      <c r="L551" s="17">
        <v>0.97</v>
      </c>
      <c r="M551" s="18">
        <f>Raw_LIMS_Export!K551</f>
        <v>45959</v>
      </c>
      <c r="N551" s="19" t="s">
        <v>2932</v>
      </c>
    </row>
    <row r="552" spans="1:14" x14ac:dyDescent="0.35">
      <c r="A552" s="16" t="s">
        <v>561</v>
      </c>
      <c r="B552" s="17" t="s">
        <v>2066</v>
      </c>
      <c r="C552" s="17" t="s">
        <v>2459</v>
      </c>
      <c r="D552" s="17" t="str">
        <f>_xlfn.XLOOKUP(Raw_LIMS_Export!E552,'mapping Site table'!$B$4:$B$14,'mapping Site table'!$C$4:$C$14,Raw_LIMS_Export!E552)</f>
        <v>Ashford UK</v>
      </c>
      <c r="E552" s="17" t="s">
        <v>2483</v>
      </c>
      <c r="F552" s="17">
        <f t="shared" si="25"/>
        <v>1</v>
      </c>
      <c r="G552" s="17" t="str">
        <f t="shared" si="26"/>
        <v>Pass</v>
      </c>
      <c r="H552" s="17" t="str">
        <f t="shared" si="24"/>
        <v>Pass</v>
      </c>
      <c r="I552" s="17">
        <v>0.34</v>
      </c>
      <c r="J552" s="17" t="s">
        <v>2489</v>
      </c>
      <c r="K552" s="17">
        <v>0</v>
      </c>
      <c r="L552" s="17">
        <v>1</v>
      </c>
      <c r="M552" s="18">
        <f>Raw_LIMS_Export!K552</f>
        <v>45566</v>
      </c>
      <c r="N552" s="19" t="s">
        <v>2925</v>
      </c>
    </row>
    <row r="553" spans="1:14" x14ac:dyDescent="0.35">
      <c r="A553" s="16" t="s">
        <v>562</v>
      </c>
      <c r="B553" s="17" t="s">
        <v>2238</v>
      </c>
      <c r="C553" s="17" t="s">
        <v>2460</v>
      </c>
      <c r="D553" s="17" t="str">
        <f>_xlfn.XLOOKUP(Raw_LIMS_Export!E553,'mapping Site table'!$B$4:$B$14,'mapping Site table'!$C$4:$C$14,Raw_LIMS_Export!E553)</f>
        <v>Budapest</v>
      </c>
      <c r="E553" s="17" t="s">
        <v>2480</v>
      </c>
      <c r="F553" s="17">
        <f t="shared" si="25"/>
        <v>1</v>
      </c>
      <c r="G553" s="17" t="str">
        <f t="shared" si="26"/>
        <v>Pass</v>
      </c>
      <c r="H553" s="17" t="str">
        <f t="shared" si="24"/>
        <v>Pass</v>
      </c>
      <c r="I553" s="17">
        <v>0.93</v>
      </c>
      <c r="J553" s="17" t="s">
        <v>2487</v>
      </c>
      <c r="K553" s="17">
        <v>0.88</v>
      </c>
      <c r="L553" s="17">
        <v>0.97</v>
      </c>
      <c r="M553" s="18">
        <f>Raw_LIMS_Export!K553</f>
        <v>45698</v>
      </c>
      <c r="N553" s="19" t="s">
        <v>2927</v>
      </c>
    </row>
    <row r="554" spans="1:14" x14ac:dyDescent="0.35">
      <c r="A554" s="16" t="s">
        <v>563</v>
      </c>
      <c r="B554" s="17" t="s">
        <v>2346</v>
      </c>
      <c r="C554" s="17" t="s">
        <v>2457</v>
      </c>
      <c r="D554" s="17" t="str">
        <f>_xlfn.XLOOKUP(Raw_LIMS_Export!E554,'mapping Site table'!$B$4:$B$14,'mapping Site table'!$C$4:$C$14,Raw_LIMS_Export!E554)</f>
        <v>Vernier CH</v>
      </c>
      <c r="E554" s="17" t="s">
        <v>2485</v>
      </c>
      <c r="F554" s="17">
        <f t="shared" si="25"/>
        <v>1</v>
      </c>
      <c r="G554" s="17" t="str">
        <f t="shared" si="26"/>
        <v>Pass</v>
      </c>
      <c r="H554" s="17" t="str">
        <f t="shared" si="24"/>
        <v>Pass</v>
      </c>
      <c r="I554" s="17">
        <v>20.81</v>
      </c>
      <c r="J554" s="17" t="s">
        <v>2490</v>
      </c>
      <c r="K554" s="17">
        <v>0</v>
      </c>
      <c r="L554" s="17">
        <v>100</v>
      </c>
      <c r="M554" s="18">
        <f>Raw_LIMS_Export!K554</f>
        <v>45318</v>
      </c>
      <c r="N554" s="19" t="s">
        <v>2931</v>
      </c>
    </row>
    <row r="555" spans="1:14" x14ac:dyDescent="0.35">
      <c r="A555" s="16" t="s">
        <v>564</v>
      </c>
      <c r="B555" s="17" t="s">
        <v>2347</v>
      </c>
      <c r="C555" s="17" t="s">
        <v>2460</v>
      </c>
      <c r="D555" s="17" t="str">
        <f>_xlfn.XLOOKUP(Raw_LIMS_Export!E555,'mapping Site table'!$B$4:$B$14,'mapping Site table'!$C$4:$C$14,Raw_LIMS_Export!E555)</f>
        <v>Dortmund DE</v>
      </c>
      <c r="E555" s="17" t="s">
        <v>2483</v>
      </c>
      <c r="F555" s="17">
        <f t="shared" si="25"/>
        <v>1</v>
      </c>
      <c r="G555" s="17" t="str">
        <f t="shared" si="26"/>
        <v>Pass</v>
      </c>
      <c r="H555" s="17" t="str">
        <f t="shared" si="24"/>
        <v>Pass</v>
      </c>
      <c r="I555" s="17">
        <v>0.45</v>
      </c>
      <c r="J555" s="17" t="s">
        <v>2489</v>
      </c>
      <c r="K555" s="17">
        <v>0</v>
      </c>
      <c r="L555" s="17">
        <v>1</v>
      </c>
      <c r="M555" s="18">
        <f>Raw_LIMS_Export!K555</f>
        <v>45401</v>
      </c>
      <c r="N555" s="19" t="s">
        <v>2931</v>
      </c>
    </row>
    <row r="556" spans="1:14" x14ac:dyDescent="0.35">
      <c r="A556" s="16" t="s">
        <v>565</v>
      </c>
      <c r="B556" s="17" t="s">
        <v>2216</v>
      </c>
      <c r="C556" s="17" t="s">
        <v>2458</v>
      </c>
      <c r="D556" s="17" t="str">
        <f>_xlfn.XLOOKUP(Raw_LIMS_Export!E556,'mapping Site table'!$B$4:$B$14,'mapping Site table'!$C$4:$C$14,Raw_LIMS_Export!E556)</f>
        <v>Dortmund DE</v>
      </c>
      <c r="E556" s="17" t="s">
        <v>2482</v>
      </c>
      <c r="F556" s="17">
        <f t="shared" si="25"/>
        <v>1</v>
      </c>
      <c r="G556" s="17" t="str">
        <f t="shared" si="26"/>
        <v>Pass</v>
      </c>
      <c r="H556" s="17" t="str">
        <f t="shared" si="24"/>
        <v>Pass</v>
      </c>
      <c r="I556" s="17">
        <v>98.29</v>
      </c>
      <c r="J556" s="17" t="s">
        <v>2489</v>
      </c>
      <c r="K556" s="17">
        <v>97</v>
      </c>
      <c r="L556" s="17">
        <v>100</v>
      </c>
      <c r="M556" s="18">
        <f>Raw_LIMS_Export!K556</f>
        <v>45873</v>
      </c>
      <c r="N556" s="19" t="s">
        <v>2931</v>
      </c>
    </row>
    <row r="557" spans="1:14" x14ac:dyDescent="0.35">
      <c r="A557" s="16" t="s">
        <v>566</v>
      </c>
      <c r="B557" s="17" t="s">
        <v>2348</v>
      </c>
      <c r="C557" s="17" t="s">
        <v>2459</v>
      </c>
      <c r="D557" s="17" t="str">
        <f>_xlfn.XLOOKUP(Raw_LIMS_Export!E557,'mapping Site table'!$B$4:$B$14,'mapping Site table'!$C$4:$C$14,Raw_LIMS_Export!E557)</f>
        <v>Ashford UK</v>
      </c>
      <c r="E557" s="17" t="s">
        <v>2480</v>
      </c>
      <c r="F557" s="17">
        <f t="shared" si="25"/>
        <v>1</v>
      </c>
      <c r="G557" s="17" t="str">
        <f t="shared" si="26"/>
        <v>Fail</v>
      </c>
      <c r="H557" s="17" t="str">
        <f t="shared" si="24"/>
        <v>Fail</v>
      </c>
      <c r="I557" s="17">
        <v>1.06</v>
      </c>
      <c r="J557" s="17" t="s">
        <v>2487</v>
      </c>
      <c r="K557" s="17">
        <v>0.88</v>
      </c>
      <c r="L557" s="17">
        <v>0.97</v>
      </c>
      <c r="M557" s="18">
        <f>Raw_LIMS_Export!K557</f>
        <v>45461</v>
      </c>
      <c r="N557" s="19" t="s">
        <v>2931</v>
      </c>
    </row>
    <row r="558" spans="1:14" x14ac:dyDescent="0.35">
      <c r="A558" s="16" t="s">
        <v>567</v>
      </c>
      <c r="B558" s="17" t="s">
        <v>2349</v>
      </c>
      <c r="C558" s="17" t="s">
        <v>2461</v>
      </c>
      <c r="D558" s="17" t="str">
        <f>_xlfn.XLOOKUP(Raw_LIMS_Export!E558,'mapping Site table'!$B$4:$B$14,'mapping Site table'!$C$4:$C$14,Raw_LIMS_Export!E558)</f>
        <v>East Hanover</v>
      </c>
      <c r="E558" s="17" t="s">
        <v>2479</v>
      </c>
      <c r="F558" s="17">
        <f t="shared" si="25"/>
        <v>1</v>
      </c>
      <c r="G558" s="17" t="str">
        <f t="shared" si="26"/>
        <v>Pass</v>
      </c>
      <c r="H558" s="17" t="str">
        <f t="shared" si="24"/>
        <v>Pass</v>
      </c>
      <c r="I558" s="17">
        <v>25.1</v>
      </c>
      <c r="J558" s="17" t="s">
        <v>2486</v>
      </c>
      <c r="K558" s="17">
        <v>0</v>
      </c>
      <c r="L558" s="17">
        <v>120</v>
      </c>
      <c r="M558" s="18">
        <f>Raw_LIMS_Export!K558</f>
        <v>45451</v>
      </c>
      <c r="N558" s="19" t="s">
        <v>2928</v>
      </c>
    </row>
    <row r="559" spans="1:14" x14ac:dyDescent="0.35">
      <c r="A559" s="16" t="s">
        <v>568</v>
      </c>
      <c r="B559" s="17" t="s">
        <v>2051</v>
      </c>
      <c r="C559" s="17" t="s">
        <v>2461</v>
      </c>
      <c r="D559" s="17" t="str">
        <f>_xlfn.XLOOKUP(Raw_LIMS_Export!E559,'mapping Site table'!$B$4:$B$14,'mapping Site table'!$C$4:$C$14,Raw_LIMS_Export!E559)</f>
        <v>Dortmund DE</v>
      </c>
      <c r="E559" s="17" t="s">
        <v>2482</v>
      </c>
      <c r="F559" s="17">
        <f t="shared" si="25"/>
        <v>1</v>
      </c>
      <c r="G559" s="17" t="str">
        <f t="shared" si="26"/>
        <v>Pass</v>
      </c>
      <c r="H559" s="17" t="str">
        <f t="shared" si="24"/>
        <v>Fail</v>
      </c>
      <c r="I559" s="17">
        <v>98.57</v>
      </c>
      <c r="J559" s="17" t="s">
        <v>2489</v>
      </c>
      <c r="K559" s="17">
        <v>97</v>
      </c>
      <c r="L559" s="17">
        <v>100</v>
      </c>
      <c r="M559" s="18">
        <f>Raw_LIMS_Export!K559</f>
        <v>45564</v>
      </c>
      <c r="N559" s="19" t="s">
        <v>2932</v>
      </c>
    </row>
    <row r="560" spans="1:14" x14ac:dyDescent="0.35">
      <c r="A560" s="16" t="s">
        <v>569</v>
      </c>
      <c r="B560" s="17" t="s">
        <v>2115</v>
      </c>
      <c r="C560" s="17" t="s">
        <v>2457</v>
      </c>
      <c r="D560" s="17" t="str">
        <f>_xlfn.XLOOKUP(Raw_LIMS_Export!E560,'mapping Site table'!$B$4:$B$14,'mapping Site table'!$C$4:$C$14,Raw_LIMS_Export!E560)</f>
        <v>Budapest</v>
      </c>
      <c r="E560" s="17" t="s">
        <v>2479</v>
      </c>
      <c r="F560" s="17">
        <f t="shared" si="25"/>
        <v>1</v>
      </c>
      <c r="G560" s="17" t="str">
        <f t="shared" si="26"/>
        <v>Pass</v>
      </c>
      <c r="H560" s="17" t="str">
        <f t="shared" si="24"/>
        <v>Pass</v>
      </c>
      <c r="I560" s="17">
        <v>24.44</v>
      </c>
      <c r="J560" s="17" t="s">
        <v>2486</v>
      </c>
      <c r="K560" s="17">
        <v>0</v>
      </c>
      <c r="L560" s="17">
        <v>120</v>
      </c>
      <c r="M560" s="18">
        <f>Raw_LIMS_Export!K560</f>
        <v>45931</v>
      </c>
      <c r="N560" s="19" t="s">
        <v>2923</v>
      </c>
    </row>
    <row r="561" spans="1:14" x14ac:dyDescent="0.35">
      <c r="A561" s="16" t="s">
        <v>570</v>
      </c>
      <c r="B561" s="17" t="s">
        <v>2183</v>
      </c>
      <c r="C561" s="17" t="s">
        <v>2457</v>
      </c>
      <c r="D561" s="17" t="str">
        <f>_xlfn.XLOOKUP(Raw_LIMS_Export!E561,'mapping Site table'!$B$4:$B$14,'mapping Site table'!$C$4:$C$14,Raw_LIMS_Export!E561)</f>
        <v>East Hanover</v>
      </c>
      <c r="E561" s="17" t="s">
        <v>2482</v>
      </c>
      <c r="F561" s="17">
        <f t="shared" si="25"/>
        <v>1</v>
      </c>
      <c r="G561" s="17" t="str">
        <f t="shared" si="26"/>
        <v>Pass</v>
      </c>
      <c r="H561" s="17" t="str">
        <f t="shared" si="24"/>
        <v>Pass</v>
      </c>
      <c r="I561" s="17">
        <v>99.32</v>
      </c>
      <c r="J561" s="17" t="s">
        <v>2489</v>
      </c>
      <c r="K561" s="17">
        <v>97</v>
      </c>
      <c r="L561" s="17">
        <v>100</v>
      </c>
      <c r="M561" s="18">
        <f>Raw_LIMS_Export!K561</f>
        <v>45810</v>
      </c>
      <c r="N561" s="19" t="s">
        <v>2925</v>
      </c>
    </row>
    <row r="562" spans="1:14" x14ac:dyDescent="0.35">
      <c r="A562" s="16" t="s">
        <v>571</v>
      </c>
      <c r="B562" s="17" t="s">
        <v>2241</v>
      </c>
      <c r="C562" s="17" t="s">
        <v>2460</v>
      </c>
      <c r="D562" s="17" t="str">
        <f>_xlfn.XLOOKUP(Raw_LIMS_Export!E562,'mapping Site table'!$B$4:$B$14,'mapping Site table'!$C$4:$C$14,Raw_LIMS_Export!E562)</f>
        <v>Dortmund DE</v>
      </c>
      <c r="E562" s="17" t="s">
        <v>2481</v>
      </c>
      <c r="F562" s="17">
        <f t="shared" si="25"/>
        <v>1</v>
      </c>
      <c r="G562" s="17" t="str">
        <f t="shared" si="26"/>
        <v>Pass</v>
      </c>
      <c r="H562" s="17" t="str">
        <f t="shared" si="24"/>
        <v>Pass</v>
      </c>
      <c r="I562" s="17">
        <v>224.38</v>
      </c>
      <c r="J562" s="17" t="s">
        <v>2488</v>
      </c>
      <c r="K562" s="17">
        <v>150</v>
      </c>
      <c r="L562" s="17">
        <v>400</v>
      </c>
      <c r="M562" s="18">
        <f>Raw_LIMS_Export!K562</f>
        <v>45781</v>
      </c>
      <c r="N562" s="19" t="s">
        <v>2925</v>
      </c>
    </row>
    <row r="563" spans="1:14" x14ac:dyDescent="0.35">
      <c r="A563" s="16" t="s">
        <v>572</v>
      </c>
      <c r="B563" s="17" t="s">
        <v>2223</v>
      </c>
      <c r="C563" s="17" t="s">
        <v>2458</v>
      </c>
      <c r="D563" s="17" t="str">
        <f>_xlfn.XLOOKUP(Raw_LIMS_Export!E563,'mapping Site table'!$B$4:$B$14,'mapping Site table'!$C$4:$C$14,Raw_LIMS_Export!E563)</f>
        <v>East Hanover</v>
      </c>
      <c r="E563" s="17" t="s">
        <v>2485</v>
      </c>
      <c r="F563" s="17">
        <f t="shared" si="25"/>
        <v>1</v>
      </c>
      <c r="G563" s="17" t="str">
        <f t="shared" si="26"/>
        <v>Fail</v>
      </c>
      <c r="H563" s="17" t="str">
        <f t="shared" si="24"/>
        <v>Fail</v>
      </c>
      <c r="I563" s="17">
        <v>-10</v>
      </c>
      <c r="J563" s="17" t="s">
        <v>2490</v>
      </c>
      <c r="K563" s="17">
        <v>0</v>
      </c>
      <c r="L563" s="17">
        <v>100</v>
      </c>
      <c r="M563" s="18">
        <f>Raw_LIMS_Export!K563</f>
        <v>45496</v>
      </c>
      <c r="N563" s="19" t="s">
        <v>2927</v>
      </c>
    </row>
    <row r="564" spans="1:14" x14ac:dyDescent="0.35">
      <c r="A564" s="16" t="s">
        <v>573</v>
      </c>
      <c r="B564" s="17" t="s">
        <v>2276</v>
      </c>
      <c r="C564" s="17" t="s">
        <v>2457</v>
      </c>
      <c r="D564" s="17" t="str">
        <f>_xlfn.XLOOKUP(Raw_LIMS_Export!E564,'mapping Site table'!$B$4:$B$14,'mapping Site table'!$C$4:$C$14,Raw_LIMS_Export!E564)</f>
        <v>Budapest</v>
      </c>
      <c r="E564" s="17" t="s">
        <v>2480</v>
      </c>
      <c r="F564" s="17">
        <f t="shared" si="25"/>
        <v>1</v>
      </c>
      <c r="G564" s="17" t="str">
        <f t="shared" si="26"/>
        <v>Pass</v>
      </c>
      <c r="H564" s="17" t="str">
        <f t="shared" si="24"/>
        <v>Pass</v>
      </c>
      <c r="I564" s="17">
        <v>0.91</v>
      </c>
      <c r="J564" s="17" t="s">
        <v>2487</v>
      </c>
      <c r="K564" s="17">
        <v>0.88</v>
      </c>
      <c r="L564" s="17">
        <v>0.97</v>
      </c>
      <c r="M564" s="18">
        <f>Raw_LIMS_Export!K564</f>
        <v>45685</v>
      </c>
      <c r="N564" s="19" t="s">
        <v>2931</v>
      </c>
    </row>
    <row r="565" spans="1:14" x14ac:dyDescent="0.35">
      <c r="A565" s="16" t="s">
        <v>574</v>
      </c>
      <c r="B565" s="17" t="s">
        <v>2134</v>
      </c>
      <c r="C565" s="17" t="s">
        <v>2459</v>
      </c>
      <c r="D565" s="17" t="str">
        <f>_xlfn.XLOOKUP(Raw_LIMS_Export!E565,'mapping Site table'!$B$4:$B$14,'mapping Site table'!$C$4:$C$14,Raw_LIMS_Export!E565)</f>
        <v>Vernier CH</v>
      </c>
      <c r="E565" s="17" t="s">
        <v>2483</v>
      </c>
      <c r="F565" s="17">
        <f t="shared" si="25"/>
        <v>1</v>
      </c>
      <c r="G565" s="17" t="str">
        <f t="shared" si="26"/>
        <v>Pass</v>
      </c>
      <c r="H565" s="17" t="str">
        <f t="shared" si="24"/>
        <v>Pass</v>
      </c>
      <c r="I565" s="17">
        <v>0.36</v>
      </c>
      <c r="J565" s="17" t="s">
        <v>2489</v>
      </c>
      <c r="K565" s="17">
        <v>0</v>
      </c>
      <c r="L565" s="17">
        <v>1</v>
      </c>
      <c r="M565" s="18">
        <f>Raw_LIMS_Export!K565</f>
        <v>45721</v>
      </c>
      <c r="N565" s="19" t="s">
        <v>2926</v>
      </c>
    </row>
    <row r="566" spans="1:14" x14ac:dyDescent="0.35">
      <c r="A566" s="16" t="s">
        <v>575</v>
      </c>
      <c r="B566" s="17" t="s">
        <v>2256</v>
      </c>
      <c r="C566" s="17" t="s">
        <v>2461</v>
      </c>
      <c r="D566" s="17" t="str">
        <f>_xlfn.XLOOKUP(Raw_LIMS_Export!E566,'mapping Site table'!$B$4:$B$14,'mapping Site table'!$C$4:$C$14,Raw_LIMS_Export!E566)</f>
        <v>East Hanover</v>
      </c>
      <c r="E566" s="17" t="s">
        <v>2479</v>
      </c>
      <c r="F566" s="17">
        <f t="shared" si="25"/>
        <v>1</v>
      </c>
      <c r="G566" s="17" t="str">
        <f t="shared" si="26"/>
        <v>Pass</v>
      </c>
      <c r="H566" s="17" t="str">
        <f t="shared" si="24"/>
        <v>Fail</v>
      </c>
      <c r="I566" s="17">
        <v>37.090000000000003</v>
      </c>
      <c r="J566" s="17" t="s">
        <v>2486</v>
      </c>
      <c r="K566" s="17">
        <v>0</v>
      </c>
      <c r="L566" s="17">
        <v>120</v>
      </c>
      <c r="M566" s="18">
        <f>Raw_LIMS_Export!K566</f>
        <v>45676</v>
      </c>
      <c r="N566" s="19" t="s">
        <v>2931</v>
      </c>
    </row>
    <row r="567" spans="1:14" x14ac:dyDescent="0.35">
      <c r="A567" s="16" t="s">
        <v>576</v>
      </c>
      <c r="B567" s="17" t="s">
        <v>2350</v>
      </c>
      <c r="C567" s="17" t="s">
        <v>2459</v>
      </c>
      <c r="D567" s="17" t="str">
        <f>_xlfn.XLOOKUP(Raw_LIMS_Export!E567,'mapping Site table'!$B$4:$B$14,'mapping Site table'!$C$4:$C$14,Raw_LIMS_Export!E567)</f>
        <v>Vernier CH</v>
      </c>
      <c r="E567" s="17" t="s">
        <v>2485</v>
      </c>
      <c r="F567" s="17">
        <f t="shared" si="25"/>
        <v>0</v>
      </c>
      <c r="G567" s="17" t="str">
        <f t="shared" si="26"/>
        <v>Missing</v>
      </c>
      <c r="H567" s="17" t="str">
        <f t="shared" si="24"/>
        <v>Pending</v>
      </c>
      <c r="I567" s="17"/>
      <c r="J567" s="17" t="s">
        <v>2490</v>
      </c>
      <c r="K567" s="17">
        <v>0</v>
      </c>
      <c r="L567" s="17">
        <v>100</v>
      </c>
      <c r="M567" s="18">
        <f>Raw_LIMS_Export!K567</f>
        <v>45605</v>
      </c>
      <c r="N567" s="19" t="s">
        <v>2928</v>
      </c>
    </row>
    <row r="568" spans="1:14" x14ac:dyDescent="0.35">
      <c r="A568" s="16" t="s">
        <v>577</v>
      </c>
      <c r="B568" s="17" t="s">
        <v>2144</v>
      </c>
      <c r="C568" s="17" t="s">
        <v>2461</v>
      </c>
      <c r="D568" s="17" t="str">
        <f>_xlfn.XLOOKUP(Raw_LIMS_Export!E568,'mapping Site table'!$B$4:$B$14,'mapping Site table'!$C$4:$C$14,Raw_LIMS_Export!E568)</f>
        <v>East Hanover</v>
      </c>
      <c r="E568" s="17" t="s">
        <v>2480</v>
      </c>
      <c r="F568" s="17">
        <f t="shared" si="25"/>
        <v>1</v>
      </c>
      <c r="G568" s="17" t="str">
        <f t="shared" si="26"/>
        <v>Pass</v>
      </c>
      <c r="H568" s="17" t="str">
        <f t="shared" si="24"/>
        <v>Fail</v>
      </c>
      <c r="I568" s="17">
        <v>0.94</v>
      </c>
      <c r="J568" s="17" t="s">
        <v>2487</v>
      </c>
      <c r="K568" s="17">
        <v>0.88</v>
      </c>
      <c r="L568" s="17">
        <v>0.97</v>
      </c>
      <c r="M568" s="18">
        <f>Raw_LIMS_Export!K568</f>
        <v>45635</v>
      </c>
      <c r="N568" s="19" t="s">
        <v>2924</v>
      </c>
    </row>
    <row r="569" spans="1:14" x14ac:dyDescent="0.35">
      <c r="A569" s="16" t="s">
        <v>578</v>
      </c>
      <c r="B569" s="17" t="s">
        <v>2099</v>
      </c>
      <c r="C569" s="17" t="s">
        <v>2457</v>
      </c>
      <c r="D569" s="17" t="str">
        <f>_xlfn.XLOOKUP(Raw_LIMS_Export!E569,'mapping Site table'!$B$4:$B$14,'mapping Site table'!$C$4:$C$14,Raw_LIMS_Export!E569)</f>
        <v>Dortmund DE</v>
      </c>
      <c r="E569" s="17" t="s">
        <v>2484</v>
      </c>
      <c r="F569" s="17">
        <f t="shared" si="25"/>
        <v>1</v>
      </c>
      <c r="G569" s="17" t="str">
        <f t="shared" si="26"/>
        <v>Pass</v>
      </c>
      <c r="H569" s="17" t="str">
        <f t="shared" si="24"/>
        <v>Pass</v>
      </c>
      <c r="I569" s="17">
        <v>6.25</v>
      </c>
      <c r="J569" s="17"/>
      <c r="K569" s="17">
        <v>6</v>
      </c>
      <c r="L569" s="17">
        <v>7.5</v>
      </c>
      <c r="M569" s="18">
        <f>Raw_LIMS_Export!K569</f>
        <v>45915</v>
      </c>
      <c r="N569" s="19" t="s">
        <v>2932</v>
      </c>
    </row>
    <row r="570" spans="1:14" x14ac:dyDescent="0.35">
      <c r="A570" s="16" t="s">
        <v>579</v>
      </c>
      <c r="B570" s="17" t="s">
        <v>2351</v>
      </c>
      <c r="C570" s="17" t="s">
        <v>2459</v>
      </c>
      <c r="D570" s="17" t="str">
        <f>_xlfn.XLOOKUP(Raw_LIMS_Export!E570,'mapping Site table'!$B$4:$B$14,'mapping Site table'!$C$4:$C$14,Raw_LIMS_Export!E570)</f>
        <v>Vernier CH</v>
      </c>
      <c r="E570" s="17" t="s">
        <v>2480</v>
      </c>
      <c r="F570" s="17">
        <f t="shared" si="25"/>
        <v>1</v>
      </c>
      <c r="G570" s="17" t="str">
        <f t="shared" si="26"/>
        <v>Pass</v>
      </c>
      <c r="H570" s="17" t="str">
        <f t="shared" si="24"/>
        <v>Pass</v>
      </c>
      <c r="I570" s="17">
        <v>0.94</v>
      </c>
      <c r="J570" s="17" t="s">
        <v>2487</v>
      </c>
      <c r="K570" s="17">
        <v>0.88</v>
      </c>
      <c r="L570" s="17">
        <v>0.97</v>
      </c>
      <c r="M570" s="18">
        <f>Raw_LIMS_Export!K570</f>
        <v>45984</v>
      </c>
      <c r="N570" s="19" t="s">
        <v>2923</v>
      </c>
    </row>
    <row r="571" spans="1:14" x14ac:dyDescent="0.35">
      <c r="A571" s="16" t="s">
        <v>580</v>
      </c>
      <c r="B571" s="17" t="s">
        <v>2212</v>
      </c>
      <c r="C571" s="17" t="s">
        <v>2460</v>
      </c>
      <c r="D571" s="17" t="str">
        <f>_xlfn.XLOOKUP(Raw_LIMS_Export!E571,'mapping Site table'!$B$4:$B$14,'mapping Site table'!$C$4:$C$14,Raw_LIMS_Export!E571)</f>
        <v>Ashford UK</v>
      </c>
      <c r="E571" s="17" t="s">
        <v>2479</v>
      </c>
      <c r="F571" s="17">
        <f t="shared" si="25"/>
        <v>1</v>
      </c>
      <c r="G571" s="17" t="str">
        <f t="shared" si="26"/>
        <v>Pass</v>
      </c>
      <c r="H571" s="17" t="str">
        <f t="shared" si="24"/>
        <v>Pass</v>
      </c>
      <c r="I571" s="17">
        <v>47.67</v>
      </c>
      <c r="J571" s="17" t="s">
        <v>2486</v>
      </c>
      <c r="K571" s="17">
        <v>0</v>
      </c>
      <c r="L571" s="17">
        <v>120</v>
      </c>
      <c r="M571" s="18">
        <f>Raw_LIMS_Export!K571</f>
        <v>45449</v>
      </c>
      <c r="N571" s="19" t="s">
        <v>2926</v>
      </c>
    </row>
    <row r="572" spans="1:14" x14ac:dyDescent="0.35">
      <c r="A572" s="16" t="s">
        <v>581</v>
      </c>
      <c r="B572" s="17" t="s">
        <v>2248</v>
      </c>
      <c r="C572" s="17" t="s">
        <v>2460</v>
      </c>
      <c r="D572" s="17" t="str">
        <f>_xlfn.XLOOKUP(Raw_LIMS_Export!E572,'mapping Site table'!$B$4:$B$14,'mapping Site table'!$C$4:$C$14,Raw_LIMS_Export!E572)</f>
        <v>Dortmund DE</v>
      </c>
      <c r="E572" s="17" t="s">
        <v>2484</v>
      </c>
      <c r="F572" s="17">
        <f t="shared" si="25"/>
        <v>1</v>
      </c>
      <c r="G572" s="17" t="str">
        <f t="shared" si="26"/>
        <v>Pass</v>
      </c>
      <c r="H572" s="17" t="str">
        <f t="shared" si="24"/>
        <v>Pass</v>
      </c>
      <c r="I572" s="17">
        <v>6.97</v>
      </c>
      <c r="J572" s="17"/>
      <c r="K572" s="17">
        <v>6</v>
      </c>
      <c r="L572" s="17">
        <v>7.5</v>
      </c>
      <c r="M572" s="18">
        <f>Raw_LIMS_Export!K572</f>
        <v>45956</v>
      </c>
      <c r="N572" s="19" t="s">
        <v>2931</v>
      </c>
    </row>
    <row r="573" spans="1:14" x14ac:dyDescent="0.35">
      <c r="A573" s="16" t="s">
        <v>582</v>
      </c>
      <c r="B573" s="17" t="s">
        <v>2169</v>
      </c>
      <c r="C573" s="17" t="s">
        <v>2458</v>
      </c>
      <c r="D573" s="17" t="str">
        <f>_xlfn.XLOOKUP(Raw_LIMS_Export!E573,'mapping Site table'!$B$4:$B$14,'mapping Site table'!$C$4:$C$14,Raw_LIMS_Export!E573)</f>
        <v>Vernier CH</v>
      </c>
      <c r="E573" s="17" t="s">
        <v>2480</v>
      </c>
      <c r="F573" s="17">
        <f t="shared" si="25"/>
        <v>1</v>
      </c>
      <c r="G573" s="17" t="str">
        <f t="shared" si="26"/>
        <v>Pass</v>
      </c>
      <c r="H573" s="17" t="str">
        <f t="shared" si="24"/>
        <v>Pass</v>
      </c>
      <c r="I573" s="17">
        <v>0.91</v>
      </c>
      <c r="J573" s="17" t="s">
        <v>2487</v>
      </c>
      <c r="K573" s="17">
        <v>0.88</v>
      </c>
      <c r="L573" s="17">
        <v>0.97</v>
      </c>
      <c r="M573" s="18">
        <f>Raw_LIMS_Export!K573</f>
        <v>45571</v>
      </c>
      <c r="N573" s="19" t="s">
        <v>2924</v>
      </c>
    </row>
    <row r="574" spans="1:14" x14ac:dyDescent="0.35">
      <c r="A574" s="16" t="s">
        <v>583</v>
      </c>
      <c r="B574" s="17" t="s">
        <v>2352</v>
      </c>
      <c r="C574" s="17" t="s">
        <v>2457</v>
      </c>
      <c r="D574" s="17" t="str">
        <f>_xlfn.XLOOKUP(Raw_LIMS_Export!E574,'mapping Site table'!$B$4:$B$14,'mapping Site table'!$C$4:$C$14,Raw_LIMS_Export!E574)</f>
        <v>Dortmund DE</v>
      </c>
      <c r="E574" s="17" t="s">
        <v>2480</v>
      </c>
      <c r="F574" s="17">
        <f t="shared" si="25"/>
        <v>1</v>
      </c>
      <c r="G574" s="17" t="str">
        <f t="shared" si="26"/>
        <v>Pass</v>
      </c>
      <c r="H574" s="17" t="str">
        <f t="shared" si="24"/>
        <v>Fail</v>
      </c>
      <c r="I574" s="17">
        <v>0.92</v>
      </c>
      <c r="J574" s="17" t="s">
        <v>2487</v>
      </c>
      <c r="K574" s="17">
        <v>0.88</v>
      </c>
      <c r="L574" s="17">
        <v>0.97</v>
      </c>
      <c r="M574" s="18">
        <f>Raw_LIMS_Export!K574</f>
        <v>45416</v>
      </c>
      <c r="N574" s="19" t="s">
        <v>2924</v>
      </c>
    </row>
    <row r="575" spans="1:14" x14ac:dyDescent="0.35">
      <c r="A575" s="16" t="s">
        <v>584</v>
      </c>
      <c r="B575" s="17" t="s">
        <v>2082</v>
      </c>
      <c r="C575" s="17" t="s">
        <v>2461</v>
      </c>
      <c r="D575" s="17" t="str">
        <f>_xlfn.XLOOKUP(Raw_LIMS_Export!E575,'mapping Site table'!$B$4:$B$14,'mapping Site table'!$C$4:$C$14,Raw_LIMS_Export!E575)</f>
        <v>Ashford UK</v>
      </c>
      <c r="E575" s="17" t="s">
        <v>2485</v>
      </c>
      <c r="F575" s="17">
        <f t="shared" si="25"/>
        <v>1</v>
      </c>
      <c r="G575" s="17" t="str">
        <f t="shared" si="26"/>
        <v>Pass</v>
      </c>
      <c r="H575" s="17" t="str">
        <f t="shared" si="24"/>
        <v>Pass</v>
      </c>
      <c r="I575" s="17">
        <v>15.18</v>
      </c>
      <c r="J575" s="17" t="s">
        <v>2490</v>
      </c>
      <c r="K575" s="17">
        <v>0</v>
      </c>
      <c r="L575" s="17">
        <v>100</v>
      </c>
      <c r="M575" s="18">
        <f>Raw_LIMS_Export!K575</f>
        <v>45392</v>
      </c>
      <c r="N575" s="19" t="s">
        <v>2925</v>
      </c>
    </row>
    <row r="576" spans="1:14" x14ac:dyDescent="0.35">
      <c r="A576" s="16" t="s">
        <v>585</v>
      </c>
      <c r="B576" s="17" t="s">
        <v>2353</v>
      </c>
      <c r="C576" s="17" t="s">
        <v>2461</v>
      </c>
      <c r="D576" s="17" t="str">
        <f>_xlfn.XLOOKUP(Raw_LIMS_Export!E576,'mapping Site table'!$B$4:$B$14,'mapping Site table'!$C$4:$C$14,Raw_LIMS_Export!E576)</f>
        <v>Dortmund DE</v>
      </c>
      <c r="E576" s="17" t="s">
        <v>2481</v>
      </c>
      <c r="F576" s="17">
        <f t="shared" si="25"/>
        <v>1</v>
      </c>
      <c r="G576" s="17" t="str">
        <f t="shared" si="26"/>
        <v>Pass</v>
      </c>
      <c r="H576" s="17" t="str">
        <f t="shared" si="24"/>
        <v>Pass</v>
      </c>
      <c r="I576" s="17">
        <v>271.25</v>
      </c>
      <c r="J576" s="17" t="s">
        <v>2488</v>
      </c>
      <c r="K576" s="17">
        <v>150</v>
      </c>
      <c r="L576" s="17">
        <v>400</v>
      </c>
      <c r="M576" s="18">
        <f>Raw_LIMS_Export!K576</f>
        <v>45610</v>
      </c>
      <c r="N576" s="19" t="s">
        <v>2923</v>
      </c>
    </row>
    <row r="577" spans="1:14" x14ac:dyDescent="0.35">
      <c r="A577" s="16" t="s">
        <v>586</v>
      </c>
      <c r="B577" s="17" t="s">
        <v>2164</v>
      </c>
      <c r="C577" s="17" t="s">
        <v>2460</v>
      </c>
      <c r="D577" s="17" t="str">
        <f>_xlfn.XLOOKUP(Raw_LIMS_Export!E577,'mapping Site table'!$B$4:$B$14,'mapping Site table'!$C$4:$C$14,Raw_LIMS_Export!E577)</f>
        <v>Ashford UK</v>
      </c>
      <c r="E577" s="17" t="s">
        <v>2479</v>
      </c>
      <c r="F577" s="17">
        <f t="shared" si="25"/>
        <v>1</v>
      </c>
      <c r="G577" s="17" t="str">
        <f t="shared" si="26"/>
        <v>Pass</v>
      </c>
      <c r="H577" s="17" t="str">
        <f t="shared" si="24"/>
        <v>Fail</v>
      </c>
      <c r="I577" s="17">
        <v>59.65</v>
      </c>
      <c r="J577" s="17" t="s">
        <v>2486</v>
      </c>
      <c r="K577" s="17">
        <v>0</v>
      </c>
      <c r="L577" s="17">
        <v>120</v>
      </c>
      <c r="M577" s="18">
        <f>Raw_LIMS_Export!K577</f>
        <v>45912</v>
      </c>
      <c r="N577" s="19" t="s">
        <v>2925</v>
      </c>
    </row>
    <row r="578" spans="1:14" x14ac:dyDescent="0.35">
      <c r="A578" s="16" t="s">
        <v>587</v>
      </c>
      <c r="B578" s="17" t="s">
        <v>2354</v>
      </c>
      <c r="C578" s="17" t="s">
        <v>2458</v>
      </c>
      <c r="D578" s="17" t="str">
        <f>_xlfn.XLOOKUP(Raw_LIMS_Export!E578,'mapping Site table'!$B$4:$B$14,'mapping Site table'!$C$4:$C$14,Raw_LIMS_Export!E578)</f>
        <v>Budapest</v>
      </c>
      <c r="E578" s="17" t="s">
        <v>2479</v>
      </c>
      <c r="F578" s="17">
        <f t="shared" si="25"/>
        <v>1</v>
      </c>
      <c r="G578" s="17" t="str">
        <f t="shared" si="26"/>
        <v>Pass</v>
      </c>
      <c r="H578" s="17" t="str">
        <f t="shared" ref="H578:H641" si="27">IF(COUNTIFS($B$2:$B$2016,B578,$G$2:$G$2016,"Fail")&gt;0,"Fail",
  IF(COUNTIFS($B$2:$B$2016,B578,$G$2:$G$2016,"Missing")&gt;0,"Pending",
    "Pass"))</f>
        <v>Pending</v>
      </c>
      <c r="I578" s="17">
        <v>58.46</v>
      </c>
      <c r="J578" s="17" t="s">
        <v>2486</v>
      </c>
      <c r="K578" s="17">
        <v>0</v>
      </c>
      <c r="L578" s="17">
        <v>120</v>
      </c>
      <c r="M578" s="18">
        <f>Raw_LIMS_Export!K578</f>
        <v>45587</v>
      </c>
      <c r="N578" s="19" t="s">
        <v>2929</v>
      </c>
    </row>
    <row r="579" spans="1:14" x14ac:dyDescent="0.35">
      <c r="A579" s="16" t="s">
        <v>588</v>
      </c>
      <c r="B579" s="17" t="s">
        <v>2355</v>
      </c>
      <c r="C579" s="17" t="s">
        <v>2457</v>
      </c>
      <c r="D579" s="17" t="str">
        <f>_xlfn.XLOOKUP(Raw_LIMS_Export!E579,'mapping Site table'!$B$4:$B$14,'mapping Site table'!$C$4:$C$14,Raw_LIMS_Export!E579)</f>
        <v>Budapest</v>
      </c>
      <c r="E579" s="17" t="s">
        <v>2485</v>
      </c>
      <c r="F579" s="17">
        <f t="shared" ref="F579:F642" si="28">IF(I579="",0,1)</f>
        <v>1</v>
      </c>
      <c r="G579" s="17" t="str">
        <f t="shared" ref="G579:G642" si="29">IF(I579="", "Missing", IF(AND(I579&gt;=K579, I579&lt;=L579), "Pass", "Fail"))</f>
        <v>Fail</v>
      </c>
      <c r="H579" s="17" t="str">
        <f t="shared" si="27"/>
        <v>Fail</v>
      </c>
      <c r="I579" s="17">
        <v>-7.56</v>
      </c>
      <c r="J579" s="17" t="s">
        <v>2490</v>
      </c>
      <c r="K579" s="17">
        <v>0</v>
      </c>
      <c r="L579" s="17">
        <v>100</v>
      </c>
      <c r="M579" s="18">
        <f>Raw_LIMS_Export!K579</f>
        <v>45598</v>
      </c>
      <c r="N579" s="19" t="s">
        <v>2925</v>
      </c>
    </row>
    <row r="580" spans="1:14" x14ac:dyDescent="0.35">
      <c r="A580" s="16" t="s">
        <v>589</v>
      </c>
      <c r="B580" s="17" t="s">
        <v>2035</v>
      </c>
      <c r="C580" s="17" t="s">
        <v>2461</v>
      </c>
      <c r="D580" s="17" t="str">
        <f>_xlfn.XLOOKUP(Raw_LIMS_Export!E580,'mapping Site table'!$B$4:$B$14,'mapping Site table'!$C$4:$C$14,Raw_LIMS_Export!E580)</f>
        <v>Ashford UK</v>
      </c>
      <c r="E580" s="17" t="s">
        <v>2479</v>
      </c>
      <c r="F580" s="17">
        <f t="shared" si="28"/>
        <v>1</v>
      </c>
      <c r="G580" s="17" t="str">
        <f t="shared" si="29"/>
        <v>Pass</v>
      </c>
      <c r="H580" s="17" t="str">
        <f t="shared" si="27"/>
        <v>Pending</v>
      </c>
      <c r="I580" s="17">
        <v>68.78</v>
      </c>
      <c r="J580" s="17" t="s">
        <v>2486</v>
      </c>
      <c r="K580" s="17">
        <v>0</v>
      </c>
      <c r="L580" s="17">
        <v>120</v>
      </c>
      <c r="M580" s="18">
        <f>Raw_LIMS_Export!K580</f>
        <v>45853</v>
      </c>
      <c r="N580" s="19" t="s">
        <v>2929</v>
      </c>
    </row>
    <row r="581" spans="1:14" x14ac:dyDescent="0.35">
      <c r="A581" s="16" t="s">
        <v>590</v>
      </c>
      <c r="B581" s="17" t="s">
        <v>2282</v>
      </c>
      <c r="C581" s="17" t="s">
        <v>2459</v>
      </c>
      <c r="D581" s="17" t="str">
        <f>_xlfn.XLOOKUP(Raw_LIMS_Export!E581,'mapping Site table'!$B$4:$B$14,'mapping Site table'!$C$4:$C$14,Raw_LIMS_Export!E581)</f>
        <v>Dortmund DE</v>
      </c>
      <c r="E581" s="17" t="s">
        <v>2481</v>
      </c>
      <c r="F581" s="17">
        <f t="shared" si="28"/>
        <v>1</v>
      </c>
      <c r="G581" s="17" t="str">
        <f t="shared" si="29"/>
        <v>Pass</v>
      </c>
      <c r="H581" s="17" t="str">
        <f t="shared" si="27"/>
        <v>Pass</v>
      </c>
      <c r="I581" s="17">
        <v>225.52</v>
      </c>
      <c r="J581" s="17" t="s">
        <v>2488</v>
      </c>
      <c r="K581" s="17">
        <v>150</v>
      </c>
      <c r="L581" s="17">
        <v>400</v>
      </c>
      <c r="M581" s="18">
        <f>Raw_LIMS_Export!K581</f>
        <v>45367</v>
      </c>
      <c r="N581" s="19" t="s">
        <v>2926</v>
      </c>
    </row>
    <row r="582" spans="1:14" x14ac:dyDescent="0.35">
      <c r="A582" s="16" t="s">
        <v>591</v>
      </c>
      <c r="B582" s="17" t="s">
        <v>2039</v>
      </c>
      <c r="C582" s="17" t="s">
        <v>2458</v>
      </c>
      <c r="D582" s="17" t="str">
        <f>_xlfn.XLOOKUP(Raw_LIMS_Export!E582,'mapping Site table'!$B$4:$B$14,'mapping Site table'!$C$4:$C$14,Raw_LIMS_Export!E582)</f>
        <v>Budapest</v>
      </c>
      <c r="E582" s="17" t="s">
        <v>2485</v>
      </c>
      <c r="F582" s="17">
        <f t="shared" si="28"/>
        <v>1</v>
      </c>
      <c r="G582" s="17" t="str">
        <f t="shared" si="29"/>
        <v>Pass</v>
      </c>
      <c r="H582" s="17" t="str">
        <f t="shared" si="27"/>
        <v>Fail</v>
      </c>
      <c r="I582" s="17">
        <v>59.09</v>
      </c>
      <c r="J582" s="17" t="s">
        <v>2490</v>
      </c>
      <c r="K582" s="17">
        <v>0</v>
      </c>
      <c r="L582" s="17">
        <v>100</v>
      </c>
      <c r="M582" s="18">
        <f>Raw_LIMS_Export!K582</f>
        <v>45969</v>
      </c>
      <c r="N582" s="19" t="s">
        <v>2932</v>
      </c>
    </row>
    <row r="583" spans="1:14" x14ac:dyDescent="0.35">
      <c r="A583" s="16" t="s">
        <v>592</v>
      </c>
      <c r="B583" s="17" t="s">
        <v>2356</v>
      </c>
      <c r="C583" s="17" t="s">
        <v>2458</v>
      </c>
      <c r="D583" s="17" t="str">
        <f>_xlfn.XLOOKUP(Raw_LIMS_Export!E583,'mapping Site table'!$B$4:$B$14,'mapping Site table'!$C$4:$C$14,Raw_LIMS_Export!E583)</f>
        <v>East Hanover</v>
      </c>
      <c r="E583" s="17" t="s">
        <v>2484</v>
      </c>
      <c r="F583" s="17">
        <f t="shared" si="28"/>
        <v>1</v>
      </c>
      <c r="G583" s="17" t="str">
        <f t="shared" si="29"/>
        <v>Pass</v>
      </c>
      <c r="H583" s="17" t="str">
        <f t="shared" si="27"/>
        <v>Pass</v>
      </c>
      <c r="I583" s="17">
        <v>6.71</v>
      </c>
      <c r="J583" s="17"/>
      <c r="K583" s="17">
        <v>6</v>
      </c>
      <c r="L583" s="17">
        <v>7.5</v>
      </c>
      <c r="M583" s="18">
        <f>Raw_LIMS_Export!K583</f>
        <v>45765</v>
      </c>
      <c r="N583" s="19" t="s">
        <v>2931</v>
      </c>
    </row>
    <row r="584" spans="1:14" x14ac:dyDescent="0.35">
      <c r="A584" s="16" t="s">
        <v>593</v>
      </c>
      <c r="B584" s="17" t="s">
        <v>2101</v>
      </c>
      <c r="C584" s="17" t="s">
        <v>2458</v>
      </c>
      <c r="D584" s="17" t="str">
        <f>_xlfn.XLOOKUP(Raw_LIMS_Export!E584,'mapping Site table'!$B$4:$B$14,'mapping Site table'!$C$4:$C$14,Raw_LIMS_Export!E584)</f>
        <v>Dortmund DE</v>
      </c>
      <c r="E584" s="17" t="s">
        <v>2479</v>
      </c>
      <c r="F584" s="17">
        <f t="shared" si="28"/>
        <v>1</v>
      </c>
      <c r="G584" s="17" t="str">
        <f t="shared" si="29"/>
        <v>Pass</v>
      </c>
      <c r="H584" s="17" t="str">
        <f t="shared" si="27"/>
        <v>Pass</v>
      </c>
      <c r="I584" s="17">
        <v>24.17</v>
      </c>
      <c r="J584" s="17" t="s">
        <v>2486</v>
      </c>
      <c r="K584" s="17">
        <v>0</v>
      </c>
      <c r="L584" s="17">
        <v>120</v>
      </c>
      <c r="M584" s="18">
        <f>Raw_LIMS_Export!K584</f>
        <v>46013</v>
      </c>
      <c r="N584" s="19" t="s">
        <v>2923</v>
      </c>
    </row>
    <row r="585" spans="1:14" x14ac:dyDescent="0.35">
      <c r="A585" s="16" t="s">
        <v>594</v>
      </c>
      <c r="B585" s="17" t="s">
        <v>2357</v>
      </c>
      <c r="C585" s="17" t="s">
        <v>2459</v>
      </c>
      <c r="D585" s="17" t="str">
        <f>_xlfn.XLOOKUP(Raw_LIMS_Export!E585,'mapping Site table'!$B$4:$B$14,'mapping Site table'!$C$4:$C$14,Raw_LIMS_Export!E585)</f>
        <v>Ashford UK</v>
      </c>
      <c r="E585" s="17" t="s">
        <v>2479</v>
      </c>
      <c r="F585" s="17">
        <f t="shared" si="28"/>
        <v>1</v>
      </c>
      <c r="G585" s="17" t="str">
        <f t="shared" si="29"/>
        <v>Pass</v>
      </c>
      <c r="H585" s="17" t="str">
        <f t="shared" si="27"/>
        <v>Fail</v>
      </c>
      <c r="I585" s="17">
        <v>55.49</v>
      </c>
      <c r="J585" s="17" t="s">
        <v>2486</v>
      </c>
      <c r="K585" s="17">
        <v>0</v>
      </c>
      <c r="L585" s="17">
        <v>120</v>
      </c>
      <c r="M585" s="18">
        <f>Raw_LIMS_Export!K585</f>
        <v>45388</v>
      </c>
      <c r="N585" s="19" t="s">
        <v>2923</v>
      </c>
    </row>
    <row r="586" spans="1:14" x14ac:dyDescent="0.35">
      <c r="A586" s="16" t="s">
        <v>595</v>
      </c>
      <c r="B586" s="17" t="s">
        <v>2358</v>
      </c>
      <c r="C586" s="17" t="s">
        <v>2458</v>
      </c>
      <c r="D586" s="17" t="str">
        <f>_xlfn.XLOOKUP(Raw_LIMS_Export!E586,'mapping Site table'!$B$4:$B$14,'mapping Site table'!$C$4:$C$14,Raw_LIMS_Export!E586)</f>
        <v>Ashford UK</v>
      </c>
      <c r="E586" s="17" t="s">
        <v>2484</v>
      </c>
      <c r="F586" s="17">
        <f t="shared" si="28"/>
        <v>1</v>
      </c>
      <c r="G586" s="17" t="str">
        <f t="shared" si="29"/>
        <v>Pass</v>
      </c>
      <c r="H586" s="17" t="str">
        <f t="shared" si="27"/>
        <v>Pending</v>
      </c>
      <c r="I586" s="17">
        <v>7.16</v>
      </c>
      <c r="J586" s="17"/>
      <c r="K586" s="17">
        <v>6</v>
      </c>
      <c r="L586" s="17">
        <v>7.5</v>
      </c>
      <c r="M586" s="18">
        <f>Raw_LIMS_Export!K586</f>
        <v>45749</v>
      </c>
      <c r="N586" s="19" t="s">
        <v>2929</v>
      </c>
    </row>
    <row r="587" spans="1:14" x14ac:dyDescent="0.35">
      <c r="A587" s="16" t="s">
        <v>596</v>
      </c>
      <c r="B587" s="17" t="s">
        <v>2166</v>
      </c>
      <c r="C587" s="17" t="s">
        <v>2459</v>
      </c>
      <c r="D587" s="17" t="str">
        <f>_xlfn.XLOOKUP(Raw_LIMS_Export!E587,'mapping Site table'!$B$4:$B$14,'mapping Site table'!$C$4:$C$14,Raw_LIMS_Export!E587)</f>
        <v>Dortmund DE</v>
      </c>
      <c r="E587" s="17" t="s">
        <v>2480</v>
      </c>
      <c r="F587" s="17">
        <f t="shared" si="28"/>
        <v>1</v>
      </c>
      <c r="G587" s="17" t="str">
        <f t="shared" si="29"/>
        <v>Pass</v>
      </c>
      <c r="H587" s="17" t="str">
        <f t="shared" si="27"/>
        <v>Pass</v>
      </c>
      <c r="I587" s="17">
        <v>0.96</v>
      </c>
      <c r="J587" s="17" t="s">
        <v>2487</v>
      </c>
      <c r="K587" s="17">
        <v>0.88</v>
      </c>
      <c r="L587" s="17">
        <v>0.97</v>
      </c>
      <c r="M587" s="18">
        <f>Raw_LIMS_Export!K587</f>
        <v>45970</v>
      </c>
      <c r="N587" s="19" t="s">
        <v>2926</v>
      </c>
    </row>
    <row r="588" spans="1:14" x14ac:dyDescent="0.35">
      <c r="A588" s="16" t="s">
        <v>597</v>
      </c>
      <c r="B588" s="17" t="s">
        <v>2178</v>
      </c>
      <c r="C588" s="17" t="s">
        <v>2457</v>
      </c>
      <c r="D588" s="17" t="str">
        <f>_xlfn.XLOOKUP(Raw_LIMS_Export!E588,'mapping Site table'!$B$4:$B$14,'mapping Site table'!$C$4:$C$14,Raw_LIMS_Export!E588)</f>
        <v>Ashford UK</v>
      </c>
      <c r="E588" s="17" t="s">
        <v>2483</v>
      </c>
      <c r="F588" s="17">
        <f t="shared" si="28"/>
        <v>1</v>
      </c>
      <c r="G588" s="17" t="str">
        <f t="shared" si="29"/>
        <v>Pass</v>
      </c>
      <c r="H588" s="17" t="str">
        <f t="shared" si="27"/>
        <v>Pass</v>
      </c>
      <c r="I588" s="17">
        <v>0.15</v>
      </c>
      <c r="J588" s="17" t="s">
        <v>2489</v>
      </c>
      <c r="K588" s="17">
        <v>0</v>
      </c>
      <c r="L588" s="17">
        <v>1</v>
      </c>
      <c r="M588" s="18">
        <f>Raw_LIMS_Export!K588</f>
        <v>45816</v>
      </c>
      <c r="N588" s="19" t="s">
        <v>2925</v>
      </c>
    </row>
    <row r="589" spans="1:14" x14ac:dyDescent="0.35">
      <c r="A589" s="16" t="s">
        <v>598</v>
      </c>
      <c r="B589" s="17" t="s">
        <v>2359</v>
      </c>
      <c r="C589" s="17" t="s">
        <v>2458</v>
      </c>
      <c r="D589" s="17" t="str">
        <f>_xlfn.XLOOKUP(Raw_LIMS_Export!E589,'mapping Site table'!$B$4:$B$14,'mapping Site table'!$C$4:$C$14,Raw_LIMS_Export!E589)</f>
        <v>East Hanover</v>
      </c>
      <c r="E589" s="17" t="s">
        <v>2483</v>
      </c>
      <c r="F589" s="17">
        <f t="shared" si="28"/>
        <v>1</v>
      </c>
      <c r="G589" s="17" t="str">
        <f t="shared" si="29"/>
        <v>Pass</v>
      </c>
      <c r="H589" s="17" t="str">
        <f t="shared" si="27"/>
        <v>Pass</v>
      </c>
      <c r="I589" s="17">
        <v>0.27</v>
      </c>
      <c r="J589" s="17" t="s">
        <v>2489</v>
      </c>
      <c r="K589" s="17">
        <v>0</v>
      </c>
      <c r="L589" s="17">
        <v>1</v>
      </c>
      <c r="M589" s="18">
        <f>Raw_LIMS_Export!K589</f>
        <v>45574</v>
      </c>
      <c r="N589" s="19" t="s">
        <v>2931</v>
      </c>
    </row>
    <row r="590" spans="1:14" x14ac:dyDescent="0.35">
      <c r="A590" s="16" t="s">
        <v>599</v>
      </c>
      <c r="B590" s="17" t="s">
        <v>2064</v>
      </c>
      <c r="C590" s="17" t="s">
        <v>2458</v>
      </c>
      <c r="D590" s="17" t="str">
        <f>_xlfn.XLOOKUP(Raw_LIMS_Export!E590,'mapping Site table'!$B$4:$B$14,'mapping Site table'!$C$4:$C$14,Raw_LIMS_Export!E590)</f>
        <v>Vernier CH</v>
      </c>
      <c r="E590" s="17" t="s">
        <v>2480</v>
      </c>
      <c r="F590" s="17">
        <f t="shared" si="28"/>
        <v>1</v>
      </c>
      <c r="G590" s="17" t="str">
        <f t="shared" si="29"/>
        <v>Pass</v>
      </c>
      <c r="H590" s="17" t="str">
        <f t="shared" si="27"/>
        <v>Pass</v>
      </c>
      <c r="I590" s="17">
        <v>0.95</v>
      </c>
      <c r="J590" s="17" t="s">
        <v>2487</v>
      </c>
      <c r="K590" s="17">
        <v>0.88</v>
      </c>
      <c r="L590" s="17">
        <v>0.97</v>
      </c>
      <c r="M590" s="18">
        <f>Raw_LIMS_Export!K590</f>
        <v>45715</v>
      </c>
      <c r="N590" s="19" t="s">
        <v>2926</v>
      </c>
    </row>
    <row r="591" spans="1:14" x14ac:dyDescent="0.35">
      <c r="A591" s="16" t="s">
        <v>600</v>
      </c>
      <c r="B591" s="17" t="s">
        <v>2325</v>
      </c>
      <c r="C591" s="17" t="s">
        <v>2458</v>
      </c>
      <c r="D591" s="17" t="str">
        <f>_xlfn.XLOOKUP(Raw_LIMS_Export!E591,'mapping Site table'!$B$4:$B$14,'mapping Site table'!$C$4:$C$14,Raw_LIMS_Export!E591)</f>
        <v>Vernier CH</v>
      </c>
      <c r="E591" s="17" t="s">
        <v>2484</v>
      </c>
      <c r="F591" s="17">
        <f t="shared" si="28"/>
        <v>1</v>
      </c>
      <c r="G591" s="17" t="str">
        <f t="shared" si="29"/>
        <v>Pass</v>
      </c>
      <c r="H591" s="17" t="str">
        <f t="shared" si="27"/>
        <v>Pass</v>
      </c>
      <c r="I591" s="17">
        <v>7.11</v>
      </c>
      <c r="J591" s="17"/>
      <c r="K591" s="17">
        <v>6</v>
      </c>
      <c r="L591" s="17">
        <v>7.5</v>
      </c>
      <c r="M591" s="18">
        <f>Raw_LIMS_Export!K591</f>
        <v>45491</v>
      </c>
      <c r="N591" s="19" t="s">
        <v>2928</v>
      </c>
    </row>
    <row r="592" spans="1:14" x14ac:dyDescent="0.35">
      <c r="A592" s="16" t="s">
        <v>601</v>
      </c>
      <c r="B592" s="17" t="s">
        <v>2325</v>
      </c>
      <c r="C592" s="17" t="s">
        <v>2458</v>
      </c>
      <c r="D592" s="17" t="str">
        <f>_xlfn.XLOOKUP(Raw_LIMS_Export!E592,'mapping Site table'!$B$4:$B$14,'mapping Site table'!$C$4:$C$14,Raw_LIMS_Export!E592)</f>
        <v>Vernier CH</v>
      </c>
      <c r="E592" s="17" t="s">
        <v>2483</v>
      </c>
      <c r="F592" s="17">
        <f t="shared" si="28"/>
        <v>1</v>
      </c>
      <c r="G592" s="17" t="str">
        <f t="shared" si="29"/>
        <v>Pass</v>
      </c>
      <c r="H592" s="17" t="str">
        <f t="shared" si="27"/>
        <v>Pass</v>
      </c>
      <c r="I592" s="17">
        <v>0.34</v>
      </c>
      <c r="J592" s="17" t="s">
        <v>2489</v>
      </c>
      <c r="K592" s="17">
        <v>0</v>
      </c>
      <c r="L592" s="17">
        <v>1</v>
      </c>
      <c r="M592" s="18">
        <f>Raw_LIMS_Export!K592</f>
        <v>45491</v>
      </c>
      <c r="N592" s="19" t="s">
        <v>2927</v>
      </c>
    </row>
    <row r="593" spans="1:14" x14ac:dyDescent="0.35">
      <c r="A593" s="16" t="s">
        <v>602</v>
      </c>
      <c r="B593" s="17" t="s">
        <v>2031</v>
      </c>
      <c r="C593" s="17" t="s">
        <v>2459</v>
      </c>
      <c r="D593" s="17" t="str">
        <f>_xlfn.XLOOKUP(Raw_LIMS_Export!E593,'mapping Site table'!$B$4:$B$14,'mapping Site table'!$C$4:$C$14,Raw_LIMS_Export!E593)</f>
        <v>Dortmund DE</v>
      </c>
      <c r="E593" s="17" t="s">
        <v>2484</v>
      </c>
      <c r="F593" s="17">
        <f t="shared" si="28"/>
        <v>1</v>
      </c>
      <c r="G593" s="17" t="str">
        <f t="shared" si="29"/>
        <v>Pass</v>
      </c>
      <c r="H593" s="17" t="str">
        <f t="shared" si="27"/>
        <v>Fail</v>
      </c>
      <c r="I593" s="17">
        <v>6.77</v>
      </c>
      <c r="J593" s="17"/>
      <c r="K593" s="17">
        <v>6</v>
      </c>
      <c r="L593" s="17">
        <v>7.5</v>
      </c>
      <c r="M593" s="18">
        <f>Raw_LIMS_Export!K593</f>
        <v>45887</v>
      </c>
      <c r="N593" s="19" t="s">
        <v>2930</v>
      </c>
    </row>
    <row r="594" spans="1:14" x14ac:dyDescent="0.35">
      <c r="A594" s="16" t="s">
        <v>603</v>
      </c>
      <c r="B594" s="17" t="s">
        <v>2339</v>
      </c>
      <c r="C594" s="17" t="s">
        <v>2459</v>
      </c>
      <c r="D594" s="17" t="str">
        <f>_xlfn.XLOOKUP(Raw_LIMS_Export!E594,'mapping Site table'!$B$4:$B$14,'mapping Site table'!$C$4:$C$14,Raw_LIMS_Export!E594)</f>
        <v>Dortmund DE</v>
      </c>
      <c r="E594" s="17" t="s">
        <v>2483</v>
      </c>
      <c r="F594" s="17">
        <f t="shared" si="28"/>
        <v>0</v>
      </c>
      <c r="G594" s="17" t="str">
        <f t="shared" si="29"/>
        <v>Missing</v>
      </c>
      <c r="H594" s="17" t="str">
        <f t="shared" si="27"/>
        <v>Pending</v>
      </c>
      <c r="I594" s="17"/>
      <c r="J594" s="17" t="s">
        <v>2489</v>
      </c>
      <c r="K594" s="17">
        <v>0</v>
      </c>
      <c r="L594" s="17">
        <v>1</v>
      </c>
      <c r="M594" s="18">
        <f>Raw_LIMS_Export!K594</f>
        <v>45673</v>
      </c>
      <c r="N594" s="19" t="s">
        <v>2928</v>
      </c>
    </row>
    <row r="595" spans="1:14" x14ac:dyDescent="0.35">
      <c r="A595" s="16" t="s">
        <v>604</v>
      </c>
      <c r="B595" s="17" t="s">
        <v>2040</v>
      </c>
      <c r="C595" s="17" t="s">
        <v>2460</v>
      </c>
      <c r="D595" s="17" t="str">
        <f>_xlfn.XLOOKUP(Raw_LIMS_Export!E595,'mapping Site table'!$B$4:$B$14,'mapping Site table'!$C$4:$C$14,Raw_LIMS_Export!E595)</f>
        <v>Dortmund DE</v>
      </c>
      <c r="E595" s="17" t="s">
        <v>2484</v>
      </c>
      <c r="F595" s="17">
        <f t="shared" si="28"/>
        <v>1</v>
      </c>
      <c r="G595" s="17" t="str">
        <f t="shared" si="29"/>
        <v>Pass</v>
      </c>
      <c r="H595" s="17" t="str">
        <f t="shared" si="27"/>
        <v>Fail</v>
      </c>
      <c r="I595" s="17">
        <v>6.82</v>
      </c>
      <c r="J595" s="17"/>
      <c r="K595" s="17">
        <v>6</v>
      </c>
      <c r="L595" s="17">
        <v>7.5</v>
      </c>
      <c r="M595" s="18">
        <f>Raw_LIMS_Export!K595</f>
        <v>45386</v>
      </c>
      <c r="N595" s="19" t="s">
        <v>2927</v>
      </c>
    </row>
    <row r="596" spans="1:14" x14ac:dyDescent="0.35">
      <c r="A596" s="16" t="s">
        <v>605</v>
      </c>
      <c r="B596" s="17" t="s">
        <v>2360</v>
      </c>
      <c r="C596" s="17" t="s">
        <v>2458</v>
      </c>
      <c r="D596" s="17" t="str">
        <f>_xlfn.XLOOKUP(Raw_LIMS_Export!E596,'mapping Site table'!$B$4:$B$14,'mapping Site table'!$C$4:$C$14,Raw_LIMS_Export!E596)</f>
        <v>Ashford UK</v>
      </c>
      <c r="E596" s="17" t="s">
        <v>2479</v>
      </c>
      <c r="F596" s="17">
        <f t="shared" si="28"/>
        <v>1</v>
      </c>
      <c r="G596" s="17" t="str">
        <f t="shared" si="29"/>
        <v>Pass</v>
      </c>
      <c r="H596" s="17" t="str">
        <f t="shared" si="27"/>
        <v>Pass</v>
      </c>
      <c r="I596" s="17">
        <v>19.22</v>
      </c>
      <c r="J596" s="17" t="s">
        <v>2486</v>
      </c>
      <c r="K596" s="17">
        <v>0</v>
      </c>
      <c r="L596" s="17">
        <v>120</v>
      </c>
      <c r="M596" s="18">
        <f>Raw_LIMS_Export!K596</f>
        <v>45509</v>
      </c>
      <c r="N596" s="19" t="s">
        <v>2927</v>
      </c>
    </row>
    <row r="597" spans="1:14" x14ac:dyDescent="0.35">
      <c r="A597" s="16" t="s">
        <v>606</v>
      </c>
      <c r="B597" s="17" t="s">
        <v>2169</v>
      </c>
      <c r="C597" s="17" t="s">
        <v>2458</v>
      </c>
      <c r="D597" s="17" t="str">
        <f>_xlfn.XLOOKUP(Raw_LIMS_Export!E597,'mapping Site table'!$B$4:$B$14,'mapping Site table'!$C$4:$C$14,Raw_LIMS_Export!E597)</f>
        <v>Vernier CH</v>
      </c>
      <c r="E597" s="17" t="s">
        <v>2481</v>
      </c>
      <c r="F597" s="17">
        <f t="shared" si="28"/>
        <v>1</v>
      </c>
      <c r="G597" s="17" t="str">
        <f t="shared" si="29"/>
        <v>Pass</v>
      </c>
      <c r="H597" s="17" t="str">
        <f t="shared" si="27"/>
        <v>Pass</v>
      </c>
      <c r="I597" s="17">
        <v>173.34</v>
      </c>
      <c r="J597" s="17" t="s">
        <v>2488</v>
      </c>
      <c r="K597" s="17">
        <v>150</v>
      </c>
      <c r="L597" s="17">
        <v>400</v>
      </c>
      <c r="M597" s="18">
        <f>Raw_LIMS_Export!K597</f>
        <v>45571</v>
      </c>
      <c r="N597" s="19" t="s">
        <v>2925</v>
      </c>
    </row>
    <row r="598" spans="1:14" x14ac:dyDescent="0.35">
      <c r="A598" s="16" t="s">
        <v>607</v>
      </c>
      <c r="B598" s="17" t="s">
        <v>2225</v>
      </c>
      <c r="C598" s="17" t="s">
        <v>2458</v>
      </c>
      <c r="D598" s="17" t="str">
        <f>_xlfn.XLOOKUP(Raw_LIMS_Export!E598,'mapping Site table'!$B$4:$B$14,'mapping Site table'!$C$4:$C$14,Raw_LIMS_Export!E598)</f>
        <v>Vernier CH</v>
      </c>
      <c r="E598" s="17" t="s">
        <v>2482</v>
      </c>
      <c r="F598" s="17">
        <f t="shared" si="28"/>
        <v>1</v>
      </c>
      <c r="G598" s="17" t="str">
        <f t="shared" si="29"/>
        <v>Pass</v>
      </c>
      <c r="H598" s="17" t="str">
        <f t="shared" si="27"/>
        <v>Fail</v>
      </c>
      <c r="I598" s="17">
        <v>98.45</v>
      </c>
      <c r="J598" s="17" t="s">
        <v>2489</v>
      </c>
      <c r="K598" s="17">
        <v>97</v>
      </c>
      <c r="L598" s="17">
        <v>100</v>
      </c>
      <c r="M598" s="18">
        <f>Raw_LIMS_Export!K598</f>
        <v>45516</v>
      </c>
      <c r="N598" s="19" t="s">
        <v>2923</v>
      </c>
    </row>
    <row r="599" spans="1:14" x14ac:dyDescent="0.35">
      <c r="A599" s="16" t="s">
        <v>608</v>
      </c>
      <c r="B599" s="17" t="s">
        <v>2182</v>
      </c>
      <c r="C599" s="17" t="s">
        <v>2457</v>
      </c>
      <c r="D599" s="17" t="str">
        <f>_xlfn.XLOOKUP(Raw_LIMS_Export!E599,'mapping Site table'!$B$4:$B$14,'mapping Site table'!$C$4:$C$14,Raw_LIMS_Export!E599)</f>
        <v>Ashford UK</v>
      </c>
      <c r="E599" s="17" t="s">
        <v>2480</v>
      </c>
      <c r="F599" s="17">
        <f t="shared" si="28"/>
        <v>1</v>
      </c>
      <c r="G599" s="17" t="str">
        <f t="shared" si="29"/>
        <v>Pass</v>
      </c>
      <c r="H599" s="17" t="str">
        <f t="shared" si="27"/>
        <v>Pass</v>
      </c>
      <c r="I599" s="17">
        <v>0.9</v>
      </c>
      <c r="J599" s="17" t="s">
        <v>2487</v>
      </c>
      <c r="K599" s="17">
        <v>0.88</v>
      </c>
      <c r="L599" s="17">
        <v>0.97</v>
      </c>
      <c r="M599" s="18">
        <f>Raw_LIMS_Export!K599</f>
        <v>45681</v>
      </c>
      <c r="N599" s="19" t="s">
        <v>2924</v>
      </c>
    </row>
    <row r="600" spans="1:14" x14ac:dyDescent="0.35">
      <c r="A600" s="16" t="s">
        <v>609</v>
      </c>
      <c r="B600" s="17" t="s">
        <v>2309</v>
      </c>
      <c r="C600" s="17" t="s">
        <v>2457</v>
      </c>
      <c r="D600" s="17" t="str">
        <f>_xlfn.XLOOKUP(Raw_LIMS_Export!E600,'mapping Site table'!$B$4:$B$14,'mapping Site table'!$C$4:$C$14,Raw_LIMS_Export!E600)</f>
        <v>Budapest</v>
      </c>
      <c r="E600" s="17" t="s">
        <v>2485</v>
      </c>
      <c r="F600" s="17">
        <f t="shared" si="28"/>
        <v>1</v>
      </c>
      <c r="G600" s="17" t="str">
        <f t="shared" si="29"/>
        <v>Fail</v>
      </c>
      <c r="H600" s="17" t="str">
        <f t="shared" si="27"/>
        <v>Fail</v>
      </c>
      <c r="I600" s="17">
        <v>-54.31</v>
      </c>
      <c r="J600" s="17" t="s">
        <v>2490</v>
      </c>
      <c r="K600" s="17">
        <v>0</v>
      </c>
      <c r="L600" s="17">
        <v>100</v>
      </c>
      <c r="M600" s="18">
        <f>Raw_LIMS_Export!K600</f>
        <v>45826</v>
      </c>
      <c r="N600" s="19" t="s">
        <v>2925</v>
      </c>
    </row>
    <row r="601" spans="1:14" x14ac:dyDescent="0.35">
      <c r="A601" s="16" t="s">
        <v>610</v>
      </c>
      <c r="B601" s="17" t="s">
        <v>2315</v>
      </c>
      <c r="C601" s="17" t="s">
        <v>2460</v>
      </c>
      <c r="D601" s="17" t="str">
        <f>_xlfn.XLOOKUP(Raw_LIMS_Export!E601,'mapping Site table'!$B$4:$B$14,'mapping Site table'!$C$4:$C$14,Raw_LIMS_Export!E601)</f>
        <v>Vernier CH</v>
      </c>
      <c r="E601" s="17" t="s">
        <v>2483</v>
      </c>
      <c r="F601" s="17">
        <f t="shared" si="28"/>
        <v>1</v>
      </c>
      <c r="G601" s="17" t="str">
        <f t="shared" si="29"/>
        <v>Pass</v>
      </c>
      <c r="H601" s="17" t="str">
        <f t="shared" si="27"/>
        <v>Pass</v>
      </c>
      <c r="I601" s="17">
        <v>0.41</v>
      </c>
      <c r="J601" s="17" t="s">
        <v>2489</v>
      </c>
      <c r="K601" s="17">
        <v>0</v>
      </c>
      <c r="L601" s="17">
        <v>1</v>
      </c>
      <c r="M601" s="18">
        <f>Raw_LIMS_Export!K601</f>
        <v>46011</v>
      </c>
      <c r="N601" s="19" t="s">
        <v>2929</v>
      </c>
    </row>
    <row r="602" spans="1:14" x14ac:dyDescent="0.35">
      <c r="A602" s="16" t="s">
        <v>611</v>
      </c>
      <c r="B602" s="17" t="s">
        <v>2128</v>
      </c>
      <c r="C602" s="17" t="s">
        <v>2458</v>
      </c>
      <c r="D602" s="17" t="str">
        <f>_xlfn.XLOOKUP(Raw_LIMS_Export!E602,'mapping Site table'!$B$4:$B$14,'mapping Site table'!$C$4:$C$14,Raw_LIMS_Export!E602)</f>
        <v>Budapest</v>
      </c>
      <c r="E602" s="17" t="s">
        <v>2482</v>
      </c>
      <c r="F602" s="17">
        <f t="shared" si="28"/>
        <v>1</v>
      </c>
      <c r="G602" s="17" t="str">
        <f t="shared" si="29"/>
        <v>Pass</v>
      </c>
      <c r="H602" s="17" t="str">
        <f t="shared" si="27"/>
        <v>Pass</v>
      </c>
      <c r="I602" s="17">
        <v>99.83</v>
      </c>
      <c r="J602" s="17" t="s">
        <v>2489</v>
      </c>
      <c r="K602" s="17">
        <v>97</v>
      </c>
      <c r="L602" s="17">
        <v>100</v>
      </c>
      <c r="M602" s="18">
        <f>Raw_LIMS_Export!K602</f>
        <v>45565</v>
      </c>
      <c r="N602" s="19" t="s">
        <v>2927</v>
      </c>
    </row>
    <row r="603" spans="1:14" x14ac:dyDescent="0.35">
      <c r="A603" s="16" t="s">
        <v>612</v>
      </c>
      <c r="B603" s="17" t="s">
        <v>2298</v>
      </c>
      <c r="C603" s="17" t="s">
        <v>2458</v>
      </c>
      <c r="D603" s="17" t="str">
        <f>_xlfn.XLOOKUP(Raw_LIMS_Export!E603,'mapping Site table'!$B$4:$B$14,'mapping Site table'!$C$4:$C$14,Raw_LIMS_Export!E603)</f>
        <v>Dortmund DE</v>
      </c>
      <c r="E603" s="17" t="s">
        <v>2482</v>
      </c>
      <c r="F603" s="17">
        <f t="shared" si="28"/>
        <v>1</v>
      </c>
      <c r="G603" s="17" t="str">
        <f t="shared" si="29"/>
        <v>Pass</v>
      </c>
      <c r="H603" s="17" t="str">
        <f t="shared" si="27"/>
        <v>Fail</v>
      </c>
      <c r="I603" s="17">
        <v>98.25</v>
      </c>
      <c r="J603" s="17" t="s">
        <v>2489</v>
      </c>
      <c r="K603" s="17">
        <v>97</v>
      </c>
      <c r="L603" s="17">
        <v>100</v>
      </c>
      <c r="M603" s="18">
        <f>Raw_LIMS_Export!K603</f>
        <v>45323</v>
      </c>
      <c r="N603" s="19" t="s">
        <v>2929</v>
      </c>
    </row>
    <row r="604" spans="1:14" x14ac:dyDescent="0.35">
      <c r="A604" s="16" t="s">
        <v>613</v>
      </c>
      <c r="B604" s="17" t="s">
        <v>2327</v>
      </c>
      <c r="C604" s="17" t="s">
        <v>2458</v>
      </c>
      <c r="D604" s="17" t="str">
        <f>_xlfn.XLOOKUP(Raw_LIMS_Export!E604,'mapping Site table'!$B$4:$B$14,'mapping Site table'!$C$4:$C$14,Raw_LIMS_Export!E604)</f>
        <v>Budapest</v>
      </c>
      <c r="E604" s="17" t="s">
        <v>2480</v>
      </c>
      <c r="F604" s="17">
        <f t="shared" si="28"/>
        <v>1</v>
      </c>
      <c r="G604" s="17" t="str">
        <f t="shared" si="29"/>
        <v>Pass</v>
      </c>
      <c r="H604" s="17" t="str">
        <f t="shared" si="27"/>
        <v>Pass</v>
      </c>
      <c r="I604" s="17">
        <v>0.93</v>
      </c>
      <c r="J604" s="17" t="s">
        <v>2487</v>
      </c>
      <c r="K604" s="17">
        <v>0.88</v>
      </c>
      <c r="L604" s="17">
        <v>0.97</v>
      </c>
      <c r="M604" s="18">
        <f>Raw_LIMS_Export!K604</f>
        <v>45699</v>
      </c>
      <c r="N604" s="19" t="s">
        <v>2932</v>
      </c>
    </row>
    <row r="605" spans="1:14" x14ac:dyDescent="0.35">
      <c r="A605" s="16" t="s">
        <v>614</v>
      </c>
      <c r="B605" s="17" t="s">
        <v>2345</v>
      </c>
      <c r="C605" s="17" t="s">
        <v>2458</v>
      </c>
      <c r="D605" s="17" t="str">
        <f>_xlfn.XLOOKUP(Raw_LIMS_Export!E605,'mapping Site table'!$B$4:$B$14,'mapping Site table'!$C$4:$C$14,Raw_LIMS_Export!E605)</f>
        <v>Budapest</v>
      </c>
      <c r="E605" s="17" t="s">
        <v>2479</v>
      </c>
      <c r="F605" s="17">
        <f t="shared" si="28"/>
        <v>1</v>
      </c>
      <c r="G605" s="17" t="str">
        <f t="shared" si="29"/>
        <v>Pass</v>
      </c>
      <c r="H605" s="17" t="str">
        <f t="shared" si="27"/>
        <v>Pass</v>
      </c>
      <c r="I605" s="17">
        <v>41.58</v>
      </c>
      <c r="J605" s="17" t="s">
        <v>2486</v>
      </c>
      <c r="K605" s="17">
        <v>0</v>
      </c>
      <c r="L605" s="17">
        <v>120</v>
      </c>
      <c r="M605" s="18">
        <f>Raw_LIMS_Export!K605</f>
        <v>45379</v>
      </c>
      <c r="N605" s="19" t="s">
        <v>2924</v>
      </c>
    </row>
    <row r="606" spans="1:14" x14ac:dyDescent="0.35">
      <c r="A606" s="16" t="s">
        <v>615</v>
      </c>
      <c r="B606" s="17" t="s">
        <v>2219</v>
      </c>
      <c r="C606" s="17" t="s">
        <v>2460</v>
      </c>
      <c r="D606" s="17" t="str">
        <f>_xlfn.XLOOKUP(Raw_LIMS_Export!E606,'mapping Site table'!$B$4:$B$14,'mapping Site table'!$C$4:$C$14,Raw_LIMS_Export!E606)</f>
        <v>East Hanover</v>
      </c>
      <c r="E606" s="17" t="s">
        <v>2482</v>
      </c>
      <c r="F606" s="17">
        <f t="shared" si="28"/>
        <v>1</v>
      </c>
      <c r="G606" s="17" t="str">
        <f t="shared" si="29"/>
        <v>Pass</v>
      </c>
      <c r="H606" s="17" t="str">
        <f t="shared" si="27"/>
        <v>Fail</v>
      </c>
      <c r="I606" s="17">
        <v>98.17</v>
      </c>
      <c r="J606" s="17" t="s">
        <v>2489</v>
      </c>
      <c r="K606" s="17">
        <v>97</v>
      </c>
      <c r="L606" s="17">
        <v>100</v>
      </c>
      <c r="M606" s="18">
        <f>Raw_LIMS_Export!K606</f>
        <v>45626</v>
      </c>
      <c r="N606" s="19" t="s">
        <v>2925</v>
      </c>
    </row>
    <row r="607" spans="1:14" x14ac:dyDescent="0.35">
      <c r="A607" s="16" t="s">
        <v>616</v>
      </c>
      <c r="B607" s="17" t="s">
        <v>2260</v>
      </c>
      <c r="C607" s="17" t="s">
        <v>2461</v>
      </c>
      <c r="D607" s="17" t="str">
        <f>_xlfn.XLOOKUP(Raw_LIMS_Export!E607,'mapping Site table'!$B$4:$B$14,'mapping Site table'!$C$4:$C$14,Raw_LIMS_Export!E607)</f>
        <v>Budapest</v>
      </c>
      <c r="E607" s="17" t="s">
        <v>2485</v>
      </c>
      <c r="F607" s="17">
        <f t="shared" si="28"/>
        <v>1</v>
      </c>
      <c r="G607" s="17" t="str">
        <f t="shared" si="29"/>
        <v>Pass</v>
      </c>
      <c r="H607" s="17" t="str">
        <f t="shared" si="27"/>
        <v>Pass</v>
      </c>
      <c r="I607" s="17">
        <v>48.61</v>
      </c>
      <c r="J607" s="17" t="s">
        <v>2490</v>
      </c>
      <c r="K607" s="17">
        <v>0</v>
      </c>
      <c r="L607" s="17">
        <v>100</v>
      </c>
      <c r="M607" s="18">
        <f>Raw_LIMS_Export!K607</f>
        <v>45623</v>
      </c>
      <c r="N607" s="19" t="s">
        <v>2931</v>
      </c>
    </row>
    <row r="608" spans="1:14" x14ac:dyDescent="0.35">
      <c r="A608" s="16" t="s">
        <v>617</v>
      </c>
      <c r="B608" s="17" t="s">
        <v>2050</v>
      </c>
      <c r="C608" s="17" t="s">
        <v>2461</v>
      </c>
      <c r="D608" s="17" t="str">
        <f>_xlfn.XLOOKUP(Raw_LIMS_Export!E608,'mapping Site table'!$B$4:$B$14,'mapping Site table'!$C$4:$C$14,Raw_LIMS_Export!E608)</f>
        <v>East Hanover</v>
      </c>
      <c r="E608" s="17" t="s">
        <v>2482</v>
      </c>
      <c r="F608" s="17">
        <f t="shared" si="28"/>
        <v>1</v>
      </c>
      <c r="G608" s="17" t="str">
        <f t="shared" si="29"/>
        <v>Pass</v>
      </c>
      <c r="H608" s="17" t="str">
        <f t="shared" si="27"/>
        <v>Pass</v>
      </c>
      <c r="I608" s="17">
        <v>98.94</v>
      </c>
      <c r="J608" s="17" t="s">
        <v>2489</v>
      </c>
      <c r="K608" s="17">
        <v>97</v>
      </c>
      <c r="L608" s="17">
        <v>100</v>
      </c>
      <c r="M608" s="18">
        <f>Raw_LIMS_Export!K608</f>
        <v>45398</v>
      </c>
      <c r="N608" s="19" t="s">
        <v>2927</v>
      </c>
    </row>
    <row r="609" spans="1:14" x14ac:dyDescent="0.35">
      <c r="A609" s="16" t="s">
        <v>618</v>
      </c>
      <c r="B609" s="17" t="s">
        <v>2171</v>
      </c>
      <c r="C609" s="17" t="s">
        <v>2459</v>
      </c>
      <c r="D609" s="17" t="str">
        <f>_xlfn.XLOOKUP(Raw_LIMS_Export!E609,'mapping Site table'!$B$4:$B$14,'mapping Site table'!$C$4:$C$14,Raw_LIMS_Export!E609)</f>
        <v>Ashford UK</v>
      </c>
      <c r="E609" s="17" t="s">
        <v>2484</v>
      </c>
      <c r="F609" s="17">
        <f t="shared" si="28"/>
        <v>1</v>
      </c>
      <c r="G609" s="17" t="str">
        <f t="shared" si="29"/>
        <v>Fail</v>
      </c>
      <c r="H609" s="17" t="str">
        <f t="shared" si="27"/>
        <v>Fail</v>
      </c>
      <c r="I609" s="17">
        <v>5.79</v>
      </c>
      <c r="J609" s="17"/>
      <c r="K609" s="17">
        <v>6</v>
      </c>
      <c r="L609" s="17">
        <v>7.5</v>
      </c>
      <c r="M609" s="18">
        <f>Raw_LIMS_Export!K609</f>
        <v>45629</v>
      </c>
      <c r="N609" s="19" t="s">
        <v>2927</v>
      </c>
    </row>
    <row r="610" spans="1:14" x14ac:dyDescent="0.35">
      <c r="A610" s="16" t="s">
        <v>619</v>
      </c>
      <c r="B610" s="17" t="s">
        <v>2223</v>
      </c>
      <c r="C610" s="17" t="s">
        <v>2458</v>
      </c>
      <c r="D610" s="17" t="str">
        <f>_xlfn.XLOOKUP(Raw_LIMS_Export!E610,'mapping Site table'!$B$4:$B$14,'mapping Site table'!$C$4:$C$14,Raw_LIMS_Export!E610)</f>
        <v>East Hanover</v>
      </c>
      <c r="E610" s="17" t="s">
        <v>2481</v>
      </c>
      <c r="F610" s="17">
        <f t="shared" si="28"/>
        <v>1</v>
      </c>
      <c r="G610" s="17" t="str">
        <f t="shared" si="29"/>
        <v>Pass</v>
      </c>
      <c r="H610" s="17" t="str">
        <f t="shared" si="27"/>
        <v>Fail</v>
      </c>
      <c r="I610" s="17">
        <v>221.74</v>
      </c>
      <c r="J610" s="17" t="s">
        <v>2488</v>
      </c>
      <c r="K610" s="17">
        <v>150</v>
      </c>
      <c r="L610" s="17">
        <v>400</v>
      </c>
      <c r="M610" s="18">
        <f>Raw_LIMS_Export!K610</f>
        <v>45496</v>
      </c>
      <c r="N610" s="19" t="s">
        <v>2931</v>
      </c>
    </row>
    <row r="611" spans="1:14" x14ac:dyDescent="0.35">
      <c r="A611" s="16" t="s">
        <v>620</v>
      </c>
      <c r="B611" s="17" t="s">
        <v>2188</v>
      </c>
      <c r="C611" s="17" t="s">
        <v>2457</v>
      </c>
      <c r="D611" s="17" t="str">
        <f>_xlfn.XLOOKUP(Raw_LIMS_Export!E611,'mapping Site table'!$B$4:$B$14,'mapping Site table'!$C$4:$C$14,Raw_LIMS_Export!E611)</f>
        <v>Ashford UK</v>
      </c>
      <c r="E611" s="17" t="s">
        <v>2479</v>
      </c>
      <c r="F611" s="17">
        <f t="shared" si="28"/>
        <v>1</v>
      </c>
      <c r="G611" s="17" t="str">
        <f t="shared" si="29"/>
        <v>Pass</v>
      </c>
      <c r="H611" s="17" t="str">
        <f t="shared" si="27"/>
        <v>Pass</v>
      </c>
      <c r="I611" s="17">
        <v>58.2</v>
      </c>
      <c r="J611" s="17" t="s">
        <v>2486</v>
      </c>
      <c r="K611" s="17">
        <v>0</v>
      </c>
      <c r="L611" s="17">
        <v>120</v>
      </c>
      <c r="M611" s="18">
        <f>Raw_LIMS_Export!K611</f>
        <v>45916</v>
      </c>
      <c r="N611" s="19" t="s">
        <v>2930</v>
      </c>
    </row>
    <row r="612" spans="1:14" x14ac:dyDescent="0.35">
      <c r="A612" s="16" t="s">
        <v>621</v>
      </c>
      <c r="B612" s="17" t="s">
        <v>2361</v>
      </c>
      <c r="C612" s="17" t="s">
        <v>2461</v>
      </c>
      <c r="D612" s="17" t="str">
        <f>_xlfn.XLOOKUP(Raw_LIMS_Export!E612,'mapping Site table'!$B$4:$B$14,'mapping Site table'!$C$4:$C$14,Raw_LIMS_Export!E612)</f>
        <v>Budapest</v>
      </c>
      <c r="E612" s="17" t="s">
        <v>2479</v>
      </c>
      <c r="F612" s="17">
        <f t="shared" si="28"/>
        <v>1</v>
      </c>
      <c r="G612" s="17" t="str">
        <f t="shared" si="29"/>
        <v>Pass</v>
      </c>
      <c r="H612" s="17" t="str">
        <f t="shared" si="27"/>
        <v>Pass</v>
      </c>
      <c r="I612" s="17">
        <v>73.72</v>
      </c>
      <c r="J612" s="17" t="s">
        <v>2486</v>
      </c>
      <c r="K612" s="17">
        <v>0</v>
      </c>
      <c r="L612" s="17">
        <v>120</v>
      </c>
      <c r="M612" s="18">
        <f>Raw_LIMS_Export!K612</f>
        <v>45779</v>
      </c>
      <c r="N612" s="19" t="s">
        <v>2929</v>
      </c>
    </row>
    <row r="613" spans="1:14" x14ac:dyDescent="0.35">
      <c r="A613" s="16" t="s">
        <v>622</v>
      </c>
      <c r="B613" s="17" t="s">
        <v>2132</v>
      </c>
      <c r="C613" s="17" t="s">
        <v>2457</v>
      </c>
      <c r="D613" s="17" t="str">
        <f>_xlfn.XLOOKUP(Raw_LIMS_Export!E613,'mapping Site table'!$B$4:$B$14,'mapping Site table'!$C$4:$C$14,Raw_LIMS_Export!E613)</f>
        <v>Budapest</v>
      </c>
      <c r="E613" s="17" t="s">
        <v>2480</v>
      </c>
      <c r="F613" s="17">
        <f t="shared" si="28"/>
        <v>1</v>
      </c>
      <c r="G613" s="17" t="str">
        <f t="shared" si="29"/>
        <v>Pass</v>
      </c>
      <c r="H613" s="17" t="str">
        <f t="shared" si="27"/>
        <v>Fail</v>
      </c>
      <c r="I613" s="17">
        <v>0.94</v>
      </c>
      <c r="J613" s="17" t="s">
        <v>2487</v>
      </c>
      <c r="K613" s="17">
        <v>0.88</v>
      </c>
      <c r="L613" s="17">
        <v>0.97</v>
      </c>
      <c r="M613" s="18">
        <f>Raw_LIMS_Export!K613</f>
        <v>45493</v>
      </c>
      <c r="N613" s="19" t="s">
        <v>2932</v>
      </c>
    </row>
    <row r="614" spans="1:14" x14ac:dyDescent="0.35">
      <c r="A614" s="16" t="s">
        <v>623</v>
      </c>
      <c r="B614" s="17" t="s">
        <v>2362</v>
      </c>
      <c r="C614" s="17" t="s">
        <v>2457</v>
      </c>
      <c r="D614" s="17" t="str">
        <f>_xlfn.XLOOKUP(Raw_LIMS_Export!E614,'mapping Site table'!$B$4:$B$14,'mapping Site table'!$C$4:$C$14,Raw_LIMS_Export!E614)</f>
        <v>Dortmund DE</v>
      </c>
      <c r="E614" s="17" t="s">
        <v>2483</v>
      </c>
      <c r="F614" s="17">
        <f t="shared" si="28"/>
        <v>1</v>
      </c>
      <c r="G614" s="17" t="str">
        <f t="shared" si="29"/>
        <v>Pass</v>
      </c>
      <c r="H614" s="17" t="str">
        <f t="shared" si="27"/>
        <v>Pass</v>
      </c>
      <c r="I614" s="17">
        <v>0.56000000000000005</v>
      </c>
      <c r="J614" s="17" t="s">
        <v>2489</v>
      </c>
      <c r="K614" s="17">
        <v>0</v>
      </c>
      <c r="L614" s="17">
        <v>1</v>
      </c>
      <c r="M614" s="18">
        <f>Raw_LIMS_Export!K614</f>
        <v>45320</v>
      </c>
      <c r="N614" s="19" t="s">
        <v>2932</v>
      </c>
    </row>
    <row r="615" spans="1:14" x14ac:dyDescent="0.35">
      <c r="A615" s="16" t="s">
        <v>624</v>
      </c>
      <c r="B615" s="17" t="s">
        <v>2189</v>
      </c>
      <c r="C615" s="17" t="s">
        <v>2461</v>
      </c>
      <c r="D615" s="17" t="str">
        <f>_xlfn.XLOOKUP(Raw_LIMS_Export!E615,'mapping Site table'!$B$4:$B$14,'mapping Site table'!$C$4:$C$14,Raw_LIMS_Export!E615)</f>
        <v>Budapest</v>
      </c>
      <c r="E615" s="17" t="s">
        <v>2483</v>
      </c>
      <c r="F615" s="17">
        <f t="shared" si="28"/>
        <v>1</v>
      </c>
      <c r="G615" s="17" t="str">
        <f t="shared" si="29"/>
        <v>Pass</v>
      </c>
      <c r="H615" s="17" t="str">
        <f t="shared" si="27"/>
        <v>Pass</v>
      </c>
      <c r="I615" s="17">
        <v>0.37</v>
      </c>
      <c r="J615" s="17" t="s">
        <v>2489</v>
      </c>
      <c r="K615" s="17">
        <v>0</v>
      </c>
      <c r="L615" s="17">
        <v>1</v>
      </c>
      <c r="M615" s="18">
        <f>Raw_LIMS_Export!K615</f>
        <v>45691</v>
      </c>
      <c r="N615" s="19" t="s">
        <v>2932</v>
      </c>
    </row>
    <row r="616" spans="1:14" x14ac:dyDescent="0.35">
      <c r="A616" s="16" t="s">
        <v>625</v>
      </c>
      <c r="B616" s="17" t="s">
        <v>2063</v>
      </c>
      <c r="C616" s="17" t="s">
        <v>2461</v>
      </c>
      <c r="D616" s="17" t="str">
        <f>_xlfn.XLOOKUP(Raw_LIMS_Export!E616,'mapping Site table'!$B$4:$B$14,'mapping Site table'!$C$4:$C$14,Raw_LIMS_Export!E616)</f>
        <v>East Hanover</v>
      </c>
      <c r="E616" s="17" t="s">
        <v>2483</v>
      </c>
      <c r="F616" s="17">
        <f t="shared" si="28"/>
        <v>1</v>
      </c>
      <c r="G616" s="17" t="str">
        <f t="shared" si="29"/>
        <v>Pass</v>
      </c>
      <c r="H616" s="17" t="str">
        <f t="shared" si="27"/>
        <v>Fail</v>
      </c>
      <c r="I616" s="17">
        <v>0.02</v>
      </c>
      <c r="J616" s="17" t="s">
        <v>2489</v>
      </c>
      <c r="K616" s="17">
        <v>0</v>
      </c>
      <c r="L616" s="17">
        <v>1</v>
      </c>
      <c r="M616" s="18">
        <f>Raw_LIMS_Export!K616</f>
        <v>45884</v>
      </c>
      <c r="N616" s="19" t="s">
        <v>2926</v>
      </c>
    </row>
    <row r="617" spans="1:14" x14ac:dyDescent="0.35">
      <c r="A617" s="16" t="s">
        <v>626</v>
      </c>
      <c r="B617" s="17" t="s">
        <v>2363</v>
      </c>
      <c r="C617" s="17" t="s">
        <v>2459</v>
      </c>
      <c r="D617" s="17" t="str">
        <f>_xlfn.XLOOKUP(Raw_LIMS_Export!E617,'mapping Site table'!$B$4:$B$14,'mapping Site table'!$C$4:$C$14,Raw_LIMS_Export!E617)</f>
        <v>Dortmund DE</v>
      </c>
      <c r="E617" s="17" t="s">
        <v>2481</v>
      </c>
      <c r="F617" s="17">
        <f t="shared" si="28"/>
        <v>1</v>
      </c>
      <c r="G617" s="17" t="str">
        <f t="shared" si="29"/>
        <v>Pass</v>
      </c>
      <c r="H617" s="17" t="str">
        <f t="shared" si="27"/>
        <v>Pass</v>
      </c>
      <c r="I617" s="17">
        <v>251.86</v>
      </c>
      <c r="J617" s="17" t="s">
        <v>2488</v>
      </c>
      <c r="K617" s="17">
        <v>150</v>
      </c>
      <c r="L617" s="17">
        <v>400</v>
      </c>
      <c r="M617" s="18">
        <f>Raw_LIMS_Export!K617</f>
        <v>45789</v>
      </c>
      <c r="N617" s="19" t="s">
        <v>2929</v>
      </c>
    </row>
    <row r="618" spans="1:14" x14ac:dyDescent="0.35">
      <c r="A618" s="16" t="s">
        <v>627</v>
      </c>
      <c r="B618" s="17" t="s">
        <v>2087</v>
      </c>
      <c r="C618" s="17" t="s">
        <v>2459</v>
      </c>
      <c r="D618" s="17" t="str">
        <f>_xlfn.XLOOKUP(Raw_LIMS_Export!E618,'mapping Site table'!$B$4:$B$14,'mapping Site table'!$C$4:$C$14,Raw_LIMS_Export!E618)</f>
        <v>Ashford UK</v>
      </c>
      <c r="E618" s="17" t="s">
        <v>2484</v>
      </c>
      <c r="F618" s="17">
        <f t="shared" si="28"/>
        <v>1</v>
      </c>
      <c r="G618" s="17" t="str">
        <f t="shared" si="29"/>
        <v>Pass</v>
      </c>
      <c r="H618" s="17" t="str">
        <f t="shared" si="27"/>
        <v>Pass</v>
      </c>
      <c r="I618" s="17">
        <v>6.61</v>
      </c>
      <c r="J618" s="17"/>
      <c r="K618" s="17">
        <v>6</v>
      </c>
      <c r="L618" s="17">
        <v>7.5</v>
      </c>
      <c r="M618" s="18">
        <f>Raw_LIMS_Export!K618</f>
        <v>45399</v>
      </c>
      <c r="N618" s="19" t="s">
        <v>2932</v>
      </c>
    </row>
    <row r="619" spans="1:14" x14ac:dyDescent="0.35">
      <c r="A619" s="16" t="s">
        <v>628</v>
      </c>
      <c r="B619" s="17" t="s">
        <v>2248</v>
      </c>
      <c r="C619" s="17" t="s">
        <v>2460</v>
      </c>
      <c r="D619" s="17" t="str">
        <f>_xlfn.XLOOKUP(Raw_LIMS_Export!E619,'mapping Site table'!$B$4:$B$14,'mapping Site table'!$C$4:$C$14,Raw_LIMS_Export!E619)</f>
        <v>Dortmund DE</v>
      </c>
      <c r="E619" s="17" t="s">
        <v>2483</v>
      </c>
      <c r="F619" s="17">
        <f t="shared" si="28"/>
        <v>1</v>
      </c>
      <c r="G619" s="17" t="str">
        <f t="shared" si="29"/>
        <v>Pass</v>
      </c>
      <c r="H619" s="17" t="str">
        <f t="shared" si="27"/>
        <v>Pass</v>
      </c>
      <c r="I619" s="17">
        <v>0.17</v>
      </c>
      <c r="J619" s="17" t="s">
        <v>2489</v>
      </c>
      <c r="K619" s="17">
        <v>0</v>
      </c>
      <c r="L619" s="17">
        <v>1</v>
      </c>
      <c r="M619" s="18">
        <f>Raw_LIMS_Export!K619</f>
        <v>45956</v>
      </c>
      <c r="N619" s="19" t="s">
        <v>2926</v>
      </c>
    </row>
    <row r="620" spans="1:14" x14ac:dyDescent="0.35">
      <c r="A620" s="16" t="s">
        <v>629</v>
      </c>
      <c r="B620" s="17" t="s">
        <v>2236</v>
      </c>
      <c r="C620" s="17" t="s">
        <v>2457</v>
      </c>
      <c r="D620" s="17" t="str">
        <f>_xlfn.XLOOKUP(Raw_LIMS_Export!E620,'mapping Site table'!$B$4:$B$14,'mapping Site table'!$C$4:$C$14,Raw_LIMS_Export!E620)</f>
        <v>Budapest</v>
      </c>
      <c r="E620" s="17" t="s">
        <v>2485</v>
      </c>
      <c r="F620" s="17">
        <f t="shared" si="28"/>
        <v>1</v>
      </c>
      <c r="G620" s="17" t="str">
        <f t="shared" si="29"/>
        <v>Pass</v>
      </c>
      <c r="H620" s="17" t="str">
        <f t="shared" si="27"/>
        <v>Pass</v>
      </c>
      <c r="I620" s="17">
        <v>25.01</v>
      </c>
      <c r="J620" s="17" t="s">
        <v>2490</v>
      </c>
      <c r="K620" s="17">
        <v>0</v>
      </c>
      <c r="L620" s="17">
        <v>100</v>
      </c>
      <c r="M620" s="18">
        <f>Raw_LIMS_Export!K620</f>
        <v>45536</v>
      </c>
      <c r="N620" s="19" t="s">
        <v>2924</v>
      </c>
    </row>
    <row r="621" spans="1:14" x14ac:dyDescent="0.35">
      <c r="A621" s="16" t="s">
        <v>630</v>
      </c>
      <c r="B621" s="17" t="s">
        <v>2139</v>
      </c>
      <c r="C621" s="17" t="s">
        <v>2460</v>
      </c>
      <c r="D621" s="17" t="str">
        <f>_xlfn.XLOOKUP(Raw_LIMS_Export!E621,'mapping Site table'!$B$4:$B$14,'mapping Site table'!$C$4:$C$14,Raw_LIMS_Export!E621)</f>
        <v>Dortmund DE</v>
      </c>
      <c r="E621" s="17" t="s">
        <v>2481</v>
      </c>
      <c r="F621" s="17">
        <f t="shared" si="28"/>
        <v>1</v>
      </c>
      <c r="G621" s="17" t="str">
        <f t="shared" si="29"/>
        <v>Pass</v>
      </c>
      <c r="H621" s="17" t="str">
        <f t="shared" si="27"/>
        <v>Pass</v>
      </c>
      <c r="I621" s="17">
        <v>274.35000000000002</v>
      </c>
      <c r="J621" s="17" t="s">
        <v>2488</v>
      </c>
      <c r="K621" s="17">
        <v>150</v>
      </c>
      <c r="L621" s="17">
        <v>400</v>
      </c>
      <c r="M621" s="18">
        <f>Raw_LIMS_Export!K621</f>
        <v>45295</v>
      </c>
      <c r="N621" s="19" t="s">
        <v>2923</v>
      </c>
    </row>
    <row r="622" spans="1:14" x14ac:dyDescent="0.35">
      <c r="A622" s="16" t="s">
        <v>631</v>
      </c>
      <c r="B622" s="17" t="s">
        <v>2290</v>
      </c>
      <c r="C622" s="17" t="s">
        <v>2461</v>
      </c>
      <c r="D622" s="17" t="str">
        <f>_xlfn.XLOOKUP(Raw_LIMS_Export!E622,'mapping Site table'!$B$4:$B$14,'mapping Site table'!$C$4:$C$14,Raw_LIMS_Export!E622)</f>
        <v>Dortmund DE</v>
      </c>
      <c r="E622" s="17" t="s">
        <v>2485</v>
      </c>
      <c r="F622" s="17">
        <f t="shared" si="28"/>
        <v>1</v>
      </c>
      <c r="G622" s="17" t="str">
        <f t="shared" si="29"/>
        <v>Pass</v>
      </c>
      <c r="H622" s="17" t="str">
        <f t="shared" si="27"/>
        <v>Pass</v>
      </c>
      <c r="I622" s="17">
        <v>13.45</v>
      </c>
      <c r="J622" s="17" t="s">
        <v>2490</v>
      </c>
      <c r="K622" s="17">
        <v>0</v>
      </c>
      <c r="L622" s="17">
        <v>100</v>
      </c>
      <c r="M622" s="18">
        <f>Raw_LIMS_Export!K622</f>
        <v>45864</v>
      </c>
      <c r="N622" s="19" t="s">
        <v>2930</v>
      </c>
    </row>
    <row r="623" spans="1:14" x14ac:dyDescent="0.35">
      <c r="A623" s="16" t="s">
        <v>632</v>
      </c>
      <c r="B623" s="17" t="s">
        <v>2342</v>
      </c>
      <c r="C623" s="17" t="s">
        <v>2458</v>
      </c>
      <c r="D623" s="17" t="str">
        <f>_xlfn.XLOOKUP(Raw_LIMS_Export!E623,'mapping Site table'!$B$4:$B$14,'mapping Site table'!$C$4:$C$14,Raw_LIMS_Export!E623)</f>
        <v>East Hanover</v>
      </c>
      <c r="E623" s="17" t="s">
        <v>2480</v>
      </c>
      <c r="F623" s="17">
        <f t="shared" si="28"/>
        <v>1</v>
      </c>
      <c r="G623" s="17" t="str">
        <f t="shared" si="29"/>
        <v>Pass</v>
      </c>
      <c r="H623" s="17" t="str">
        <f t="shared" si="27"/>
        <v>Pass</v>
      </c>
      <c r="I623" s="17">
        <v>0.96</v>
      </c>
      <c r="J623" s="17" t="s">
        <v>2487</v>
      </c>
      <c r="K623" s="17">
        <v>0.88</v>
      </c>
      <c r="L623" s="17">
        <v>0.97</v>
      </c>
      <c r="M623" s="18">
        <f>Raw_LIMS_Export!K623</f>
        <v>45686</v>
      </c>
      <c r="N623" s="19" t="s">
        <v>2923</v>
      </c>
    </row>
    <row r="624" spans="1:14" x14ac:dyDescent="0.35">
      <c r="A624" s="16" t="s">
        <v>633</v>
      </c>
      <c r="B624" s="17" t="s">
        <v>2349</v>
      </c>
      <c r="C624" s="17" t="s">
        <v>2461</v>
      </c>
      <c r="D624" s="17" t="str">
        <f>_xlfn.XLOOKUP(Raw_LIMS_Export!E624,'mapping Site table'!$B$4:$B$14,'mapping Site table'!$C$4:$C$14,Raw_LIMS_Export!E624)</f>
        <v>East Hanover</v>
      </c>
      <c r="E624" s="17" t="s">
        <v>2482</v>
      </c>
      <c r="F624" s="17">
        <f t="shared" si="28"/>
        <v>1</v>
      </c>
      <c r="G624" s="17" t="str">
        <f t="shared" si="29"/>
        <v>Pass</v>
      </c>
      <c r="H624" s="17" t="str">
        <f t="shared" si="27"/>
        <v>Pass</v>
      </c>
      <c r="I624" s="17">
        <v>97.6</v>
      </c>
      <c r="J624" s="17" t="s">
        <v>2489</v>
      </c>
      <c r="K624" s="17">
        <v>97</v>
      </c>
      <c r="L624" s="17">
        <v>100</v>
      </c>
      <c r="M624" s="18">
        <f>Raw_LIMS_Export!K624</f>
        <v>45451</v>
      </c>
      <c r="N624" s="19" t="s">
        <v>2923</v>
      </c>
    </row>
    <row r="625" spans="1:14" x14ac:dyDescent="0.35">
      <c r="A625" s="16" t="s">
        <v>634</v>
      </c>
      <c r="B625" s="17" t="s">
        <v>2198</v>
      </c>
      <c r="C625" s="17" t="s">
        <v>2459</v>
      </c>
      <c r="D625" s="17" t="str">
        <f>_xlfn.XLOOKUP(Raw_LIMS_Export!E625,'mapping Site table'!$B$4:$B$14,'mapping Site table'!$C$4:$C$14,Raw_LIMS_Export!E625)</f>
        <v>East Hanover</v>
      </c>
      <c r="E625" s="17" t="s">
        <v>2483</v>
      </c>
      <c r="F625" s="17">
        <f t="shared" si="28"/>
        <v>1</v>
      </c>
      <c r="G625" s="17" t="str">
        <f t="shared" si="29"/>
        <v>Pass</v>
      </c>
      <c r="H625" s="17" t="str">
        <f t="shared" si="27"/>
        <v>Pass</v>
      </c>
      <c r="I625" s="17">
        <v>0.28000000000000003</v>
      </c>
      <c r="J625" s="17" t="s">
        <v>2489</v>
      </c>
      <c r="K625" s="17">
        <v>0</v>
      </c>
      <c r="L625" s="17">
        <v>1</v>
      </c>
      <c r="M625" s="18">
        <f>Raw_LIMS_Export!K625</f>
        <v>45704</v>
      </c>
      <c r="N625" s="19" t="s">
        <v>2930</v>
      </c>
    </row>
    <row r="626" spans="1:14" x14ac:dyDescent="0.35">
      <c r="A626" s="16" t="s">
        <v>635</v>
      </c>
      <c r="B626" s="17" t="s">
        <v>2364</v>
      </c>
      <c r="C626" s="17" t="s">
        <v>2461</v>
      </c>
      <c r="D626" s="17" t="str">
        <f>_xlfn.XLOOKUP(Raw_LIMS_Export!E626,'mapping Site table'!$B$4:$B$14,'mapping Site table'!$C$4:$C$14,Raw_LIMS_Export!E626)</f>
        <v>East Hanover</v>
      </c>
      <c r="E626" s="17" t="s">
        <v>2481</v>
      </c>
      <c r="F626" s="17">
        <f t="shared" si="28"/>
        <v>1</v>
      </c>
      <c r="G626" s="17" t="str">
        <f t="shared" si="29"/>
        <v>Pass</v>
      </c>
      <c r="H626" s="17" t="str">
        <f t="shared" si="27"/>
        <v>Pass</v>
      </c>
      <c r="I626" s="17">
        <v>257.91000000000003</v>
      </c>
      <c r="J626" s="17" t="s">
        <v>2488</v>
      </c>
      <c r="K626" s="17">
        <v>150</v>
      </c>
      <c r="L626" s="17">
        <v>400</v>
      </c>
      <c r="M626" s="18">
        <f>Raw_LIMS_Export!K626</f>
        <v>45885</v>
      </c>
      <c r="N626" s="19" t="s">
        <v>2927</v>
      </c>
    </row>
    <row r="627" spans="1:14" x14ac:dyDescent="0.35">
      <c r="A627" s="16" t="s">
        <v>636</v>
      </c>
      <c r="B627" s="17" t="s">
        <v>2365</v>
      </c>
      <c r="C627" s="17" t="s">
        <v>2459</v>
      </c>
      <c r="D627" s="17" t="str">
        <f>_xlfn.XLOOKUP(Raw_LIMS_Export!E627,'mapping Site table'!$B$4:$B$14,'mapping Site table'!$C$4:$C$14,Raw_LIMS_Export!E627)</f>
        <v>Budapest</v>
      </c>
      <c r="E627" s="17" t="s">
        <v>2483</v>
      </c>
      <c r="F627" s="17">
        <f t="shared" si="28"/>
        <v>1</v>
      </c>
      <c r="G627" s="17" t="str">
        <f t="shared" si="29"/>
        <v>Pass</v>
      </c>
      <c r="H627" s="17" t="str">
        <f t="shared" si="27"/>
        <v>Pass</v>
      </c>
      <c r="I627" s="17">
        <v>0.54</v>
      </c>
      <c r="J627" s="17" t="s">
        <v>2489</v>
      </c>
      <c r="K627" s="17">
        <v>0</v>
      </c>
      <c r="L627" s="17">
        <v>1</v>
      </c>
      <c r="M627" s="18">
        <f>Raw_LIMS_Export!K627</f>
        <v>45344</v>
      </c>
      <c r="N627" s="19" t="s">
        <v>2923</v>
      </c>
    </row>
    <row r="628" spans="1:14" x14ac:dyDescent="0.35">
      <c r="A628" s="16" t="s">
        <v>637</v>
      </c>
      <c r="B628" s="17" t="s">
        <v>2366</v>
      </c>
      <c r="C628" s="17" t="s">
        <v>2461</v>
      </c>
      <c r="D628" s="17" t="str">
        <f>_xlfn.XLOOKUP(Raw_LIMS_Export!E628,'mapping Site table'!$B$4:$B$14,'mapping Site table'!$C$4:$C$14,Raw_LIMS_Export!E628)</f>
        <v>Budapest</v>
      </c>
      <c r="E628" s="17" t="s">
        <v>2481</v>
      </c>
      <c r="F628" s="17">
        <f t="shared" si="28"/>
        <v>1</v>
      </c>
      <c r="G628" s="17" t="str">
        <f t="shared" si="29"/>
        <v>Pass</v>
      </c>
      <c r="H628" s="17" t="str">
        <f t="shared" si="27"/>
        <v>Pass</v>
      </c>
      <c r="I628" s="17">
        <v>240.52</v>
      </c>
      <c r="J628" s="17" t="s">
        <v>2488</v>
      </c>
      <c r="K628" s="17">
        <v>150</v>
      </c>
      <c r="L628" s="17">
        <v>400</v>
      </c>
      <c r="M628" s="18">
        <f>Raw_LIMS_Export!K628</f>
        <v>45629</v>
      </c>
      <c r="N628" s="19" t="s">
        <v>2927</v>
      </c>
    </row>
    <row r="629" spans="1:14" x14ac:dyDescent="0.35">
      <c r="A629" s="16" t="s">
        <v>638</v>
      </c>
      <c r="B629" s="17" t="s">
        <v>2237</v>
      </c>
      <c r="C629" s="17" t="s">
        <v>2458</v>
      </c>
      <c r="D629" s="17" t="str">
        <f>_xlfn.XLOOKUP(Raw_LIMS_Export!E629,'mapping Site table'!$B$4:$B$14,'mapping Site table'!$C$4:$C$14,Raw_LIMS_Export!E629)</f>
        <v>Vernier CH</v>
      </c>
      <c r="E629" s="17" t="s">
        <v>2483</v>
      </c>
      <c r="F629" s="17">
        <f t="shared" si="28"/>
        <v>1</v>
      </c>
      <c r="G629" s="17" t="str">
        <f t="shared" si="29"/>
        <v>Pass</v>
      </c>
      <c r="H629" s="17" t="str">
        <f t="shared" si="27"/>
        <v>Pass</v>
      </c>
      <c r="I629" s="17">
        <v>0.1</v>
      </c>
      <c r="J629" s="17" t="s">
        <v>2489</v>
      </c>
      <c r="K629" s="17">
        <v>0</v>
      </c>
      <c r="L629" s="17">
        <v>1</v>
      </c>
      <c r="M629" s="18">
        <f>Raw_LIMS_Export!K629</f>
        <v>45697</v>
      </c>
      <c r="N629" s="19" t="s">
        <v>2928</v>
      </c>
    </row>
    <row r="630" spans="1:14" x14ac:dyDescent="0.35">
      <c r="A630" s="16" t="s">
        <v>639</v>
      </c>
      <c r="B630" s="17" t="s">
        <v>2269</v>
      </c>
      <c r="C630" s="17" t="s">
        <v>2458</v>
      </c>
      <c r="D630" s="17" t="str">
        <f>_xlfn.XLOOKUP(Raw_LIMS_Export!E630,'mapping Site table'!$B$4:$B$14,'mapping Site table'!$C$4:$C$14,Raw_LIMS_Export!E630)</f>
        <v>East Hanover</v>
      </c>
      <c r="E630" s="17" t="s">
        <v>2485</v>
      </c>
      <c r="F630" s="17">
        <f t="shared" si="28"/>
        <v>1</v>
      </c>
      <c r="G630" s="17" t="str">
        <f t="shared" si="29"/>
        <v>Fail</v>
      </c>
      <c r="H630" s="17" t="str">
        <f t="shared" si="27"/>
        <v>Fail</v>
      </c>
      <c r="I630" s="17">
        <v>-18.3</v>
      </c>
      <c r="J630" s="17" t="s">
        <v>2490</v>
      </c>
      <c r="K630" s="17">
        <v>0</v>
      </c>
      <c r="L630" s="17">
        <v>100</v>
      </c>
      <c r="M630" s="18">
        <f>Raw_LIMS_Export!K630</f>
        <v>45638</v>
      </c>
      <c r="N630" s="19" t="s">
        <v>2925</v>
      </c>
    </row>
    <row r="631" spans="1:14" x14ac:dyDescent="0.35">
      <c r="A631" s="16" t="s">
        <v>640</v>
      </c>
      <c r="B631" s="17" t="s">
        <v>2328</v>
      </c>
      <c r="C631" s="17" t="s">
        <v>2461</v>
      </c>
      <c r="D631" s="17" t="str">
        <f>_xlfn.XLOOKUP(Raw_LIMS_Export!E631,'mapping Site table'!$B$4:$B$14,'mapping Site table'!$C$4:$C$14,Raw_LIMS_Export!E631)</f>
        <v>Ashford UK</v>
      </c>
      <c r="E631" s="17" t="s">
        <v>2480</v>
      </c>
      <c r="F631" s="17">
        <f t="shared" si="28"/>
        <v>1</v>
      </c>
      <c r="G631" s="17" t="str">
        <f t="shared" si="29"/>
        <v>Pass</v>
      </c>
      <c r="H631" s="17" t="str">
        <f t="shared" si="27"/>
        <v>Pass</v>
      </c>
      <c r="I631" s="17">
        <v>0.92</v>
      </c>
      <c r="J631" s="17" t="s">
        <v>2487</v>
      </c>
      <c r="K631" s="17">
        <v>0.88</v>
      </c>
      <c r="L631" s="17">
        <v>0.97</v>
      </c>
      <c r="M631" s="18">
        <f>Raw_LIMS_Export!K631</f>
        <v>45710</v>
      </c>
      <c r="N631" s="19" t="s">
        <v>2928</v>
      </c>
    </row>
    <row r="632" spans="1:14" x14ac:dyDescent="0.35">
      <c r="A632" s="16" t="s">
        <v>641</v>
      </c>
      <c r="B632" s="17" t="s">
        <v>2367</v>
      </c>
      <c r="C632" s="17" t="s">
        <v>2461</v>
      </c>
      <c r="D632" s="17" t="str">
        <f>_xlfn.XLOOKUP(Raw_LIMS_Export!E632,'mapping Site table'!$B$4:$B$14,'mapping Site table'!$C$4:$C$14,Raw_LIMS_Export!E632)</f>
        <v>Dortmund DE</v>
      </c>
      <c r="E632" s="17" t="s">
        <v>2479</v>
      </c>
      <c r="F632" s="17">
        <f t="shared" si="28"/>
        <v>1</v>
      </c>
      <c r="G632" s="17" t="str">
        <f t="shared" si="29"/>
        <v>Pass</v>
      </c>
      <c r="H632" s="17" t="str">
        <f t="shared" si="27"/>
        <v>Pass</v>
      </c>
      <c r="I632" s="17">
        <v>42.6</v>
      </c>
      <c r="J632" s="17" t="s">
        <v>2486</v>
      </c>
      <c r="K632" s="17">
        <v>0</v>
      </c>
      <c r="L632" s="17">
        <v>120</v>
      </c>
      <c r="M632" s="18">
        <f>Raw_LIMS_Export!K632</f>
        <v>45794</v>
      </c>
      <c r="N632" s="19" t="s">
        <v>2927</v>
      </c>
    </row>
    <row r="633" spans="1:14" x14ac:dyDescent="0.35">
      <c r="A633" s="16" t="s">
        <v>642</v>
      </c>
      <c r="B633" s="17" t="s">
        <v>2368</v>
      </c>
      <c r="C633" s="17" t="s">
        <v>2460</v>
      </c>
      <c r="D633" s="17" t="str">
        <f>_xlfn.XLOOKUP(Raw_LIMS_Export!E633,'mapping Site table'!$B$4:$B$14,'mapping Site table'!$C$4:$C$14,Raw_LIMS_Export!E633)</f>
        <v>Dortmund DE</v>
      </c>
      <c r="E633" s="17" t="s">
        <v>2483</v>
      </c>
      <c r="F633" s="17">
        <f t="shared" si="28"/>
        <v>1</v>
      </c>
      <c r="G633" s="17" t="str">
        <f t="shared" si="29"/>
        <v>Pass</v>
      </c>
      <c r="H633" s="17" t="str">
        <f t="shared" si="27"/>
        <v>Pending</v>
      </c>
      <c r="I633" s="17">
        <v>0.16</v>
      </c>
      <c r="J633" s="17" t="s">
        <v>2489</v>
      </c>
      <c r="K633" s="17">
        <v>0</v>
      </c>
      <c r="L633" s="17">
        <v>1</v>
      </c>
      <c r="M633" s="18">
        <f>Raw_LIMS_Export!K633</f>
        <v>45555</v>
      </c>
      <c r="N633" s="19" t="s">
        <v>2930</v>
      </c>
    </row>
    <row r="634" spans="1:14" x14ac:dyDescent="0.35">
      <c r="A634" s="16" t="s">
        <v>643</v>
      </c>
      <c r="B634" s="17" t="s">
        <v>2369</v>
      </c>
      <c r="C634" s="17" t="s">
        <v>2458</v>
      </c>
      <c r="D634" s="17" t="str">
        <f>_xlfn.XLOOKUP(Raw_LIMS_Export!E634,'mapping Site table'!$B$4:$B$14,'mapping Site table'!$C$4:$C$14,Raw_LIMS_Export!E634)</f>
        <v>Ashford UK</v>
      </c>
      <c r="E634" s="17" t="s">
        <v>2485</v>
      </c>
      <c r="F634" s="17">
        <f t="shared" si="28"/>
        <v>1</v>
      </c>
      <c r="G634" s="17" t="str">
        <f t="shared" si="29"/>
        <v>Pass</v>
      </c>
      <c r="H634" s="17" t="str">
        <f t="shared" si="27"/>
        <v>Pass</v>
      </c>
      <c r="I634" s="17">
        <v>24.18</v>
      </c>
      <c r="J634" s="17" t="s">
        <v>2490</v>
      </c>
      <c r="K634" s="17">
        <v>0</v>
      </c>
      <c r="L634" s="17">
        <v>100</v>
      </c>
      <c r="M634" s="18">
        <f>Raw_LIMS_Export!K634</f>
        <v>46003</v>
      </c>
      <c r="N634" s="19" t="s">
        <v>2924</v>
      </c>
    </row>
    <row r="635" spans="1:14" x14ac:dyDescent="0.35">
      <c r="A635" s="16" t="s">
        <v>644</v>
      </c>
      <c r="B635" s="17" t="s">
        <v>2288</v>
      </c>
      <c r="C635" s="17" t="s">
        <v>2457</v>
      </c>
      <c r="D635" s="17" t="str">
        <f>_xlfn.XLOOKUP(Raw_LIMS_Export!E635,'mapping Site table'!$B$4:$B$14,'mapping Site table'!$C$4:$C$14,Raw_LIMS_Export!E635)</f>
        <v>Dortmund DE</v>
      </c>
      <c r="E635" s="17" t="s">
        <v>2479</v>
      </c>
      <c r="F635" s="17">
        <f t="shared" si="28"/>
        <v>1</v>
      </c>
      <c r="G635" s="17" t="str">
        <f t="shared" si="29"/>
        <v>Pass</v>
      </c>
      <c r="H635" s="17" t="str">
        <f t="shared" si="27"/>
        <v>Fail</v>
      </c>
      <c r="I635" s="17">
        <v>23.01</v>
      </c>
      <c r="J635" s="17" t="s">
        <v>2486</v>
      </c>
      <c r="K635" s="17">
        <v>0</v>
      </c>
      <c r="L635" s="17">
        <v>120</v>
      </c>
      <c r="M635" s="18">
        <f>Raw_LIMS_Export!K635</f>
        <v>45894</v>
      </c>
      <c r="N635" s="19" t="s">
        <v>2923</v>
      </c>
    </row>
    <row r="636" spans="1:14" x14ac:dyDescent="0.35">
      <c r="A636" s="16" t="s">
        <v>645</v>
      </c>
      <c r="B636" s="17" t="s">
        <v>2203</v>
      </c>
      <c r="C636" s="17" t="s">
        <v>2458</v>
      </c>
      <c r="D636" s="17" t="str">
        <f>_xlfn.XLOOKUP(Raw_LIMS_Export!E636,'mapping Site table'!$B$4:$B$14,'mapping Site table'!$C$4:$C$14,Raw_LIMS_Export!E636)</f>
        <v>Dortmund DE</v>
      </c>
      <c r="E636" s="17" t="s">
        <v>2479</v>
      </c>
      <c r="F636" s="17">
        <f t="shared" si="28"/>
        <v>1</v>
      </c>
      <c r="G636" s="17" t="str">
        <f t="shared" si="29"/>
        <v>Pass</v>
      </c>
      <c r="H636" s="17" t="str">
        <f t="shared" si="27"/>
        <v>Fail</v>
      </c>
      <c r="I636" s="17">
        <v>54.18</v>
      </c>
      <c r="J636" s="17" t="s">
        <v>2486</v>
      </c>
      <c r="K636" s="17">
        <v>0</v>
      </c>
      <c r="L636" s="17">
        <v>120</v>
      </c>
      <c r="M636" s="18">
        <f>Raw_LIMS_Export!K636</f>
        <v>45911</v>
      </c>
      <c r="N636" s="19" t="s">
        <v>2927</v>
      </c>
    </row>
    <row r="637" spans="1:14" x14ac:dyDescent="0.35">
      <c r="A637" s="16" t="s">
        <v>646</v>
      </c>
      <c r="B637" s="17" t="s">
        <v>2370</v>
      </c>
      <c r="C637" s="17" t="s">
        <v>2459</v>
      </c>
      <c r="D637" s="17" t="str">
        <f>_xlfn.XLOOKUP(Raw_LIMS_Export!E637,'mapping Site table'!$B$4:$B$14,'mapping Site table'!$C$4:$C$14,Raw_LIMS_Export!E637)</f>
        <v>Dortmund DE</v>
      </c>
      <c r="E637" s="17" t="s">
        <v>2482</v>
      </c>
      <c r="F637" s="17">
        <f t="shared" si="28"/>
        <v>1</v>
      </c>
      <c r="G637" s="17" t="str">
        <f t="shared" si="29"/>
        <v>Pass</v>
      </c>
      <c r="H637" s="17" t="str">
        <f t="shared" si="27"/>
        <v>Pass</v>
      </c>
      <c r="I637" s="17">
        <v>98.29</v>
      </c>
      <c r="J637" s="17" t="s">
        <v>2489</v>
      </c>
      <c r="K637" s="17">
        <v>97</v>
      </c>
      <c r="L637" s="17">
        <v>100</v>
      </c>
      <c r="M637" s="18">
        <f>Raw_LIMS_Export!K637</f>
        <v>45318</v>
      </c>
      <c r="N637" s="19" t="s">
        <v>2932</v>
      </c>
    </row>
    <row r="638" spans="1:14" x14ac:dyDescent="0.35">
      <c r="A638" s="16" t="s">
        <v>647</v>
      </c>
      <c r="B638" s="17" t="s">
        <v>2221</v>
      </c>
      <c r="C638" s="17" t="s">
        <v>2458</v>
      </c>
      <c r="D638" s="17" t="str">
        <f>_xlfn.XLOOKUP(Raw_LIMS_Export!E638,'mapping Site table'!$B$4:$B$14,'mapping Site table'!$C$4:$C$14,Raw_LIMS_Export!E638)</f>
        <v>Dortmund DE</v>
      </c>
      <c r="E638" s="17" t="s">
        <v>2479</v>
      </c>
      <c r="F638" s="17">
        <f t="shared" si="28"/>
        <v>1</v>
      </c>
      <c r="G638" s="17" t="str">
        <f t="shared" si="29"/>
        <v>Pass</v>
      </c>
      <c r="H638" s="17" t="str">
        <f t="shared" si="27"/>
        <v>Pass</v>
      </c>
      <c r="I638" s="17">
        <v>52.36</v>
      </c>
      <c r="J638" s="17" t="s">
        <v>2486</v>
      </c>
      <c r="K638" s="17">
        <v>0</v>
      </c>
      <c r="L638" s="17">
        <v>120</v>
      </c>
      <c r="M638" s="18">
        <f>Raw_LIMS_Export!K638</f>
        <v>45520</v>
      </c>
      <c r="N638" s="19" t="s">
        <v>2929</v>
      </c>
    </row>
    <row r="639" spans="1:14" x14ac:dyDescent="0.35">
      <c r="A639" s="16" t="s">
        <v>648</v>
      </c>
      <c r="B639" s="17" t="s">
        <v>2030</v>
      </c>
      <c r="C639" s="17" t="s">
        <v>2457</v>
      </c>
      <c r="D639" s="17" t="str">
        <f>_xlfn.XLOOKUP(Raw_LIMS_Export!E639,'mapping Site table'!$B$4:$B$14,'mapping Site table'!$C$4:$C$14,Raw_LIMS_Export!E639)</f>
        <v>Vernier CH</v>
      </c>
      <c r="E639" s="17" t="s">
        <v>2485</v>
      </c>
      <c r="F639" s="17">
        <f t="shared" si="28"/>
        <v>1</v>
      </c>
      <c r="G639" s="17" t="str">
        <f t="shared" si="29"/>
        <v>Pass</v>
      </c>
      <c r="H639" s="17" t="str">
        <f t="shared" si="27"/>
        <v>Pass</v>
      </c>
      <c r="I639" s="17">
        <v>15.47</v>
      </c>
      <c r="J639" s="17" t="s">
        <v>2490</v>
      </c>
      <c r="K639" s="17">
        <v>0</v>
      </c>
      <c r="L639" s="17">
        <v>100</v>
      </c>
      <c r="M639" s="18">
        <f>Raw_LIMS_Export!K639</f>
        <v>45613</v>
      </c>
      <c r="N639" s="19" t="s">
        <v>2929</v>
      </c>
    </row>
    <row r="640" spans="1:14" x14ac:dyDescent="0.35">
      <c r="A640" s="16" t="s">
        <v>649</v>
      </c>
      <c r="B640" s="17" t="s">
        <v>2277</v>
      </c>
      <c r="C640" s="17" t="s">
        <v>2457</v>
      </c>
      <c r="D640" s="17" t="str">
        <f>_xlfn.XLOOKUP(Raw_LIMS_Export!E640,'mapping Site table'!$B$4:$B$14,'mapping Site table'!$C$4:$C$14,Raw_LIMS_Export!E640)</f>
        <v>Budapest</v>
      </c>
      <c r="E640" s="17" t="s">
        <v>2480</v>
      </c>
      <c r="F640" s="17">
        <f t="shared" si="28"/>
        <v>1</v>
      </c>
      <c r="G640" s="17" t="str">
        <f t="shared" si="29"/>
        <v>Pass</v>
      </c>
      <c r="H640" s="17" t="str">
        <f t="shared" si="27"/>
        <v>Pass</v>
      </c>
      <c r="I640" s="17">
        <v>0.88</v>
      </c>
      <c r="J640" s="17" t="s">
        <v>2487</v>
      </c>
      <c r="K640" s="17">
        <v>0.88</v>
      </c>
      <c r="L640" s="17">
        <v>0.97</v>
      </c>
      <c r="M640" s="18">
        <f>Raw_LIMS_Export!K640</f>
        <v>45587</v>
      </c>
      <c r="N640" s="19" t="s">
        <v>2927</v>
      </c>
    </row>
    <row r="641" spans="1:14" x14ac:dyDescent="0.35">
      <c r="A641" s="16" t="s">
        <v>650</v>
      </c>
      <c r="B641" s="17" t="s">
        <v>2371</v>
      </c>
      <c r="C641" s="17" t="s">
        <v>2459</v>
      </c>
      <c r="D641" s="17" t="str">
        <f>_xlfn.XLOOKUP(Raw_LIMS_Export!E641,'mapping Site table'!$B$4:$B$14,'mapping Site table'!$C$4:$C$14,Raw_LIMS_Export!E641)</f>
        <v>Dortmund DE</v>
      </c>
      <c r="E641" s="17" t="s">
        <v>2479</v>
      </c>
      <c r="F641" s="17">
        <f t="shared" si="28"/>
        <v>1</v>
      </c>
      <c r="G641" s="17" t="str">
        <f t="shared" si="29"/>
        <v>Pass</v>
      </c>
      <c r="H641" s="17" t="str">
        <f t="shared" si="27"/>
        <v>Fail</v>
      </c>
      <c r="I641" s="17">
        <v>52.38</v>
      </c>
      <c r="J641" s="17" t="s">
        <v>2486</v>
      </c>
      <c r="K641" s="17">
        <v>0</v>
      </c>
      <c r="L641" s="17">
        <v>120</v>
      </c>
      <c r="M641" s="18">
        <f>Raw_LIMS_Export!K641</f>
        <v>45519</v>
      </c>
      <c r="N641" s="19" t="s">
        <v>2926</v>
      </c>
    </row>
    <row r="642" spans="1:14" x14ac:dyDescent="0.35">
      <c r="A642" s="16" t="s">
        <v>651</v>
      </c>
      <c r="B642" s="17" t="s">
        <v>2104</v>
      </c>
      <c r="C642" s="17" t="s">
        <v>2458</v>
      </c>
      <c r="D642" s="17" t="str">
        <f>_xlfn.XLOOKUP(Raw_LIMS_Export!E642,'mapping Site table'!$B$4:$B$14,'mapping Site table'!$C$4:$C$14,Raw_LIMS_Export!E642)</f>
        <v>Ashford UK</v>
      </c>
      <c r="E642" s="17" t="s">
        <v>2483</v>
      </c>
      <c r="F642" s="17">
        <f t="shared" si="28"/>
        <v>1</v>
      </c>
      <c r="G642" s="17" t="str">
        <f t="shared" si="29"/>
        <v>Pass</v>
      </c>
      <c r="H642" s="17" t="str">
        <f t="shared" ref="H642:H705" si="30">IF(COUNTIFS($B$2:$B$2016,B642,$G$2:$G$2016,"Fail")&gt;0,"Fail",
  IF(COUNTIFS($B$2:$B$2016,B642,$G$2:$G$2016,"Missing")&gt;0,"Pending",
    "Pass"))</f>
        <v>Fail</v>
      </c>
      <c r="I642" s="17">
        <v>0.51</v>
      </c>
      <c r="J642" s="17" t="s">
        <v>2489</v>
      </c>
      <c r="K642" s="17">
        <v>0</v>
      </c>
      <c r="L642" s="17">
        <v>1</v>
      </c>
      <c r="M642" s="18">
        <f>Raw_LIMS_Export!K642</f>
        <v>45831</v>
      </c>
      <c r="N642" s="19" t="s">
        <v>2925</v>
      </c>
    </row>
    <row r="643" spans="1:14" x14ac:dyDescent="0.35">
      <c r="A643" s="16" t="s">
        <v>652</v>
      </c>
      <c r="B643" s="17" t="s">
        <v>2062</v>
      </c>
      <c r="C643" s="17" t="s">
        <v>2458</v>
      </c>
      <c r="D643" s="17" t="str">
        <f>_xlfn.XLOOKUP(Raw_LIMS_Export!E643,'mapping Site table'!$B$4:$B$14,'mapping Site table'!$C$4:$C$14,Raw_LIMS_Export!E643)</f>
        <v>East Hanover</v>
      </c>
      <c r="E643" s="17" t="s">
        <v>2482</v>
      </c>
      <c r="F643" s="17">
        <f t="shared" ref="F643:F706" si="31">IF(I643="",0,1)</f>
        <v>1</v>
      </c>
      <c r="G643" s="17" t="str">
        <f t="shared" ref="G643:G706" si="32">IF(I643="", "Missing", IF(AND(I643&gt;=K643, I643&lt;=L643), "Pass", "Fail"))</f>
        <v>Pass</v>
      </c>
      <c r="H643" s="17" t="str">
        <f t="shared" si="30"/>
        <v>Pass</v>
      </c>
      <c r="I643" s="17">
        <v>99.44</v>
      </c>
      <c r="J643" s="17" t="s">
        <v>2489</v>
      </c>
      <c r="K643" s="17">
        <v>97</v>
      </c>
      <c r="L643" s="17">
        <v>100</v>
      </c>
      <c r="M643" s="18">
        <f>Raw_LIMS_Export!K643</f>
        <v>45845</v>
      </c>
      <c r="N643" s="19" t="s">
        <v>2931</v>
      </c>
    </row>
    <row r="644" spans="1:14" x14ac:dyDescent="0.35">
      <c r="A644" s="16" t="s">
        <v>653</v>
      </c>
      <c r="B644" s="17" t="s">
        <v>2372</v>
      </c>
      <c r="C644" s="17" t="s">
        <v>2461</v>
      </c>
      <c r="D644" s="17" t="str">
        <f>_xlfn.XLOOKUP(Raw_LIMS_Export!E644,'mapping Site table'!$B$4:$B$14,'mapping Site table'!$C$4:$C$14,Raw_LIMS_Export!E644)</f>
        <v>Ashford UK</v>
      </c>
      <c r="E644" s="17" t="s">
        <v>2485</v>
      </c>
      <c r="F644" s="17">
        <f t="shared" si="31"/>
        <v>1</v>
      </c>
      <c r="G644" s="17" t="str">
        <f t="shared" si="32"/>
        <v>Pass</v>
      </c>
      <c r="H644" s="17" t="str">
        <f t="shared" si="30"/>
        <v>Pass</v>
      </c>
      <c r="I644" s="17">
        <v>6.28</v>
      </c>
      <c r="J644" s="17" t="s">
        <v>2490</v>
      </c>
      <c r="K644" s="17">
        <v>0</v>
      </c>
      <c r="L644" s="17">
        <v>100</v>
      </c>
      <c r="M644" s="18">
        <f>Raw_LIMS_Export!K644</f>
        <v>45704</v>
      </c>
      <c r="N644" s="19" t="s">
        <v>2927</v>
      </c>
    </row>
    <row r="645" spans="1:14" x14ac:dyDescent="0.35">
      <c r="A645" s="16" t="s">
        <v>654</v>
      </c>
      <c r="B645" s="17" t="s">
        <v>2091</v>
      </c>
      <c r="C645" s="17" t="s">
        <v>2460</v>
      </c>
      <c r="D645" s="17" t="str">
        <f>_xlfn.XLOOKUP(Raw_LIMS_Export!E645,'mapping Site table'!$B$4:$B$14,'mapping Site table'!$C$4:$C$14,Raw_LIMS_Export!E645)</f>
        <v>Vernier CH</v>
      </c>
      <c r="E645" s="17" t="s">
        <v>2480</v>
      </c>
      <c r="F645" s="17">
        <f t="shared" si="31"/>
        <v>1</v>
      </c>
      <c r="G645" s="17" t="str">
        <f t="shared" si="32"/>
        <v>Pass</v>
      </c>
      <c r="H645" s="17" t="str">
        <f t="shared" si="30"/>
        <v>Pass</v>
      </c>
      <c r="I645" s="17">
        <v>0.95</v>
      </c>
      <c r="J645" s="17" t="s">
        <v>2487</v>
      </c>
      <c r="K645" s="17">
        <v>0.88</v>
      </c>
      <c r="L645" s="17">
        <v>0.97</v>
      </c>
      <c r="M645" s="18">
        <f>Raw_LIMS_Export!K645</f>
        <v>45517</v>
      </c>
      <c r="N645" s="19" t="s">
        <v>2930</v>
      </c>
    </row>
    <row r="646" spans="1:14" x14ac:dyDescent="0.35">
      <c r="A646" s="16" t="s">
        <v>655</v>
      </c>
      <c r="B646" s="17" t="s">
        <v>2373</v>
      </c>
      <c r="C646" s="17" t="s">
        <v>2458</v>
      </c>
      <c r="D646" s="17" t="str">
        <f>_xlfn.XLOOKUP(Raw_LIMS_Export!E646,'mapping Site table'!$B$4:$B$14,'mapping Site table'!$C$4:$C$14,Raw_LIMS_Export!E646)</f>
        <v>Budapest</v>
      </c>
      <c r="E646" s="17" t="s">
        <v>2485</v>
      </c>
      <c r="F646" s="17">
        <f t="shared" si="31"/>
        <v>1</v>
      </c>
      <c r="G646" s="17" t="str">
        <f t="shared" si="32"/>
        <v>Fail</v>
      </c>
      <c r="H646" s="17" t="str">
        <f t="shared" si="30"/>
        <v>Fail</v>
      </c>
      <c r="I646" s="17">
        <v>-29.67</v>
      </c>
      <c r="J646" s="17" t="s">
        <v>2490</v>
      </c>
      <c r="K646" s="17">
        <v>0</v>
      </c>
      <c r="L646" s="17">
        <v>100</v>
      </c>
      <c r="M646" s="18">
        <f>Raw_LIMS_Export!K646</f>
        <v>45953</v>
      </c>
      <c r="N646" s="19" t="s">
        <v>2926</v>
      </c>
    </row>
    <row r="647" spans="1:14" x14ac:dyDescent="0.35">
      <c r="A647" s="16" t="s">
        <v>656</v>
      </c>
      <c r="B647" s="17" t="s">
        <v>2374</v>
      </c>
      <c r="C647" s="17" t="s">
        <v>2460</v>
      </c>
      <c r="D647" s="17" t="str">
        <f>_xlfn.XLOOKUP(Raw_LIMS_Export!E647,'mapping Site table'!$B$4:$B$14,'mapping Site table'!$C$4:$C$14,Raw_LIMS_Export!E647)</f>
        <v>Ashford UK</v>
      </c>
      <c r="E647" s="17" t="s">
        <v>2479</v>
      </c>
      <c r="F647" s="17">
        <f t="shared" si="31"/>
        <v>1</v>
      </c>
      <c r="G647" s="17" t="str">
        <f t="shared" si="32"/>
        <v>Pass</v>
      </c>
      <c r="H647" s="17" t="str">
        <f t="shared" si="30"/>
        <v>Fail</v>
      </c>
      <c r="I647" s="17">
        <v>34.26</v>
      </c>
      <c r="J647" s="17" t="s">
        <v>2486</v>
      </c>
      <c r="K647" s="17">
        <v>0</v>
      </c>
      <c r="L647" s="17">
        <v>120</v>
      </c>
      <c r="M647" s="18">
        <f>Raw_LIMS_Export!K647</f>
        <v>45494</v>
      </c>
      <c r="N647" s="19" t="s">
        <v>2924</v>
      </c>
    </row>
    <row r="648" spans="1:14" x14ac:dyDescent="0.35">
      <c r="A648" s="16" t="s">
        <v>657</v>
      </c>
      <c r="B648" s="17" t="s">
        <v>2337</v>
      </c>
      <c r="C648" s="17" t="s">
        <v>2461</v>
      </c>
      <c r="D648" s="17" t="str">
        <f>_xlfn.XLOOKUP(Raw_LIMS_Export!E648,'mapping Site table'!$B$4:$B$14,'mapping Site table'!$C$4:$C$14,Raw_LIMS_Export!E648)</f>
        <v>East Hanover</v>
      </c>
      <c r="E648" s="17" t="s">
        <v>2483</v>
      </c>
      <c r="F648" s="17">
        <f t="shared" si="31"/>
        <v>1</v>
      </c>
      <c r="G648" s="17" t="str">
        <f t="shared" si="32"/>
        <v>Pass</v>
      </c>
      <c r="H648" s="17" t="str">
        <f t="shared" si="30"/>
        <v>Pass</v>
      </c>
      <c r="I648" s="17">
        <v>0.16</v>
      </c>
      <c r="J648" s="17" t="s">
        <v>2489</v>
      </c>
      <c r="K648" s="17">
        <v>0</v>
      </c>
      <c r="L648" s="17">
        <v>1</v>
      </c>
      <c r="M648" s="18">
        <f>Raw_LIMS_Export!K648</f>
        <v>45545</v>
      </c>
      <c r="N648" s="19" t="s">
        <v>2923</v>
      </c>
    </row>
    <row r="649" spans="1:14" x14ac:dyDescent="0.35">
      <c r="A649" s="16" t="s">
        <v>658</v>
      </c>
      <c r="B649" s="17" t="s">
        <v>2375</v>
      </c>
      <c r="C649" s="17" t="s">
        <v>2458</v>
      </c>
      <c r="D649" s="17" t="str">
        <f>_xlfn.XLOOKUP(Raw_LIMS_Export!E649,'mapping Site table'!$B$4:$B$14,'mapping Site table'!$C$4:$C$14,Raw_LIMS_Export!E649)</f>
        <v>Budapest</v>
      </c>
      <c r="E649" s="17" t="s">
        <v>2479</v>
      </c>
      <c r="F649" s="17">
        <f t="shared" si="31"/>
        <v>1</v>
      </c>
      <c r="G649" s="17" t="str">
        <f t="shared" si="32"/>
        <v>Pass</v>
      </c>
      <c r="H649" s="17" t="str">
        <f t="shared" si="30"/>
        <v>Pass</v>
      </c>
      <c r="I649" s="17">
        <v>27.1</v>
      </c>
      <c r="J649" s="17" t="s">
        <v>2486</v>
      </c>
      <c r="K649" s="17">
        <v>0</v>
      </c>
      <c r="L649" s="17">
        <v>120</v>
      </c>
      <c r="M649" s="18">
        <f>Raw_LIMS_Export!K649</f>
        <v>45427</v>
      </c>
      <c r="N649" s="19" t="s">
        <v>2926</v>
      </c>
    </row>
    <row r="650" spans="1:14" x14ac:dyDescent="0.35">
      <c r="A650" s="16" t="s">
        <v>659</v>
      </c>
      <c r="B650" s="17" t="s">
        <v>2370</v>
      </c>
      <c r="C650" s="17" t="s">
        <v>2459</v>
      </c>
      <c r="D650" s="17" t="str">
        <f>_xlfn.XLOOKUP(Raw_LIMS_Export!E650,'mapping Site table'!$B$4:$B$14,'mapping Site table'!$C$4:$C$14,Raw_LIMS_Export!E650)</f>
        <v>Dortmund DE</v>
      </c>
      <c r="E650" s="17" t="s">
        <v>2480</v>
      </c>
      <c r="F650" s="17">
        <f t="shared" si="31"/>
        <v>1</v>
      </c>
      <c r="G650" s="17" t="str">
        <f t="shared" si="32"/>
        <v>Pass</v>
      </c>
      <c r="H650" s="17" t="str">
        <f t="shared" si="30"/>
        <v>Pass</v>
      </c>
      <c r="I650" s="17">
        <v>0.9</v>
      </c>
      <c r="J650" s="17" t="s">
        <v>2487</v>
      </c>
      <c r="K650" s="17">
        <v>0.88</v>
      </c>
      <c r="L650" s="17">
        <v>0.97</v>
      </c>
      <c r="M650" s="18">
        <f>Raw_LIMS_Export!K650</f>
        <v>45318</v>
      </c>
      <c r="N650" s="19" t="s">
        <v>2927</v>
      </c>
    </row>
    <row r="651" spans="1:14" x14ac:dyDescent="0.35">
      <c r="A651" s="16" t="s">
        <v>660</v>
      </c>
      <c r="B651" s="17" t="s">
        <v>2305</v>
      </c>
      <c r="C651" s="17" t="s">
        <v>2458</v>
      </c>
      <c r="D651" s="17" t="str">
        <f>_xlfn.XLOOKUP(Raw_LIMS_Export!E651,'mapping Site table'!$B$4:$B$14,'mapping Site table'!$C$4:$C$14,Raw_LIMS_Export!E651)</f>
        <v>Vernier CH</v>
      </c>
      <c r="E651" s="17" t="s">
        <v>2482</v>
      </c>
      <c r="F651" s="17">
        <f t="shared" si="31"/>
        <v>1</v>
      </c>
      <c r="G651" s="17" t="str">
        <f t="shared" si="32"/>
        <v>Pass</v>
      </c>
      <c r="H651" s="17" t="str">
        <f t="shared" si="30"/>
        <v>Pass</v>
      </c>
      <c r="I651" s="17">
        <v>97.56</v>
      </c>
      <c r="J651" s="17" t="s">
        <v>2489</v>
      </c>
      <c r="K651" s="17">
        <v>97</v>
      </c>
      <c r="L651" s="17">
        <v>100</v>
      </c>
      <c r="M651" s="18">
        <f>Raw_LIMS_Export!K651</f>
        <v>45959</v>
      </c>
      <c r="N651" s="19" t="s">
        <v>2931</v>
      </c>
    </row>
    <row r="652" spans="1:14" x14ac:dyDescent="0.35">
      <c r="A652" s="16" t="s">
        <v>661</v>
      </c>
      <c r="B652" s="17" t="s">
        <v>2314</v>
      </c>
      <c r="C652" s="17" t="s">
        <v>2460</v>
      </c>
      <c r="D652" s="17" t="str">
        <f>_xlfn.XLOOKUP(Raw_LIMS_Export!E652,'mapping Site table'!$B$4:$B$14,'mapping Site table'!$C$4:$C$14,Raw_LIMS_Export!E652)</f>
        <v>Ashford UK</v>
      </c>
      <c r="E652" s="17" t="s">
        <v>2479</v>
      </c>
      <c r="F652" s="17">
        <f t="shared" si="31"/>
        <v>1</v>
      </c>
      <c r="G652" s="17" t="str">
        <f t="shared" si="32"/>
        <v>Pass</v>
      </c>
      <c r="H652" s="17" t="str">
        <f t="shared" si="30"/>
        <v>Fail</v>
      </c>
      <c r="I652" s="17">
        <v>62.49</v>
      </c>
      <c r="J652" s="17" t="s">
        <v>2486</v>
      </c>
      <c r="K652" s="17">
        <v>0</v>
      </c>
      <c r="L652" s="17">
        <v>120</v>
      </c>
      <c r="M652" s="18">
        <f>Raw_LIMS_Export!K652</f>
        <v>45671</v>
      </c>
      <c r="N652" s="19" t="s">
        <v>2923</v>
      </c>
    </row>
    <row r="653" spans="1:14" x14ac:dyDescent="0.35">
      <c r="A653" s="16" t="s">
        <v>662</v>
      </c>
      <c r="B653" s="17" t="s">
        <v>2055</v>
      </c>
      <c r="C653" s="17" t="s">
        <v>2461</v>
      </c>
      <c r="D653" s="17" t="str">
        <f>_xlfn.XLOOKUP(Raw_LIMS_Export!E653,'mapping Site table'!$B$4:$B$14,'mapping Site table'!$C$4:$C$14,Raw_LIMS_Export!E653)</f>
        <v>Budapest</v>
      </c>
      <c r="E653" s="17" t="s">
        <v>2480</v>
      </c>
      <c r="F653" s="17">
        <f t="shared" si="31"/>
        <v>1</v>
      </c>
      <c r="G653" s="17" t="str">
        <f t="shared" si="32"/>
        <v>Pass</v>
      </c>
      <c r="H653" s="17" t="str">
        <f t="shared" si="30"/>
        <v>Pass</v>
      </c>
      <c r="I653" s="17">
        <v>0.94</v>
      </c>
      <c r="J653" s="17" t="s">
        <v>2487</v>
      </c>
      <c r="K653" s="17">
        <v>0.88</v>
      </c>
      <c r="L653" s="17">
        <v>0.97</v>
      </c>
      <c r="M653" s="18">
        <f>Raw_LIMS_Export!K653</f>
        <v>46020</v>
      </c>
      <c r="N653" s="19" t="s">
        <v>2926</v>
      </c>
    </row>
    <row r="654" spans="1:14" x14ac:dyDescent="0.35">
      <c r="A654" s="16" t="s">
        <v>663</v>
      </c>
      <c r="B654" s="17" t="s">
        <v>2067</v>
      </c>
      <c r="C654" s="17" t="s">
        <v>2459</v>
      </c>
      <c r="D654" s="17" t="str">
        <f>_xlfn.XLOOKUP(Raw_LIMS_Export!E654,'mapping Site table'!$B$4:$B$14,'mapping Site table'!$C$4:$C$14,Raw_LIMS_Export!E654)</f>
        <v>Ashford UK</v>
      </c>
      <c r="E654" s="17" t="s">
        <v>2484</v>
      </c>
      <c r="F654" s="17">
        <f t="shared" si="31"/>
        <v>1</v>
      </c>
      <c r="G654" s="17" t="str">
        <f t="shared" si="32"/>
        <v>Pass</v>
      </c>
      <c r="H654" s="17" t="str">
        <f t="shared" si="30"/>
        <v>Fail</v>
      </c>
      <c r="I654" s="17">
        <v>6.82</v>
      </c>
      <c r="J654" s="17"/>
      <c r="K654" s="17">
        <v>6</v>
      </c>
      <c r="L654" s="17">
        <v>7.5</v>
      </c>
      <c r="M654" s="18">
        <f>Raw_LIMS_Export!K654</f>
        <v>45844</v>
      </c>
      <c r="N654" s="19" t="s">
        <v>2924</v>
      </c>
    </row>
    <row r="655" spans="1:14" x14ac:dyDescent="0.35">
      <c r="A655" s="16" t="s">
        <v>664</v>
      </c>
      <c r="B655" s="17" t="s">
        <v>2376</v>
      </c>
      <c r="C655" s="17" t="s">
        <v>2459</v>
      </c>
      <c r="D655" s="17" t="str">
        <f>_xlfn.XLOOKUP(Raw_LIMS_Export!E655,'mapping Site table'!$B$4:$B$14,'mapping Site table'!$C$4:$C$14,Raw_LIMS_Export!E655)</f>
        <v>Ashford UK</v>
      </c>
      <c r="E655" s="17" t="s">
        <v>2482</v>
      </c>
      <c r="F655" s="17">
        <f t="shared" si="31"/>
        <v>1</v>
      </c>
      <c r="G655" s="17" t="str">
        <f t="shared" si="32"/>
        <v>Pass</v>
      </c>
      <c r="H655" s="17" t="str">
        <f t="shared" si="30"/>
        <v>Fail</v>
      </c>
      <c r="I655" s="17">
        <v>98.64</v>
      </c>
      <c r="J655" s="17" t="s">
        <v>2489</v>
      </c>
      <c r="K655" s="17">
        <v>97</v>
      </c>
      <c r="L655" s="17">
        <v>100</v>
      </c>
      <c r="M655" s="18">
        <f>Raw_LIMS_Export!K655</f>
        <v>45780</v>
      </c>
      <c r="N655" s="19" t="s">
        <v>2925</v>
      </c>
    </row>
    <row r="656" spans="1:14" x14ac:dyDescent="0.35">
      <c r="A656" s="16" t="s">
        <v>665</v>
      </c>
      <c r="B656" s="17" t="s">
        <v>2377</v>
      </c>
      <c r="C656" s="17" t="s">
        <v>2460</v>
      </c>
      <c r="D656" s="17" t="str">
        <f>_xlfn.XLOOKUP(Raw_LIMS_Export!E656,'mapping Site table'!$B$4:$B$14,'mapping Site table'!$C$4:$C$14,Raw_LIMS_Export!E656)</f>
        <v>Vernier CH</v>
      </c>
      <c r="E656" s="17" t="s">
        <v>2481</v>
      </c>
      <c r="F656" s="17">
        <f t="shared" si="31"/>
        <v>1</v>
      </c>
      <c r="G656" s="17" t="str">
        <f t="shared" si="32"/>
        <v>Pass</v>
      </c>
      <c r="H656" s="17" t="str">
        <f t="shared" si="30"/>
        <v>Fail</v>
      </c>
      <c r="I656" s="17">
        <v>291.95999999999998</v>
      </c>
      <c r="J656" s="17" t="s">
        <v>2488</v>
      </c>
      <c r="K656" s="17">
        <v>150</v>
      </c>
      <c r="L656" s="17">
        <v>400</v>
      </c>
      <c r="M656" s="18">
        <f>Raw_LIMS_Export!K656</f>
        <v>45398</v>
      </c>
      <c r="N656" s="19" t="s">
        <v>2928</v>
      </c>
    </row>
    <row r="657" spans="1:14" x14ac:dyDescent="0.35">
      <c r="A657" s="16" t="s">
        <v>666</v>
      </c>
      <c r="B657" s="17" t="s">
        <v>2076</v>
      </c>
      <c r="C657" s="17" t="s">
        <v>2458</v>
      </c>
      <c r="D657" s="17" t="str">
        <f>_xlfn.XLOOKUP(Raw_LIMS_Export!E657,'mapping Site table'!$B$4:$B$14,'mapping Site table'!$C$4:$C$14,Raw_LIMS_Export!E657)</f>
        <v>East Hanover</v>
      </c>
      <c r="E657" s="17" t="s">
        <v>2482</v>
      </c>
      <c r="F657" s="17">
        <f t="shared" si="31"/>
        <v>1</v>
      </c>
      <c r="G657" s="17" t="str">
        <f t="shared" si="32"/>
        <v>Pass</v>
      </c>
      <c r="H657" s="17" t="str">
        <f t="shared" si="30"/>
        <v>Pass</v>
      </c>
      <c r="I657" s="17">
        <v>98.35</v>
      </c>
      <c r="J657" s="17" t="s">
        <v>2489</v>
      </c>
      <c r="K657" s="17">
        <v>97</v>
      </c>
      <c r="L657" s="17">
        <v>100</v>
      </c>
      <c r="M657" s="18">
        <f>Raw_LIMS_Export!K657</f>
        <v>45955</v>
      </c>
      <c r="N657" s="19" t="s">
        <v>2931</v>
      </c>
    </row>
    <row r="658" spans="1:14" x14ac:dyDescent="0.35">
      <c r="A658" s="16" t="s">
        <v>667</v>
      </c>
      <c r="B658" s="17" t="s">
        <v>2229</v>
      </c>
      <c r="C658" s="17" t="s">
        <v>2460</v>
      </c>
      <c r="D658" s="17" t="str">
        <f>_xlfn.XLOOKUP(Raw_LIMS_Export!E658,'mapping Site table'!$B$4:$B$14,'mapping Site table'!$C$4:$C$14,Raw_LIMS_Export!E658)</f>
        <v>Dortmund DE</v>
      </c>
      <c r="E658" s="17" t="s">
        <v>2484</v>
      </c>
      <c r="F658" s="17">
        <f t="shared" si="31"/>
        <v>1</v>
      </c>
      <c r="G658" s="17" t="str">
        <f t="shared" si="32"/>
        <v>Pass</v>
      </c>
      <c r="H658" s="17" t="str">
        <f t="shared" si="30"/>
        <v>Fail</v>
      </c>
      <c r="I658" s="17">
        <v>6.45</v>
      </c>
      <c r="J658" s="17"/>
      <c r="K658" s="17">
        <v>6</v>
      </c>
      <c r="L658" s="17">
        <v>7.5</v>
      </c>
      <c r="M658" s="18">
        <f>Raw_LIMS_Export!K658</f>
        <v>45990</v>
      </c>
      <c r="N658" s="19" t="s">
        <v>2929</v>
      </c>
    </row>
    <row r="659" spans="1:14" x14ac:dyDescent="0.35">
      <c r="A659" s="16" t="s">
        <v>668</v>
      </c>
      <c r="B659" s="17" t="s">
        <v>2134</v>
      </c>
      <c r="C659" s="17" t="s">
        <v>2459</v>
      </c>
      <c r="D659" s="17" t="str">
        <f>_xlfn.XLOOKUP(Raw_LIMS_Export!E659,'mapping Site table'!$B$4:$B$14,'mapping Site table'!$C$4:$C$14,Raw_LIMS_Export!E659)</f>
        <v>Vernier CH</v>
      </c>
      <c r="E659" s="17" t="s">
        <v>2479</v>
      </c>
      <c r="F659" s="17">
        <f t="shared" si="31"/>
        <v>1</v>
      </c>
      <c r="G659" s="17" t="str">
        <f t="shared" si="32"/>
        <v>Pass</v>
      </c>
      <c r="H659" s="17" t="str">
        <f t="shared" si="30"/>
        <v>Pass</v>
      </c>
      <c r="I659" s="17">
        <v>87.41</v>
      </c>
      <c r="J659" s="17" t="s">
        <v>2486</v>
      </c>
      <c r="K659" s="17">
        <v>0</v>
      </c>
      <c r="L659" s="17">
        <v>120</v>
      </c>
      <c r="M659" s="18">
        <f>Raw_LIMS_Export!K659</f>
        <v>45721</v>
      </c>
      <c r="N659" s="19" t="s">
        <v>2929</v>
      </c>
    </row>
    <row r="660" spans="1:14" x14ac:dyDescent="0.35">
      <c r="A660" s="16" t="s">
        <v>669</v>
      </c>
      <c r="B660" s="17" t="s">
        <v>2326</v>
      </c>
      <c r="C660" s="17" t="s">
        <v>2459</v>
      </c>
      <c r="D660" s="17" t="str">
        <f>_xlfn.XLOOKUP(Raw_LIMS_Export!E660,'mapping Site table'!$B$4:$B$14,'mapping Site table'!$C$4:$C$14,Raw_LIMS_Export!E660)</f>
        <v>Ashford UK</v>
      </c>
      <c r="E660" s="17" t="s">
        <v>2481</v>
      </c>
      <c r="F660" s="17">
        <f t="shared" si="31"/>
        <v>1</v>
      </c>
      <c r="G660" s="17" t="str">
        <f t="shared" si="32"/>
        <v>Pass</v>
      </c>
      <c r="H660" s="17" t="str">
        <f t="shared" si="30"/>
        <v>Pass</v>
      </c>
      <c r="I660" s="17">
        <v>240.54</v>
      </c>
      <c r="J660" s="17" t="s">
        <v>2488</v>
      </c>
      <c r="K660" s="17">
        <v>150</v>
      </c>
      <c r="L660" s="17">
        <v>400</v>
      </c>
      <c r="M660" s="18">
        <f>Raw_LIMS_Export!K660</f>
        <v>45676</v>
      </c>
      <c r="N660" s="19" t="s">
        <v>2926</v>
      </c>
    </row>
    <row r="661" spans="1:14" x14ac:dyDescent="0.35">
      <c r="A661" s="16" t="s">
        <v>670</v>
      </c>
      <c r="B661" s="17" t="s">
        <v>2378</v>
      </c>
      <c r="C661" s="17" t="s">
        <v>2457</v>
      </c>
      <c r="D661" s="17" t="str">
        <f>_xlfn.XLOOKUP(Raw_LIMS_Export!E661,'mapping Site table'!$B$4:$B$14,'mapping Site table'!$C$4:$C$14,Raw_LIMS_Export!E661)</f>
        <v>East Hanover</v>
      </c>
      <c r="E661" s="17" t="s">
        <v>2482</v>
      </c>
      <c r="F661" s="17">
        <f t="shared" si="31"/>
        <v>1</v>
      </c>
      <c r="G661" s="17" t="str">
        <f t="shared" si="32"/>
        <v>Pass</v>
      </c>
      <c r="H661" s="17" t="str">
        <f t="shared" si="30"/>
        <v>Pass</v>
      </c>
      <c r="I661" s="17">
        <v>97.54</v>
      </c>
      <c r="J661" s="17" t="s">
        <v>2489</v>
      </c>
      <c r="K661" s="17">
        <v>97</v>
      </c>
      <c r="L661" s="17">
        <v>100</v>
      </c>
      <c r="M661" s="18">
        <f>Raw_LIMS_Export!K661</f>
        <v>45394</v>
      </c>
      <c r="N661" s="19" t="s">
        <v>2932</v>
      </c>
    </row>
    <row r="662" spans="1:14" x14ac:dyDescent="0.35">
      <c r="A662" s="16" t="s">
        <v>671</v>
      </c>
      <c r="B662" s="17" t="s">
        <v>2288</v>
      </c>
      <c r="C662" s="17" t="s">
        <v>2457</v>
      </c>
      <c r="D662" s="17" t="str">
        <f>_xlfn.XLOOKUP(Raw_LIMS_Export!E662,'mapping Site table'!$B$4:$B$14,'mapping Site table'!$C$4:$C$14,Raw_LIMS_Export!E662)</f>
        <v>Dortmund DE</v>
      </c>
      <c r="E662" s="17" t="s">
        <v>2481</v>
      </c>
      <c r="F662" s="17">
        <f t="shared" si="31"/>
        <v>1</v>
      </c>
      <c r="G662" s="17" t="str">
        <f t="shared" si="32"/>
        <v>Pass</v>
      </c>
      <c r="H662" s="17" t="str">
        <f t="shared" si="30"/>
        <v>Fail</v>
      </c>
      <c r="I662" s="17">
        <v>257.07</v>
      </c>
      <c r="J662" s="17" t="s">
        <v>2488</v>
      </c>
      <c r="K662" s="17">
        <v>150</v>
      </c>
      <c r="L662" s="17">
        <v>400</v>
      </c>
      <c r="M662" s="18">
        <f>Raw_LIMS_Export!K662</f>
        <v>45894</v>
      </c>
      <c r="N662" s="19" t="s">
        <v>2929</v>
      </c>
    </row>
    <row r="663" spans="1:14" x14ac:dyDescent="0.35">
      <c r="A663" s="16" t="s">
        <v>672</v>
      </c>
      <c r="B663" s="17" t="s">
        <v>2049</v>
      </c>
      <c r="C663" s="17" t="s">
        <v>2458</v>
      </c>
      <c r="D663" s="17" t="str">
        <f>_xlfn.XLOOKUP(Raw_LIMS_Export!E663,'mapping Site table'!$B$4:$B$14,'mapping Site table'!$C$4:$C$14,Raw_LIMS_Export!E663)</f>
        <v>Dortmund DE</v>
      </c>
      <c r="E663" s="17" t="s">
        <v>2479</v>
      </c>
      <c r="F663" s="17">
        <f t="shared" si="31"/>
        <v>1</v>
      </c>
      <c r="G663" s="17" t="str">
        <f t="shared" si="32"/>
        <v>Pass</v>
      </c>
      <c r="H663" s="17" t="str">
        <f t="shared" si="30"/>
        <v>Fail</v>
      </c>
      <c r="I663" s="17">
        <v>38.28</v>
      </c>
      <c r="J663" s="17" t="s">
        <v>2486</v>
      </c>
      <c r="K663" s="17">
        <v>0</v>
      </c>
      <c r="L663" s="17">
        <v>120</v>
      </c>
      <c r="M663" s="18">
        <f>Raw_LIMS_Export!K663</f>
        <v>45452</v>
      </c>
      <c r="N663" s="19" t="s">
        <v>2931</v>
      </c>
    </row>
    <row r="664" spans="1:14" x14ac:dyDescent="0.35">
      <c r="A664" s="16" t="s">
        <v>673</v>
      </c>
      <c r="B664" s="17" t="s">
        <v>2255</v>
      </c>
      <c r="C664" s="17" t="s">
        <v>2457</v>
      </c>
      <c r="D664" s="17" t="str">
        <f>_xlfn.XLOOKUP(Raw_LIMS_Export!E664,'mapping Site table'!$B$4:$B$14,'mapping Site table'!$C$4:$C$14,Raw_LIMS_Export!E664)</f>
        <v>Ashford UK</v>
      </c>
      <c r="E664" s="17" t="s">
        <v>2479</v>
      </c>
      <c r="F664" s="17">
        <f t="shared" si="31"/>
        <v>1</v>
      </c>
      <c r="G664" s="17" t="str">
        <f t="shared" si="32"/>
        <v>Pass</v>
      </c>
      <c r="H664" s="17" t="str">
        <f t="shared" si="30"/>
        <v>Pass</v>
      </c>
      <c r="I664" s="17">
        <v>24.84</v>
      </c>
      <c r="J664" s="17" t="s">
        <v>2486</v>
      </c>
      <c r="K664" s="17">
        <v>0</v>
      </c>
      <c r="L664" s="17">
        <v>120</v>
      </c>
      <c r="M664" s="18">
        <f>Raw_LIMS_Export!K664</f>
        <v>45451</v>
      </c>
      <c r="N664" s="19" t="s">
        <v>2932</v>
      </c>
    </row>
    <row r="665" spans="1:14" x14ac:dyDescent="0.35">
      <c r="A665" s="16" t="s">
        <v>674</v>
      </c>
      <c r="B665" s="17" t="s">
        <v>2379</v>
      </c>
      <c r="C665" s="17" t="s">
        <v>2461</v>
      </c>
      <c r="D665" s="17" t="str">
        <f>_xlfn.XLOOKUP(Raw_LIMS_Export!E665,'mapping Site table'!$B$4:$B$14,'mapping Site table'!$C$4:$C$14,Raw_LIMS_Export!E665)</f>
        <v>Budapest</v>
      </c>
      <c r="E665" s="17" t="s">
        <v>2479</v>
      </c>
      <c r="F665" s="17">
        <f t="shared" si="31"/>
        <v>1</v>
      </c>
      <c r="G665" s="17" t="str">
        <f t="shared" si="32"/>
        <v>Pass</v>
      </c>
      <c r="H665" s="17" t="str">
        <f t="shared" si="30"/>
        <v>Pass</v>
      </c>
      <c r="I665" s="17">
        <v>58.44</v>
      </c>
      <c r="J665" s="17" t="s">
        <v>2486</v>
      </c>
      <c r="K665" s="17">
        <v>0</v>
      </c>
      <c r="L665" s="17">
        <v>120</v>
      </c>
      <c r="M665" s="18">
        <f>Raw_LIMS_Export!K665</f>
        <v>45342</v>
      </c>
      <c r="N665" s="19" t="s">
        <v>2923</v>
      </c>
    </row>
    <row r="666" spans="1:14" x14ac:dyDescent="0.35">
      <c r="A666" s="16" t="s">
        <v>675</v>
      </c>
      <c r="B666" s="17" t="s">
        <v>2202</v>
      </c>
      <c r="C666" s="17" t="s">
        <v>2460</v>
      </c>
      <c r="D666" s="17" t="str">
        <f>_xlfn.XLOOKUP(Raw_LIMS_Export!E666,'mapping Site table'!$B$4:$B$14,'mapping Site table'!$C$4:$C$14,Raw_LIMS_Export!E666)</f>
        <v>Ashford UK</v>
      </c>
      <c r="E666" s="17" t="s">
        <v>2480</v>
      </c>
      <c r="F666" s="17">
        <f t="shared" si="31"/>
        <v>1</v>
      </c>
      <c r="G666" s="17" t="str">
        <f t="shared" si="32"/>
        <v>Pass</v>
      </c>
      <c r="H666" s="17" t="str">
        <f t="shared" si="30"/>
        <v>Pass</v>
      </c>
      <c r="I666" s="17">
        <v>0.93</v>
      </c>
      <c r="J666" s="17" t="s">
        <v>2487</v>
      </c>
      <c r="K666" s="17">
        <v>0.88</v>
      </c>
      <c r="L666" s="17">
        <v>0.97</v>
      </c>
      <c r="M666" s="18">
        <f>Raw_LIMS_Export!K666</f>
        <v>45393</v>
      </c>
      <c r="N666" s="19" t="s">
        <v>2929</v>
      </c>
    </row>
    <row r="667" spans="1:14" x14ac:dyDescent="0.35">
      <c r="A667" s="16" t="s">
        <v>676</v>
      </c>
      <c r="B667" s="17" t="s">
        <v>2380</v>
      </c>
      <c r="C667" s="17" t="s">
        <v>2457</v>
      </c>
      <c r="D667" s="17" t="str">
        <f>_xlfn.XLOOKUP(Raw_LIMS_Export!E667,'mapping Site table'!$B$4:$B$14,'mapping Site table'!$C$4:$C$14,Raw_LIMS_Export!E667)</f>
        <v>Dortmund DE</v>
      </c>
      <c r="E667" s="17" t="s">
        <v>2480</v>
      </c>
      <c r="F667" s="17">
        <f t="shared" si="31"/>
        <v>1</v>
      </c>
      <c r="G667" s="17" t="str">
        <f t="shared" si="32"/>
        <v>Pass</v>
      </c>
      <c r="H667" s="17" t="str">
        <f t="shared" si="30"/>
        <v>Pass</v>
      </c>
      <c r="I667" s="17">
        <v>0.94</v>
      </c>
      <c r="J667" s="17" t="s">
        <v>2487</v>
      </c>
      <c r="K667" s="17">
        <v>0.88</v>
      </c>
      <c r="L667" s="17">
        <v>0.97</v>
      </c>
      <c r="M667" s="18">
        <f>Raw_LIMS_Export!K667</f>
        <v>45787</v>
      </c>
      <c r="N667" s="19" t="s">
        <v>2931</v>
      </c>
    </row>
    <row r="668" spans="1:14" x14ac:dyDescent="0.35">
      <c r="A668" s="16" t="s">
        <v>677</v>
      </c>
      <c r="B668" s="17" t="s">
        <v>2070</v>
      </c>
      <c r="C668" s="17" t="s">
        <v>2460</v>
      </c>
      <c r="D668" s="17" t="str">
        <f>_xlfn.XLOOKUP(Raw_LIMS_Export!E668,'mapping Site table'!$B$4:$B$14,'mapping Site table'!$C$4:$C$14,Raw_LIMS_Export!E668)</f>
        <v>Vernier CH</v>
      </c>
      <c r="E668" s="17" t="s">
        <v>2479</v>
      </c>
      <c r="F668" s="17">
        <f t="shared" si="31"/>
        <v>1</v>
      </c>
      <c r="G668" s="17" t="str">
        <f t="shared" si="32"/>
        <v>Pass</v>
      </c>
      <c r="H668" s="17" t="str">
        <f t="shared" si="30"/>
        <v>Pass</v>
      </c>
      <c r="I668" s="17">
        <v>32.68</v>
      </c>
      <c r="J668" s="17" t="s">
        <v>2486</v>
      </c>
      <c r="K668" s="17">
        <v>0</v>
      </c>
      <c r="L668" s="17">
        <v>120</v>
      </c>
      <c r="M668" s="18">
        <f>Raw_LIMS_Export!K668</f>
        <v>45300</v>
      </c>
      <c r="N668" s="19" t="s">
        <v>2929</v>
      </c>
    </row>
    <row r="669" spans="1:14" x14ac:dyDescent="0.35">
      <c r="A669" s="16" t="s">
        <v>678</v>
      </c>
      <c r="B669" s="17" t="s">
        <v>2381</v>
      </c>
      <c r="C669" s="17" t="s">
        <v>2457</v>
      </c>
      <c r="D669" s="17" t="str">
        <f>_xlfn.XLOOKUP(Raw_LIMS_Export!E669,'mapping Site table'!$B$4:$B$14,'mapping Site table'!$C$4:$C$14,Raw_LIMS_Export!E669)</f>
        <v>Vernier CH</v>
      </c>
      <c r="E669" s="17" t="s">
        <v>2479</v>
      </c>
      <c r="F669" s="17">
        <f t="shared" si="31"/>
        <v>1</v>
      </c>
      <c r="G669" s="17" t="str">
        <f t="shared" si="32"/>
        <v>Pass</v>
      </c>
      <c r="H669" s="17" t="str">
        <f t="shared" si="30"/>
        <v>Pass</v>
      </c>
      <c r="I669" s="17">
        <v>52.64</v>
      </c>
      <c r="J669" s="17" t="s">
        <v>2486</v>
      </c>
      <c r="K669" s="17">
        <v>0</v>
      </c>
      <c r="L669" s="17">
        <v>120</v>
      </c>
      <c r="M669" s="18">
        <f>Raw_LIMS_Export!K669</f>
        <v>45355</v>
      </c>
      <c r="N669" s="19" t="s">
        <v>2928</v>
      </c>
    </row>
    <row r="670" spans="1:14" x14ac:dyDescent="0.35">
      <c r="A670" s="16" t="s">
        <v>679</v>
      </c>
      <c r="B670" s="17" t="s">
        <v>2183</v>
      </c>
      <c r="C670" s="17" t="s">
        <v>2457</v>
      </c>
      <c r="D670" s="17" t="str">
        <f>_xlfn.XLOOKUP(Raw_LIMS_Export!E670,'mapping Site table'!$B$4:$B$14,'mapping Site table'!$C$4:$C$14,Raw_LIMS_Export!E670)</f>
        <v>East Hanover</v>
      </c>
      <c r="E670" s="17" t="s">
        <v>2479</v>
      </c>
      <c r="F670" s="17">
        <f t="shared" si="31"/>
        <v>1</v>
      </c>
      <c r="G670" s="17" t="str">
        <f t="shared" si="32"/>
        <v>Pass</v>
      </c>
      <c r="H670" s="17" t="str">
        <f t="shared" si="30"/>
        <v>Pass</v>
      </c>
      <c r="I670" s="17">
        <v>41.62</v>
      </c>
      <c r="J670" s="17" t="s">
        <v>2486</v>
      </c>
      <c r="K670" s="17">
        <v>0</v>
      </c>
      <c r="L670" s="17">
        <v>120</v>
      </c>
      <c r="M670" s="18">
        <f>Raw_LIMS_Export!K670</f>
        <v>45810</v>
      </c>
      <c r="N670" s="19" t="s">
        <v>2923</v>
      </c>
    </row>
    <row r="671" spans="1:14" x14ac:dyDescent="0.35">
      <c r="A671" s="16" t="s">
        <v>680</v>
      </c>
      <c r="B671" s="17" t="s">
        <v>2382</v>
      </c>
      <c r="C671" s="17" t="s">
        <v>2459</v>
      </c>
      <c r="D671" s="17" t="str">
        <f>_xlfn.XLOOKUP(Raw_LIMS_Export!E671,'mapping Site table'!$B$4:$B$14,'mapping Site table'!$C$4:$C$14,Raw_LIMS_Export!E671)</f>
        <v>East Hanover</v>
      </c>
      <c r="E671" s="17" t="s">
        <v>2482</v>
      </c>
      <c r="F671" s="17">
        <f t="shared" si="31"/>
        <v>1</v>
      </c>
      <c r="G671" s="17" t="str">
        <f t="shared" si="32"/>
        <v>Pass</v>
      </c>
      <c r="H671" s="17" t="str">
        <f t="shared" si="30"/>
        <v>Pass</v>
      </c>
      <c r="I671" s="17">
        <v>98.62</v>
      </c>
      <c r="J671" s="17" t="s">
        <v>2489</v>
      </c>
      <c r="K671" s="17">
        <v>97</v>
      </c>
      <c r="L671" s="17">
        <v>100</v>
      </c>
      <c r="M671" s="18">
        <f>Raw_LIMS_Export!K671</f>
        <v>45831</v>
      </c>
      <c r="N671" s="19" t="s">
        <v>2930</v>
      </c>
    </row>
    <row r="672" spans="1:14" x14ac:dyDescent="0.35">
      <c r="A672" s="16" t="s">
        <v>681</v>
      </c>
      <c r="B672" s="17" t="s">
        <v>2057</v>
      </c>
      <c r="C672" s="17" t="s">
        <v>2461</v>
      </c>
      <c r="D672" s="17" t="str">
        <f>_xlfn.XLOOKUP(Raw_LIMS_Export!E672,'mapping Site table'!$B$4:$B$14,'mapping Site table'!$C$4:$C$14,Raw_LIMS_Export!E672)</f>
        <v>Ashford UK</v>
      </c>
      <c r="E672" s="17" t="s">
        <v>2479</v>
      </c>
      <c r="F672" s="17">
        <f t="shared" si="31"/>
        <v>1</v>
      </c>
      <c r="G672" s="17" t="str">
        <f t="shared" si="32"/>
        <v>Pass</v>
      </c>
      <c r="H672" s="17" t="str">
        <f t="shared" si="30"/>
        <v>Fail</v>
      </c>
      <c r="I672" s="17">
        <v>12.61</v>
      </c>
      <c r="J672" s="17" t="s">
        <v>2486</v>
      </c>
      <c r="K672" s="17">
        <v>0</v>
      </c>
      <c r="L672" s="17">
        <v>120</v>
      </c>
      <c r="M672" s="18">
        <f>Raw_LIMS_Export!K672</f>
        <v>45869</v>
      </c>
      <c r="N672" s="19" t="s">
        <v>2928</v>
      </c>
    </row>
    <row r="673" spans="1:14" x14ac:dyDescent="0.35">
      <c r="A673" s="16" t="s">
        <v>682</v>
      </c>
      <c r="B673" s="17" t="s">
        <v>2112</v>
      </c>
      <c r="C673" s="17" t="s">
        <v>2457</v>
      </c>
      <c r="D673" s="17" t="str">
        <f>_xlfn.XLOOKUP(Raw_LIMS_Export!E673,'mapping Site table'!$B$4:$B$14,'mapping Site table'!$C$4:$C$14,Raw_LIMS_Export!E673)</f>
        <v>Dortmund DE</v>
      </c>
      <c r="E673" s="17" t="s">
        <v>2479</v>
      </c>
      <c r="F673" s="17">
        <f t="shared" si="31"/>
        <v>1</v>
      </c>
      <c r="G673" s="17" t="str">
        <f t="shared" si="32"/>
        <v>Pass</v>
      </c>
      <c r="H673" s="17" t="str">
        <f t="shared" si="30"/>
        <v>Pass</v>
      </c>
      <c r="I673" s="17">
        <v>60.65</v>
      </c>
      <c r="J673" s="17" t="s">
        <v>2486</v>
      </c>
      <c r="K673" s="17">
        <v>0</v>
      </c>
      <c r="L673" s="17">
        <v>120</v>
      </c>
      <c r="M673" s="18">
        <f>Raw_LIMS_Export!K673</f>
        <v>45993</v>
      </c>
      <c r="N673" s="19" t="s">
        <v>2929</v>
      </c>
    </row>
    <row r="674" spans="1:14" x14ac:dyDescent="0.35">
      <c r="A674" s="16" t="s">
        <v>683</v>
      </c>
      <c r="B674" s="17" t="s">
        <v>2177</v>
      </c>
      <c r="C674" s="17" t="s">
        <v>2457</v>
      </c>
      <c r="D674" s="17" t="str">
        <f>_xlfn.XLOOKUP(Raw_LIMS_Export!E674,'mapping Site table'!$B$4:$B$14,'mapping Site table'!$C$4:$C$14,Raw_LIMS_Export!E674)</f>
        <v>Vernier CH</v>
      </c>
      <c r="E674" s="17" t="s">
        <v>2480</v>
      </c>
      <c r="F674" s="17">
        <f t="shared" si="31"/>
        <v>1</v>
      </c>
      <c r="G674" s="17" t="str">
        <f t="shared" si="32"/>
        <v>Pass</v>
      </c>
      <c r="H674" s="17" t="str">
        <f t="shared" si="30"/>
        <v>Fail</v>
      </c>
      <c r="I674" s="17">
        <v>0.91</v>
      </c>
      <c r="J674" s="17" t="s">
        <v>2487</v>
      </c>
      <c r="K674" s="17">
        <v>0.88</v>
      </c>
      <c r="L674" s="17">
        <v>0.97</v>
      </c>
      <c r="M674" s="18">
        <f>Raw_LIMS_Export!K674</f>
        <v>45520</v>
      </c>
      <c r="N674" s="19" t="s">
        <v>2927</v>
      </c>
    </row>
    <row r="675" spans="1:14" x14ac:dyDescent="0.35">
      <c r="A675" s="16" t="s">
        <v>684</v>
      </c>
      <c r="B675" s="17" t="s">
        <v>2148</v>
      </c>
      <c r="C675" s="17" t="s">
        <v>2460</v>
      </c>
      <c r="D675" s="17" t="str">
        <f>_xlfn.XLOOKUP(Raw_LIMS_Export!E675,'mapping Site table'!$B$4:$B$14,'mapping Site table'!$C$4:$C$14,Raw_LIMS_Export!E675)</f>
        <v>Vernier CH</v>
      </c>
      <c r="E675" s="17" t="s">
        <v>2482</v>
      </c>
      <c r="F675" s="17">
        <f t="shared" si="31"/>
        <v>1</v>
      </c>
      <c r="G675" s="17" t="str">
        <f t="shared" si="32"/>
        <v>Fail</v>
      </c>
      <c r="H675" s="17" t="str">
        <f t="shared" si="30"/>
        <v>Fail</v>
      </c>
      <c r="I675" s="17">
        <v>101.8</v>
      </c>
      <c r="J675" s="17" t="s">
        <v>2489</v>
      </c>
      <c r="K675" s="17">
        <v>97</v>
      </c>
      <c r="L675" s="17">
        <v>100</v>
      </c>
      <c r="M675" s="18">
        <f>Raw_LIMS_Export!K675</f>
        <v>45840</v>
      </c>
      <c r="N675" s="19" t="s">
        <v>2928</v>
      </c>
    </row>
    <row r="676" spans="1:14" x14ac:dyDescent="0.35">
      <c r="A676" s="16" t="s">
        <v>685</v>
      </c>
      <c r="B676" s="17" t="s">
        <v>2248</v>
      </c>
      <c r="C676" s="17" t="s">
        <v>2460</v>
      </c>
      <c r="D676" s="17" t="str">
        <f>_xlfn.XLOOKUP(Raw_LIMS_Export!E676,'mapping Site table'!$B$4:$B$14,'mapping Site table'!$C$4:$C$14,Raw_LIMS_Export!E676)</f>
        <v>Dortmund DE</v>
      </c>
      <c r="E676" s="17" t="s">
        <v>2482</v>
      </c>
      <c r="F676" s="17">
        <f t="shared" si="31"/>
        <v>1</v>
      </c>
      <c r="G676" s="17" t="str">
        <f t="shared" si="32"/>
        <v>Pass</v>
      </c>
      <c r="H676" s="17" t="str">
        <f t="shared" si="30"/>
        <v>Pass</v>
      </c>
      <c r="I676" s="17">
        <v>98.26</v>
      </c>
      <c r="J676" s="17" t="s">
        <v>2489</v>
      </c>
      <c r="K676" s="17">
        <v>97</v>
      </c>
      <c r="L676" s="17">
        <v>100</v>
      </c>
      <c r="M676" s="18">
        <f>Raw_LIMS_Export!K676</f>
        <v>45956</v>
      </c>
      <c r="N676" s="19" t="s">
        <v>2923</v>
      </c>
    </row>
    <row r="677" spans="1:14" x14ac:dyDescent="0.35">
      <c r="A677" s="16" t="s">
        <v>686</v>
      </c>
      <c r="B677" s="17" t="s">
        <v>2383</v>
      </c>
      <c r="C677" s="17" t="s">
        <v>2458</v>
      </c>
      <c r="D677" s="17" t="str">
        <f>_xlfn.XLOOKUP(Raw_LIMS_Export!E677,'mapping Site table'!$B$4:$B$14,'mapping Site table'!$C$4:$C$14,Raw_LIMS_Export!E677)</f>
        <v>Budapest</v>
      </c>
      <c r="E677" s="17" t="s">
        <v>2481</v>
      </c>
      <c r="F677" s="17">
        <f t="shared" si="31"/>
        <v>1</v>
      </c>
      <c r="G677" s="17" t="str">
        <f t="shared" si="32"/>
        <v>Pass</v>
      </c>
      <c r="H677" s="17" t="str">
        <f t="shared" si="30"/>
        <v>Pass</v>
      </c>
      <c r="I677" s="17">
        <v>278.60000000000002</v>
      </c>
      <c r="J677" s="17" t="s">
        <v>2488</v>
      </c>
      <c r="K677" s="17">
        <v>150</v>
      </c>
      <c r="L677" s="17">
        <v>400</v>
      </c>
      <c r="M677" s="18">
        <f>Raw_LIMS_Export!K677</f>
        <v>45347</v>
      </c>
      <c r="N677" s="19" t="s">
        <v>2932</v>
      </c>
    </row>
    <row r="678" spans="1:14" x14ac:dyDescent="0.35">
      <c r="A678" s="16" t="s">
        <v>687</v>
      </c>
      <c r="B678" s="17" t="s">
        <v>2185</v>
      </c>
      <c r="C678" s="17" t="s">
        <v>2461</v>
      </c>
      <c r="D678" s="17" t="str">
        <f>_xlfn.XLOOKUP(Raw_LIMS_Export!E678,'mapping Site table'!$B$4:$B$14,'mapping Site table'!$C$4:$C$14,Raw_LIMS_Export!E678)</f>
        <v>East Hanover</v>
      </c>
      <c r="E678" s="17" t="s">
        <v>2484</v>
      </c>
      <c r="F678" s="17">
        <f t="shared" si="31"/>
        <v>1</v>
      </c>
      <c r="G678" s="17" t="str">
        <f t="shared" si="32"/>
        <v>Pass</v>
      </c>
      <c r="H678" s="17" t="str">
        <f t="shared" si="30"/>
        <v>Pass</v>
      </c>
      <c r="I678" s="17">
        <v>6.93</v>
      </c>
      <c r="J678" s="17"/>
      <c r="K678" s="17">
        <v>6</v>
      </c>
      <c r="L678" s="17">
        <v>7.5</v>
      </c>
      <c r="M678" s="18">
        <f>Raw_LIMS_Export!K678</f>
        <v>45830</v>
      </c>
      <c r="N678" s="19" t="s">
        <v>2928</v>
      </c>
    </row>
    <row r="679" spans="1:14" x14ac:dyDescent="0.35">
      <c r="A679" s="16" t="s">
        <v>32</v>
      </c>
      <c r="B679" s="17" t="s">
        <v>2032</v>
      </c>
      <c r="C679" s="17" t="s">
        <v>2460</v>
      </c>
      <c r="D679" s="17" t="str">
        <f>_xlfn.XLOOKUP(Raw_LIMS_Export!E679,'mapping Site table'!$B$4:$B$14,'mapping Site table'!$C$4:$C$14,Raw_LIMS_Export!E679)</f>
        <v>Ashford UK</v>
      </c>
      <c r="E679" s="17" t="s">
        <v>2485</v>
      </c>
      <c r="F679" s="17">
        <f t="shared" si="31"/>
        <v>1</v>
      </c>
      <c r="G679" s="17" t="str">
        <f t="shared" si="32"/>
        <v>Pass</v>
      </c>
      <c r="H679" s="17" t="str">
        <f t="shared" si="30"/>
        <v>Fail</v>
      </c>
      <c r="I679" s="17">
        <v>4.6900000000000004</v>
      </c>
      <c r="J679" s="17" t="s">
        <v>2490</v>
      </c>
      <c r="K679" s="17">
        <v>0</v>
      </c>
      <c r="L679" s="17">
        <v>100</v>
      </c>
      <c r="M679" s="18">
        <f>Raw_LIMS_Export!K679</f>
        <v>45409</v>
      </c>
      <c r="N679" s="19" t="s">
        <v>2931</v>
      </c>
    </row>
    <row r="680" spans="1:14" x14ac:dyDescent="0.35">
      <c r="A680" s="16" t="s">
        <v>688</v>
      </c>
      <c r="B680" s="17" t="s">
        <v>2384</v>
      </c>
      <c r="C680" s="17" t="s">
        <v>2460</v>
      </c>
      <c r="D680" s="17" t="str">
        <f>_xlfn.XLOOKUP(Raw_LIMS_Export!E680,'mapping Site table'!$B$4:$B$14,'mapping Site table'!$C$4:$C$14,Raw_LIMS_Export!E680)</f>
        <v>Budapest</v>
      </c>
      <c r="E680" s="17" t="s">
        <v>2482</v>
      </c>
      <c r="F680" s="17">
        <f t="shared" si="31"/>
        <v>1</v>
      </c>
      <c r="G680" s="17" t="str">
        <f t="shared" si="32"/>
        <v>Pass</v>
      </c>
      <c r="H680" s="17" t="str">
        <f t="shared" si="30"/>
        <v>Pass</v>
      </c>
      <c r="I680" s="17">
        <v>99.02</v>
      </c>
      <c r="J680" s="17" t="s">
        <v>2489</v>
      </c>
      <c r="K680" s="17">
        <v>97</v>
      </c>
      <c r="L680" s="17">
        <v>100</v>
      </c>
      <c r="M680" s="18">
        <f>Raw_LIMS_Export!K680</f>
        <v>45554</v>
      </c>
      <c r="N680" s="19" t="s">
        <v>2931</v>
      </c>
    </row>
    <row r="681" spans="1:14" x14ac:dyDescent="0.35">
      <c r="A681" s="16" t="s">
        <v>689</v>
      </c>
      <c r="B681" s="17" t="s">
        <v>2076</v>
      </c>
      <c r="C681" s="17" t="s">
        <v>2458</v>
      </c>
      <c r="D681" s="17" t="str">
        <f>_xlfn.XLOOKUP(Raw_LIMS_Export!E681,'mapping Site table'!$B$4:$B$14,'mapping Site table'!$C$4:$C$14,Raw_LIMS_Export!E681)</f>
        <v>East Hanover</v>
      </c>
      <c r="E681" s="17" t="s">
        <v>2481</v>
      </c>
      <c r="F681" s="17">
        <f t="shared" si="31"/>
        <v>1</v>
      </c>
      <c r="G681" s="17" t="str">
        <f t="shared" si="32"/>
        <v>Pass</v>
      </c>
      <c r="H681" s="17" t="str">
        <f t="shared" si="30"/>
        <v>Pass</v>
      </c>
      <c r="I681" s="17">
        <v>240.06</v>
      </c>
      <c r="J681" s="17" t="s">
        <v>2488</v>
      </c>
      <c r="K681" s="17">
        <v>150</v>
      </c>
      <c r="L681" s="17">
        <v>400</v>
      </c>
      <c r="M681" s="18">
        <f>Raw_LIMS_Export!K681</f>
        <v>45955</v>
      </c>
      <c r="N681" s="19" t="s">
        <v>2925</v>
      </c>
    </row>
    <row r="682" spans="1:14" x14ac:dyDescent="0.35">
      <c r="A682" s="16" t="s">
        <v>690</v>
      </c>
      <c r="B682" s="17" t="s">
        <v>2349</v>
      </c>
      <c r="C682" s="17" t="s">
        <v>2461</v>
      </c>
      <c r="D682" s="17" t="str">
        <f>_xlfn.XLOOKUP(Raw_LIMS_Export!E682,'mapping Site table'!$B$4:$B$14,'mapping Site table'!$C$4:$C$14,Raw_LIMS_Export!E682)</f>
        <v>East Hanover</v>
      </c>
      <c r="E682" s="17" t="s">
        <v>2485</v>
      </c>
      <c r="F682" s="17">
        <f t="shared" si="31"/>
        <v>1</v>
      </c>
      <c r="G682" s="17" t="str">
        <f t="shared" si="32"/>
        <v>Pass</v>
      </c>
      <c r="H682" s="17" t="str">
        <f t="shared" si="30"/>
        <v>Pass</v>
      </c>
      <c r="I682" s="17">
        <v>4</v>
      </c>
      <c r="J682" s="17" t="s">
        <v>2490</v>
      </c>
      <c r="K682" s="17">
        <v>0</v>
      </c>
      <c r="L682" s="17">
        <v>100</v>
      </c>
      <c r="M682" s="18">
        <f>Raw_LIMS_Export!K682</f>
        <v>45451</v>
      </c>
      <c r="N682" s="19" t="s">
        <v>2930</v>
      </c>
    </row>
    <row r="683" spans="1:14" x14ac:dyDescent="0.35">
      <c r="A683" s="16" t="s">
        <v>691</v>
      </c>
      <c r="B683" s="17" t="s">
        <v>2230</v>
      </c>
      <c r="C683" s="17" t="s">
        <v>2457</v>
      </c>
      <c r="D683" s="17" t="str">
        <f>_xlfn.XLOOKUP(Raw_LIMS_Export!E683,'mapping Site table'!$B$4:$B$14,'mapping Site table'!$C$4:$C$14,Raw_LIMS_Export!E683)</f>
        <v>Dortmund DE</v>
      </c>
      <c r="E683" s="17" t="s">
        <v>2482</v>
      </c>
      <c r="F683" s="17">
        <f t="shared" si="31"/>
        <v>1</v>
      </c>
      <c r="G683" s="17" t="str">
        <f t="shared" si="32"/>
        <v>Pass</v>
      </c>
      <c r="H683" s="17" t="str">
        <f t="shared" si="30"/>
        <v>Pass</v>
      </c>
      <c r="I683" s="17">
        <v>98.77</v>
      </c>
      <c r="J683" s="17" t="s">
        <v>2489</v>
      </c>
      <c r="K683" s="17">
        <v>97</v>
      </c>
      <c r="L683" s="17">
        <v>100</v>
      </c>
      <c r="M683" s="18">
        <f>Raw_LIMS_Export!K683</f>
        <v>45721</v>
      </c>
      <c r="N683" s="19" t="s">
        <v>2932</v>
      </c>
    </row>
    <row r="684" spans="1:14" x14ac:dyDescent="0.35">
      <c r="A684" s="16" t="s">
        <v>692</v>
      </c>
      <c r="B684" s="17" t="s">
        <v>2209</v>
      </c>
      <c r="C684" s="17" t="s">
        <v>2458</v>
      </c>
      <c r="D684" s="17" t="str">
        <f>_xlfn.XLOOKUP(Raw_LIMS_Export!E684,'mapping Site table'!$B$4:$B$14,'mapping Site table'!$C$4:$C$14,Raw_LIMS_Export!E684)</f>
        <v>Ashford UK</v>
      </c>
      <c r="E684" s="17" t="s">
        <v>2484</v>
      </c>
      <c r="F684" s="17">
        <f t="shared" si="31"/>
        <v>1</v>
      </c>
      <c r="G684" s="17" t="str">
        <f t="shared" si="32"/>
        <v>Pass</v>
      </c>
      <c r="H684" s="17" t="str">
        <f t="shared" si="30"/>
        <v>Fail</v>
      </c>
      <c r="I684" s="17">
        <v>6.61</v>
      </c>
      <c r="J684" s="17"/>
      <c r="K684" s="17">
        <v>6</v>
      </c>
      <c r="L684" s="17">
        <v>7.5</v>
      </c>
      <c r="M684" s="18">
        <f>Raw_LIMS_Export!K684</f>
        <v>45673</v>
      </c>
      <c r="N684" s="19" t="s">
        <v>2932</v>
      </c>
    </row>
    <row r="685" spans="1:14" x14ac:dyDescent="0.35">
      <c r="A685" s="16" t="s">
        <v>693</v>
      </c>
      <c r="B685" s="17" t="s">
        <v>2385</v>
      </c>
      <c r="C685" s="17" t="s">
        <v>2457</v>
      </c>
      <c r="D685" s="17" t="str">
        <f>_xlfn.XLOOKUP(Raw_LIMS_Export!E685,'mapping Site table'!$B$4:$B$14,'mapping Site table'!$C$4:$C$14,Raw_LIMS_Export!E685)</f>
        <v>East Hanover</v>
      </c>
      <c r="E685" s="17" t="s">
        <v>2485</v>
      </c>
      <c r="F685" s="17">
        <f t="shared" si="31"/>
        <v>1</v>
      </c>
      <c r="G685" s="17" t="str">
        <f t="shared" si="32"/>
        <v>Pass</v>
      </c>
      <c r="H685" s="17" t="str">
        <f t="shared" si="30"/>
        <v>Pass</v>
      </c>
      <c r="I685" s="17">
        <v>22.08</v>
      </c>
      <c r="J685" s="17" t="s">
        <v>2490</v>
      </c>
      <c r="K685" s="17">
        <v>0</v>
      </c>
      <c r="L685" s="17">
        <v>100</v>
      </c>
      <c r="M685" s="18">
        <f>Raw_LIMS_Export!K685</f>
        <v>45790</v>
      </c>
      <c r="N685" s="19" t="s">
        <v>2924</v>
      </c>
    </row>
    <row r="686" spans="1:14" x14ac:dyDescent="0.35">
      <c r="A686" s="16" t="s">
        <v>694</v>
      </c>
      <c r="B686" s="17" t="s">
        <v>2231</v>
      </c>
      <c r="C686" s="17" t="s">
        <v>2461</v>
      </c>
      <c r="D686" s="17" t="str">
        <f>_xlfn.XLOOKUP(Raw_LIMS_Export!E686,'mapping Site table'!$B$4:$B$14,'mapping Site table'!$C$4:$C$14,Raw_LIMS_Export!E686)</f>
        <v>Budapest</v>
      </c>
      <c r="E686" s="17" t="s">
        <v>2483</v>
      </c>
      <c r="F686" s="17">
        <f t="shared" si="31"/>
        <v>1</v>
      </c>
      <c r="G686" s="17" t="str">
        <f t="shared" si="32"/>
        <v>Pass</v>
      </c>
      <c r="H686" s="17" t="str">
        <f t="shared" si="30"/>
        <v>Pass</v>
      </c>
      <c r="I686" s="17">
        <v>7.0000000000000007E-2</v>
      </c>
      <c r="J686" s="17" t="s">
        <v>2489</v>
      </c>
      <c r="K686" s="17">
        <v>0</v>
      </c>
      <c r="L686" s="17">
        <v>1</v>
      </c>
      <c r="M686" s="18">
        <f>Raw_LIMS_Export!K686</f>
        <v>45294</v>
      </c>
      <c r="N686" s="19" t="s">
        <v>2927</v>
      </c>
    </row>
    <row r="687" spans="1:14" x14ac:dyDescent="0.35">
      <c r="A687" s="16" t="s">
        <v>695</v>
      </c>
      <c r="B687" s="17" t="s">
        <v>2066</v>
      </c>
      <c r="C687" s="17" t="s">
        <v>2459</v>
      </c>
      <c r="D687" s="17" t="str">
        <f>_xlfn.XLOOKUP(Raw_LIMS_Export!E687,'mapping Site table'!$B$4:$B$14,'mapping Site table'!$C$4:$C$14,Raw_LIMS_Export!E687)</f>
        <v>Ashford UK</v>
      </c>
      <c r="E687" s="17" t="s">
        <v>2479</v>
      </c>
      <c r="F687" s="17">
        <f t="shared" si="31"/>
        <v>1</v>
      </c>
      <c r="G687" s="17" t="str">
        <f t="shared" si="32"/>
        <v>Pass</v>
      </c>
      <c r="H687" s="17" t="str">
        <f t="shared" si="30"/>
        <v>Pass</v>
      </c>
      <c r="I687" s="17">
        <v>41.3</v>
      </c>
      <c r="J687" s="17" t="s">
        <v>2486</v>
      </c>
      <c r="K687" s="17">
        <v>0</v>
      </c>
      <c r="L687" s="17">
        <v>120</v>
      </c>
      <c r="M687" s="18">
        <f>Raw_LIMS_Export!K687</f>
        <v>45566</v>
      </c>
      <c r="N687" s="19" t="s">
        <v>2927</v>
      </c>
    </row>
    <row r="688" spans="1:14" x14ac:dyDescent="0.35">
      <c r="A688" s="16" t="s">
        <v>696</v>
      </c>
      <c r="B688" s="17" t="s">
        <v>2204</v>
      </c>
      <c r="C688" s="17" t="s">
        <v>2460</v>
      </c>
      <c r="D688" s="17" t="str">
        <f>_xlfn.XLOOKUP(Raw_LIMS_Export!E688,'mapping Site table'!$B$4:$B$14,'mapping Site table'!$C$4:$C$14,Raw_LIMS_Export!E688)</f>
        <v>Vernier CH</v>
      </c>
      <c r="E688" s="17" t="s">
        <v>2484</v>
      </c>
      <c r="F688" s="17">
        <f t="shared" si="31"/>
        <v>1</v>
      </c>
      <c r="G688" s="17" t="str">
        <f t="shared" si="32"/>
        <v>Fail</v>
      </c>
      <c r="H688" s="17" t="str">
        <f t="shared" si="30"/>
        <v>Fail</v>
      </c>
      <c r="I688" s="17">
        <v>5.83</v>
      </c>
      <c r="J688" s="17"/>
      <c r="K688" s="17">
        <v>6</v>
      </c>
      <c r="L688" s="17">
        <v>7.5</v>
      </c>
      <c r="M688" s="18">
        <f>Raw_LIMS_Export!K688</f>
        <v>45445</v>
      </c>
      <c r="N688" s="19" t="s">
        <v>2931</v>
      </c>
    </row>
    <row r="689" spans="1:14" x14ac:dyDescent="0.35">
      <c r="A689" s="16" t="s">
        <v>697</v>
      </c>
      <c r="B689" s="17" t="s">
        <v>2386</v>
      </c>
      <c r="C689" s="17" t="s">
        <v>2459</v>
      </c>
      <c r="D689" s="17" t="str">
        <f>_xlfn.XLOOKUP(Raw_LIMS_Export!E689,'mapping Site table'!$B$4:$B$14,'mapping Site table'!$C$4:$C$14,Raw_LIMS_Export!E689)</f>
        <v>East Hanover</v>
      </c>
      <c r="E689" s="17" t="s">
        <v>2483</v>
      </c>
      <c r="F689" s="17">
        <f t="shared" si="31"/>
        <v>1</v>
      </c>
      <c r="G689" s="17" t="str">
        <f t="shared" si="32"/>
        <v>Pass</v>
      </c>
      <c r="H689" s="17" t="str">
        <f t="shared" si="30"/>
        <v>Pass</v>
      </c>
      <c r="I689" s="17">
        <v>0.3</v>
      </c>
      <c r="J689" s="17" t="s">
        <v>2489</v>
      </c>
      <c r="K689" s="17">
        <v>0</v>
      </c>
      <c r="L689" s="17">
        <v>1</v>
      </c>
      <c r="M689" s="18">
        <f>Raw_LIMS_Export!K689</f>
        <v>45609</v>
      </c>
      <c r="N689" s="19" t="s">
        <v>2932</v>
      </c>
    </row>
    <row r="690" spans="1:14" x14ac:dyDescent="0.35">
      <c r="A690" s="16" t="s">
        <v>698</v>
      </c>
      <c r="B690" s="17" t="s">
        <v>2387</v>
      </c>
      <c r="C690" s="17" t="s">
        <v>2457</v>
      </c>
      <c r="D690" s="17" t="str">
        <f>_xlfn.XLOOKUP(Raw_LIMS_Export!E690,'mapping Site table'!$B$4:$B$14,'mapping Site table'!$C$4:$C$14,Raw_LIMS_Export!E690)</f>
        <v>Ashford UK</v>
      </c>
      <c r="E690" s="17" t="s">
        <v>2479</v>
      </c>
      <c r="F690" s="17">
        <f t="shared" si="31"/>
        <v>1</v>
      </c>
      <c r="G690" s="17" t="str">
        <f t="shared" si="32"/>
        <v>Pass</v>
      </c>
      <c r="H690" s="17" t="str">
        <f t="shared" si="30"/>
        <v>Pass</v>
      </c>
      <c r="I690" s="17">
        <v>55.02</v>
      </c>
      <c r="J690" s="17" t="s">
        <v>2486</v>
      </c>
      <c r="K690" s="17">
        <v>0</v>
      </c>
      <c r="L690" s="17">
        <v>120</v>
      </c>
      <c r="M690" s="18">
        <f>Raw_LIMS_Export!K690</f>
        <v>45621</v>
      </c>
      <c r="N690" s="19" t="s">
        <v>2927</v>
      </c>
    </row>
    <row r="691" spans="1:14" x14ac:dyDescent="0.35">
      <c r="A691" s="16" t="s">
        <v>699</v>
      </c>
      <c r="B691" s="17" t="s">
        <v>2357</v>
      </c>
      <c r="C691" s="17" t="s">
        <v>2459</v>
      </c>
      <c r="D691" s="17" t="str">
        <f>_xlfn.XLOOKUP(Raw_LIMS_Export!E691,'mapping Site table'!$B$4:$B$14,'mapping Site table'!$C$4:$C$14,Raw_LIMS_Export!E691)</f>
        <v>Ashford UK</v>
      </c>
      <c r="E691" s="17" t="s">
        <v>2485</v>
      </c>
      <c r="F691" s="17">
        <f t="shared" si="31"/>
        <v>1</v>
      </c>
      <c r="G691" s="17" t="str">
        <f t="shared" si="32"/>
        <v>Fail</v>
      </c>
      <c r="H691" s="17" t="str">
        <f t="shared" si="30"/>
        <v>Fail</v>
      </c>
      <c r="I691" s="17">
        <v>-13.09</v>
      </c>
      <c r="J691" s="17" t="s">
        <v>2490</v>
      </c>
      <c r="K691" s="17">
        <v>0</v>
      </c>
      <c r="L691" s="17">
        <v>100</v>
      </c>
      <c r="M691" s="18">
        <f>Raw_LIMS_Export!K691</f>
        <v>45388</v>
      </c>
      <c r="N691" s="19" t="s">
        <v>2925</v>
      </c>
    </row>
    <row r="692" spans="1:14" x14ac:dyDescent="0.35">
      <c r="A692" s="16" t="s">
        <v>700</v>
      </c>
      <c r="B692" s="17" t="s">
        <v>2286</v>
      </c>
      <c r="C692" s="17" t="s">
        <v>2458</v>
      </c>
      <c r="D692" s="17" t="str">
        <f>_xlfn.XLOOKUP(Raw_LIMS_Export!E692,'mapping Site table'!$B$4:$B$14,'mapping Site table'!$C$4:$C$14,Raw_LIMS_Export!E692)</f>
        <v>Dortmund DE</v>
      </c>
      <c r="E692" s="17" t="s">
        <v>2482</v>
      </c>
      <c r="F692" s="17">
        <f t="shared" si="31"/>
        <v>1</v>
      </c>
      <c r="G692" s="17" t="str">
        <f t="shared" si="32"/>
        <v>Fail</v>
      </c>
      <c r="H692" s="17" t="str">
        <f t="shared" si="30"/>
        <v>Fail</v>
      </c>
      <c r="I692" s="17">
        <v>101.8</v>
      </c>
      <c r="J692" s="17" t="s">
        <v>2489</v>
      </c>
      <c r="K692" s="17">
        <v>97</v>
      </c>
      <c r="L692" s="17">
        <v>100</v>
      </c>
      <c r="M692" s="18">
        <f>Raw_LIMS_Export!K692</f>
        <v>45739</v>
      </c>
      <c r="N692" s="19" t="s">
        <v>2925</v>
      </c>
    </row>
    <row r="693" spans="1:14" x14ac:dyDescent="0.35">
      <c r="A693" s="16" t="s">
        <v>701</v>
      </c>
      <c r="B693" s="17" t="s">
        <v>2253</v>
      </c>
      <c r="C693" s="17" t="s">
        <v>2461</v>
      </c>
      <c r="D693" s="17" t="str">
        <f>_xlfn.XLOOKUP(Raw_LIMS_Export!E693,'mapping Site table'!$B$4:$B$14,'mapping Site table'!$C$4:$C$14,Raw_LIMS_Export!E693)</f>
        <v>Dortmund DE</v>
      </c>
      <c r="E693" s="17" t="s">
        <v>2479</v>
      </c>
      <c r="F693" s="17">
        <f t="shared" si="31"/>
        <v>1</v>
      </c>
      <c r="G693" s="17" t="str">
        <f t="shared" si="32"/>
        <v>Pass</v>
      </c>
      <c r="H693" s="17" t="str">
        <f t="shared" si="30"/>
        <v>Fail</v>
      </c>
      <c r="I693" s="17">
        <v>49.48</v>
      </c>
      <c r="J693" s="17" t="s">
        <v>2486</v>
      </c>
      <c r="K693" s="17">
        <v>0</v>
      </c>
      <c r="L693" s="17">
        <v>120</v>
      </c>
      <c r="M693" s="18">
        <f>Raw_LIMS_Export!K693</f>
        <v>45388</v>
      </c>
      <c r="N693" s="19" t="s">
        <v>2930</v>
      </c>
    </row>
    <row r="694" spans="1:14" x14ac:dyDescent="0.35">
      <c r="A694" s="16" t="s">
        <v>702</v>
      </c>
      <c r="B694" s="17" t="s">
        <v>2142</v>
      </c>
      <c r="C694" s="17" t="s">
        <v>2458</v>
      </c>
      <c r="D694" s="17" t="str">
        <f>_xlfn.XLOOKUP(Raw_LIMS_Export!E694,'mapping Site table'!$B$4:$B$14,'mapping Site table'!$C$4:$C$14,Raw_LIMS_Export!E694)</f>
        <v>East Hanover</v>
      </c>
      <c r="E694" s="17" t="s">
        <v>2483</v>
      </c>
      <c r="F694" s="17">
        <f t="shared" si="31"/>
        <v>1</v>
      </c>
      <c r="G694" s="17" t="str">
        <f t="shared" si="32"/>
        <v>Pass</v>
      </c>
      <c r="H694" s="17" t="str">
        <f t="shared" si="30"/>
        <v>Fail</v>
      </c>
      <c r="I694" s="17">
        <v>0.33</v>
      </c>
      <c r="J694" s="17" t="s">
        <v>2489</v>
      </c>
      <c r="K694" s="17">
        <v>0</v>
      </c>
      <c r="L694" s="17">
        <v>1</v>
      </c>
      <c r="M694" s="18">
        <f>Raw_LIMS_Export!K694</f>
        <v>45942</v>
      </c>
      <c r="N694" s="19" t="s">
        <v>2926</v>
      </c>
    </row>
    <row r="695" spans="1:14" x14ac:dyDescent="0.35">
      <c r="A695" s="16" t="s">
        <v>703</v>
      </c>
      <c r="B695" s="17" t="s">
        <v>2048</v>
      </c>
      <c r="C695" s="17" t="s">
        <v>2458</v>
      </c>
      <c r="D695" s="17" t="str">
        <f>_xlfn.XLOOKUP(Raw_LIMS_Export!E695,'mapping Site table'!$B$4:$B$14,'mapping Site table'!$C$4:$C$14,Raw_LIMS_Export!E695)</f>
        <v>Dortmund DE</v>
      </c>
      <c r="E695" s="17" t="s">
        <v>2483</v>
      </c>
      <c r="F695" s="17">
        <f t="shared" si="31"/>
        <v>1</v>
      </c>
      <c r="G695" s="17" t="str">
        <f t="shared" si="32"/>
        <v>Pass</v>
      </c>
      <c r="H695" s="17" t="str">
        <f t="shared" si="30"/>
        <v>Fail</v>
      </c>
      <c r="I695" s="17">
        <v>0.32</v>
      </c>
      <c r="J695" s="17" t="s">
        <v>2489</v>
      </c>
      <c r="K695" s="17">
        <v>0</v>
      </c>
      <c r="L695" s="17">
        <v>1</v>
      </c>
      <c r="M695" s="18">
        <f>Raw_LIMS_Export!K695</f>
        <v>45845</v>
      </c>
      <c r="N695" s="19" t="s">
        <v>2929</v>
      </c>
    </row>
    <row r="696" spans="1:14" x14ac:dyDescent="0.35">
      <c r="A696" s="16" t="s">
        <v>704</v>
      </c>
      <c r="B696" s="17" t="s">
        <v>2278</v>
      </c>
      <c r="C696" s="17" t="s">
        <v>2460</v>
      </c>
      <c r="D696" s="17" t="str">
        <f>_xlfn.XLOOKUP(Raw_LIMS_Export!E696,'mapping Site table'!$B$4:$B$14,'mapping Site table'!$C$4:$C$14,Raw_LIMS_Export!E696)</f>
        <v>Ashford UK</v>
      </c>
      <c r="E696" s="17" t="s">
        <v>2481</v>
      </c>
      <c r="F696" s="17">
        <f t="shared" si="31"/>
        <v>1</v>
      </c>
      <c r="G696" s="17" t="str">
        <f t="shared" si="32"/>
        <v>Pass</v>
      </c>
      <c r="H696" s="17" t="str">
        <f t="shared" si="30"/>
        <v>Pass</v>
      </c>
      <c r="I696" s="17">
        <v>275.8</v>
      </c>
      <c r="J696" s="17" t="s">
        <v>2488</v>
      </c>
      <c r="K696" s="17">
        <v>150</v>
      </c>
      <c r="L696" s="17">
        <v>400</v>
      </c>
      <c r="M696" s="18">
        <f>Raw_LIMS_Export!K696</f>
        <v>45658</v>
      </c>
      <c r="N696" s="19" t="s">
        <v>2932</v>
      </c>
    </row>
    <row r="697" spans="1:14" x14ac:dyDescent="0.35">
      <c r="A697" s="16" t="s">
        <v>582</v>
      </c>
      <c r="B697" s="17" t="s">
        <v>2169</v>
      </c>
      <c r="C697" s="17" t="s">
        <v>2458</v>
      </c>
      <c r="D697" s="17" t="str">
        <f>_xlfn.XLOOKUP(Raw_LIMS_Export!E697,'mapping Site table'!$B$4:$B$14,'mapping Site table'!$C$4:$C$14,Raw_LIMS_Export!E697)</f>
        <v>Vernier CH</v>
      </c>
      <c r="E697" s="17" t="s">
        <v>2480</v>
      </c>
      <c r="F697" s="17">
        <f t="shared" si="31"/>
        <v>1</v>
      </c>
      <c r="G697" s="17" t="str">
        <f t="shared" si="32"/>
        <v>Pass</v>
      </c>
      <c r="H697" s="17" t="str">
        <f t="shared" si="30"/>
        <v>Pass</v>
      </c>
      <c r="I697" s="17">
        <v>0.91</v>
      </c>
      <c r="J697" s="17" t="s">
        <v>2487</v>
      </c>
      <c r="K697" s="17">
        <v>0.88</v>
      </c>
      <c r="L697" s="17">
        <v>0.97</v>
      </c>
      <c r="M697" s="18">
        <f>Raw_LIMS_Export!K697</f>
        <v>45571</v>
      </c>
      <c r="N697" s="19" t="s">
        <v>2924</v>
      </c>
    </row>
    <row r="698" spans="1:14" x14ac:dyDescent="0.35">
      <c r="A698" s="16" t="s">
        <v>705</v>
      </c>
      <c r="B698" s="17" t="s">
        <v>2191</v>
      </c>
      <c r="C698" s="17" t="s">
        <v>2460</v>
      </c>
      <c r="D698" s="17" t="str">
        <f>_xlfn.XLOOKUP(Raw_LIMS_Export!E698,'mapping Site table'!$B$4:$B$14,'mapping Site table'!$C$4:$C$14,Raw_LIMS_Export!E698)</f>
        <v>Dortmund DE</v>
      </c>
      <c r="E698" s="17" t="s">
        <v>2481</v>
      </c>
      <c r="F698" s="17">
        <f t="shared" si="31"/>
        <v>1</v>
      </c>
      <c r="G698" s="17" t="str">
        <f t="shared" si="32"/>
        <v>Pass</v>
      </c>
      <c r="H698" s="17" t="str">
        <f t="shared" si="30"/>
        <v>Pass</v>
      </c>
      <c r="I698" s="17">
        <v>193.38</v>
      </c>
      <c r="J698" s="17" t="s">
        <v>2488</v>
      </c>
      <c r="K698" s="17">
        <v>150</v>
      </c>
      <c r="L698" s="17">
        <v>400</v>
      </c>
      <c r="M698" s="18">
        <f>Raw_LIMS_Export!K698</f>
        <v>45483</v>
      </c>
      <c r="N698" s="19" t="s">
        <v>2926</v>
      </c>
    </row>
    <row r="699" spans="1:14" x14ac:dyDescent="0.35">
      <c r="A699" s="16" t="s">
        <v>706</v>
      </c>
      <c r="B699" s="17" t="s">
        <v>2235</v>
      </c>
      <c r="C699" s="17" t="s">
        <v>2459</v>
      </c>
      <c r="D699" s="17" t="str">
        <f>_xlfn.XLOOKUP(Raw_LIMS_Export!E699,'mapping Site table'!$B$4:$B$14,'mapping Site table'!$C$4:$C$14,Raw_LIMS_Export!E699)</f>
        <v>Dortmund DE</v>
      </c>
      <c r="E699" s="17" t="s">
        <v>2479</v>
      </c>
      <c r="F699" s="17">
        <f t="shared" si="31"/>
        <v>1</v>
      </c>
      <c r="G699" s="17" t="str">
        <f t="shared" si="32"/>
        <v>Pass</v>
      </c>
      <c r="H699" s="17" t="str">
        <f t="shared" si="30"/>
        <v>Fail</v>
      </c>
      <c r="I699" s="17">
        <v>16.04</v>
      </c>
      <c r="J699" s="17" t="s">
        <v>2486</v>
      </c>
      <c r="K699" s="17">
        <v>0</v>
      </c>
      <c r="L699" s="17">
        <v>120</v>
      </c>
      <c r="M699" s="18">
        <f>Raw_LIMS_Export!K699</f>
        <v>45854</v>
      </c>
      <c r="N699" s="19" t="s">
        <v>2923</v>
      </c>
    </row>
    <row r="700" spans="1:14" x14ac:dyDescent="0.35">
      <c r="A700" s="16" t="s">
        <v>707</v>
      </c>
      <c r="B700" s="17" t="s">
        <v>2092</v>
      </c>
      <c r="C700" s="17" t="s">
        <v>2459</v>
      </c>
      <c r="D700" s="17" t="str">
        <f>_xlfn.XLOOKUP(Raw_LIMS_Export!E700,'mapping Site table'!$B$4:$B$14,'mapping Site table'!$C$4:$C$14,Raw_LIMS_Export!E700)</f>
        <v>East Hanover</v>
      </c>
      <c r="E700" s="17" t="s">
        <v>2485</v>
      </c>
      <c r="F700" s="17">
        <f t="shared" si="31"/>
        <v>1</v>
      </c>
      <c r="G700" s="17" t="str">
        <f t="shared" si="32"/>
        <v>Fail</v>
      </c>
      <c r="H700" s="17" t="str">
        <f t="shared" si="30"/>
        <v>Fail</v>
      </c>
      <c r="I700" s="17">
        <v>-75</v>
      </c>
      <c r="J700" s="17" t="s">
        <v>2490</v>
      </c>
      <c r="K700" s="17">
        <v>0</v>
      </c>
      <c r="L700" s="17">
        <v>100</v>
      </c>
      <c r="M700" s="18">
        <f>Raw_LIMS_Export!K700</f>
        <v>45889</v>
      </c>
      <c r="N700" s="19" t="s">
        <v>2930</v>
      </c>
    </row>
    <row r="701" spans="1:14" x14ac:dyDescent="0.35">
      <c r="A701" s="16" t="s">
        <v>708</v>
      </c>
      <c r="B701" s="17" t="s">
        <v>2140</v>
      </c>
      <c r="C701" s="17" t="s">
        <v>2460</v>
      </c>
      <c r="D701" s="17" t="str">
        <f>_xlfn.XLOOKUP(Raw_LIMS_Export!E701,'mapping Site table'!$B$4:$B$14,'mapping Site table'!$C$4:$C$14,Raw_LIMS_Export!E701)</f>
        <v>Budapest</v>
      </c>
      <c r="E701" s="17" t="s">
        <v>2482</v>
      </c>
      <c r="F701" s="17">
        <f t="shared" si="31"/>
        <v>1</v>
      </c>
      <c r="G701" s="17" t="str">
        <f t="shared" si="32"/>
        <v>Pass</v>
      </c>
      <c r="H701" s="17" t="str">
        <f t="shared" si="30"/>
        <v>Fail</v>
      </c>
      <c r="I701" s="17">
        <v>98.26</v>
      </c>
      <c r="J701" s="17" t="s">
        <v>2489</v>
      </c>
      <c r="K701" s="17">
        <v>97</v>
      </c>
      <c r="L701" s="17">
        <v>100</v>
      </c>
      <c r="M701" s="18">
        <f>Raw_LIMS_Export!K701</f>
        <v>45891</v>
      </c>
      <c r="N701" s="19" t="s">
        <v>2925</v>
      </c>
    </row>
    <row r="702" spans="1:14" x14ac:dyDescent="0.35">
      <c r="A702" s="16" t="s">
        <v>709</v>
      </c>
      <c r="B702" s="17" t="s">
        <v>2140</v>
      </c>
      <c r="C702" s="17" t="s">
        <v>2460</v>
      </c>
      <c r="D702" s="17" t="str">
        <f>_xlfn.XLOOKUP(Raw_LIMS_Export!E702,'mapping Site table'!$B$4:$B$14,'mapping Site table'!$C$4:$C$14,Raw_LIMS_Export!E702)</f>
        <v>Budapest</v>
      </c>
      <c r="E702" s="17" t="s">
        <v>2481</v>
      </c>
      <c r="F702" s="17">
        <f t="shared" si="31"/>
        <v>1</v>
      </c>
      <c r="G702" s="17" t="str">
        <f t="shared" si="32"/>
        <v>Pass</v>
      </c>
      <c r="H702" s="17" t="str">
        <f t="shared" si="30"/>
        <v>Fail</v>
      </c>
      <c r="I702" s="17">
        <v>302.38</v>
      </c>
      <c r="J702" s="17" t="s">
        <v>2488</v>
      </c>
      <c r="K702" s="17">
        <v>150</v>
      </c>
      <c r="L702" s="17">
        <v>400</v>
      </c>
      <c r="M702" s="18">
        <f>Raw_LIMS_Export!K702</f>
        <v>45891</v>
      </c>
      <c r="N702" s="19" t="s">
        <v>2928</v>
      </c>
    </row>
    <row r="703" spans="1:14" x14ac:dyDescent="0.35">
      <c r="A703" s="16" t="s">
        <v>710</v>
      </c>
      <c r="B703" s="17" t="s">
        <v>2388</v>
      </c>
      <c r="C703" s="17" t="s">
        <v>2457</v>
      </c>
      <c r="D703" s="17" t="str">
        <f>_xlfn.XLOOKUP(Raw_LIMS_Export!E703,'mapping Site table'!$B$4:$B$14,'mapping Site table'!$C$4:$C$14,Raw_LIMS_Export!E703)</f>
        <v>East Hanover</v>
      </c>
      <c r="E703" s="17" t="s">
        <v>2485</v>
      </c>
      <c r="F703" s="17">
        <f t="shared" si="31"/>
        <v>1</v>
      </c>
      <c r="G703" s="17" t="str">
        <f t="shared" si="32"/>
        <v>Pass</v>
      </c>
      <c r="H703" s="17" t="str">
        <f t="shared" si="30"/>
        <v>Fail</v>
      </c>
      <c r="I703" s="17">
        <v>36.74</v>
      </c>
      <c r="J703" s="17" t="s">
        <v>2490</v>
      </c>
      <c r="K703" s="17">
        <v>0</v>
      </c>
      <c r="L703" s="17">
        <v>100</v>
      </c>
      <c r="M703" s="18">
        <f>Raw_LIMS_Export!K703</f>
        <v>45336</v>
      </c>
      <c r="N703" s="19" t="s">
        <v>2926</v>
      </c>
    </row>
    <row r="704" spans="1:14" x14ac:dyDescent="0.35">
      <c r="A704" s="16" t="s">
        <v>711</v>
      </c>
      <c r="B704" s="17" t="s">
        <v>2355</v>
      </c>
      <c r="C704" s="17" t="s">
        <v>2457</v>
      </c>
      <c r="D704" s="17" t="str">
        <f>_xlfn.XLOOKUP(Raw_LIMS_Export!E704,'mapping Site table'!$B$4:$B$14,'mapping Site table'!$C$4:$C$14,Raw_LIMS_Export!E704)</f>
        <v>Budapest</v>
      </c>
      <c r="E704" s="17" t="s">
        <v>2480</v>
      </c>
      <c r="F704" s="17">
        <f t="shared" si="31"/>
        <v>1</v>
      </c>
      <c r="G704" s="17" t="str">
        <f t="shared" si="32"/>
        <v>Pass</v>
      </c>
      <c r="H704" s="17" t="str">
        <f t="shared" si="30"/>
        <v>Fail</v>
      </c>
      <c r="I704" s="17">
        <v>0.95</v>
      </c>
      <c r="J704" s="17" t="s">
        <v>2487</v>
      </c>
      <c r="K704" s="17">
        <v>0.88</v>
      </c>
      <c r="L704" s="17">
        <v>0.97</v>
      </c>
      <c r="M704" s="18">
        <f>Raw_LIMS_Export!K704</f>
        <v>45598</v>
      </c>
      <c r="N704" s="19" t="s">
        <v>2932</v>
      </c>
    </row>
    <row r="705" spans="1:14" x14ac:dyDescent="0.35">
      <c r="A705" s="16" t="s">
        <v>712</v>
      </c>
      <c r="B705" s="17" t="s">
        <v>2205</v>
      </c>
      <c r="C705" s="17" t="s">
        <v>2457</v>
      </c>
      <c r="D705" s="17" t="str">
        <f>_xlfn.XLOOKUP(Raw_LIMS_Export!E705,'mapping Site table'!$B$4:$B$14,'mapping Site table'!$C$4:$C$14,Raw_LIMS_Export!E705)</f>
        <v>Vernier CH</v>
      </c>
      <c r="E705" s="17" t="s">
        <v>2479</v>
      </c>
      <c r="F705" s="17">
        <f t="shared" si="31"/>
        <v>1</v>
      </c>
      <c r="G705" s="17" t="str">
        <f t="shared" si="32"/>
        <v>Pass</v>
      </c>
      <c r="H705" s="17" t="str">
        <f t="shared" si="30"/>
        <v>Pass</v>
      </c>
      <c r="I705" s="17">
        <v>67.599999999999994</v>
      </c>
      <c r="J705" s="17" t="s">
        <v>2486</v>
      </c>
      <c r="K705" s="17">
        <v>0</v>
      </c>
      <c r="L705" s="17">
        <v>120</v>
      </c>
      <c r="M705" s="18">
        <f>Raw_LIMS_Export!K705</f>
        <v>45661</v>
      </c>
      <c r="N705" s="19" t="s">
        <v>2931</v>
      </c>
    </row>
    <row r="706" spans="1:14" x14ac:dyDescent="0.35">
      <c r="A706" s="16" t="s">
        <v>713</v>
      </c>
      <c r="B706" s="17" t="s">
        <v>2224</v>
      </c>
      <c r="C706" s="17" t="s">
        <v>2460</v>
      </c>
      <c r="D706" s="17" t="str">
        <f>_xlfn.XLOOKUP(Raw_LIMS_Export!E706,'mapping Site table'!$B$4:$B$14,'mapping Site table'!$C$4:$C$14,Raw_LIMS_Export!E706)</f>
        <v>East Hanover</v>
      </c>
      <c r="E706" s="17" t="s">
        <v>2485</v>
      </c>
      <c r="F706" s="17">
        <f t="shared" si="31"/>
        <v>1</v>
      </c>
      <c r="G706" s="17" t="str">
        <f t="shared" si="32"/>
        <v>Pass</v>
      </c>
      <c r="H706" s="17" t="str">
        <f t="shared" ref="H706:H769" si="33">IF(COUNTIFS($B$2:$B$2016,B706,$G$2:$G$2016,"Fail")&gt;0,"Fail",
  IF(COUNTIFS($B$2:$B$2016,B706,$G$2:$G$2016,"Missing")&gt;0,"Pending",
    "Pass"))</f>
        <v>Pass</v>
      </c>
      <c r="I706" s="17">
        <v>14.81</v>
      </c>
      <c r="J706" s="17" t="s">
        <v>2490</v>
      </c>
      <c r="K706" s="17">
        <v>0</v>
      </c>
      <c r="L706" s="17">
        <v>100</v>
      </c>
      <c r="M706" s="18">
        <f>Raw_LIMS_Export!K706</f>
        <v>45831</v>
      </c>
      <c r="N706" s="19" t="s">
        <v>2931</v>
      </c>
    </row>
    <row r="707" spans="1:14" x14ac:dyDescent="0.35">
      <c r="A707" s="16" t="s">
        <v>714</v>
      </c>
      <c r="B707" s="17" t="s">
        <v>2111</v>
      </c>
      <c r="C707" s="17" t="s">
        <v>2461</v>
      </c>
      <c r="D707" s="17" t="str">
        <f>_xlfn.XLOOKUP(Raw_LIMS_Export!E707,'mapping Site table'!$B$4:$B$14,'mapping Site table'!$C$4:$C$14,Raw_LIMS_Export!E707)</f>
        <v>Vernier CH</v>
      </c>
      <c r="E707" s="17" t="s">
        <v>2480</v>
      </c>
      <c r="F707" s="17">
        <f t="shared" ref="F707:F770" si="34">IF(I707="",0,1)</f>
        <v>1</v>
      </c>
      <c r="G707" s="17" t="str">
        <f t="shared" ref="G707:G770" si="35">IF(I707="", "Missing", IF(AND(I707&gt;=K707, I707&lt;=L707), "Pass", "Fail"))</f>
        <v>Pass</v>
      </c>
      <c r="H707" s="17" t="str">
        <f t="shared" si="33"/>
        <v>Pass</v>
      </c>
      <c r="I707" s="17">
        <v>0.91</v>
      </c>
      <c r="J707" s="17" t="s">
        <v>2487</v>
      </c>
      <c r="K707" s="17">
        <v>0.88</v>
      </c>
      <c r="L707" s="17">
        <v>0.97</v>
      </c>
      <c r="M707" s="18">
        <f>Raw_LIMS_Export!K707</f>
        <v>45547</v>
      </c>
      <c r="N707" s="19" t="s">
        <v>2924</v>
      </c>
    </row>
    <row r="708" spans="1:14" x14ac:dyDescent="0.35">
      <c r="A708" s="16" t="s">
        <v>715</v>
      </c>
      <c r="B708" s="17" t="s">
        <v>2389</v>
      </c>
      <c r="C708" s="17" t="s">
        <v>2460</v>
      </c>
      <c r="D708" s="17" t="str">
        <f>_xlfn.XLOOKUP(Raw_LIMS_Export!E708,'mapping Site table'!$B$4:$B$14,'mapping Site table'!$C$4:$C$14,Raw_LIMS_Export!E708)</f>
        <v>Dortmund DE</v>
      </c>
      <c r="E708" s="17" t="s">
        <v>2480</v>
      </c>
      <c r="F708" s="17">
        <f t="shared" si="34"/>
        <v>1</v>
      </c>
      <c r="G708" s="17" t="str">
        <f t="shared" si="35"/>
        <v>Pass</v>
      </c>
      <c r="H708" s="17" t="str">
        <f t="shared" si="33"/>
        <v>Pass</v>
      </c>
      <c r="I708" s="17">
        <v>0.93</v>
      </c>
      <c r="J708" s="17" t="s">
        <v>2487</v>
      </c>
      <c r="K708" s="17">
        <v>0.88</v>
      </c>
      <c r="L708" s="17">
        <v>0.97</v>
      </c>
      <c r="M708" s="18">
        <f>Raw_LIMS_Export!K708</f>
        <v>45546</v>
      </c>
      <c r="N708" s="19" t="s">
        <v>2923</v>
      </c>
    </row>
    <row r="709" spans="1:14" x14ac:dyDescent="0.35">
      <c r="A709" s="16" t="s">
        <v>716</v>
      </c>
      <c r="B709" s="17" t="s">
        <v>2387</v>
      </c>
      <c r="C709" s="17" t="s">
        <v>2457</v>
      </c>
      <c r="D709" s="17" t="str">
        <f>_xlfn.XLOOKUP(Raw_LIMS_Export!E709,'mapping Site table'!$B$4:$B$14,'mapping Site table'!$C$4:$C$14,Raw_LIMS_Export!E709)</f>
        <v>Ashford UK</v>
      </c>
      <c r="E709" s="17" t="s">
        <v>2485</v>
      </c>
      <c r="F709" s="17">
        <f t="shared" si="34"/>
        <v>1</v>
      </c>
      <c r="G709" s="17" t="str">
        <f t="shared" si="35"/>
        <v>Pass</v>
      </c>
      <c r="H709" s="17" t="str">
        <f t="shared" si="33"/>
        <v>Pass</v>
      </c>
      <c r="I709" s="17">
        <v>31.1</v>
      </c>
      <c r="J709" s="17" t="s">
        <v>2490</v>
      </c>
      <c r="K709" s="17">
        <v>0</v>
      </c>
      <c r="L709" s="17">
        <v>100</v>
      </c>
      <c r="M709" s="18">
        <f>Raw_LIMS_Export!K709</f>
        <v>45621</v>
      </c>
      <c r="N709" s="19" t="s">
        <v>2923</v>
      </c>
    </row>
    <row r="710" spans="1:14" x14ac:dyDescent="0.35">
      <c r="A710" s="16" t="s">
        <v>717</v>
      </c>
      <c r="B710" s="17" t="s">
        <v>2292</v>
      </c>
      <c r="C710" s="17" t="s">
        <v>2461</v>
      </c>
      <c r="D710" s="17" t="str">
        <f>_xlfn.XLOOKUP(Raw_LIMS_Export!E710,'mapping Site table'!$B$4:$B$14,'mapping Site table'!$C$4:$C$14,Raw_LIMS_Export!E710)</f>
        <v>Vernier CH</v>
      </c>
      <c r="E710" s="17" t="s">
        <v>2482</v>
      </c>
      <c r="F710" s="17">
        <f t="shared" si="34"/>
        <v>1</v>
      </c>
      <c r="G710" s="17" t="str">
        <f t="shared" si="35"/>
        <v>Pass</v>
      </c>
      <c r="H710" s="17" t="str">
        <f t="shared" si="33"/>
        <v>Fail</v>
      </c>
      <c r="I710" s="17">
        <v>98.42</v>
      </c>
      <c r="J710" s="17" t="s">
        <v>2489</v>
      </c>
      <c r="K710" s="17">
        <v>97</v>
      </c>
      <c r="L710" s="17">
        <v>100</v>
      </c>
      <c r="M710" s="18">
        <f>Raw_LIMS_Export!K710</f>
        <v>45646</v>
      </c>
      <c r="N710" s="19" t="s">
        <v>2923</v>
      </c>
    </row>
    <row r="711" spans="1:14" x14ac:dyDescent="0.35">
      <c r="A711" s="16" t="s">
        <v>718</v>
      </c>
      <c r="B711" s="17" t="s">
        <v>2359</v>
      </c>
      <c r="C711" s="17" t="s">
        <v>2458</v>
      </c>
      <c r="D711" s="17" t="str">
        <f>_xlfn.XLOOKUP(Raw_LIMS_Export!E711,'mapping Site table'!$B$4:$B$14,'mapping Site table'!$C$4:$C$14,Raw_LIMS_Export!E711)</f>
        <v>East Hanover</v>
      </c>
      <c r="E711" s="17" t="s">
        <v>2481</v>
      </c>
      <c r="F711" s="17">
        <f t="shared" si="34"/>
        <v>1</v>
      </c>
      <c r="G711" s="17" t="str">
        <f t="shared" si="35"/>
        <v>Pass</v>
      </c>
      <c r="H711" s="17" t="str">
        <f t="shared" si="33"/>
        <v>Pass</v>
      </c>
      <c r="I711" s="17">
        <v>274.11</v>
      </c>
      <c r="J711" s="17" t="s">
        <v>2488</v>
      </c>
      <c r="K711" s="17">
        <v>150</v>
      </c>
      <c r="L711" s="17">
        <v>400</v>
      </c>
      <c r="M711" s="18">
        <f>Raw_LIMS_Export!K711</f>
        <v>45574</v>
      </c>
      <c r="N711" s="19" t="s">
        <v>2929</v>
      </c>
    </row>
    <row r="712" spans="1:14" x14ac:dyDescent="0.35">
      <c r="A712" s="16" t="s">
        <v>719</v>
      </c>
      <c r="B712" s="17" t="s">
        <v>2291</v>
      </c>
      <c r="C712" s="17" t="s">
        <v>2458</v>
      </c>
      <c r="D712" s="17" t="str">
        <f>_xlfn.XLOOKUP(Raw_LIMS_Export!E712,'mapping Site table'!$B$4:$B$14,'mapping Site table'!$C$4:$C$14,Raw_LIMS_Export!E712)</f>
        <v>East Hanover</v>
      </c>
      <c r="E712" s="17" t="s">
        <v>2481</v>
      </c>
      <c r="F712" s="17">
        <f t="shared" si="34"/>
        <v>1</v>
      </c>
      <c r="G712" s="17" t="str">
        <f t="shared" si="35"/>
        <v>Pass</v>
      </c>
      <c r="H712" s="17" t="str">
        <f t="shared" si="33"/>
        <v>Pass</v>
      </c>
      <c r="I712" s="17">
        <v>326.2</v>
      </c>
      <c r="J712" s="17" t="s">
        <v>2488</v>
      </c>
      <c r="K712" s="17">
        <v>150</v>
      </c>
      <c r="L712" s="17">
        <v>400</v>
      </c>
      <c r="M712" s="18">
        <f>Raw_LIMS_Export!K712</f>
        <v>45763</v>
      </c>
      <c r="N712" s="19" t="s">
        <v>2924</v>
      </c>
    </row>
    <row r="713" spans="1:14" x14ac:dyDescent="0.35">
      <c r="A713" s="16" t="s">
        <v>720</v>
      </c>
      <c r="B713" s="17" t="s">
        <v>2024</v>
      </c>
      <c r="C713" s="17" t="s">
        <v>2457</v>
      </c>
      <c r="D713" s="17" t="str">
        <f>_xlfn.XLOOKUP(Raw_LIMS_Export!E713,'mapping Site table'!$B$4:$B$14,'mapping Site table'!$C$4:$C$14,Raw_LIMS_Export!E713)</f>
        <v>Vernier CH</v>
      </c>
      <c r="E713" s="17" t="s">
        <v>2481</v>
      </c>
      <c r="F713" s="17">
        <f t="shared" si="34"/>
        <v>1</v>
      </c>
      <c r="G713" s="17" t="str">
        <f t="shared" si="35"/>
        <v>Pass</v>
      </c>
      <c r="H713" s="17" t="str">
        <f t="shared" si="33"/>
        <v>Fail</v>
      </c>
      <c r="I713" s="17">
        <v>309.66000000000003</v>
      </c>
      <c r="J713" s="17" t="s">
        <v>2488</v>
      </c>
      <c r="K713" s="17">
        <v>150</v>
      </c>
      <c r="L713" s="17">
        <v>400</v>
      </c>
      <c r="M713" s="18">
        <f>Raw_LIMS_Export!K713</f>
        <v>45529</v>
      </c>
      <c r="N713" s="19" t="s">
        <v>2927</v>
      </c>
    </row>
    <row r="714" spans="1:14" x14ac:dyDescent="0.35">
      <c r="A714" s="16" t="s">
        <v>721</v>
      </c>
      <c r="B714" s="17" t="s">
        <v>2027</v>
      </c>
      <c r="C714" s="17" t="s">
        <v>2458</v>
      </c>
      <c r="D714" s="17" t="str">
        <f>_xlfn.XLOOKUP(Raw_LIMS_Export!E714,'mapping Site table'!$B$4:$B$14,'mapping Site table'!$C$4:$C$14,Raw_LIMS_Export!E714)</f>
        <v>East Hanover</v>
      </c>
      <c r="E714" s="17" t="s">
        <v>2484</v>
      </c>
      <c r="F714" s="17">
        <f t="shared" si="34"/>
        <v>1</v>
      </c>
      <c r="G714" s="17" t="str">
        <f t="shared" si="35"/>
        <v>Pass</v>
      </c>
      <c r="H714" s="17" t="str">
        <f t="shared" si="33"/>
        <v>Pass</v>
      </c>
      <c r="I714" s="17">
        <v>6.45</v>
      </c>
      <c r="J714" s="17"/>
      <c r="K714" s="17">
        <v>6</v>
      </c>
      <c r="L714" s="17">
        <v>7.5</v>
      </c>
      <c r="M714" s="18">
        <f>Raw_LIMS_Export!K714</f>
        <v>45827</v>
      </c>
      <c r="N714" s="19" t="s">
        <v>2927</v>
      </c>
    </row>
    <row r="715" spans="1:14" x14ac:dyDescent="0.35">
      <c r="A715" s="16" t="s">
        <v>722</v>
      </c>
      <c r="B715" s="17" t="s">
        <v>2175</v>
      </c>
      <c r="C715" s="17" t="s">
        <v>2457</v>
      </c>
      <c r="D715" s="17" t="str">
        <f>_xlfn.XLOOKUP(Raw_LIMS_Export!E715,'mapping Site table'!$B$4:$B$14,'mapping Site table'!$C$4:$C$14,Raw_LIMS_Export!E715)</f>
        <v>Ashford UK</v>
      </c>
      <c r="E715" s="17" t="s">
        <v>2482</v>
      </c>
      <c r="F715" s="17">
        <f t="shared" si="34"/>
        <v>1</v>
      </c>
      <c r="G715" s="17" t="str">
        <f t="shared" si="35"/>
        <v>Pass</v>
      </c>
      <c r="H715" s="17" t="str">
        <f t="shared" si="33"/>
        <v>Fail</v>
      </c>
      <c r="I715" s="17">
        <v>98.78</v>
      </c>
      <c r="J715" s="17" t="s">
        <v>2489</v>
      </c>
      <c r="K715" s="17">
        <v>97</v>
      </c>
      <c r="L715" s="17">
        <v>100</v>
      </c>
      <c r="M715" s="18">
        <f>Raw_LIMS_Export!K715</f>
        <v>45921</v>
      </c>
      <c r="N715" s="19" t="s">
        <v>2932</v>
      </c>
    </row>
    <row r="716" spans="1:14" x14ac:dyDescent="0.35">
      <c r="A716" s="16" t="s">
        <v>723</v>
      </c>
      <c r="B716" s="17" t="s">
        <v>2366</v>
      </c>
      <c r="C716" s="17" t="s">
        <v>2461</v>
      </c>
      <c r="D716" s="17" t="str">
        <f>_xlfn.XLOOKUP(Raw_LIMS_Export!E716,'mapping Site table'!$B$4:$B$14,'mapping Site table'!$C$4:$C$14,Raw_LIMS_Export!E716)</f>
        <v>Budapest</v>
      </c>
      <c r="E716" s="17" t="s">
        <v>2482</v>
      </c>
      <c r="F716" s="17">
        <f t="shared" si="34"/>
        <v>1</v>
      </c>
      <c r="G716" s="17" t="str">
        <f t="shared" si="35"/>
        <v>Pass</v>
      </c>
      <c r="H716" s="17" t="str">
        <f t="shared" si="33"/>
        <v>Pass</v>
      </c>
      <c r="I716" s="17">
        <v>98.91</v>
      </c>
      <c r="J716" s="17" t="s">
        <v>2489</v>
      </c>
      <c r="K716" s="17">
        <v>97</v>
      </c>
      <c r="L716" s="17">
        <v>100</v>
      </c>
      <c r="M716" s="18">
        <f>Raw_LIMS_Export!K716</f>
        <v>45629</v>
      </c>
      <c r="N716" s="19" t="s">
        <v>2923</v>
      </c>
    </row>
    <row r="717" spans="1:14" x14ac:dyDescent="0.35">
      <c r="A717" s="16" t="s">
        <v>724</v>
      </c>
      <c r="B717" s="17" t="s">
        <v>2082</v>
      </c>
      <c r="C717" s="17" t="s">
        <v>2461</v>
      </c>
      <c r="D717" s="17" t="str">
        <f>_xlfn.XLOOKUP(Raw_LIMS_Export!E717,'mapping Site table'!$B$4:$B$14,'mapping Site table'!$C$4:$C$14,Raw_LIMS_Export!E717)</f>
        <v>Ashford UK</v>
      </c>
      <c r="E717" s="17" t="s">
        <v>2482</v>
      </c>
      <c r="F717" s="17">
        <f t="shared" si="34"/>
        <v>1</v>
      </c>
      <c r="G717" s="17" t="str">
        <f t="shared" si="35"/>
        <v>Pass</v>
      </c>
      <c r="H717" s="17" t="str">
        <f t="shared" si="33"/>
        <v>Pass</v>
      </c>
      <c r="I717" s="17">
        <v>99.73</v>
      </c>
      <c r="J717" s="17" t="s">
        <v>2489</v>
      </c>
      <c r="K717" s="17">
        <v>97</v>
      </c>
      <c r="L717" s="17">
        <v>100</v>
      </c>
      <c r="M717" s="18">
        <f>Raw_LIMS_Export!K717</f>
        <v>45392</v>
      </c>
      <c r="N717" s="19" t="s">
        <v>2927</v>
      </c>
    </row>
    <row r="718" spans="1:14" x14ac:dyDescent="0.35">
      <c r="A718" s="16" t="s">
        <v>725</v>
      </c>
      <c r="B718" s="17" t="s">
        <v>2390</v>
      </c>
      <c r="C718" s="17" t="s">
        <v>2459</v>
      </c>
      <c r="D718" s="17" t="str">
        <f>_xlfn.XLOOKUP(Raw_LIMS_Export!E718,'mapping Site table'!$B$4:$B$14,'mapping Site table'!$C$4:$C$14,Raw_LIMS_Export!E718)</f>
        <v>Vernier CH</v>
      </c>
      <c r="E718" s="17" t="s">
        <v>2479</v>
      </c>
      <c r="F718" s="17">
        <f t="shared" si="34"/>
        <v>1</v>
      </c>
      <c r="G718" s="17" t="str">
        <f t="shared" si="35"/>
        <v>Pass</v>
      </c>
      <c r="H718" s="17" t="str">
        <f t="shared" si="33"/>
        <v>Pending</v>
      </c>
      <c r="I718" s="17">
        <v>36.19</v>
      </c>
      <c r="J718" s="17" t="s">
        <v>2486</v>
      </c>
      <c r="K718" s="17">
        <v>0</v>
      </c>
      <c r="L718" s="17">
        <v>120</v>
      </c>
      <c r="M718" s="18">
        <f>Raw_LIMS_Export!K718</f>
        <v>45571</v>
      </c>
      <c r="N718" s="19" t="s">
        <v>2925</v>
      </c>
    </row>
    <row r="719" spans="1:14" x14ac:dyDescent="0.35">
      <c r="A719" s="16" t="s">
        <v>726</v>
      </c>
      <c r="B719" s="17" t="s">
        <v>2131</v>
      </c>
      <c r="C719" s="17" t="s">
        <v>2459</v>
      </c>
      <c r="D719" s="17" t="str">
        <f>_xlfn.XLOOKUP(Raw_LIMS_Export!E719,'mapping Site table'!$B$4:$B$14,'mapping Site table'!$C$4:$C$14,Raw_LIMS_Export!E719)</f>
        <v>Budapest</v>
      </c>
      <c r="E719" s="17" t="s">
        <v>2484</v>
      </c>
      <c r="F719" s="17">
        <f t="shared" si="34"/>
        <v>1</v>
      </c>
      <c r="G719" s="17" t="str">
        <f t="shared" si="35"/>
        <v>Pass</v>
      </c>
      <c r="H719" s="17" t="str">
        <f t="shared" si="33"/>
        <v>Fail</v>
      </c>
      <c r="I719" s="17">
        <v>6.9</v>
      </c>
      <c r="J719" s="17"/>
      <c r="K719" s="17">
        <v>6</v>
      </c>
      <c r="L719" s="17">
        <v>7.5</v>
      </c>
      <c r="M719" s="18">
        <f>Raw_LIMS_Export!K719</f>
        <v>45561</v>
      </c>
      <c r="N719" s="19" t="s">
        <v>2924</v>
      </c>
    </row>
    <row r="720" spans="1:14" x14ac:dyDescent="0.35">
      <c r="A720" s="16" t="s">
        <v>727</v>
      </c>
      <c r="B720" s="17" t="s">
        <v>2391</v>
      </c>
      <c r="C720" s="17" t="s">
        <v>2458</v>
      </c>
      <c r="D720" s="17" t="str">
        <f>_xlfn.XLOOKUP(Raw_LIMS_Export!E720,'mapping Site table'!$B$4:$B$14,'mapping Site table'!$C$4:$C$14,Raw_LIMS_Export!E720)</f>
        <v>Ashford UK</v>
      </c>
      <c r="E720" s="17" t="s">
        <v>2483</v>
      </c>
      <c r="F720" s="17">
        <f t="shared" si="34"/>
        <v>1</v>
      </c>
      <c r="G720" s="17" t="str">
        <f t="shared" si="35"/>
        <v>Pass</v>
      </c>
      <c r="H720" s="17" t="str">
        <f t="shared" si="33"/>
        <v>Pass</v>
      </c>
      <c r="I720" s="17">
        <v>0.48</v>
      </c>
      <c r="J720" s="17" t="s">
        <v>2489</v>
      </c>
      <c r="K720" s="17">
        <v>0</v>
      </c>
      <c r="L720" s="17">
        <v>1</v>
      </c>
      <c r="M720" s="18">
        <f>Raw_LIMS_Export!K720</f>
        <v>45743</v>
      </c>
      <c r="N720" s="19" t="s">
        <v>2926</v>
      </c>
    </row>
    <row r="721" spans="1:14" x14ac:dyDescent="0.35">
      <c r="A721" s="16" t="s">
        <v>728</v>
      </c>
      <c r="B721" s="17" t="s">
        <v>2392</v>
      </c>
      <c r="C721" s="17" t="s">
        <v>2461</v>
      </c>
      <c r="D721" s="17" t="str">
        <f>_xlfn.XLOOKUP(Raw_LIMS_Export!E721,'mapping Site table'!$B$4:$B$14,'mapping Site table'!$C$4:$C$14,Raw_LIMS_Export!E721)</f>
        <v>Ashford UK</v>
      </c>
      <c r="E721" s="17" t="s">
        <v>2482</v>
      </c>
      <c r="F721" s="17">
        <f t="shared" si="34"/>
        <v>1</v>
      </c>
      <c r="G721" s="17" t="str">
        <f t="shared" si="35"/>
        <v>Pass</v>
      </c>
      <c r="H721" s="17" t="str">
        <f t="shared" si="33"/>
        <v>Pass</v>
      </c>
      <c r="I721" s="17">
        <v>97.89</v>
      </c>
      <c r="J721" s="17" t="s">
        <v>2489</v>
      </c>
      <c r="K721" s="17">
        <v>97</v>
      </c>
      <c r="L721" s="17">
        <v>100</v>
      </c>
      <c r="M721" s="18">
        <f>Raw_LIMS_Export!K721</f>
        <v>45923</v>
      </c>
      <c r="N721" s="19" t="s">
        <v>2928</v>
      </c>
    </row>
    <row r="722" spans="1:14" x14ac:dyDescent="0.35">
      <c r="A722" s="16" t="s">
        <v>729</v>
      </c>
      <c r="B722" s="17" t="s">
        <v>2388</v>
      </c>
      <c r="C722" s="17" t="s">
        <v>2457</v>
      </c>
      <c r="D722" s="17" t="str">
        <f>_xlfn.XLOOKUP(Raw_LIMS_Export!E722,'mapping Site table'!$B$4:$B$14,'mapping Site table'!$C$4:$C$14,Raw_LIMS_Export!E722)</f>
        <v>East Hanover</v>
      </c>
      <c r="E722" s="17" t="s">
        <v>2481</v>
      </c>
      <c r="F722" s="17">
        <f t="shared" si="34"/>
        <v>1</v>
      </c>
      <c r="G722" s="17" t="str">
        <f t="shared" si="35"/>
        <v>Pass</v>
      </c>
      <c r="H722" s="17" t="str">
        <f t="shared" si="33"/>
        <v>Fail</v>
      </c>
      <c r="I722" s="17">
        <v>261.07</v>
      </c>
      <c r="J722" s="17" t="s">
        <v>2488</v>
      </c>
      <c r="K722" s="17">
        <v>150</v>
      </c>
      <c r="L722" s="17">
        <v>400</v>
      </c>
      <c r="M722" s="18">
        <f>Raw_LIMS_Export!K722</f>
        <v>45336</v>
      </c>
      <c r="N722" s="19" t="s">
        <v>2923</v>
      </c>
    </row>
    <row r="723" spans="1:14" x14ac:dyDescent="0.35">
      <c r="A723" s="16" t="s">
        <v>730</v>
      </c>
      <c r="B723" s="17" t="s">
        <v>2273</v>
      </c>
      <c r="C723" s="17" t="s">
        <v>2459</v>
      </c>
      <c r="D723" s="17" t="str">
        <f>_xlfn.XLOOKUP(Raw_LIMS_Export!E723,'mapping Site table'!$B$4:$B$14,'mapping Site table'!$C$4:$C$14,Raw_LIMS_Export!E723)</f>
        <v>Budapest</v>
      </c>
      <c r="E723" s="17" t="s">
        <v>2480</v>
      </c>
      <c r="F723" s="17">
        <f t="shared" si="34"/>
        <v>1</v>
      </c>
      <c r="G723" s="17" t="str">
        <f t="shared" si="35"/>
        <v>Pass</v>
      </c>
      <c r="H723" s="17" t="str">
        <f t="shared" si="33"/>
        <v>Pass</v>
      </c>
      <c r="I723" s="17">
        <v>0.91</v>
      </c>
      <c r="J723" s="17" t="s">
        <v>2487</v>
      </c>
      <c r="K723" s="17">
        <v>0.88</v>
      </c>
      <c r="L723" s="17">
        <v>0.97</v>
      </c>
      <c r="M723" s="18">
        <f>Raw_LIMS_Export!K723</f>
        <v>45657</v>
      </c>
      <c r="N723" s="19" t="s">
        <v>2927</v>
      </c>
    </row>
    <row r="724" spans="1:14" x14ac:dyDescent="0.35">
      <c r="A724" s="16" t="s">
        <v>731</v>
      </c>
      <c r="B724" s="17" t="s">
        <v>2246</v>
      </c>
      <c r="C724" s="17" t="s">
        <v>2460</v>
      </c>
      <c r="D724" s="17" t="str">
        <f>_xlfn.XLOOKUP(Raw_LIMS_Export!E724,'mapping Site table'!$B$4:$B$14,'mapping Site table'!$C$4:$C$14,Raw_LIMS_Export!E724)</f>
        <v>Vernier CH</v>
      </c>
      <c r="E724" s="17" t="s">
        <v>2479</v>
      </c>
      <c r="F724" s="17">
        <f t="shared" si="34"/>
        <v>1</v>
      </c>
      <c r="G724" s="17" t="str">
        <f t="shared" si="35"/>
        <v>Pass</v>
      </c>
      <c r="H724" s="17" t="str">
        <f t="shared" si="33"/>
        <v>Pass</v>
      </c>
      <c r="I724" s="17">
        <v>53.7</v>
      </c>
      <c r="J724" s="17" t="s">
        <v>2486</v>
      </c>
      <c r="K724" s="17">
        <v>0</v>
      </c>
      <c r="L724" s="17">
        <v>120</v>
      </c>
      <c r="M724" s="18">
        <f>Raw_LIMS_Export!K724</f>
        <v>45884</v>
      </c>
      <c r="N724" s="19" t="s">
        <v>2931</v>
      </c>
    </row>
    <row r="725" spans="1:14" x14ac:dyDescent="0.35">
      <c r="A725" s="16" t="s">
        <v>732</v>
      </c>
      <c r="B725" s="17" t="s">
        <v>2173</v>
      </c>
      <c r="C725" s="17" t="s">
        <v>2460</v>
      </c>
      <c r="D725" s="17" t="str">
        <f>_xlfn.XLOOKUP(Raw_LIMS_Export!E725,'mapping Site table'!$B$4:$B$14,'mapping Site table'!$C$4:$C$14,Raw_LIMS_Export!E725)</f>
        <v>East Hanover</v>
      </c>
      <c r="E725" s="17" t="s">
        <v>2479</v>
      </c>
      <c r="F725" s="17">
        <f t="shared" si="34"/>
        <v>1</v>
      </c>
      <c r="G725" s="17" t="str">
        <f t="shared" si="35"/>
        <v>Pass</v>
      </c>
      <c r="H725" s="17" t="str">
        <f t="shared" si="33"/>
        <v>Pass</v>
      </c>
      <c r="I725" s="17">
        <v>68.81</v>
      </c>
      <c r="J725" s="17" t="s">
        <v>2486</v>
      </c>
      <c r="K725" s="17">
        <v>0</v>
      </c>
      <c r="L725" s="17">
        <v>120</v>
      </c>
      <c r="M725" s="18">
        <f>Raw_LIMS_Export!K725</f>
        <v>45609</v>
      </c>
      <c r="N725" s="19" t="s">
        <v>2929</v>
      </c>
    </row>
    <row r="726" spans="1:14" x14ac:dyDescent="0.35">
      <c r="A726" s="16" t="s">
        <v>733</v>
      </c>
      <c r="B726" s="17" t="s">
        <v>2072</v>
      </c>
      <c r="C726" s="17" t="s">
        <v>2460</v>
      </c>
      <c r="D726" s="17" t="str">
        <f>_xlfn.XLOOKUP(Raw_LIMS_Export!E726,'mapping Site table'!$B$4:$B$14,'mapping Site table'!$C$4:$C$14,Raw_LIMS_Export!E726)</f>
        <v>Dortmund DE</v>
      </c>
      <c r="E726" s="17" t="s">
        <v>2479</v>
      </c>
      <c r="F726" s="17">
        <f t="shared" si="34"/>
        <v>1</v>
      </c>
      <c r="G726" s="17" t="str">
        <f t="shared" si="35"/>
        <v>Pass</v>
      </c>
      <c r="H726" s="17" t="str">
        <f t="shared" si="33"/>
        <v>Pass</v>
      </c>
      <c r="I726" s="17">
        <v>54.81</v>
      </c>
      <c r="J726" s="17" t="s">
        <v>2486</v>
      </c>
      <c r="K726" s="17">
        <v>0</v>
      </c>
      <c r="L726" s="17">
        <v>120</v>
      </c>
      <c r="M726" s="18">
        <f>Raw_LIMS_Export!K726</f>
        <v>45544</v>
      </c>
      <c r="N726" s="19" t="s">
        <v>2925</v>
      </c>
    </row>
    <row r="727" spans="1:14" x14ac:dyDescent="0.35">
      <c r="A727" s="16" t="s">
        <v>734</v>
      </c>
      <c r="B727" s="17" t="s">
        <v>2016</v>
      </c>
      <c r="C727" s="17" t="s">
        <v>2458</v>
      </c>
      <c r="D727" s="17" t="str">
        <f>_xlfn.XLOOKUP(Raw_LIMS_Export!E727,'mapping Site table'!$B$4:$B$14,'mapping Site table'!$C$4:$C$14,Raw_LIMS_Export!E727)</f>
        <v>Ashford UK</v>
      </c>
      <c r="E727" s="17" t="s">
        <v>2482</v>
      </c>
      <c r="F727" s="17">
        <f t="shared" si="34"/>
        <v>1</v>
      </c>
      <c r="G727" s="17" t="str">
        <f t="shared" si="35"/>
        <v>Pass</v>
      </c>
      <c r="H727" s="17" t="str">
        <f t="shared" si="33"/>
        <v>Pass</v>
      </c>
      <c r="I727" s="17">
        <v>98.82</v>
      </c>
      <c r="J727" s="17" t="s">
        <v>2489</v>
      </c>
      <c r="K727" s="17">
        <v>97</v>
      </c>
      <c r="L727" s="17">
        <v>100</v>
      </c>
      <c r="M727" s="18">
        <f>Raw_LIMS_Export!K727</f>
        <v>45446</v>
      </c>
      <c r="N727" s="19" t="s">
        <v>2926</v>
      </c>
    </row>
    <row r="728" spans="1:14" x14ac:dyDescent="0.35">
      <c r="A728" s="16" t="s">
        <v>735</v>
      </c>
      <c r="B728" s="17" t="s">
        <v>2110</v>
      </c>
      <c r="C728" s="17" t="s">
        <v>2460</v>
      </c>
      <c r="D728" s="17" t="str">
        <f>_xlfn.XLOOKUP(Raw_LIMS_Export!E728,'mapping Site table'!$B$4:$B$14,'mapping Site table'!$C$4:$C$14,Raw_LIMS_Export!E728)</f>
        <v>Vernier CH</v>
      </c>
      <c r="E728" s="17" t="s">
        <v>2482</v>
      </c>
      <c r="F728" s="17">
        <f t="shared" si="34"/>
        <v>1</v>
      </c>
      <c r="G728" s="17" t="str">
        <f t="shared" si="35"/>
        <v>Pass</v>
      </c>
      <c r="H728" s="17" t="str">
        <f t="shared" si="33"/>
        <v>Fail</v>
      </c>
      <c r="I728" s="17">
        <v>98.2</v>
      </c>
      <c r="J728" s="17" t="s">
        <v>2489</v>
      </c>
      <c r="K728" s="17">
        <v>97</v>
      </c>
      <c r="L728" s="17">
        <v>100</v>
      </c>
      <c r="M728" s="18">
        <f>Raw_LIMS_Export!K728</f>
        <v>45860</v>
      </c>
      <c r="N728" s="19" t="s">
        <v>2926</v>
      </c>
    </row>
    <row r="729" spans="1:14" x14ac:dyDescent="0.35">
      <c r="A729" s="16" t="s">
        <v>736</v>
      </c>
      <c r="B729" s="17" t="s">
        <v>2266</v>
      </c>
      <c r="C729" s="17" t="s">
        <v>2460</v>
      </c>
      <c r="D729" s="17" t="str">
        <f>_xlfn.XLOOKUP(Raw_LIMS_Export!E729,'mapping Site table'!$B$4:$B$14,'mapping Site table'!$C$4:$C$14,Raw_LIMS_Export!E729)</f>
        <v>Ashford UK</v>
      </c>
      <c r="E729" s="17" t="s">
        <v>2480</v>
      </c>
      <c r="F729" s="17">
        <f t="shared" si="34"/>
        <v>1</v>
      </c>
      <c r="G729" s="17" t="str">
        <f t="shared" si="35"/>
        <v>Pass</v>
      </c>
      <c r="H729" s="17" t="str">
        <f t="shared" si="33"/>
        <v>Pass</v>
      </c>
      <c r="I729" s="17">
        <v>0.95</v>
      </c>
      <c r="J729" s="17" t="s">
        <v>2487</v>
      </c>
      <c r="K729" s="17">
        <v>0.88</v>
      </c>
      <c r="L729" s="17">
        <v>0.97</v>
      </c>
      <c r="M729" s="18">
        <f>Raw_LIMS_Export!K729</f>
        <v>45819</v>
      </c>
      <c r="N729" s="19" t="s">
        <v>2930</v>
      </c>
    </row>
    <row r="730" spans="1:14" x14ac:dyDescent="0.35">
      <c r="A730" s="16" t="s">
        <v>737</v>
      </c>
      <c r="B730" s="17" t="s">
        <v>2071</v>
      </c>
      <c r="C730" s="17" t="s">
        <v>2457</v>
      </c>
      <c r="D730" s="17" t="str">
        <f>_xlfn.XLOOKUP(Raw_LIMS_Export!E730,'mapping Site table'!$B$4:$B$14,'mapping Site table'!$C$4:$C$14,Raw_LIMS_Export!E730)</f>
        <v>Vernier CH</v>
      </c>
      <c r="E730" s="17" t="s">
        <v>2484</v>
      </c>
      <c r="F730" s="17">
        <f t="shared" si="34"/>
        <v>1</v>
      </c>
      <c r="G730" s="17" t="str">
        <f t="shared" si="35"/>
        <v>Pass</v>
      </c>
      <c r="H730" s="17" t="str">
        <f t="shared" si="33"/>
        <v>Fail</v>
      </c>
      <c r="I730" s="17">
        <v>6.6</v>
      </c>
      <c r="J730" s="17"/>
      <c r="K730" s="17">
        <v>6</v>
      </c>
      <c r="L730" s="17">
        <v>7.5</v>
      </c>
      <c r="M730" s="18">
        <f>Raw_LIMS_Export!K730</f>
        <v>45864</v>
      </c>
      <c r="N730" s="19" t="s">
        <v>2931</v>
      </c>
    </row>
    <row r="731" spans="1:14" x14ac:dyDescent="0.35">
      <c r="A731" s="16" t="s">
        <v>738</v>
      </c>
      <c r="B731" s="17" t="s">
        <v>2393</v>
      </c>
      <c r="C731" s="17" t="s">
        <v>2460</v>
      </c>
      <c r="D731" s="17" t="str">
        <f>_xlfn.XLOOKUP(Raw_LIMS_Export!E731,'mapping Site table'!$B$4:$B$14,'mapping Site table'!$C$4:$C$14,Raw_LIMS_Export!E731)</f>
        <v>Vernier CH</v>
      </c>
      <c r="E731" s="17" t="s">
        <v>2481</v>
      </c>
      <c r="F731" s="17">
        <f t="shared" si="34"/>
        <v>1</v>
      </c>
      <c r="G731" s="17" t="str">
        <f t="shared" si="35"/>
        <v>Pass</v>
      </c>
      <c r="H731" s="17" t="str">
        <f t="shared" si="33"/>
        <v>Pass</v>
      </c>
      <c r="I731" s="17">
        <v>214.09</v>
      </c>
      <c r="J731" s="17" t="s">
        <v>2488</v>
      </c>
      <c r="K731" s="17">
        <v>150</v>
      </c>
      <c r="L731" s="17">
        <v>400</v>
      </c>
      <c r="M731" s="18">
        <f>Raw_LIMS_Export!K731</f>
        <v>45942</v>
      </c>
      <c r="N731" s="19" t="s">
        <v>2929</v>
      </c>
    </row>
    <row r="732" spans="1:14" x14ac:dyDescent="0.35">
      <c r="A732" s="16" t="s">
        <v>739</v>
      </c>
      <c r="B732" s="17" t="s">
        <v>2251</v>
      </c>
      <c r="C732" s="17" t="s">
        <v>2461</v>
      </c>
      <c r="D732" s="17" t="str">
        <f>_xlfn.XLOOKUP(Raw_LIMS_Export!E732,'mapping Site table'!$B$4:$B$14,'mapping Site table'!$C$4:$C$14,Raw_LIMS_Export!E732)</f>
        <v>Ashford UK</v>
      </c>
      <c r="E732" s="17" t="s">
        <v>2480</v>
      </c>
      <c r="F732" s="17">
        <f t="shared" si="34"/>
        <v>1</v>
      </c>
      <c r="G732" s="17" t="str">
        <f t="shared" si="35"/>
        <v>Pass</v>
      </c>
      <c r="H732" s="17" t="str">
        <f t="shared" si="33"/>
        <v>Pass</v>
      </c>
      <c r="I732" s="17">
        <v>0.94</v>
      </c>
      <c r="J732" s="17" t="s">
        <v>2487</v>
      </c>
      <c r="K732" s="17">
        <v>0.88</v>
      </c>
      <c r="L732" s="17">
        <v>0.97</v>
      </c>
      <c r="M732" s="18">
        <f>Raw_LIMS_Export!K732</f>
        <v>45441</v>
      </c>
      <c r="N732" s="19" t="s">
        <v>2924</v>
      </c>
    </row>
    <row r="733" spans="1:14" x14ac:dyDescent="0.35">
      <c r="A733" s="16" t="s">
        <v>740</v>
      </c>
      <c r="B733" s="17" t="s">
        <v>2071</v>
      </c>
      <c r="C733" s="17" t="s">
        <v>2457</v>
      </c>
      <c r="D733" s="17" t="str">
        <f>_xlfn.XLOOKUP(Raw_LIMS_Export!E733,'mapping Site table'!$B$4:$B$14,'mapping Site table'!$C$4:$C$14,Raw_LIMS_Export!E733)</f>
        <v>Vernier CH</v>
      </c>
      <c r="E733" s="17" t="s">
        <v>2480</v>
      </c>
      <c r="F733" s="17">
        <f t="shared" si="34"/>
        <v>1</v>
      </c>
      <c r="G733" s="17" t="str">
        <f t="shared" si="35"/>
        <v>Pass</v>
      </c>
      <c r="H733" s="17" t="str">
        <f t="shared" si="33"/>
        <v>Fail</v>
      </c>
      <c r="I733" s="17">
        <v>0.95</v>
      </c>
      <c r="J733" s="17" t="s">
        <v>2487</v>
      </c>
      <c r="K733" s="17">
        <v>0.88</v>
      </c>
      <c r="L733" s="17">
        <v>0.97</v>
      </c>
      <c r="M733" s="18">
        <f>Raw_LIMS_Export!K733</f>
        <v>45864</v>
      </c>
      <c r="N733" s="19" t="s">
        <v>2924</v>
      </c>
    </row>
    <row r="734" spans="1:14" x14ac:dyDescent="0.35">
      <c r="A734" s="16" t="s">
        <v>741</v>
      </c>
      <c r="B734" s="17" t="s">
        <v>2062</v>
      </c>
      <c r="C734" s="17" t="s">
        <v>2458</v>
      </c>
      <c r="D734" s="17" t="str">
        <f>_xlfn.XLOOKUP(Raw_LIMS_Export!E734,'mapping Site table'!$B$4:$B$14,'mapping Site table'!$C$4:$C$14,Raw_LIMS_Export!E734)</f>
        <v>East Hanover</v>
      </c>
      <c r="E734" s="17" t="s">
        <v>2485</v>
      </c>
      <c r="F734" s="17">
        <f t="shared" si="34"/>
        <v>1</v>
      </c>
      <c r="G734" s="17" t="str">
        <f t="shared" si="35"/>
        <v>Pass</v>
      </c>
      <c r="H734" s="17" t="str">
        <f t="shared" si="33"/>
        <v>Pass</v>
      </c>
      <c r="I734" s="17">
        <v>13.41</v>
      </c>
      <c r="J734" s="17" t="s">
        <v>2490</v>
      </c>
      <c r="K734" s="17">
        <v>0</v>
      </c>
      <c r="L734" s="17">
        <v>100</v>
      </c>
      <c r="M734" s="18">
        <f>Raw_LIMS_Export!K734</f>
        <v>45845</v>
      </c>
      <c r="N734" s="19" t="s">
        <v>2929</v>
      </c>
    </row>
    <row r="735" spans="1:14" x14ac:dyDescent="0.35">
      <c r="A735" s="16" t="s">
        <v>742</v>
      </c>
      <c r="B735" s="17" t="s">
        <v>2394</v>
      </c>
      <c r="C735" s="17" t="s">
        <v>2460</v>
      </c>
      <c r="D735" s="17" t="str">
        <f>_xlfn.XLOOKUP(Raw_LIMS_Export!E735,'mapping Site table'!$B$4:$B$14,'mapping Site table'!$C$4:$C$14,Raw_LIMS_Export!E735)</f>
        <v>Vernier CH</v>
      </c>
      <c r="E735" s="17" t="s">
        <v>2485</v>
      </c>
      <c r="F735" s="17">
        <f t="shared" si="34"/>
        <v>1</v>
      </c>
      <c r="G735" s="17" t="str">
        <f t="shared" si="35"/>
        <v>Fail</v>
      </c>
      <c r="H735" s="17" t="str">
        <f t="shared" si="33"/>
        <v>Fail</v>
      </c>
      <c r="I735" s="17">
        <v>-25.38</v>
      </c>
      <c r="J735" s="17" t="s">
        <v>2490</v>
      </c>
      <c r="K735" s="17">
        <v>0</v>
      </c>
      <c r="L735" s="17">
        <v>100</v>
      </c>
      <c r="M735" s="18">
        <f>Raw_LIMS_Export!K735</f>
        <v>45499</v>
      </c>
      <c r="N735" s="19" t="s">
        <v>2927</v>
      </c>
    </row>
    <row r="736" spans="1:14" x14ac:dyDescent="0.35">
      <c r="A736" s="16" t="s">
        <v>743</v>
      </c>
      <c r="B736" s="17" t="s">
        <v>2063</v>
      </c>
      <c r="C736" s="17" t="s">
        <v>2461</v>
      </c>
      <c r="D736" s="17" t="str">
        <f>_xlfn.XLOOKUP(Raw_LIMS_Export!E736,'mapping Site table'!$B$4:$B$14,'mapping Site table'!$C$4:$C$14,Raw_LIMS_Export!E736)</f>
        <v>East Hanover</v>
      </c>
      <c r="E736" s="17" t="s">
        <v>2485</v>
      </c>
      <c r="F736" s="17">
        <f t="shared" si="34"/>
        <v>1</v>
      </c>
      <c r="G736" s="17" t="str">
        <f t="shared" si="35"/>
        <v>Pass</v>
      </c>
      <c r="H736" s="17" t="str">
        <f t="shared" si="33"/>
        <v>Fail</v>
      </c>
      <c r="I736" s="17">
        <v>15.63</v>
      </c>
      <c r="J736" s="17" t="s">
        <v>2490</v>
      </c>
      <c r="K736" s="17">
        <v>0</v>
      </c>
      <c r="L736" s="17">
        <v>100</v>
      </c>
      <c r="M736" s="18">
        <f>Raw_LIMS_Export!K736</f>
        <v>45884</v>
      </c>
      <c r="N736" s="19" t="s">
        <v>2930</v>
      </c>
    </row>
    <row r="737" spans="1:14" x14ac:dyDescent="0.35">
      <c r="A737" s="16" t="s">
        <v>744</v>
      </c>
      <c r="B737" s="17" t="s">
        <v>2280</v>
      </c>
      <c r="C737" s="17" t="s">
        <v>2460</v>
      </c>
      <c r="D737" s="17" t="str">
        <f>_xlfn.XLOOKUP(Raw_LIMS_Export!E737,'mapping Site table'!$B$4:$B$14,'mapping Site table'!$C$4:$C$14,Raw_LIMS_Export!E737)</f>
        <v>East Hanover</v>
      </c>
      <c r="E737" s="17" t="s">
        <v>2484</v>
      </c>
      <c r="F737" s="17">
        <f t="shared" si="34"/>
        <v>1</v>
      </c>
      <c r="G737" s="17" t="str">
        <f t="shared" si="35"/>
        <v>Pass</v>
      </c>
      <c r="H737" s="17" t="str">
        <f t="shared" si="33"/>
        <v>Pass</v>
      </c>
      <c r="I737" s="17">
        <v>6.07</v>
      </c>
      <c r="J737" s="17"/>
      <c r="K737" s="17">
        <v>6</v>
      </c>
      <c r="L737" s="17">
        <v>7.5</v>
      </c>
      <c r="M737" s="18">
        <f>Raw_LIMS_Export!K737</f>
        <v>45685</v>
      </c>
      <c r="N737" s="19" t="s">
        <v>2927</v>
      </c>
    </row>
    <row r="738" spans="1:14" x14ac:dyDescent="0.35">
      <c r="A738" s="16" t="s">
        <v>745</v>
      </c>
      <c r="B738" s="17" t="s">
        <v>2209</v>
      </c>
      <c r="C738" s="17" t="s">
        <v>2458</v>
      </c>
      <c r="D738" s="17" t="str">
        <f>_xlfn.XLOOKUP(Raw_LIMS_Export!E738,'mapping Site table'!$B$4:$B$14,'mapping Site table'!$C$4:$C$14,Raw_LIMS_Export!E738)</f>
        <v>Ashford UK</v>
      </c>
      <c r="E738" s="17" t="s">
        <v>2479</v>
      </c>
      <c r="F738" s="17">
        <f t="shared" si="34"/>
        <v>1</v>
      </c>
      <c r="G738" s="17" t="str">
        <f t="shared" si="35"/>
        <v>Pass</v>
      </c>
      <c r="H738" s="17" t="str">
        <f t="shared" si="33"/>
        <v>Fail</v>
      </c>
      <c r="I738" s="17">
        <v>46.89</v>
      </c>
      <c r="J738" s="17" t="s">
        <v>2486</v>
      </c>
      <c r="K738" s="17">
        <v>0</v>
      </c>
      <c r="L738" s="17">
        <v>120</v>
      </c>
      <c r="M738" s="18">
        <f>Raw_LIMS_Export!K738</f>
        <v>45673</v>
      </c>
      <c r="N738" s="19" t="s">
        <v>2930</v>
      </c>
    </row>
    <row r="739" spans="1:14" x14ac:dyDescent="0.35">
      <c r="A739" s="16" t="s">
        <v>746</v>
      </c>
      <c r="B739" s="17" t="s">
        <v>2267</v>
      </c>
      <c r="C739" s="17" t="s">
        <v>2460</v>
      </c>
      <c r="D739" s="17" t="str">
        <f>_xlfn.XLOOKUP(Raw_LIMS_Export!E739,'mapping Site table'!$B$4:$B$14,'mapping Site table'!$C$4:$C$14,Raw_LIMS_Export!E739)</f>
        <v>East Hanover</v>
      </c>
      <c r="E739" s="17" t="s">
        <v>2485</v>
      </c>
      <c r="F739" s="17">
        <f t="shared" si="34"/>
        <v>1</v>
      </c>
      <c r="G739" s="17" t="str">
        <f t="shared" si="35"/>
        <v>Pass</v>
      </c>
      <c r="H739" s="17" t="str">
        <f t="shared" si="33"/>
        <v>Pass</v>
      </c>
      <c r="I739" s="17">
        <v>5.68</v>
      </c>
      <c r="J739" s="17" t="s">
        <v>2490</v>
      </c>
      <c r="K739" s="17">
        <v>0</v>
      </c>
      <c r="L739" s="17">
        <v>100</v>
      </c>
      <c r="M739" s="18">
        <f>Raw_LIMS_Export!K739</f>
        <v>45995</v>
      </c>
      <c r="N739" s="19" t="s">
        <v>2931</v>
      </c>
    </row>
    <row r="740" spans="1:14" x14ac:dyDescent="0.35">
      <c r="A740" s="16" t="s">
        <v>747</v>
      </c>
      <c r="B740" s="17" t="s">
        <v>2395</v>
      </c>
      <c r="C740" s="17" t="s">
        <v>2457</v>
      </c>
      <c r="D740" s="17" t="str">
        <f>_xlfn.XLOOKUP(Raw_LIMS_Export!E740,'mapping Site table'!$B$4:$B$14,'mapping Site table'!$C$4:$C$14,Raw_LIMS_Export!E740)</f>
        <v>Budapest</v>
      </c>
      <c r="E740" s="17" t="s">
        <v>2482</v>
      </c>
      <c r="F740" s="17">
        <f t="shared" si="34"/>
        <v>1</v>
      </c>
      <c r="G740" s="17" t="str">
        <f t="shared" si="35"/>
        <v>Pass</v>
      </c>
      <c r="H740" s="17" t="str">
        <f t="shared" si="33"/>
        <v>Pass</v>
      </c>
      <c r="I740" s="17">
        <v>98.68</v>
      </c>
      <c r="J740" s="17" t="s">
        <v>2489</v>
      </c>
      <c r="K740" s="17">
        <v>97</v>
      </c>
      <c r="L740" s="17">
        <v>100</v>
      </c>
      <c r="M740" s="18">
        <f>Raw_LIMS_Export!K740</f>
        <v>45737</v>
      </c>
      <c r="N740" s="19" t="s">
        <v>2923</v>
      </c>
    </row>
    <row r="741" spans="1:14" x14ac:dyDescent="0.35">
      <c r="A741" s="16" t="s">
        <v>748</v>
      </c>
      <c r="B741" s="17" t="s">
        <v>2295</v>
      </c>
      <c r="C741" s="17" t="s">
        <v>2459</v>
      </c>
      <c r="D741" s="17" t="str">
        <f>_xlfn.XLOOKUP(Raw_LIMS_Export!E741,'mapping Site table'!$B$4:$B$14,'mapping Site table'!$C$4:$C$14,Raw_LIMS_Export!E741)</f>
        <v>Vernier CH</v>
      </c>
      <c r="E741" s="17" t="s">
        <v>2484</v>
      </c>
      <c r="F741" s="17">
        <f t="shared" si="34"/>
        <v>1</v>
      </c>
      <c r="G741" s="17" t="str">
        <f t="shared" si="35"/>
        <v>Pass</v>
      </c>
      <c r="H741" s="17" t="str">
        <f t="shared" si="33"/>
        <v>Pass</v>
      </c>
      <c r="I741" s="17">
        <v>7.19</v>
      </c>
      <c r="J741" s="17"/>
      <c r="K741" s="17">
        <v>6</v>
      </c>
      <c r="L741" s="17">
        <v>7.5</v>
      </c>
      <c r="M741" s="18">
        <f>Raw_LIMS_Export!K741</f>
        <v>45977</v>
      </c>
      <c r="N741" s="19" t="s">
        <v>2928</v>
      </c>
    </row>
    <row r="742" spans="1:14" x14ac:dyDescent="0.35">
      <c r="A742" s="16" t="s">
        <v>749</v>
      </c>
      <c r="B742" s="17" t="s">
        <v>2396</v>
      </c>
      <c r="C742" s="17" t="s">
        <v>2461</v>
      </c>
      <c r="D742" s="17" t="str">
        <f>_xlfn.XLOOKUP(Raw_LIMS_Export!E742,'mapping Site table'!$B$4:$B$14,'mapping Site table'!$C$4:$C$14,Raw_LIMS_Export!E742)</f>
        <v>Budapest</v>
      </c>
      <c r="E742" s="17" t="s">
        <v>2482</v>
      </c>
      <c r="F742" s="17">
        <f t="shared" si="34"/>
        <v>1</v>
      </c>
      <c r="G742" s="17" t="str">
        <f t="shared" si="35"/>
        <v>Pass</v>
      </c>
      <c r="H742" s="17" t="str">
        <f t="shared" si="33"/>
        <v>Pass</v>
      </c>
      <c r="I742" s="17">
        <v>98.96</v>
      </c>
      <c r="J742" s="17" t="s">
        <v>2489</v>
      </c>
      <c r="K742" s="17">
        <v>97</v>
      </c>
      <c r="L742" s="17">
        <v>100</v>
      </c>
      <c r="M742" s="18">
        <f>Raw_LIMS_Export!K742</f>
        <v>45767</v>
      </c>
      <c r="N742" s="19" t="s">
        <v>2923</v>
      </c>
    </row>
    <row r="743" spans="1:14" x14ac:dyDescent="0.35">
      <c r="A743" s="16" t="s">
        <v>750</v>
      </c>
      <c r="B743" s="17" t="s">
        <v>2397</v>
      </c>
      <c r="C743" s="17" t="s">
        <v>2459</v>
      </c>
      <c r="D743" s="17" t="str">
        <f>_xlfn.XLOOKUP(Raw_LIMS_Export!E743,'mapping Site table'!$B$4:$B$14,'mapping Site table'!$C$4:$C$14,Raw_LIMS_Export!E743)</f>
        <v>Budapest</v>
      </c>
      <c r="E743" s="17" t="s">
        <v>2482</v>
      </c>
      <c r="F743" s="17">
        <f t="shared" si="34"/>
        <v>1</v>
      </c>
      <c r="G743" s="17" t="str">
        <f t="shared" si="35"/>
        <v>Pass</v>
      </c>
      <c r="H743" s="17" t="str">
        <f t="shared" si="33"/>
        <v>Pass</v>
      </c>
      <c r="I743" s="17">
        <v>98.47</v>
      </c>
      <c r="J743" s="17" t="s">
        <v>2489</v>
      </c>
      <c r="K743" s="17">
        <v>97</v>
      </c>
      <c r="L743" s="17">
        <v>100</v>
      </c>
      <c r="M743" s="18">
        <f>Raw_LIMS_Export!K743</f>
        <v>45436</v>
      </c>
      <c r="N743" s="19" t="s">
        <v>2930</v>
      </c>
    </row>
    <row r="744" spans="1:14" x14ac:dyDescent="0.35">
      <c r="A744" s="16" t="s">
        <v>751</v>
      </c>
      <c r="B744" s="17" t="s">
        <v>2363</v>
      </c>
      <c r="C744" s="17" t="s">
        <v>2459</v>
      </c>
      <c r="D744" s="17" t="str">
        <f>_xlfn.XLOOKUP(Raw_LIMS_Export!E744,'mapping Site table'!$B$4:$B$14,'mapping Site table'!$C$4:$C$14,Raw_LIMS_Export!E744)</f>
        <v>Dortmund DE</v>
      </c>
      <c r="E744" s="17" t="s">
        <v>2484</v>
      </c>
      <c r="F744" s="17">
        <f t="shared" si="34"/>
        <v>1</v>
      </c>
      <c r="G744" s="17" t="str">
        <f t="shared" si="35"/>
        <v>Pass</v>
      </c>
      <c r="H744" s="17" t="str">
        <f t="shared" si="33"/>
        <v>Pass</v>
      </c>
      <c r="I744" s="17">
        <v>6.84</v>
      </c>
      <c r="J744" s="17"/>
      <c r="K744" s="17">
        <v>6</v>
      </c>
      <c r="L744" s="17">
        <v>7.5</v>
      </c>
      <c r="M744" s="18">
        <f>Raw_LIMS_Export!K744</f>
        <v>45789</v>
      </c>
      <c r="N744" s="19" t="s">
        <v>2927</v>
      </c>
    </row>
    <row r="745" spans="1:14" x14ac:dyDescent="0.35">
      <c r="A745" s="16" t="s">
        <v>752</v>
      </c>
      <c r="B745" s="17" t="s">
        <v>2043</v>
      </c>
      <c r="C745" s="17" t="s">
        <v>2461</v>
      </c>
      <c r="D745" s="17" t="str">
        <f>_xlfn.XLOOKUP(Raw_LIMS_Export!E745,'mapping Site table'!$B$4:$B$14,'mapping Site table'!$C$4:$C$14,Raw_LIMS_Export!E745)</f>
        <v>Vernier CH</v>
      </c>
      <c r="E745" s="17" t="s">
        <v>2485</v>
      </c>
      <c r="F745" s="17">
        <f t="shared" si="34"/>
        <v>1</v>
      </c>
      <c r="G745" s="17" t="str">
        <f t="shared" si="35"/>
        <v>Pass</v>
      </c>
      <c r="H745" s="17" t="str">
        <f t="shared" si="33"/>
        <v>Pass</v>
      </c>
      <c r="I745" s="17">
        <v>6.83</v>
      </c>
      <c r="J745" s="17" t="s">
        <v>2490</v>
      </c>
      <c r="K745" s="17">
        <v>0</v>
      </c>
      <c r="L745" s="17">
        <v>100</v>
      </c>
      <c r="M745" s="18">
        <f>Raw_LIMS_Export!K745</f>
        <v>45431</v>
      </c>
      <c r="N745" s="19" t="s">
        <v>2923</v>
      </c>
    </row>
    <row r="746" spans="1:14" x14ac:dyDescent="0.35">
      <c r="A746" s="16" t="s">
        <v>753</v>
      </c>
      <c r="B746" s="17" t="s">
        <v>2043</v>
      </c>
      <c r="C746" s="17" t="s">
        <v>2461</v>
      </c>
      <c r="D746" s="17" t="str">
        <f>_xlfn.XLOOKUP(Raw_LIMS_Export!E746,'mapping Site table'!$B$4:$B$14,'mapping Site table'!$C$4:$C$14,Raw_LIMS_Export!E746)</f>
        <v>Vernier CH</v>
      </c>
      <c r="E746" s="17" t="s">
        <v>2481</v>
      </c>
      <c r="F746" s="17">
        <f t="shared" si="34"/>
        <v>1</v>
      </c>
      <c r="G746" s="17" t="str">
        <f t="shared" si="35"/>
        <v>Pass</v>
      </c>
      <c r="H746" s="17" t="str">
        <f t="shared" si="33"/>
        <v>Pass</v>
      </c>
      <c r="I746" s="17">
        <v>293.68</v>
      </c>
      <c r="J746" s="17" t="s">
        <v>2488</v>
      </c>
      <c r="K746" s="17">
        <v>150</v>
      </c>
      <c r="L746" s="17">
        <v>400</v>
      </c>
      <c r="M746" s="18">
        <f>Raw_LIMS_Export!K746</f>
        <v>45431</v>
      </c>
      <c r="N746" s="19" t="s">
        <v>2925</v>
      </c>
    </row>
    <row r="747" spans="1:14" x14ac:dyDescent="0.35">
      <c r="A747" s="16" t="s">
        <v>754</v>
      </c>
      <c r="B747" s="17" t="s">
        <v>2324</v>
      </c>
      <c r="C747" s="17" t="s">
        <v>2459</v>
      </c>
      <c r="D747" s="17" t="str">
        <f>_xlfn.XLOOKUP(Raw_LIMS_Export!E747,'mapping Site table'!$B$4:$B$14,'mapping Site table'!$C$4:$C$14,Raw_LIMS_Export!E747)</f>
        <v>Ashford UK</v>
      </c>
      <c r="E747" s="17" t="s">
        <v>2483</v>
      </c>
      <c r="F747" s="17">
        <f t="shared" si="34"/>
        <v>1</v>
      </c>
      <c r="G747" s="17" t="str">
        <f t="shared" si="35"/>
        <v>Pass</v>
      </c>
      <c r="H747" s="17" t="str">
        <f t="shared" si="33"/>
        <v>Pass</v>
      </c>
      <c r="I747" s="17">
        <v>0.47</v>
      </c>
      <c r="J747" s="17" t="s">
        <v>2489</v>
      </c>
      <c r="K747" s="17">
        <v>0</v>
      </c>
      <c r="L747" s="17">
        <v>1</v>
      </c>
      <c r="M747" s="18">
        <f>Raw_LIMS_Export!K747</f>
        <v>45828</v>
      </c>
      <c r="N747" s="19" t="s">
        <v>2927</v>
      </c>
    </row>
    <row r="748" spans="1:14" x14ac:dyDescent="0.35">
      <c r="A748" s="16" t="s">
        <v>755</v>
      </c>
      <c r="B748" s="17" t="s">
        <v>2303</v>
      </c>
      <c r="C748" s="17" t="s">
        <v>2460</v>
      </c>
      <c r="D748" s="17" t="str">
        <f>_xlfn.XLOOKUP(Raw_LIMS_Export!E748,'mapping Site table'!$B$4:$B$14,'mapping Site table'!$C$4:$C$14,Raw_LIMS_Export!E748)</f>
        <v>East Hanover</v>
      </c>
      <c r="E748" s="17" t="s">
        <v>2485</v>
      </c>
      <c r="F748" s="17">
        <f t="shared" si="34"/>
        <v>1</v>
      </c>
      <c r="G748" s="17" t="str">
        <f t="shared" si="35"/>
        <v>Fail</v>
      </c>
      <c r="H748" s="17" t="str">
        <f t="shared" si="33"/>
        <v>Fail</v>
      </c>
      <c r="I748" s="17">
        <v>175</v>
      </c>
      <c r="J748" s="17" t="s">
        <v>2490</v>
      </c>
      <c r="K748" s="17">
        <v>0</v>
      </c>
      <c r="L748" s="17">
        <v>100</v>
      </c>
      <c r="M748" s="18">
        <f>Raw_LIMS_Export!K748</f>
        <v>45870</v>
      </c>
      <c r="N748" s="19" t="s">
        <v>2930</v>
      </c>
    </row>
    <row r="749" spans="1:14" x14ac:dyDescent="0.35">
      <c r="A749" s="16" t="s">
        <v>756</v>
      </c>
      <c r="B749" s="17" t="s">
        <v>2398</v>
      </c>
      <c r="C749" s="17" t="s">
        <v>2461</v>
      </c>
      <c r="D749" s="17" t="str">
        <f>_xlfn.XLOOKUP(Raw_LIMS_Export!E749,'mapping Site table'!$B$4:$B$14,'mapping Site table'!$C$4:$C$14,Raw_LIMS_Export!E749)</f>
        <v>Dortmund DE</v>
      </c>
      <c r="E749" s="17" t="s">
        <v>2481</v>
      </c>
      <c r="F749" s="17">
        <f t="shared" si="34"/>
        <v>1</v>
      </c>
      <c r="G749" s="17" t="str">
        <f t="shared" si="35"/>
        <v>Pass</v>
      </c>
      <c r="H749" s="17" t="str">
        <f t="shared" si="33"/>
        <v>Pass</v>
      </c>
      <c r="I749" s="17">
        <v>250.29</v>
      </c>
      <c r="J749" s="17" t="s">
        <v>2488</v>
      </c>
      <c r="K749" s="17">
        <v>150</v>
      </c>
      <c r="L749" s="17">
        <v>400</v>
      </c>
      <c r="M749" s="18">
        <f>Raw_LIMS_Export!K749</f>
        <v>45965</v>
      </c>
      <c r="N749" s="19" t="s">
        <v>2931</v>
      </c>
    </row>
    <row r="750" spans="1:14" x14ac:dyDescent="0.35">
      <c r="A750" s="16" t="s">
        <v>757</v>
      </c>
      <c r="B750" s="17" t="s">
        <v>2218</v>
      </c>
      <c r="C750" s="17" t="s">
        <v>2457</v>
      </c>
      <c r="D750" s="17" t="str">
        <f>_xlfn.XLOOKUP(Raw_LIMS_Export!E750,'mapping Site table'!$B$4:$B$14,'mapping Site table'!$C$4:$C$14,Raw_LIMS_Export!E750)</f>
        <v>Dortmund DE</v>
      </c>
      <c r="E750" s="17" t="s">
        <v>2483</v>
      </c>
      <c r="F750" s="17">
        <f t="shared" si="34"/>
        <v>1</v>
      </c>
      <c r="G750" s="17" t="str">
        <f t="shared" si="35"/>
        <v>Pass</v>
      </c>
      <c r="H750" s="17" t="str">
        <f t="shared" si="33"/>
        <v>Fail</v>
      </c>
      <c r="I750" s="17">
        <v>0.11</v>
      </c>
      <c r="J750" s="17" t="s">
        <v>2489</v>
      </c>
      <c r="K750" s="17">
        <v>0</v>
      </c>
      <c r="L750" s="17">
        <v>1</v>
      </c>
      <c r="M750" s="18">
        <f>Raw_LIMS_Export!K750</f>
        <v>45621</v>
      </c>
      <c r="N750" s="19" t="s">
        <v>2930</v>
      </c>
    </row>
    <row r="751" spans="1:14" x14ac:dyDescent="0.35">
      <c r="A751" s="16" t="s">
        <v>758</v>
      </c>
      <c r="B751" s="17" t="s">
        <v>2262</v>
      </c>
      <c r="C751" s="17" t="s">
        <v>2459</v>
      </c>
      <c r="D751" s="17" t="str">
        <f>_xlfn.XLOOKUP(Raw_LIMS_Export!E751,'mapping Site table'!$B$4:$B$14,'mapping Site table'!$C$4:$C$14,Raw_LIMS_Export!E751)</f>
        <v>Vernier CH</v>
      </c>
      <c r="E751" s="17" t="s">
        <v>2479</v>
      </c>
      <c r="F751" s="17">
        <f t="shared" si="34"/>
        <v>1</v>
      </c>
      <c r="G751" s="17" t="str">
        <f t="shared" si="35"/>
        <v>Pass</v>
      </c>
      <c r="H751" s="17" t="str">
        <f t="shared" si="33"/>
        <v>Fail</v>
      </c>
      <c r="I751" s="17">
        <v>59.55</v>
      </c>
      <c r="J751" s="17" t="s">
        <v>2486</v>
      </c>
      <c r="K751" s="17">
        <v>0</v>
      </c>
      <c r="L751" s="17">
        <v>120</v>
      </c>
      <c r="M751" s="18">
        <f>Raw_LIMS_Export!K751</f>
        <v>45659</v>
      </c>
      <c r="N751" s="19" t="s">
        <v>2931</v>
      </c>
    </row>
    <row r="752" spans="1:14" x14ac:dyDescent="0.35">
      <c r="A752" s="16" t="s">
        <v>759</v>
      </c>
      <c r="B752" s="17" t="s">
        <v>2399</v>
      </c>
      <c r="C752" s="17" t="s">
        <v>2459</v>
      </c>
      <c r="D752" s="17" t="str">
        <f>_xlfn.XLOOKUP(Raw_LIMS_Export!E752,'mapping Site table'!$B$4:$B$14,'mapping Site table'!$C$4:$C$14,Raw_LIMS_Export!E752)</f>
        <v>East Hanover</v>
      </c>
      <c r="E752" s="17" t="s">
        <v>2482</v>
      </c>
      <c r="F752" s="17">
        <f t="shared" si="34"/>
        <v>1</v>
      </c>
      <c r="G752" s="17" t="str">
        <f t="shared" si="35"/>
        <v>Pass</v>
      </c>
      <c r="H752" s="17" t="str">
        <f t="shared" si="33"/>
        <v>Fail</v>
      </c>
      <c r="I752" s="17">
        <v>98.89</v>
      </c>
      <c r="J752" s="17" t="s">
        <v>2489</v>
      </c>
      <c r="K752" s="17">
        <v>97</v>
      </c>
      <c r="L752" s="17">
        <v>100</v>
      </c>
      <c r="M752" s="18">
        <f>Raw_LIMS_Export!K752</f>
        <v>45669</v>
      </c>
      <c r="N752" s="19" t="s">
        <v>2927</v>
      </c>
    </row>
    <row r="753" spans="1:14" x14ac:dyDescent="0.35">
      <c r="A753" s="16" t="s">
        <v>760</v>
      </c>
      <c r="B753" s="17" t="s">
        <v>2019</v>
      </c>
      <c r="C753" s="17" t="s">
        <v>2461</v>
      </c>
      <c r="D753" s="17" t="str">
        <f>_xlfn.XLOOKUP(Raw_LIMS_Export!E753,'mapping Site table'!$B$4:$B$14,'mapping Site table'!$C$4:$C$14,Raw_LIMS_Export!E753)</f>
        <v>East Hanover</v>
      </c>
      <c r="E753" s="17" t="s">
        <v>2484</v>
      </c>
      <c r="F753" s="17">
        <f t="shared" si="34"/>
        <v>1</v>
      </c>
      <c r="G753" s="17" t="str">
        <f t="shared" si="35"/>
        <v>Pass</v>
      </c>
      <c r="H753" s="17" t="str">
        <f t="shared" si="33"/>
        <v>Pass</v>
      </c>
      <c r="I753" s="17">
        <v>7.14</v>
      </c>
      <c r="J753" s="17"/>
      <c r="K753" s="17">
        <v>6</v>
      </c>
      <c r="L753" s="17">
        <v>7.5</v>
      </c>
      <c r="M753" s="18">
        <f>Raw_LIMS_Export!K753</f>
        <v>45881</v>
      </c>
      <c r="N753" s="19" t="s">
        <v>2931</v>
      </c>
    </row>
    <row r="754" spans="1:14" x14ac:dyDescent="0.35">
      <c r="A754" s="16" t="s">
        <v>761</v>
      </c>
      <c r="B754" s="17" t="s">
        <v>2400</v>
      </c>
      <c r="C754" s="17" t="s">
        <v>2457</v>
      </c>
      <c r="D754" s="17" t="str">
        <f>_xlfn.XLOOKUP(Raw_LIMS_Export!E754,'mapping Site table'!$B$4:$B$14,'mapping Site table'!$C$4:$C$14,Raw_LIMS_Export!E754)</f>
        <v>Dortmund DE</v>
      </c>
      <c r="E754" s="17" t="s">
        <v>2484</v>
      </c>
      <c r="F754" s="17">
        <f t="shared" si="34"/>
        <v>1</v>
      </c>
      <c r="G754" s="17" t="str">
        <f t="shared" si="35"/>
        <v>Fail</v>
      </c>
      <c r="H754" s="17" t="str">
        <f t="shared" si="33"/>
        <v>Fail</v>
      </c>
      <c r="I754" s="17">
        <v>5.86</v>
      </c>
      <c r="J754" s="17"/>
      <c r="K754" s="17">
        <v>6</v>
      </c>
      <c r="L754" s="17">
        <v>7.5</v>
      </c>
      <c r="M754" s="18">
        <f>Raw_LIMS_Export!K754</f>
        <v>45810</v>
      </c>
      <c r="N754" s="19" t="s">
        <v>2926</v>
      </c>
    </row>
    <row r="755" spans="1:14" x14ac:dyDescent="0.35">
      <c r="A755" s="16" t="s">
        <v>762</v>
      </c>
      <c r="B755" s="17" t="s">
        <v>2401</v>
      </c>
      <c r="C755" s="17" t="s">
        <v>2457</v>
      </c>
      <c r="D755" s="17" t="str">
        <f>_xlfn.XLOOKUP(Raw_LIMS_Export!E755,'mapping Site table'!$B$4:$B$14,'mapping Site table'!$C$4:$C$14,Raw_LIMS_Export!E755)</f>
        <v>Budapest</v>
      </c>
      <c r="E755" s="17" t="s">
        <v>2480</v>
      </c>
      <c r="F755" s="17">
        <f t="shared" si="34"/>
        <v>1</v>
      </c>
      <c r="G755" s="17" t="str">
        <f t="shared" si="35"/>
        <v>Pass</v>
      </c>
      <c r="H755" s="17" t="str">
        <f t="shared" si="33"/>
        <v>Pass</v>
      </c>
      <c r="I755" s="17">
        <v>0.94</v>
      </c>
      <c r="J755" s="17" t="s">
        <v>2487</v>
      </c>
      <c r="K755" s="17">
        <v>0.88</v>
      </c>
      <c r="L755" s="17">
        <v>0.97</v>
      </c>
      <c r="M755" s="18">
        <f>Raw_LIMS_Export!K755</f>
        <v>45660</v>
      </c>
      <c r="N755" s="19" t="s">
        <v>2925</v>
      </c>
    </row>
    <row r="756" spans="1:14" x14ac:dyDescent="0.35">
      <c r="A756" s="16" t="s">
        <v>763</v>
      </c>
      <c r="B756" s="17" t="s">
        <v>2362</v>
      </c>
      <c r="C756" s="17" t="s">
        <v>2457</v>
      </c>
      <c r="D756" s="17" t="str">
        <f>_xlfn.XLOOKUP(Raw_LIMS_Export!E756,'mapping Site table'!$B$4:$B$14,'mapping Site table'!$C$4:$C$14,Raw_LIMS_Export!E756)</f>
        <v>Dortmund DE</v>
      </c>
      <c r="E756" s="17" t="s">
        <v>2485</v>
      </c>
      <c r="F756" s="17">
        <f t="shared" si="34"/>
        <v>1</v>
      </c>
      <c r="G756" s="17" t="str">
        <f t="shared" si="35"/>
        <v>Pass</v>
      </c>
      <c r="H756" s="17" t="str">
        <f t="shared" si="33"/>
        <v>Pass</v>
      </c>
      <c r="I756" s="17">
        <v>7.36</v>
      </c>
      <c r="J756" s="17" t="s">
        <v>2490</v>
      </c>
      <c r="K756" s="17">
        <v>0</v>
      </c>
      <c r="L756" s="17">
        <v>100</v>
      </c>
      <c r="M756" s="18">
        <f>Raw_LIMS_Export!K756</f>
        <v>45320</v>
      </c>
      <c r="N756" s="19" t="s">
        <v>2924</v>
      </c>
    </row>
    <row r="757" spans="1:14" x14ac:dyDescent="0.35">
      <c r="A757" s="16" t="s">
        <v>764</v>
      </c>
      <c r="B757" s="17" t="s">
        <v>2307</v>
      </c>
      <c r="C757" s="17" t="s">
        <v>2460</v>
      </c>
      <c r="D757" s="17" t="str">
        <f>_xlfn.XLOOKUP(Raw_LIMS_Export!E757,'mapping Site table'!$B$4:$B$14,'mapping Site table'!$C$4:$C$14,Raw_LIMS_Export!E757)</f>
        <v>Vernier CH</v>
      </c>
      <c r="E757" s="17" t="s">
        <v>2479</v>
      </c>
      <c r="F757" s="17">
        <f t="shared" si="34"/>
        <v>1</v>
      </c>
      <c r="G757" s="17" t="str">
        <f t="shared" si="35"/>
        <v>Pass</v>
      </c>
      <c r="H757" s="17" t="str">
        <f t="shared" si="33"/>
        <v>Fail</v>
      </c>
      <c r="I757" s="17">
        <v>31.54</v>
      </c>
      <c r="J757" s="17" t="s">
        <v>2486</v>
      </c>
      <c r="K757" s="17">
        <v>0</v>
      </c>
      <c r="L757" s="17">
        <v>120</v>
      </c>
      <c r="M757" s="18">
        <f>Raw_LIMS_Export!K757</f>
        <v>45622</v>
      </c>
      <c r="N757" s="19" t="s">
        <v>2925</v>
      </c>
    </row>
    <row r="758" spans="1:14" x14ac:dyDescent="0.35">
      <c r="A758" s="16" t="s">
        <v>765</v>
      </c>
      <c r="B758" s="17" t="s">
        <v>2374</v>
      </c>
      <c r="C758" s="17" t="s">
        <v>2460</v>
      </c>
      <c r="D758" s="17" t="str">
        <f>_xlfn.XLOOKUP(Raw_LIMS_Export!E758,'mapping Site table'!$B$4:$B$14,'mapping Site table'!$C$4:$C$14,Raw_LIMS_Export!E758)</f>
        <v>Ashford UK</v>
      </c>
      <c r="E758" s="17" t="s">
        <v>2482</v>
      </c>
      <c r="F758" s="17">
        <f t="shared" si="34"/>
        <v>1</v>
      </c>
      <c r="G758" s="17" t="str">
        <f t="shared" si="35"/>
        <v>Pass</v>
      </c>
      <c r="H758" s="17" t="str">
        <f t="shared" si="33"/>
        <v>Fail</v>
      </c>
      <c r="I758" s="17">
        <v>98.88</v>
      </c>
      <c r="J758" s="17" t="s">
        <v>2489</v>
      </c>
      <c r="K758" s="17">
        <v>97</v>
      </c>
      <c r="L758" s="17">
        <v>100</v>
      </c>
      <c r="M758" s="18">
        <f>Raw_LIMS_Export!K758</f>
        <v>45494</v>
      </c>
      <c r="N758" s="19" t="s">
        <v>2923</v>
      </c>
    </row>
    <row r="759" spans="1:14" x14ac:dyDescent="0.35">
      <c r="A759" s="16" t="s">
        <v>766</v>
      </c>
      <c r="B759" s="17" t="s">
        <v>2132</v>
      </c>
      <c r="C759" s="17" t="s">
        <v>2457</v>
      </c>
      <c r="D759" s="17" t="str">
        <f>_xlfn.XLOOKUP(Raw_LIMS_Export!E759,'mapping Site table'!$B$4:$B$14,'mapping Site table'!$C$4:$C$14,Raw_LIMS_Export!E759)</f>
        <v>Budapest</v>
      </c>
      <c r="E759" s="17" t="s">
        <v>2481</v>
      </c>
      <c r="F759" s="17">
        <f t="shared" si="34"/>
        <v>1</v>
      </c>
      <c r="G759" s="17" t="str">
        <f t="shared" si="35"/>
        <v>Pass</v>
      </c>
      <c r="H759" s="17" t="str">
        <f t="shared" si="33"/>
        <v>Fail</v>
      </c>
      <c r="I759" s="17">
        <v>210.78</v>
      </c>
      <c r="J759" s="17" t="s">
        <v>2488</v>
      </c>
      <c r="K759" s="17">
        <v>150</v>
      </c>
      <c r="L759" s="17">
        <v>400</v>
      </c>
      <c r="M759" s="18">
        <f>Raw_LIMS_Export!K759</f>
        <v>45493</v>
      </c>
      <c r="N759" s="19" t="s">
        <v>2932</v>
      </c>
    </row>
    <row r="760" spans="1:14" x14ac:dyDescent="0.35">
      <c r="A760" s="16" t="s">
        <v>767</v>
      </c>
      <c r="B760" s="17" t="s">
        <v>2320</v>
      </c>
      <c r="C760" s="17" t="s">
        <v>2457</v>
      </c>
      <c r="D760" s="17" t="str">
        <f>_xlfn.XLOOKUP(Raw_LIMS_Export!E760,'mapping Site table'!$B$4:$B$14,'mapping Site table'!$C$4:$C$14,Raw_LIMS_Export!E760)</f>
        <v>East Hanover</v>
      </c>
      <c r="E760" s="17" t="s">
        <v>2479</v>
      </c>
      <c r="F760" s="17">
        <f t="shared" si="34"/>
        <v>1</v>
      </c>
      <c r="G760" s="17" t="str">
        <f t="shared" si="35"/>
        <v>Pass</v>
      </c>
      <c r="H760" s="17" t="str">
        <f t="shared" si="33"/>
        <v>Pass</v>
      </c>
      <c r="I760" s="17">
        <v>55.88</v>
      </c>
      <c r="J760" s="17" t="s">
        <v>2486</v>
      </c>
      <c r="K760" s="17">
        <v>0</v>
      </c>
      <c r="L760" s="17">
        <v>120</v>
      </c>
      <c r="M760" s="18">
        <f>Raw_LIMS_Export!K760</f>
        <v>45595</v>
      </c>
      <c r="N760" s="19" t="s">
        <v>2927</v>
      </c>
    </row>
    <row r="761" spans="1:14" x14ac:dyDescent="0.35">
      <c r="A761" s="16" t="s">
        <v>768</v>
      </c>
      <c r="B761" s="17" t="s">
        <v>2378</v>
      </c>
      <c r="C761" s="17" t="s">
        <v>2457</v>
      </c>
      <c r="D761" s="17" t="str">
        <f>_xlfn.XLOOKUP(Raw_LIMS_Export!E761,'mapping Site table'!$B$4:$B$14,'mapping Site table'!$C$4:$C$14,Raw_LIMS_Export!E761)</f>
        <v>East Hanover</v>
      </c>
      <c r="E761" s="17" t="s">
        <v>2479</v>
      </c>
      <c r="F761" s="17">
        <f t="shared" si="34"/>
        <v>1</v>
      </c>
      <c r="G761" s="17" t="str">
        <f t="shared" si="35"/>
        <v>Pass</v>
      </c>
      <c r="H761" s="17" t="str">
        <f t="shared" si="33"/>
        <v>Pass</v>
      </c>
      <c r="I761" s="17">
        <v>47.16</v>
      </c>
      <c r="J761" s="17" t="s">
        <v>2486</v>
      </c>
      <c r="K761" s="17">
        <v>0</v>
      </c>
      <c r="L761" s="17">
        <v>120</v>
      </c>
      <c r="M761" s="18">
        <f>Raw_LIMS_Export!K761</f>
        <v>45394</v>
      </c>
      <c r="N761" s="19" t="s">
        <v>2926</v>
      </c>
    </row>
    <row r="762" spans="1:14" x14ac:dyDescent="0.35">
      <c r="A762" s="16" t="s">
        <v>769</v>
      </c>
      <c r="B762" s="17" t="s">
        <v>2098</v>
      </c>
      <c r="C762" s="17" t="s">
        <v>2460</v>
      </c>
      <c r="D762" s="17" t="str">
        <f>_xlfn.XLOOKUP(Raw_LIMS_Export!E762,'mapping Site table'!$B$4:$B$14,'mapping Site table'!$C$4:$C$14,Raw_LIMS_Export!E762)</f>
        <v>East Hanover</v>
      </c>
      <c r="E762" s="17" t="s">
        <v>2481</v>
      </c>
      <c r="F762" s="17">
        <f t="shared" si="34"/>
        <v>1</v>
      </c>
      <c r="G762" s="17" t="str">
        <f t="shared" si="35"/>
        <v>Pass</v>
      </c>
      <c r="H762" s="17" t="str">
        <f t="shared" si="33"/>
        <v>Pass</v>
      </c>
      <c r="I762" s="17">
        <v>266.58</v>
      </c>
      <c r="J762" s="17" t="s">
        <v>2488</v>
      </c>
      <c r="K762" s="17">
        <v>150</v>
      </c>
      <c r="L762" s="17">
        <v>400</v>
      </c>
      <c r="M762" s="18">
        <f>Raw_LIMS_Export!K762</f>
        <v>45460</v>
      </c>
      <c r="N762" s="19" t="s">
        <v>2929</v>
      </c>
    </row>
    <row r="763" spans="1:14" x14ac:dyDescent="0.35">
      <c r="A763" s="16" t="s">
        <v>770</v>
      </c>
      <c r="B763" s="17" t="s">
        <v>2402</v>
      </c>
      <c r="C763" s="17" t="s">
        <v>2461</v>
      </c>
      <c r="D763" s="17" t="str">
        <f>_xlfn.XLOOKUP(Raw_LIMS_Export!E763,'mapping Site table'!$B$4:$B$14,'mapping Site table'!$C$4:$C$14,Raw_LIMS_Export!E763)</f>
        <v>East Hanover</v>
      </c>
      <c r="E763" s="17" t="s">
        <v>2484</v>
      </c>
      <c r="F763" s="17">
        <f t="shared" si="34"/>
        <v>1</v>
      </c>
      <c r="G763" s="17" t="str">
        <f t="shared" si="35"/>
        <v>Pass</v>
      </c>
      <c r="H763" s="17" t="str">
        <f t="shared" si="33"/>
        <v>Fail</v>
      </c>
      <c r="I763" s="17">
        <v>7.23</v>
      </c>
      <c r="J763" s="17"/>
      <c r="K763" s="17">
        <v>6</v>
      </c>
      <c r="L763" s="17">
        <v>7.5</v>
      </c>
      <c r="M763" s="18">
        <f>Raw_LIMS_Export!K763</f>
        <v>45479</v>
      </c>
      <c r="N763" s="19" t="s">
        <v>2924</v>
      </c>
    </row>
    <row r="764" spans="1:14" x14ac:dyDescent="0.35">
      <c r="A764" s="16" t="s">
        <v>771</v>
      </c>
      <c r="B764" s="17" t="s">
        <v>2080</v>
      </c>
      <c r="C764" s="17" t="s">
        <v>2457</v>
      </c>
      <c r="D764" s="17" t="str">
        <f>_xlfn.XLOOKUP(Raw_LIMS_Export!E764,'mapping Site table'!$B$4:$B$14,'mapping Site table'!$C$4:$C$14,Raw_LIMS_Export!E764)</f>
        <v>Budapest</v>
      </c>
      <c r="E764" s="17" t="s">
        <v>2485</v>
      </c>
      <c r="F764" s="17">
        <f t="shared" si="34"/>
        <v>1</v>
      </c>
      <c r="G764" s="17" t="str">
        <f t="shared" si="35"/>
        <v>Pass</v>
      </c>
      <c r="H764" s="17" t="str">
        <f t="shared" si="33"/>
        <v>Pending</v>
      </c>
      <c r="I764" s="17">
        <v>18.23</v>
      </c>
      <c r="J764" s="17" t="s">
        <v>2490</v>
      </c>
      <c r="K764" s="17">
        <v>0</v>
      </c>
      <c r="L764" s="17">
        <v>100</v>
      </c>
      <c r="M764" s="18">
        <f>Raw_LIMS_Export!K764</f>
        <v>45304</v>
      </c>
      <c r="N764" s="19" t="s">
        <v>2924</v>
      </c>
    </row>
    <row r="765" spans="1:14" x14ac:dyDescent="0.35">
      <c r="A765" s="16" t="s">
        <v>772</v>
      </c>
      <c r="B765" s="17" t="s">
        <v>2255</v>
      </c>
      <c r="C765" s="17" t="s">
        <v>2457</v>
      </c>
      <c r="D765" s="17" t="str">
        <f>_xlfn.XLOOKUP(Raw_LIMS_Export!E765,'mapping Site table'!$B$4:$B$14,'mapping Site table'!$C$4:$C$14,Raw_LIMS_Export!E765)</f>
        <v>Ashford UK</v>
      </c>
      <c r="E765" s="17" t="s">
        <v>2482</v>
      </c>
      <c r="F765" s="17">
        <f t="shared" si="34"/>
        <v>1</v>
      </c>
      <c r="G765" s="17" t="str">
        <f t="shared" si="35"/>
        <v>Pass</v>
      </c>
      <c r="H765" s="17" t="str">
        <f t="shared" si="33"/>
        <v>Pass</v>
      </c>
      <c r="I765" s="17">
        <v>98.13</v>
      </c>
      <c r="J765" s="17" t="s">
        <v>2489</v>
      </c>
      <c r="K765" s="17">
        <v>97</v>
      </c>
      <c r="L765" s="17">
        <v>100</v>
      </c>
      <c r="M765" s="18">
        <f>Raw_LIMS_Export!K765</f>
        <v>45451</v>
      </c>
      <c r="N765" s="19" t="s">
        <v>2924</v>
      </c>
    </row>
    <row r="766" spans="1:14" x14ac:dyDescent="0.35">
      <c r="A766" s="16" t="s">
        <v>773</v>
      </c>
      <c r="B766" s="17" t="s">
        <v>2220</v>
      </c>
      <c r="C766" s="17" t="s">
        <v>2457</v>
      </c>
      <c r="D766" s="17" t="str">
        <f>_xlfn.XLOOKUP(Raw_LIMS_Export!E766,'mapping Site table'!$B$4:$B$14,'mapping Site table'!$C$4:$C$14,Raw_LIMS_Export!E766)</f>
        <v>Vernier CH</v>
      </c>
      <c r="E766" s="17" t="s">
        <v>2480</v>
      </c>
      <c r="F766" s="17">
        <f t="shared" si="34"/>
        <v>1</v>
      </c>
      <c r="G766" s="17" t="str">
        <f t="shared" si="35"/>
        <v>Pass</v>
      </c>
      <c r="H766" s="17" t="str">
        <f t="shared" si="33"/>
        <v>Pass</v>
      </c>
      <c r="I766" s="17">
        <v>0.88</v>
      </c>
      <c r="J766" s="17" t="s">
        <v>2487</v>
      </c>
      <c r="K766" s="17">
        <v>0.88</v>
      </c>
      <c r="L766" s="17">
        <v>0.97</v>
      </c>
      <c r="M766" s="18">
        <f>Raw_LIMS_Export!K766</f>
        <v>45889</v>
      </c>
      <c r="N766" s="19" t="s">
        <v>2926</v>
      </c>
    </row>
    <row r="767" spans="1:14" x14ac:dyDescent="0.35">
      <c r="A767" s="16" t="s">
        <v>774</v>
      </c>
      <c r="B767" s="17" t="s">
        <v>2136</v>
      </c>
      <c r="C767" s="17" t="s">
        <v>2458</v>
      </c>
      <c r="D767" s="17" t="str">
        <f>_xlfn.XLOOKUP(Raw_LIMS_Export!E767,'mapping Site table'!$B$4:$B$14,'mapping Site table'!$C$4:$C$14,Raw_LIMS_Export!E767)</f>
        <v>Dortmund DE</v>
      </c>
      <c r="E767" s="17" t="s">
        <v>2479</v>
      </c>
      <c r="F767" s="17">
        <f t="shared" si="34"/>
        <v>0</v>
      </c>
      <c r="G767" s="17" t="str">
        <f t="shared" si="35"/>
        <v>Missing</v>
      </c>
      <c r="H767" s="17" t="str">
        <f t="shared" si="33"/>
        <v>Pending</v>
      </c>
      <c r="I767" s="17"/>
      <c r="J767" s="17" t="s">
        <v>2486</v>
      </c>
      <c r="K767" s="17">
        <v>0</v>
      </c>
      <c r="L767" s="17">
        <v>120</v>
      </c>
      <c r="M767" s="18">
        <f>Raw_LIMS_Export!K767</f>
        <v>45534</v>
      </c>
      <c r="N767" s="19" t="s">
        <v>2926</v>
      </c>
    </row>
    <row r="768" spans="1:14" x14ac:dyDescent="0.35">
      <c r="A768" s="16" t="s">
        <v>775</v>
      </c>
      <c r="B768" s="17" t="s">
        <v>2023</v>
      </c>
      <c r="C768" s="17" t="s">
        <v>2460</v>
      </c>
      <c r="D768" s="17" t="str">
        <f>_xlfn.XLOOKUP(Raw_LIMS_Export!E768,'mapping Site table'!$B$4:$B$14,'mapping Site table'!$C$4:$C$14,Raw_LIMS_Export!E768)</f>
        <v>East Hanover</v>
      </c>
      <c r="E768" s="17" t="s">
        <v>2485</v>
      </c>
      <c r="F768" s="17">
        <f t="shared" si="34"/>
        <v>1</v>
      </c>
      <c r="G768" s="17" t="str">
        <f t="shared" si="35"/>
        <v>Pass</v>
      </c>
      <c r="H768" s="17" t="str">
        <f t="shared" si="33"/>
        <v>Pass</v>
      </c>
      <c r="I768" s="17">
        <v>44.47</v>
      </c>
      <c r="J768" s="17" t="s">
        <v>2490</v>
      </c>
      <c r="K768" s="17">
        <v>0</v>
      </c>
      <c r="L768" s="17">
        <v>100</v>
      </c>
      <c r="M768" s="18">
        <f>Raw_LIMS_Export!K768</f>
        <v>46016</v>
      </c>
      <c r="N768" s="19" t="s">
        <v>2923</v>
      </c>
    </row>
    <row r="769" spans="1:14" x14ac:dyDescent="0.35">
      <c r="A769" s="16" t="s">
        <v>776</v>
      </c>
      <c r="B769" s="17" t="s">
        <v>2075</v>
      </c>
      <c r="C769" s="17" t="s">
        <v>2461</v>
      </c>
      <c r="D769" s="17" t="str">
        <f>_xlfn.XLOOKUP(Raw_LIMS_Export!E769,'mapping Site table'!$B$4:$B$14,'mapping Site table'!$C$4:$C$14,Raw_LIMS_Export!E769)</f>
        <v>Budapest</v>
      </c>
      <c r="E769" s="17" t="s">
        <v>2482</v>
      </c>
      <c r="F769" s="17">
        <f t="shared" si="34"/>
        <v>1</v>
      </c>
      <c r="G769" s="17" t="str">
        <f t="shared" si="35"/>
        <v>Pass</v>
      </c>
      <c r="H769" s="17" t="str">
        <f t="shared" si="33"/>
        <v>Pass</v>
      </c>
      <c r="I769" s="17">
        <v>98.79</v>
      </c>
      <c r="J769" s="17" t="s">
        <v>2489</v>
      </c>
      <c r="K769" s="17">
        <v>97</v>
      </c>
      <c r="L769" s="17">
        <v>100</v>
      </c>
      <c r="M769" s="18">
        <f>Raw_LIMS_Export!K769</f>
        <v>45686</v>
      </c>
      <c r="N769" s="19" t="s">
        <v>2923</v>
      </c>
    </row>
    <row r="770" spans="1:14" x14ac:dyDescent="0.35">
      <c r="A770" s="16" t="s">
        <v>777</v>
      </c>
      <c r="B770" s="17" t="s">
        <v>2398</v>
      </c>
      <c r="C770" s="17" t="s">
        <v>2461</v>
      </c>
      <c r="D770" s="17" t="str">
        <f>_xlfn.XLOOKUP(Raw_LIMS_Export!E770,'mapping Site table'!$B$4:$B$14,'mapping Site table'!$C$4:$C$14,Raw_LIMS_Export!E770)</f>
        <v>Dortmund DE</v>
      </c>
      <c r="E770" s="17" t="s">
        <v>2482</v>
      </c>
      <c r="F770" s="17">
        <f t="shared" si="34"/>
        <v>1</v>
      </c>
      <c r="G770" s="17" t="str">
        <f t="shared" si="35"/>
        <v>Pass</v>
      </c>
      <c r="H770" s="17" t="str">
        <f t="shared" ref="H770:H833" si="36">IF(COUNTIFS($B$2:$B$2016,B770,$G$2:$G$2016,"Fail")&gt;0,"Fail",
  IF(COUNTIFS($B$2:$B$2016,B770,$G$2:$G$2016,"Missing")&gt;0,"Pending",
    "Pass"))</f>
        <v>Pass</v>
      </c>
      <c r="I770" s="17">
        <v>98.95</v>
      </c>
      <c r="J770" s="17" t="s">
        <v>2489</v>
      </c>
      <c r="K770" s="17">
        <v>97</v>
      </c>
      <c r="L770" s="17">
        <v>100</v>
      </c>
      <c r="M770" s="18">
        <f>Raw_LIMS_Export!K770</f>
        <v>45965</v>
      </c>
      <c r="N770" s="19" t="s">
        <v>2923</v>
      </c>
    </row>
    <row r="771" spans="1:14" x14ac:dyDescent="0.35">
      <c r="A771" s="16" t="s">
        <v>778</v>
      </c>
      <c r="B771" s="17" t="s">
        <v>2224</v>
      </c>
      <c r="C771" s="17" t="s">
        <v>2460</v>
      </c>
      <c r="D771" s="17" t="str">
        <f>_xlfn.XLOOKUP(Raw_LIMS_Export!E771,'mapping Site table'!$B$4:$B$14,'mapping Site table'!$C$4:$C$14,Raw_LIMS_Export!E771)</f>
        <v>East Hanover</v>
      </c>
      <c r="E771" s="17" t="s">
        <v>2484</v>
      </c>
      <c r="F771" s="17">
        <f t="shared" ref="F771:F834" si="37">IF(I771="",0,1)</f>
        <v>1</v>
      </c>
      <c r="G771" s="17" t="str">
        <f t="shared" ref="G771:G834" si="38">IF(I771="", "Missing", IF(AND(I771&gt;=K771, I771&lt;=L771), "Pass", "Fail"))</f>
        <v>Pass</v>
      </c>
      <c r="H771" s="17" t="str">
        <f t="shared" si="36"/>
        <v>Pass</v>
      </c>
      <c r="I771" s="17">
        <v>6.78</v>
      </c>
      <c r="J771" s="17"/>
      <c r="K771" s="17">
        <v>6</v>
      </c>
      <c r="L771" s="17">
        <v>7.5</v>
      </c>
      <c r="M771" s="18">
        <f>Raw_LIMS_Export!K771</f>
        <v>45831</v>
      </c>
      <c r="N771" s="19" t="s">
        <v>2926</v>
      </c>
    </row>
    <row r="772" spans="1:14" x14ac:dyDescent="0.35">
      <c r="A772" s="16" t="s">
        <v>779</v>
      </c>
      <c r="B772" s="17" t="s">
        <v>2352</v>
      </c>
      <c r="C772" s="17" t="s">
        <v>2457</v>
      </c>
      <c r="D772" s="17" t="str">
        <f>_xlfn.XLOOKUP(Raw_LIMS_Export!E772,'mapping Site table'!$B$4:$B$14,'mapping Site table'!$C$4:$C$14,Raw_LIMS_Export!E772)</f>
        <v>Dortmund DE</v>
      </c>
      <c r="E772" s="17" t="s">
        <v>2485</v>
      </c>
      <c r="F772" s="17">
        <f t="shared" si="37"/>
        <v>1</v>
      </c>
      <c r="G772" s="17" t="str">
        <f t="shared" si="38"/>
        <v>Fail</v>
      </c>
      <c r="H772" s="17" t="str">
        <f t="shared" si="36"/>
        <v>Fail</v>
      </c>
      <c r="I772" s="17">
        <v>-11.03</v>
      </c>
      <c r="J772" s="17" t="s">
        <v>2490</v>
      </c>
      <c r="K772" s="17">
        <v>0</v>
      </c>
      <c r="L772" s="17">
        <v>100</v>
      </c>
      <c r="M772" s="18">
        <f>Raw_LIMS_Export!K772</f>
        <v>45416</v>
      </c>
      <c r="N772" s="19" t="s">
        <v>2929</v>
      </c>
    </row>
    <row r="773" spans="1:14" x14ac:dyDescent="0.35">
      <c r="A773" s="16" t="s">
        <v>780</v>
      </c>
      <c r="B773" s="17" t="s">
        <v>2273</v>
      </c>
      <c r="C773" s="17" t="s">
        <v>2459</v>
      </c>
      <c r="D773" s="17" t="str">
        <f>_xlfn.XLOOKUP(Raw_LIMS_Export!E773,'mapping Site table'!$B$4:$B$14,'mapping Site table'!$C$4:$C$14,Raw_LIMS_Export!E773)</f>
        <v>Budapest</v>
      </c>
      <c r="E773" s="17" t="s">
        <v>2479</v>
      </c>
      <c r="F773" s="17">
        <f t="shared" si="37"/>
        <v>1</v>
      </c>
      <c r="G773" s="17" t="str">
        <f t="shared" si="38"/>
        <v>Pass</v>
      </c>
      <c r="H773" s="17" t="str">
        <f t="shared" si="36"/>
        <v>Pass</v>
      </c>
      <c r="I773" s="17">
        <v>55.99</v>
      </c>
      <c r="J773" s="17" t="s">
        <v>2486</v>
      </c>
      <c r="K773" s="17">
        <v>0</v>
      </c>
      <c r="L773" s="17">
        <v>120</v>
      </c>
      <c r="M773" s="18">
        <f>Raw_LIMS_Export!K773</f>
        <v>45657</v>
      </c>
      <c r="N773" s="19" t="s">
        <v>2923</v>
      </c>
    </row>
    <row r="774" spans="1:14" x14ac:dyDescent="0.35">
      <c r="A774" s="16" t="s">
        <v>781</v>
      </c>
      <c r="B774" s="17" t="s">
        <v>2395</v>
      </c>
      <c r="C774" s="17" t="s">
        <v>2457</v>
      </c>
      <c r="D774" s="17" t="str">
        <f>_xlfn.XLOOKUP(Raw_LIMS_Export!E774,'mapping Site table'!$B$4:$B$14,'mapping Site table'!$C$4:$C$14,Raw_LIMS_Export!E774)</f>
        <v>Budapest</v>
      </c>
      <c r="E774" s="17" t="s">
        <v>2484</v>
      </c>
      <c r="F774" s="17">
        <f t="shared" si="37"/>
        <v>1</v>
      </c>
      <c r="G774" s="17" t="str">
        <f t="shared" si="38"/>
        <v>Pass</v>
      </c>
      <c r="H774" s="17" t="str">
        <f t="shared" si="36"/>
        <v>Pass</v>
      </c>
      <c r="I774" s="17">
        <v>6.74</v>
      </c>
      <c r="J774" s="17"/>
      <c r="K774" s="17">
        <v>6</v>
      </c>
      <c r="L774" s="17">
        <v>7.5</v>
      </c>
      <c r="M774" s="18">
        <f>Raw_LIMS_Export!K774</f>
        <v>45737</v>
      </c>
      <c r="N774" s="19" t="s">
        <v>2926</v>
      </c>
    </row>
    <row r="775" spans="1:14" x14ac:dyDescent="0.35">
      <c r="A775" s="16" t="s">
        <v>782</v>
      </c>
      <c r="B775" s="17" t="s">
        <v>2349</v>
      </c>
      <c r="C775" s="17" t="s">
        <v>2461</v>
      </c>
      <c r="D775" s="17" t="str">
        <f>_xlfn.XLOOKUP(Raw_LIMS_Export!E775,'mapping Site table'!$B$4:$B$14,'mapping Site table'!$C$4:$C$14,Raw_LIMS_Export!E775)</f>
        <v>East Hanover</v>
      </c>
      <c r="E775" s="17" t="s">
        <v>2483</v>
      </c>
      <c r="F775" s="17">
        <f t="shared" si="37"/>
        <v>1</v>
      </c>
      <c r="G775" s="17" t="str">
        <f t="shared" si="38"/>
        <v>Pass</v>
      </c>
      <c r="H775" s="17" t="str">
        <f t="shared" si="36"/>
        <v>Pass</v>
      </c>
      <c r="I775" s="17">
        <v>0.25</v>
      </c>
      <c r="J775" s="17" t="s">
        <v>2489</v>
      </c>
      <c r="K775" s="17">
        <v>0</v>
      </c>
      <c r="L775" s="17">
        <v>1</v>
      </c>
      <c r="M775" s="18">
        <f>Raw_LIMS_Export!K775</f>
        <v>45451</v>
      </c>
      <c r="N775" s="19" t="s">
        <v>2925</v>
      </c>
    </row>
    <row r="776" spans="1:14" x14ac:dyDescent="0.35">
      <c r="A776" s="16" t="s">
        <v>783</v>
      </c>
      <c r="B776" s="17" t="s">
        <v>2403</v>
      </c>
      <c r="C776" s="17" t="s">
        <v>2460</v>
      </c>
      <c r="D776" s="17" t="str">
        <f>_xlfn.XLOOKUP(Raw_LIMS_Export!E776,'mapping Site table'!$B$4:$B$14,'mapping Site table'!$C$4:$C$14,Raw_LIMS_Export!E776)</f>
        <v>East Hanover</v>
      </c>
      <c r="E776" s="17" t="s">
        <v>2481</v>
      </c>
      <c r="F776" s="17">
        <f t="shared" si="37"/>
        <v>1</v>
      </c>
      <c r="G776" s="17" t="str">
        <f t="shared" si="38"/>
        <v>Pass</v>
      </c>
      <c r="H776" s="17" t="str">
        <f t="shared" si="36"/>
        <v>Pass</v>
      </c>
      <c r="I776" s="17">
        <v>231.78</v>
      </c>
      <c r="J776" s="17" t="s">
        <v>2488</v>
      </c>
      <c r="K776" s="17">
        <v>150</v>
      </c>
      <c r="L776" s="17">
        <v>400</v>
      </c>
      <c r="M776" s="18">
        <f>Raw_LIMS_Export!K776</f>
        <v>45567</v>
      </c>
      <c r="N776" s="19" t="s">
        <v>2927</v>
      </c>
    </row>
    <row r="777" spans="1:14" x14ac:dyDescent="0.35">
      <c r="A777" s="16" t="s">
        <v>784</v>
      </c>
      <c r="B777" s="17" t="s">
        <v>2389</v>
      </c>
      <c r="C777" s="17" t="s">
        <v>2460</v>
      </c>
      <c r="D777" s="17" t="str">
        <f>_xlfn.XLOOKUP(Raw_LIMS_Export!E777,'mapping Site table'!$B$4:$B$14,'mapping Site table'!$C$4:$C$14,Raw_LIMS_Export!E777)</f>
        <v>Dortmund DE</v>
      </c>
      <c r="E777" s="17" t="s">
        <v>2485</v>
      </c>
      <c r="F777" s="17">
        <f t="shared" si="37"/>
        <v>1</v>
      </c>
      <c r="G777" s="17" t="str">
        <f t="shared" si="38"/>
        <v>Pass</v>
      </c>
      <c r="H777" s="17" t="str">
        <f t="shared" si="36"/>
        <v>Pass</v>
      </c>
      <c r="I777" s="17">
        <v>57.09</v>
      </c>
      <c r="J777" s="17" t="s">
        <v>2490</v>
      </c>
      <c r="K777" s="17">
        <v>0</v>
      </c>
      <c r="L777" s="17">
        <v>100</v>
      </c>
      <c r="M777" s="18">
        <f>Raw_LIMS_Export!K777</f>
        <v>45546</v>
      </c>
      <c r="N777" s="19" t="s">
        <v>2926</v>
      </c>
    </row>
    <row r="778" spans="1:14" x14ac:dyDescent="0.35">
      <c r="A778" s="16" t="s">
        <v>785</v>
      </c>
      <c r="B778" s="17" t="s">
        <v>2404</v>
      </c>
      <c r="C778" s="17" t="s">
        <v>2458</v>
      </c>
      <c r="D778" s="17" t="str">
        <f>_xlfn.XLOOKUP(Raw_LIMS_Export!E778,'mapping Site table'!$B$4:$B$14,'mapping Site table'!$C$4:$C$14,Raw_LIMS_Export!E778)</f>
        <v>Dortmund DE</v>
      </c>
      <c r="E778" s="17" t="s">
        <v>2485</v>
      </c>
      <c r="F778" s="17">
        <f t="shared" si="37"/>
        <v>1</v>
      </c>
      <c r="G778" s="17" t="str">
        <f t="shared" si="38"/>
        <v>Pass</v>
      </c>
      <c r="H778" s="17" t="str">
        <f t="shared" si="36"/>
        <v>Pass</v>
      </c>
      <c r="I778" s="17">
        <v>16.03</v>
      </c>
      <c r="J778" s="17" t="s">
        <v>2490</v>
      </c>
      <c r="K778" s="17">
        <v>0</v>
      </c>
      <c r="L778" s="17">
        <v>100</v>
      </c>
      <c r="M778" s="18">
        <f>Raw_LIMS_Export!K778</f>
        <v>45368</v>
      </c>
      <c r="N778" s="19" t="s">
        <v>2927</v>
      </c>
    </row>
    <row r="779" spans="1:14" x14ac:dyDescent="0.35">
      <c r="A779" s="16" t="s">
        <v>786</v>
      </c>
      <c r="B779" s="17" t="s">
        <v>2332</v>
      </c>
      <c r="C779" s="17" t="s">
        <v>2461</v>
      </c>
      <c r="D779" s="17" t="str">
        <f>_xlfn.XLOOKUP(Raw_LIMS_Export!E779,'mapping Site table'!$B$4:$B$14,'mapping Site table'!$C$4:$C$14,Raw_LIMS_Export!E779)</f>
        <v>Ashford UK</v>
      </c>
      <c r="E779" s="17" t="s">
        <v>2484</v>
      </c>
      <c r="F779" s="17">
        <f t="shared" si="37"/>
        <v>1</v>
      </c>
      <c r="G779" s="17" t="str">
        <f t="shared" si="38"/>
        <v>Pass</v>
      </c>
      <c r="H779" s="17" t="str">
        <f t="shared" si="36"/>
        <v>Pending</v>
      </c>
      <c r="I779" s="17">
        <v>6.35</v>
      </c>
      <c r="J779" s="17"/>
      <c r="K779" s="17">
        <v>6</v>
      </c>
      <c r="L779" s="17">
        <v>7.5</v>
      </c>
      <c r="M779" s="18">
        <f>Raw_LIMS_Export!K779</f>
        <v>45649</v>
      </c>
      <c r="N779" s="19" t="s">
        <v>2930</v>
      </c>
    </row>
    <row r="780" spans="1:14" x14ac:dyDescent="0.35">
      <c r="A780" s="16" t="s">
        <v>787</v>
      </c>
      <c r="B780" s="17" t="s">
        <v>2201</v>
      </c>
      <c r="C780" s="17" t="s">
        <v>2460</v>
      </c>
      <c r="D780" s="17" t="str">
        <f>_xlfn.XLOOKUP(Raw_LIMS_Export!E780,'mapping Site table'!$B$4:$B$14,'mapping Site table'!$C$4:$C$14,Raw_LIMS_Export!E780)</f>
        <v>Ashford UK</v>
      </c>
      <c r="E780" s="17" t="s">
        <v>2481</v>
      </c>
      <c r="F780" s="17">
        <f t="shared" si="37"/>
        <v>1</v>
      </c>
      <c r="G780" s="17" t="str">
        <f t="shared" si="38"/>
        <v>Pass</v>
      </c>
      <c r="H780" s="17" t="str">
        <f t="shared" si="36"/>
        <v>Pass</v>
      </c>
      <c r="I780" s="17">
        <v>289.41000000000003</v>
      </c>
      <c r="J780" s="17" t="s">
        <v>2488</v>
      </c>
      <c r="K780" s="17">
        <v>150</v>
      </c>
      <c r="L780" s="17">
        <v>400</v>
      </c>
      <c r="M780" s="18">
        <f>Raw_LIMS_Export!K780</f>
        <v>45947</v>
      </c>
      <c r="N780" s="19" t="s">
        <v>2928</v>
      </c>
    </row>
    <row r="781" spans="1:14" x14ac:dyDescent="0.35">
      <c r="A781" s="16" t="s">
        <v>788</v>
      </c>
      <c r="B781" s="17" t="s">
        <v>2405</v>
      </c>
      <c r="C781" s="17" t="s">
        <v>2457</v>
      </c>
      <c r="D781" s="17" t="str">
        <f>_xlfn.XLOOKUP(Raw_LIMS_Export!E781,'mapping Site table'!$B$4:$B$14,'mapping Site table'!$C$4:$C$14,Raw_LIMS_Export!E781)</f>
        <v>East Hanover</v>
      </c>
      <c r="E781" s="17" t="s">
        <v>2481</v>
      </c>
      <c r="F781" s="17">
        <f t="shared" si="37"/>
        <v>1</v>
      </c>
      <c r="G781" s="17" t="str">
        <f t="shared" si="38"/>
        <v>Pass</v>
      </c>
      <c r="H781" s="17" t="str">
        <f t="shared" si="36"/>
        <v>Pass</v>
      </c>
      <c r="I781" s="17">
        <v>272.42</v>
      </c>
      <c r="J781" s="17" t="s">
        <v>2488</v>
      </c>
      <c r="K781" s="17">
        <v>150</v>
      </c>
      <c r="L781" s="17">
        <v>400</v>
      </c>
      <c r="M781" s="18">
        <f>Raw_LIMS_Export!K781</f>
        <v>45926</v>
      </c>
      <c r="N781" s="19" t="s">
        <v>2931</v>
      </c>
    </row>
    <row r="782" spans="1:14" x14ac:dyDescent="0.35">
      <c r="A782" s="16" t="s">
        <v>789</v>
      </c>
      <c r="B782" s="17" t="s">
        <v>2357</v>
      </c>
      <c r="C782" s="17" t="s">
        <v>2459</v>
      </c>
      <c r="D782" s="17" t="str">
        <f>_xlfn.XLOOKUP(Raw_LIMS_Export!E782,'mapping Site table'!$B$4:$B$14,'mapping Site table'!$C$4:$C$14,Raw_LIMS_Export!E782)</f>
        <v>Ashford UK</v>
      </c>
      <c r="E782" s="17" t="s">
        <v>2481</v>
      </c>
      <c r="F782" s="17">
        <f t="shared" si="37"/>
        <v>1</v>
      </c>
      <c r="G782" s="17" t="str">
        <f t="shared" si="38"/>
        <v>Pass</v>
      </c>
      <c r="H782" s="17" t="str">
        <f t="shared" si="36"/>
        <v>Fail</v>
      </c>
      <c r="I782" s="17">
        <v>217.55</v>
      </c>
      <c r="J782" s="17" t="s">
        <v>2488</v>
      </c>
      <c r="K782" s="17">
        <v>150</v>
      </c>
      <c r="L782" s="17">
        <v>400</v>
      </c>
      <c r="M782" s="18">
        <f>Raw_LIMS_Export!K782</f>
        <v>45388</v>
      </c>
      <c r="N782" s="19" t="s">
        <v>2925</v>
      </c>
    </row>
    <row r="783" spans="1:14" x14ac:dyDescent="0.35">
      <c r="A783" s="16" t="s">
        <v>790</v>
      </c>
      <c r="B783" s="17" t="s">
        <v>2194</v>
      </c>
      <c r="C783" s="17" t="s">
        <v>2457</v>
      </c>
      <c r="D783" s="17" t="str">
        <f>_xlfn.XLOOKUP(Raw_LIMS_Export!E783,'mapping Site table'!$B$4:$B$14,'mapping Site table'!$C$4:$C$14,Raw_LIMS_Export!E783)</f>
        <v>Budapest</v>
      </c>
      <c r="E783" s="17" t="s">
        <v>2484</v>
      </c>
      <c r="F783" s="17">
        <f t="shared" si="37"/>
        <v>0</v>
      </c>
      <c r="G783" s="17" t="str">
        <f t="shared" si="38"/>
        <v>Missing</v>
      </c>
      <c r="H783" s="17" t="str">
        <f t="shared" si="36"/>
        <v>Pending</v>
      </c>
      <c r="I783" s="17"/>
      <c r="J783" s="17"/>
      <c r="K783" s="17">
        <v>6</v>
      </c>
      <c r="L783" s="17">
        <v>7.5</v>
      </c>
      <c r="M783" s="18">
        <f>Raw_LIMS_Export!K783</f>
        <v>45645</v>
      </c>
      <c r="N783" s="19" t="s">
        <v>2926</v>
      </c>
    </row>
    <row r="784" spans="1:14" x14ac:dyDescent="0.35">
      <c r="A784" s="16" t="s">
        <v>791</v>
      </c>
      <c r="B784" s="17" t="s">
        <v>2406</v>
      </c>
      <c r="C784" s="17" t="s">
        <v>2459</v>
      </c>
      <c r="D784" s="17" t="str">
        <f>_xlfn.XLOOKUP(Raw_LIMS_Export!E784,'mapping Site table'!$B$4:$B$14,'mapping Site table'!$C$4:$C$14,Raw_LIMS_Export!E784)</f>
        <v>Vernier CH</v>
      </c>
      <c r="E784" s="17" t="s">
        <v>2484</v>
      </c>
      <c r="F784" s="17">
        <f t="shared" si="37"/>
        <v>1</v>
      </c>
      <c r="G784" s="17" t="str">
        <f t="shared" si="38"/>
        <v>Pass</v>
      </c>
      <c r="H784" s="17" t="str">
        <f t="shared" si="36"/>
        <v>Pass</v>
      </c>
      <c r="I784" s="17">
        <v>6.65</v>
      </c>
      <c r="J784" s="17"/>
      <c r="K784" s="17">
        <v>6</v>
      </c>
      <c r="L784" s="17">
        <v>7.5</v>
      </c>
      <c r="M784" s="18">
        <f>Raw_LIMS_Export!K784</f>
        <v>45345</v>
      </c>
      <c r="N784" s="19" t="s">
        <v>2923</v>
      </c>
    </row>
    <row r="785" spans="1:14" x14ac:dyDescent="0.35">
      <c r="A785" s="16" t="s">
        <v>792</v>
      </c>
      <c r="B785" s="17" t="s">
        <v>2188</v>
      </c>
      <c r="C785" s="17" t="s">
        <v>2457</v>
      </c>
      <c r="D785" s="17" t="str">
        <f>_xlfn.XLOOKUP(Raw_LIMS_Export!E785,'mapping Site table'!$B$4:$B$14,'mapping Site table'!$C$4:$C$14,Raw_LIMS_Export!E785)</f>
        <v>Ashford UK</v>
      </c>
      <c r="E785" s="17" t="s">
        <v>2483</v>
      </c>
      <c r="F785" s="17">
        <f t="shared" si="37"/>
        <v>1</v>
      </c>
      <c r="G785" s="17" t="str">
        <f t="shared" si="38"/>
        <v>Pass</v>
      </c>
      <c r="H785" s="17" t="str">
        <f t="shared" si="36"/>
        <v>Pass</v>
      </c>
      <c r="I785" s="17">
        <v>0.5</v>
      </c>
      <c r="J785" s="17" t="s">
        <v>2489</v>
      </c>
      <c r="K785" s="17">
        <v>0</v>
      </c>
      <c r="L785" s="17">
        <v>1</v>
      </c>
      <c r="M785" s="18">
        <f>Raw_LIMS_Export!K785</f>
        <v>45916</v>
      </c>
      <c r="N785" s="19" t="s">
        <v>2927</v>
      </c>
    </row>
    <row r="786" spans="1:14" x14ac:dyDescent="0.35">
      <c r="A786" s="16" t="s">
        <v>793</v>
      </c>
      <c r="B786" s="17" t="s">
        <v>2142</v>
      </c>
      <c r="C786" s="17" t="s">
        <v>2458</v>
      </c>
      <c r="D786" s="17" t="str">
        <f>_xlfn.XLOOKUP(Raw_LIMS_Export!E786,'mapping Site table'!$B$4:$B$14,'mapping Site table'!$C$4:$C$14,Raw_LIMS_Export!E786)</f>
        <v>East Hanover</v>
      </c>
      <c r="E786" s="17" t="s">
        <v>2485</v>
      </c>
      <c r="F786" s="17">
        <f t="shared" si="37"/>
        <v>1</v>
      </c>
      <c r="G786" s="17" t="str">
        <f t="shared" si="38"/>
        <v>Fail</v>
      </c>
      <c r="H786" s="17" t="str">
        <f t="shared" si="36"/>
        <v>Fail</v>
      </c>
      <c r="I786" s="17">
        <v>-2.33</v>
      </c>
      <c r="J786" s="17" t="s">
        <v>2490</v>
      </c>
      <c r="K786" s="17">
        <v>0</v>
      </c>
      <c r="L786" s="17">
        <v>100</v>
      </c>
      <c r="M786" s="18">
        <f>Raw_LIMS_Export!K786</f>
        <v>45942</v>
      </c>
      <c r="N786" s="19" t="s">
        <v>2931</v>
      </c>
    </row>
    <row r="787" spans="1:14" x14ac:dyDescent="0.35">
      <c r="A787" s="16" t="s">
        <v>321</v>
      </c>
      <c r="B787" s="17" t="s">
        <v>2247</v>
      </c>
      <c r="C787" s="17" t="s">
        <v>2461</v>
      </c>
      <c r="D787" s="17" t="str">
        <f>_xlfn.XLOOKUP(Raw_LIMS_Export!E787,'mapping Site table'!$B$4:$B$14,'mapping Site table'!$C$4:$C$14,Raw_LIMS_Export!E787)</f>
        <v>Ashford UK</v>
      </c>
      <c r="E787" s="17" t="s">
        <v>2485</v>
      </c>
      <c r="F787" s="17">
        <f t="shared" si="37"/>
        <v>1</v>
      </c>
      <c r="G787" s="17" t="str">
        <f t="shared" si="38"/>
        <v>Fail</v>
      </c>
      <c r="H787" s="17" t="str">
        <f t="shared" si="36"/>
        <v>Fail</v>
      </c>
      <c r="I787" s="17">
        <v>-30.26</v>
      </c>
      <c r="J787" s="17" t="s">
        <v>2490</v>
      </c>
      <c r="K787" s="17">
        <v>0</v>
      </c>
      <c r="L787" s="17">
        <v>100</v>
      </c>
      <c r="M787" s="18">
        <f>Raw_LIMS_Export!K787</f>
        <v>45307</v>
      </c>
      <c r="N787" s="19" t="s">
        <v>2926</v>
      </c>
    </row>
    <row r="788" spans="1:14" x14ac:dyDescent="0.35">
      <c r="A788" s="16" t="s">
        <v>794</v>
      </c>
      <c r="B788" s="17" t="s">
        <v>2407</v>
      </c>
      <c r="C788" s="17" t="s">
        <v>2461</v>
      </c>
      <c r="D788" s="17" t="str">
        <f>_xlfn.XLOOKUP(Raw_LIMS_Export!E788,'mapping Site table'!$B$4:$B$14,'mapping Site table'!$C$4:$C$14,Raw_LIMS_Export!E788)</f>
        <v>East Hanover</v>
      </c>
      <c r="E788" s="17" t="s">
        <v>2480</v>
      </c>
      <c r="F788" s="17">
        <f t="shared" si="37"/>
        <v>1</v>
      </c>
      <c r="G788" s="17" t="str">
        <f t="shared" si="38"/>
        <v>Pass</v>
      </c>
      <c r="H788" s="17" t="str">
        <f t="shared" si="36"/>
        <v>Pass</v>
      </c>
      <c r="I788" s="17">
        <v>0.91</v>
      </c>
      <c r="J788" s="17" t="s">
        <v>2487</v>
      </c>
      <c r="K788" s="17">
        <v>0.88</v>
      </c>
      <c r="L788" s="17">
        <v>0.97</v>
      </c>
      <c r="M788" s="18">
        <f>Raw_LIMS_Export!K788</f>
        <v>45527</v>
      </c>
      <c r="N788" s="19" t="s">
        <v>2929</v>
      </c>
    </row>
    <row r="789" spans="1:14" x14ac:dyDescent="0.35">
      <c r="A789" s="16" t="s">
        <v>795</v>
      </c>
      <c r="B789" s="17" t="s">
        <v>2113</v>
      </c>
      <c r="C789" s="17" t="s">
        <v>2458</v>
      </c>
      <c r="D789" s="17" t="str">
        <f>_xlfn.XLOOKUP(Raw_LIMS_Export!E789,'mapping Site table'!$B$4:$B$14,'mapping Site table'!$C$4:$C$14,Raw_LIMS_Export!E789)</f>
        <v>East Hanover</v>
      </c>
      <c r="E789" s="17" t="s">
        <v>2479</v>
      </c>
      <c r="F789" s="17">
        <f t="shared" si="37"/>
        <v>1</v>
      </c>
      <c r="G789" s="17" t="str">
        <f t="shared" si="38"/>
        <v>Fail</v>
      </c>
      <c r="H789" s="17" t="str">
        <f t="shared" si="36"/>
        <v>Fail</v>
      </c>
      <c r="I789" s="17">
        <v>180</v>
      </c>
      <c r="J789" s="17" t="s">
        <v>2486</v>
      </c>
      <c r="K789" s="17">
        <v>0</v>
      </c>
      <c r="L789" s="17">
        <v>120</v>
      </c>
      <c r="M789" s="18">
        <f>Raw_LIMS_Export!K789</f>
        <v>45345</v>
      </c>
      <c r="N789" s="19" t="s">
        <v>2931</v>
      </c>
    </row>
    <row r="790" spans="1:14" x14ac:dyDescent="0.35">
      <c r="A790" s="16" t="s">
        <v>796</v>
      </c>
      <c r="B790" s="17" t="s">
        <v>2251</v>
      </c>
      <c r="C790" s="17" t="s">
        <v>2461</v>
      </c>
      <c r="D790" s="17" t="str">
        <f>_xlfn.XLOOKUP(Raw_LIMS_Export!E790,'mapping Site table'!$B$4:$B$14,'mapping Site table'!$C$4:$C$14,Raw_LIMS_Export!E790)</f>
        <v>Ashford UK</v>
      </c>
      <c r="E790" s="17" t="s">
        <v>2485</v>
      </c>
      <c r="F790" s="17">
        <f t="shared" si="37"/>
        <v>1</v>
      </c>
      <c r="G790" s="17" t="str">
        <f t="shared" si="38"/>
        <v>Pass</v>
      </c>
      <c r="H790" s="17" t="str">
        <f t="shared" si="36"/>
        <v>Pass</v>
      </c>
      <c r="I790" s="17">
        <v>11.75</v>
      </c>
      <c r="J790" s="17" t="s">
        <v>2490</v>
      </c>
      <c r="K790" s="17">
        <v>0</v>
      </c>
      <c r="L790" s="17">
        <v>100</v>
      </c>
      <c r="M790" s="18">
        <f>Raw_LIMS_Export!K790</f>
        <v>45441</v>
      </c>
      <c r="N790" s="19" t="s">
        <v>2923</v>
      </c>
    </row>
    <row r="791" spans="1:14" x14ac:dyDescent="0.35">
      <c r="A791" s="16" t="s">
        <v>797</v>
      </c>
      <c r="B791" s="17" t="s">
        <v>2408</v>
      </c>
      <c r="C791" s="17" t="s">
        <v>2461</v>
      </c>
      <c r="D791" s="17" t="str">
        <f>_xlfn.XLOOKUP(Raw_LIMS_Export!E791,'mapping Site table'!$B$4:$B$14,'mapping Site table'!$C$4:$C$14,Raw_LIMS_Export!E791)</f>
        <v>Vernier CH</v>
      </c>
      <c r="E791" s="17" t="s">
        <v>2485</v>
      </c>
      <c r="F791" s="17">
        <f t="shared" si="37"/>
        <v>1</v>
      </c>
      <c r="G791" s="17" t="str">
        <f t="shared" si="38"/>
        <v>Pass</v>
      </c>
      <c r="H791" s="17" t="str">
        <f t="shared" si="36"/>
        <v>Pass</v>
      </c>
      <c r="I791" s="17">
        <v>49.2</v>
      </c>
      <c r="J791" s="17" t="s">
        <v>2490</v>
      </c>
      <c r="K791" s="17">
        <v>0</v>
      </c>
      <c r="L791" s="17">
        <v>100</v>
      </c>
      <c r="M791" s="18">
        <f>Raw_LIMS_Export!K791</f>
        <v>45702</v>
      </c>
      <c r="N791" s="19" t="s">
        <v>2931</v>
      </c>
    </row>
    <row r="792" spans="1:14" x14ac:dyDescent="0.35">
      <c r="A792" s="16" t="s">
        <v>798</v>
      </c>
      <c r="B792" s="17" t="s">
        <v>2179</v>
      </c>
      <c r="C792" s="17" t="s">
        <v>2460</v>
      </c>
      <c r="D792" s="17" t="str">
        <f>_xlfn.XLOOKUP(Raw_LIMS_Export!E792,'mapping Site table'!$B$4:$B$14,'mapping Site table'!$C$4:$C$14,Raw_LIMS_Export!E792)</f>
        <v>Dortmund DE</v>
      </c>
      <c r="E792" s="17" t="s">
        <v>2482</v>
      </c>
      <c r="F792" s="17">
        <f t="shared" si="37"/>
        <v>1</v>
      </c>
      <c r="G792" s="17" t="str">
        <f t="shared" si="38"/>
        <v>Pass</v>
      </c>
      <c r="H792" s="17" t="str">
        <f t="shared" si="36"/>
        <v>Pass</v>
      </c>
      <c r="I792" s="17">
        <v>98.18</v>
      </c>
      <c r="J792" s="17" t="s">
        <v>2489</v>
      </c>
      <c r="K792" s="17">
        <v>97</v>
      </c>
      <c r="L792" s="17">
        <v>100</v>
      </c>
      <c r="M792" s="18">
        <f>Raw_LIMS_Export!K792</f>
        <v>45693</v>
      </c>
      <c r="N792" s="19" t="s">
        <v>2931</v>
      </c>
    </row>
    <row r="793" spans="1:14" x14ac:dyDescent="0.35">
      <c r="A793" s="16" t="s">
        <v>799</v>
      </c>
      <c r="B793" s="17" t="s">
        <v>2409</v>
      </c>
      <c r="C793" s="17" t="s">
        <v>2459</v>
      </c>
      <c r="D793" s="17" t="str">
        <f>_xlfn.XLOOKUP(Raw_LIMS_Export!E793,'mapping Site table'!$B$4:$B$14,'mapping Site table'!$C$4:$C$14,Raw_LIMS_Export!E793)</f>
        <v>East Hanover</v>
      </c>
      <c r="E793" s="17" t="s">
        <v>2484</v>
      </c>
      <c r="F793" s="17">
        <f t="shared" si="37"/>
        <v>1</v>
      </c>
      <c r="G793" s="17" t="str">
        <f t="shared" si="38"/>
        <v>Pass</v>
      </c>
      <c r="H793" s="17" t="str">
        <f t="shared" si="36"/>
        <v>Pass</v>
      </c>
      <c r="I793" s="17">
        <v>6.84</v>
      </c>
      <c r="J793" s="17"/>
      <c r="K793" s="17">
        <v>6</v>
      </c>
      <c r="L793" s="17">
        <v>7.5</v>
      </c>
      <c r="M793" s="18">
        <f>Raw_LIMS_Export!K793</f>
        <v>45416</v>
      </c>
      <c r="N793" s="19" t="s">
        <v>2925</v>
      </c>
    </row>
    <row r="794" spans="1:14" x14ac:dyDescent="0.35">
      <c r="A794" s="16" t="s">
        <v>800</v>
      </c>
      <c r="B794" s="17" t="s">
        <v>2410</v>
      </c>
      <c r="C794" s="17" t="s">
        <v>2457</v>
      </c>
      <c r="D794" s="17" t="str">
        <f>_xlfn.XLOOKUP(Raw_LIMS_Export!E794,'mapping Site table'!$B$4:$B$14,'mapping Site table'!$C$4:$C$14,Raw_LIMS_Export!E794)</f>
        <v>Dortmund DE</v>
      </c>
      <c r="E794" s="17" t="s">
        <v>2481</v>
      </c>
      <c r="F794" s="17">
        <f t="shared" si="37"/>
        <v>1</v>
      </c>
      <c r="G794" s="17" t="str">
        <f t="shared" si="38"/>
        <v>Pass</v>
      </c>
      <c r="H794" s="17" t="str">
        <f t="shared" si="36"/>
        <v>Fail</v>
      </c>
      <c r="I794" s="17">
        <v>193.13</v>
      </c>
      <c r="J794" s="17" t="s">
        <v>2488</v>
      </c>
      <c r="K794" s="17">
        <v>150</v>
      </c>
      <c r="L794" s="17">
        <v>400</v>
      </c>
      <c r="M794" s="18">
        <f>Raw_LIMS_Export!K794</f>
        <v>45832</v>
      </c>
      <c r="N794" s="19" t="s">
        <v>2931</v>
      </c>
    </row>
    <row r="795" spans="1:14" x14ac:dyDescent="0.35">
      <c r="A795" s="16" t="s">
        <v>801</v>
      </c>
      <c r="B795" s="17" t="s">
        <v>2306</v>
      </c>
      <c r="C795" s="17" t="s">
        <v>2461</v>
      </c>
      <c r="D795" s="17" t="str">
        <f>_xlfn.XLOOKUP(Raw_LIMS_Export!E795,'mapping Site table'!$B$4:$B$14,'mapping Site table'!$C$4:$C$14,Raw_LIMS_Export!E795)</f>
        <v>Budapest</v>
      </c>
      <c r="E795" s="17" t="s">
        <v>2483</v>
      </c>
      <c r="F795" s="17">
        <f t="shared" si="37"/>
        <v>1</v>
      </c>
      <c r="G795" s="17" t="str">
        <f t="shared" si="38"/>
        <v>Pass</v>
      </c>
      <c r="H795" s="17" t="str">
        <f t="shared" si="36"/>
        <v>Pass</v>
      </c>
      <c r="I795" s="17">
        <v>0.49</v>
      </c>
      <c r="J795" s="17" t="s">
        <v>2489</v>
      </c>
      <c r="K795" s="17">
        <v>0</v>
      </c>
      <c r="L795" s="17">
        <v>1</v>
      </c>
      <c r="M795" s="18">
        <f>Raw_LIMS_Export!K795</f>
        <v>45909</v>
      </c>
      <c r="N795" s="19" t="s">
        <v>2924</v>
      </c>
    </row>
    <row r="796" spans="1:14" x14ac:dyDescent="0.35">
      <c r="A796" s="16" t="s">
        <v>802</v>
      </c>
      <c r="B796" s="17" t="s">
        <v>2411</v>
      </c>
      <c r="C796" s="17" t="s">
        <v>2457</v>
      </c>
      <c r="D796" s="17" t="str">
        <f>_xlfn.XLOOKUP(Raw_LIMS_Export!E796,'mapping Site table'!$B$4:$B$14,'mapping Site table'!$C$4:$C$14,Raw_LIMS_Export!E796)</f>
        <v>East Hanover</v>
      </c>
      <c r="E796" s="17" t="s">
        <v>2482</v>
      </c>
      <c r="F796" s="17">
        <f t="shared" si="37"/>
        <v>1</v>
      </c>
      <c r="G796" s="17" t="str">
        <f t="shared" si="38"/>
        <v>Pass</v>
      </c>
      <c r="H796" s="17" t="str">
        <f t="shared" si="36"/>
        <v>Pass</v>
      </c>
      <c r="I796" s="17">
        <v>98.27</v>
      </c>
      <c r="J796" s="17" t="s">
        <v>2489</v>
      </c>
      <c r="K796" s="17">
        <v>97</v>
      </c>
      <c r="L796" s="17">
        <v>100</v>
      </c>
      <c r="M796" s="18">
        <f>Raw_LIMS_Export!K796</f>
        <v>45612</v>
      </c>
      <c r="N796" s="19" t="s">
        <v>2925</v>
      </c>
    </row>
    <row r="797" spans="1:14" x14ac:dyDescent="0.35">
      <c r="A797" s="16" t="s">
        <v>803</v>
      </c>
      <c r="B797" s="17" t="s">
        <v>2412</v>
      </c>
      <c r="C797" s="17" t="s">
        <v>2461</v>
      </c>
      <c r="D797" s="17" t="str">
        <f>_xlfn.XLOOKUP(Raw_LIMS_Export!E797,'mapping Site table'!$B$4:$B$14,'mapping Site table'!$C$4:$C$14,Raw_LIMS_Export!E797)</f>
        <v>Vernier CH</v>
      </c>
      <c r="E797" s="17" t="s">
        <v>2482</v>
      </c>
      <c r="F797" s="17">
        <f t="shared" si="37"/>
        <v>1</v>
      </c>
      <c r="G797" s="17" t="str">
        <f t="shared" si="38"/>
        <v>Pass</v>
      </c>
      <c r="H797" s="17" t="str">
        <f t="shared" si="36"/>
        <v>Pass</v>
      </c>
      <c r="I797" s="17">
        <v>98.42</v>
      </c>
      <c r="J797" s="17" t="s">
        <v>2489</v>
      </c>
      <c r="K797" s="17">
        <v>97</v>
      </c>
      <c r="L797" s="17">
        <v>100</v>
      </c>
      <c r="M797" s="18">
        <f>Raw_LIMS_Export!K797</f>
        <v>45937</v>
      </c>
      <c r="N797" s="19" t="s">
        <v>2923</v>
      </c>
    </row>
    <row r="798" spans="1:14" x14ac:dyDescent="0.35">
      <c r="A798" s="16" t="s">
        <v>804</v>
      </c>
      <c r="B798" s="17" t="s">
        <v>2263</v>
      </c>
      <c r="C798" s="17" t="s">
        <v>2459</v>
      </c>
      <c r="D798" s="17" t="str">
        <f>_xlfn.XLOOKUP(Raw_LIMS_Export!E798,'mapping Site table'!$B$4:$B$14,'mapping Site table'!$C$4:$C$14,Raw_LIMS_Export!E798)</f>
        <v>Dortmund DE</v>
      </c>
      <c r="E798" s="17" t="s">
        <v>2483</v>
      </c>
      <c r="F798" s="17">
        <f t="shared" si="37"/>
        <v>1</v>
      </c>
      <c r="G798" s="17" t="str">
        <f t="shared" si="38"/>
        <v>Pass</v>
      </c>
      <c r="H798" s="17" t="str">
        <f t="shared" si="36"/>
        <v>Pass</v>
      </c>
      <c r="I798" s="17">
        <v>0.3</v>
      </c>
      <c r="J798" s="17" t="s">
        <v>2489</v>
      </c>
      <c r="K798" s="17">
        <v>0</v>
      </c>
      <c r="L798" s="17">
        <v>1</v>
      </c>
      <c r="M798" s="18">
        <f>Raw_LIMS_Export!K798</f>
        <v>45573</v>
      </c>
      <c r="N798" s="19" t="s">
        <v>2932</v>
      </c>
    </row>
    <row r="799" spans="1:14" x14ac:dyDescent="0.35">
      <c r="A799" s="16" t="s">
        <v>805</v>
      </c>
      <c r="B799" s="17" t="s">
        <v>2212</v>
      </c>
      <c r="C799" s="17" t="s">
        <v>2460</v>
      </c>
      <c r="D799" s="17" t="str">
        <f>_xlfn.XLOOKUP(Raw_LIMS_Export!E799,'mapping Site table'!$B$4:$B$14,'mapping Site table'!$C$4:$C$14,Raw_LIMS_Export!E799)</f>
        <v>Ashford UK</v>
      </c>
      <c r="E799" s="17" t="s">
        <v>2482</v>
      </c>
      <c r="F799" s="17">
        <f t="shared" si="37"/>
        <v>1</v>
      </c>
      <c r="G799" s="17" t="str">
        <f t="shared" si="38"/>
        <v>Pass</v>
      </c>
      <c r="H799" s="17" t="str">
        <f t="shared" si="36"/>
        <v>Pass</v>
      </c>
      <c r="I799" s="17">
        <v>97.31</v>
      </c>
      <c r="J799" s="17" t="s">
        <v>2489</v>
      </c>
      <c r="K799" s="17">
        <v>97</v>
      </c>
      <c r="L799" s="17">
        <v>100</v>
      </c>
      <c r="M799" s="18">
        <f>Raw_LIMS_Export!K799</f>
        <v>45449</v>
      </c>
      <c r="N799" s="19" t="s">
        <v>2932</v>
      </c>
    </row>
    <row r="800" spans="1:14" x14ac:dyDescent="0.35">
      <c r="A800" s="16" t="s">
        <v>806</v>
      </c>
      <c r="B800" s="17" t="s">
        <v>2295</v>
      </c>
      <c r="C800" s="17" t="s">
        <v>2459</v>
      </c>
      <c r="D800" s="17" t="str">
        <f>_xlfn.XLOOKUP(Raw_LIMS_Export!E800,'mapping Site table'!$B$4:$B$14,'mapping Site table'!$C$4:$C$14,Raw_LIMS_Export!E800)</f>
        <v>Vernier CH</v>
      </c>
      <c r="E800" s="17" t="s">
        <v>2485</v>
      </c>
      <c r="F800" s="17">
        <f t="shared" si="37"/>
        <v>1</v>
      </c>
      <c r="G800" s="17" t="str">
        <f t="shared" si="38"/>
        <v>Pass</v>
      </c>
      <c r="H800" s="17" t="str">
        <f t="shared" si="36"/>
        <v>Pass</v>
      </c>
      <c r="I800" s="17">
        <v>8.91</v>
      </c>
      <c r="J800" s="17" t="s">
        <v>2490</v>
      </c>
      <c r="K800" s="17">
        <v>0</v>
      </c>
      <c r="L800" s="17">
        <v>100</v>
      </c>
      <c r="M800" s="18">
        <f>Raw_LIMS_Export!K800</f>
        <v>45977</v>
      </c>
      <c r="N800" s="19" t="s">
        <v>2926</v>
      </c>
    </row>
    <row r="801" spans="1:14" x14ac:dyDescent="0.35">
      <c r="A801" s="16" t="s">
        <v>807</v>
      </c>
      <c r="B801" s="17" t="s">
        <v>2325</v>
      </c>
      <c r="C801" s="17" t="s">
        <v>2458</v>
      </c>
      <c r="D801" s="17" t="str">
        <f>_xlfn.XLOOKUP(Raw_LIMS_Export!E801,'mapping Site table'!$B$4:$B$14,'mapping Site table'!$C$4:$C$14,Raw_LIMS_Export!E801)</f>
        <v>Vernier CH</v>
      </c>
      <c r="E801" s="17" t="s">
        <v>2480</v>
      </c>
      <c r="F801" s="17">
        <f t="shared" si="37"/>
        <v>1</v>
      </c>
      <c r="G801" s="17" t="str">
        <f t="shared" si="38"/>
        <v>Pass</v>
      </c>
      <c r="H801" s="17" t="str">
        <f t="shared" si="36"/>
        <v>Pass</v>
      </c>
      <c r="I801" s="17">
        <v>0.89</v>
      </c>
      <c r="J801" s="17" t="s">
        <v>2487</v>
      </c>
      <c r="K801" s="17">
        <v>0.88</v>
      </c>
      <c r="L801" s="17">
        <v>0.97</v>
      </c>
      <c r="M801" s="18">
        <f>Raw_LIMS_Export!K801</f>
        <v>45491</v>
      </c>
      <c r="N801" s="19" t="s">
        <v>2928</v>
      </c>
    </row>
    <row r="802" spans="1:14" x14ac:dyDescent="0.35">
      <c r="A802" s="16" t="s">
        <v>808</v>
      </c>
      <c r="B802" s="17" t="s">
        <v>2106</v>
      </c>
      <c r="C802" s="17" t="s">
        <v>2461</v>
      </c>
      <c r="D802" s="17" t="str">
        <f>_xlfn.XLOOKUP(Raw_LIMS_Export!E802,'mapping Site table'!$B$4:$B$14,'mapping Site table'!$C$4:$C$14,Raw_LIMS_Export!E802)</f>
        <v>Vernier CH</v>
      </c>
      <c r="E802" s="17" t="s">
        <v>2480</v>
      </c>
      <c r="F802" s="17">
        <f t="shared" si="37"/>
        <v>1</v>
      </c>
      <c r="G802" s="17" t="str">
        <f t="shared" si="38"/>
        <v>Pass</v>
      </c>
      <c r="H802" s="17" t="str">
        <f t="shared" si="36"/>
        <v>Fail</v>
      </c>
      <c r="I802" s="17">
        <v>0.92</v>
      </c>
      <c r="J802" s="17" t="s">
        <v>2487</v>
      </c>
      <c r="K802" s="17">
        <v>0.88</v>
      </c>
      <c r="L802" s="17">
        <v>0.97</v>
      </c>
      <c r="M802" s="18">
        <f>Raw_LIMS_Export!K802</f>
        <v>45388</v>
      </c>
      <c r="N802" s="19" t="s">
        <v>2923</v>
      </c>
    </row>
    <row r="803" spans="1:14" x14ac:dyDescent="0.35">
      <c r="A803" s="16" t="s">
        <v>809</v>
      </c>
      <c r="B803" s="17" t="s">
        <v>2176</v>
      </c>
      <c r="C803" s="17" t="s">
        <v>2461</v>
      </c>
      <c r="D803" s="17" t="str">
        <f>_xlfn.XLOOKUP(Raw_LIMS_Export!E803,'mapping Site table'!$B$4:$B$14,'mapping Site table'!$C$4:$C$14,Raw_LIMS_Export!E803)</f>
        <v>Dortmund DE</v>
      </c>
      <c r="E803" s="17" t="s">
        <v>2485</v>
      </c>
      <c r="F803" s="17">
        <f t="shared" si="37"/>
        <v>1</v>
      </c>
      <c r="G803" s="17" t="str">
        <f t="shared" si="38"/>
        <v>Pass</v>
      </c>
      <c r="H803" s="17" t="str">
        <f t="shared" si="36"/>
        <v>Pass</v>
      </c>
      <c r="I803" s="17">
        <v>13.93</v>
      </c>
      <c r="J803" s="17" t="s">
        <v>2490</v>
      </c>
      <c r="K803" s="17">
        <v>0</v>
      </c>
      <c r="L803" s="17">
        <v>100</v>
      </c>
      <c r="M803" s="18">
        <f>Raw_LIMS_Export!K803</f>
        <v>45312</v>
      </c>
      <c r="N803" s="19" t="s">
        <v>2930</v>
      </c>
    </row>
    <row r="804" spans="1:14" x14ac:dyDescent="0.35">
      <c r="A804" s="16" t="s">
        <v>810</v>
      </c>
      <c r="B804" s="17" t="s">
        <v>2187</v>
      </c>
      <c r="C804" s="17" t="s">
        <v>2457</v>
      </c>
      <c r="D804" s="17" t="str">
        <f>_xlfn.XLOOKUP(Raw_LIMS_Export!E804,'mapping Site table'!$B$4:$B$14,'mapping Site table'!$C$4:$C$14,Raw_LIMS_Export!E804)</f>
        <v>Ashford UK</v>
      </c>
      <c r="E804" s="17" t="s">
        <v>2483</v>
      </c>
      <c r="F804" s="17">
        <f t="shared" si="37"/>
        <v>1</v>
      </c>
      <c r="G804" s="17" t="str">
        <f t="shared" si="38"/>
        <v>Pass</v>
      </c>
      <c r="H804" s="17" t="str">
        <f t="shared" si="36"/>
        <v>Pass</v>
      </c>
      <c r="I804" s="17">
        <v>0.7</v>
      </c>
      <c r="J804" s="17" t="s">
        <v>2489</v>
      </c>
      <c r="K804" s="17">
        <v>0</v>
      </c>
      <c r="L804" s="17">
        <v>1</v>
      </c>
      <c r="M804" s="18">
        <f>Raw_LIMS_Export!K804</f>
        <v>46002</v>
      </c>
      <c r="N804" s="19" t="s">
        <v>2926</v>
      </c>
    </row>
    <row r="805" spans="1:14" x14ac:dyDescent="0.35">
      <c r="A805" s="16" t="s">
        <v>811</v>
      </c>
      <c r="B805" s="17" t="s">
        <v>2400</v>
      </c>
      <c r="C805" s="17" t="s">
        <v>2457</v>
      </c>
      <c r="D805" s="17" t="str">
        <f>_xlfn.XLOOKUP(Raw_LIMS_Export!E805,'mapping Site table'!$B$4:$B$14,'mapping Site table'!$C$4:$C$14,Raw_LIMS_Export!E805)</f>
        <v>Dortmund DE</v>
      </c>
      <c r="E805" s="17" t="s">
        <v>2479</v>
      </c>
      <c r="F805" s="17">
        <f t="shared" si="37"/>
        <v>1</v>
      </c>
      <c r="G805" s="17" t="str">
        <f t="shared" si="38"/>
        <v>Pass</v>
      </c>
      <c r="H805" s="17" t="str">
        <f t="shared" si="36"/>
        <v>Fail</v>
      </c>
      <c r="I805" s="17">
        <v>30.92</v>
      </c>
      <c r="J805" s="17" t="s">
        <v>2486</v>
      </c>
      <c r="K805" s="17">
        <v>0</v>
      </c>
      <c r="L805" s="17">
        <v>120</v>
      </c>
      <c r="M805" s="18">
        <f>Raw_LIMS_Export!K805</f>
        <v>45810</v>
      </c>
      <c r="N805" s="19" t="s">
        <v>2923</v>
      </c>
    </row>
    <row r="806" spans="1:14" x14ac:dyDescent="0.35">
      <c r="A806" s="16" t="s">
        <v>812</v>
      </c>
      <c r="B806" s="17" t="s">
        <v>2413</v>
      </c>
      <c r="C806" s="17" t="s">
        <v>2458</v>
      </c>
      <c r="D806" s="17" t="str">
        <f>_xlfn.XLOOKUP(Raw_LIMS_Export!E806,'mapping Site table'!$B$4:$B$14,'mapping Site table'!$C$4:$C$14,Raw_LIMS_Export!E806)</f>
        <v>Ashford UK</v>
      </c>
      <c r="E806" s="17" t="s">
        <v>2479</v>
      </c>
      <c r="F806" s="17">
        <f t="shared" si="37"/>
        <v>1</v>
      </c>
      <c r="G806" s="17" t="str">
        <f t="shared" si="38"/>
        <v>Pass</v>
      </c>
      <c r="H806" s="17" t="str">
        <f t="shared" si="36"/>
        <v>Fail</v>
      </c>
      <c r="I806" s="17">
        <v>41.6</v>
      </c>
      <c r="J806" s="17" t="s">
        <v>2486</v>
      </c>
      <c r="K806" s="17">
        <v>0</v>
      </c>
      <c r="L806" s="17">
        <v>120</v>
      </c>
      <c r="M806" s="18">
        <f>Raw_LIMS_Export!K806</f>
        <v>45419</v>
      </c>
      <c r="N806" s="19" t="s">
        <v>2927</v>
      </c>
    </row>
    <row r="807" spans="1:14" x14ac:dyDescent="0.35">
      <c r="A807" s="16" t="s">
        <v>813</v>
      </c>
      <c r="B807" s="17" t="s">
        <v>2414</v>
      </c>
      <c r="C807" s="17" t="s">
        <v>2460</v>
      </c>
      <c r="D807" s="17" t="str">
        <f>_xlfn.XLOOKUP(Raw_LIMS_Export!E807,'mapping Site table'!$B$4:$B$14,'mapping Site table'!$C$4:$C$14,Raw_LIMS_Export!E807)</f>
        <v>Ashford UK</v>
      </c>
      <c r="E807" s="17" t="s">
        <v>2479</v>
      </c>
      <c r="F807" s="17">
        <f t="shared" si="37"/>
        <v>1</v>
      </c>
      <c r="G807" s="17" t="str">
        <f t="shared" si="38"/>
        <v>Pass</v>
      </c>
      <c r="H807" s="17" t="str">
        <f t="shared" si="36"/>
        <v>Pass</v>
      </c>
      <c r="I807" s="17">
        <v>35.83</v>
      </c>
      <c r="J807" s="17" t="s">
        <v>2486</v>
      </c>
      <c r="K807" s="17">
        <v>0</v>
      </c>
      <c r="L807" s="17">
        <v>120</v>
      </c>
      <c r="M807" s="18">
        <f>Raw_LIMS_Export!K807</f>
        <v>45983</v>
      </c>
      <c r="N807" s="19" t="s">
        <v>2925</v>
      </c>
    </row>
    <row r="808" spans="1:14" x14ac:dyDescent="0.35">
      <c r="A808" s="16" t="s">
        <v>814</v>
      </c>
      <c r="B808" s="17" t="s">
        <v>2207</v>
      </c>
      <c r="C808" s="17" t="s">
        <v>2460</v>
      </c>
      <c r="D808" s="17" t="str">
        <f>_xlfn.XLOOKUP(Raw_LIMS_Export!E808,'mapping Site table'!$B$4:$B$14,'mapping Site table'!$C$4:$C$14,Raw_LIMS_Export!E808)</f>
        <v>Budapest</v>
      </c>
      <c r="E808" s="17" t="s">
        <v>2483</v>
      </c>
      <c r="F808" s="17">
        <f t="shared" si="37"/>
        <v>1</v>
      </c>
      <c r="G808" s="17" t="str">
        <f t="shared" si="38"/>
        <v>Pass</v>
      </c>
      <c r="H808" s="17" t="str">
        <f t="shared" si="36"/>
        <v>Fail</v>
      </c>
      <c r="I808" s="17">
        <v>0.36</v>
      </c>
      <c r="J808" s="17" t="s">
        <v>2489</v>
      </c>
      <c r="K808" s="17">
        <v>0</v>
      </c>
      <c r="L808" s="17">
        <v>1</v>
      </c>
      <c r="M808" s="18">
        <f>Raw_LIMS_Export!K808</f>
        <v>45736</v>
      </c>
      <c r="N808" s="19" t="s">
        <v>2925</v>
      </c>
    </row>
    <row r="809" spans="1:14" x14ac:dyDescent="0.35">
      <c r="A809" s="16" t="s">
        <v>276</v>
      </c>
      <c r="B809" s="17" t="s">
        <v>2102</v>
      </c>
      <c r="C809" s="17" t="s">
        <v>2461</v>
      </c>
      <c r="D809" s="17" t="str">
        <f>_xlfn.XLOOKUP(Raw_LIMS_Export!E809,'mapping Site table'!$B$4:$B$14,'mapping Site table'!$C$4:$C$14,Raw_LIMS_Export!E809)</f>
        <v>Vernier CH</v>
      </c>
      <c r="E809" s="17" t="s">
        <v>2483</v>
      </c>
      <c r="F809" s="17">
        <f t="shared" si="37"/>
        <v>1</v>
      </c>
      <c r="G809" s="17" t="str">
        <f t="shared" si="38"/>
        <v>Pass</v>
      </c>
      <c r="H809" s="17" t="str">
        <f t="shared" si="36"/>
        <v>Pass</v>
      </c>
      <c r="I809" s="17">
        <v>0.36</v>
      </c>
      <c r="J809" s="17" t="s">
        <v>2489</v>
      </c>
      <c r="K809" s="17">
        <v>0</v>
      </c>
      <c r="L809" s="17">
        <v>1</v>
      </c>
      <c r="M809" s="18">
        <f>Raw_LIMS_Export!K809</f>
        <v>45959</v>
      </c>
      <c r="N809" s="19" t="s">
        <v>2929</v>
      </c>
    </row>
    <row r="810" spans="1:14" x14ac:dyDescent="0.35">
      <c r="A810" s="16" t="s">
        <v>815</v>
      </c>
      <c r="B810" s="17" t="s">
        <v>2239</v>
      </c>
      <c r="C810" s="17" t="s">
        <v>2459</v>
      </c>
      <c r="D810" s="17" t="str">
        <f>_xlfn.XLOOKUP(Raw_LIMS_Export!E810,'mapping Site table'!$B$4:$B$14,'mapping Site table'!$C$4:$C$14,Raw_LIMS_Export!E810)</f>
        <v>Vernier CH</v>
      </c>
      <c r="E810" s="17" t="s">
        <v>2485</v>
      </c>
      <c r="F810" s="17">
        <f t="shared" si="37"/>
        <v>1</v>
      </c>
      <c r="G810" s="17" t="str">
        <f t="shared" si="38"/>
        <v>Fail</v>
      </c>
      <c r="H810" s="17" t="str">
        <f t="shared" si="36"/>
        <v>Fail</v>
      </c>
      <c r="I810" s="17">
        <v>-31.57</v>
      </c>
      <c r="J810" s="17" t="s">
        <v>2490</v>
      </c>
      <c r="K810" s="17">
        <v>0</v>
      </c>
      <c r="L810" s="17">
        <v>100</v>
      </c>
      <c r="M810" s="18">
        <f>Raw_LIMS_Export!K810</f>
        <v>45340</v>
      </c>
      <c r="N810" s="19" t="s">
        <v>2923</v>
      </c>
    </row>
    <row r="811" spans="1:14" x14ac:dyDescent="0.35">
      <c r="A811" s="16" t="s">
        <v>816</v>
      </c>
      <c r="B811" s="17" t="s">
        <v>2415</v>
      </c>
      <c r="C811" s="17" t="s">
        <v>2460</v>
      </c>
      <c r="D811" s="17" t="str">
        <f>_xlfn.XLOOKUP(Raw_LIMS_Export!E811,'mapping Site table'!$B$4:$B$14,'mapping Site table'!$C$4:$C$14,Raw_LIMS_Export!E811)</f>
        <v>Vernier CH</v>
      </c>
      <c r="E811" s="17" t="s">
        <v>2482</v>
      </c>
      <c r="F811" s="17">
        <f t="shared" si="37"/>
        <v>1</v>
      </c>
      <c r="G811" s="17" t="str">
        <f t="shared" si="38"/>
        <v>Pass</v>
      </c>
      <c r="H811" s="17" t="str">
        <f t="shared" si="36"/>
        <v>Pass</v>
      </c>
      <c r="I811" s="17">
        <v>98.91</v>
      </c>
      <c r="J811" s="17" t="s">
        <v>2489</v>
      </c>
      <c r="K811" s="17">
        <v>97</v>
      </c>
      <c r="L811" s="17">
        <v>100</v>
      </c>
      <c r="M811" s="18">
        <f>Raw_LIMS_Export!K811</f>
        <v>45618</v>
      </c>
      <c r="N811" s="19" t="s">
        <v>2925</v>
      </c>
    </row>
    <row r="812" spans="1:14" x14ac:dyDescent="0.35">
      <c r="A812" s="16" t="s">
        <v>817</v>
      </c>
      <c r="B812" s="17" t="s">
        <v>2416</v>
      </c>
      <c r="C812" s="17" t="s">
        <v>2458</v>
      </c>
      <c r="D812" s="17" t="str">
        <f>_xlfn.XLOOKUP(Raw_LIMS_Export!E812,'mapping Site table'!$B$4:$B$14,'mapping Site table'!$C$4:$C$14,Raw_LIMS_Export!E812)</f>
        <v>East Hanover</v>
      </c>
      <c r="E812" s="17" t="s">
        <v>2482</v>
      </c>
      <c r="F812" s="17">
        <f t="shared" si="37"/>
        <v>1</v>
      </c>
      <c r="G812" s="17" t="str">
        <f t="shared" si="38"/>
        <v>Pass</v>
      </c>
      <c r="H812" s="17" t="str">
        <f t="shared" si="36"/>
        <v>Fail</v>
      </c>
      <c r="I812" s="17">
        <v>98.48</v>
      </c>
      <c r="J812" s="17" t="s">
        <v>2489</v>
      </c>
      <c r="K812" s="17">
        <v>97</v>
      </c>
      <c r="L812" s="17">
        <v>100</v>
      </c>
      <c r="M812" s="18">
        <f>Raw_LIMS_Export!K812</f>
        <v>46003</v>
      </c>
      <c r="N812" s="19" t="s">
        <v>2931</v>
      </c>
    </row>
    <row r="813" spans="1:14" x14ac:dyDescent="0.35">
      <c r="A813" s="16" t="s">
        <v>818</v>
      </c>
      <c r="B813" s="17" t="s">
        <v>2017</v>
      </c>
      <c r="C813" s="17" t="s">
        <v>2458</v>
      </c>
      <c r="D813" s="17" t="str">
        <f>_xlfn.XLOOKUP(Raw_LIMS_Export!E813,'mapping Site table'!$B$4:$B$14,'mapping Site table'!$C$4:$C$14,Raw_LIMS_Export!E813)</f>
        <v>Vernier CH</v>
      </c>
      <c r="E813" s="17" t="s">
        <v>2485</v>
      </c>
      <c r="F813" s="17">
        <f t="shared" si="37"/>
        <v>1</v>
      </c>
      <c r="G813" s="17" t="str">
        <f t="shared" si="38"/>
        <v>Fail</v>
      </c>
      <c r="H813" s="17" t="str">
        <f t="shared" si="36"/>
        <v>Fail</v>
      </c>
      <c r="I813" s="17">
        <v>-9.89</v>
      </c>
      <c r="J813" s="17" t="s">
        <v>2490</v>
      </c>
      <c r="K813" s="17">
        <v>0</v>
      </c>
      <c r="L813" s="17">
        <v>100</v>
      </c>
      <c r="M813" s="18">
        <f>Raw_LIMS_Export!K813</f>
        <v>46008</v>
      </c>
      <c r="N813" s="19" t="s">
        <v>2923</v>
      </c>
    </row>
    <row r="814" spans="1:14" x14ac:dyDescent="0.35">
      <c r="A814" s="16" t="s">
        <v>819</v>
      </c>
      <c r="B814" s="17" t="s">
        <v>2350</v>
      </c>
      <c r="C814" s="17" t="s">
        <v>2459</v>
      </c>
      <c r="D814" s="17" t="str">
        <f>_xlfn.XLOOKUP(Raw_LIMS_Export!E814,'mapping Site table'!$B$4:$B$14,'mapping Site table'!$C$4:$C$14,Raw_LIMS_Export!E814)</f>
        <v>Vernier CH</v>
      </c>
      <c r="E814" s="17" t="s">
        <v>2482</v>
      </c>
      <c r="F814" s="17">
        <f t="shared" si="37"/>
        <v>1</v>
      </c>
      <c r="G814" s="17" t="str">
        <f t="shared" si="38"/>
        <v>Pass</v>
      </c>
      <c r="H814" s="17" t="str">
        <f t="shared" si="36"/>
        <v>Pending</v>
      </c>
      <c r="I814" s="17">
        <v>99.23</v>
      </c>
      <c r="J814" s="17" t="s">
        <v>2489</v>
      </c>
      <c r="K814" s="17">
        <v>97</v>
      </c>
      <c r="L814" s="17">
        <v>100</v>
      </c>
      <c r="M814" s="18">
        <f>Raw_LIMS_Export!K814</f>
        <v>45605</v>
      </c>
      <c r="N814" s="19" t="s">
        <v>2926</v>
      </c>
    </row>
    <row r="815" spans="1:14" x14ac:dyDescent="0.35">
      <c r="A815" s="16" t="s">
        <v>820</v>
      </c>
      <c r="B815" s="17" t="s">
        <v>2246</v>
      </c>
      <c r="C815" s="17" t="s">
        <v>2460</v>
      </c>
      <c r="D815" s="17" t="str">
        <f>_xlfn.XLOOKUP(Raw_LIMS_Export!E815,'mapping Site table'!$B$4:$B$14,'mapping Site table'!$C$4:$C$14,Raw_LIMS_Export!E815)</f>
        <v>Vernier CH</v>
      </c>
      <c r="E815" s="17" t="s">
        <v>2483</v>
      </c>
      <c r="F815" s="17">
        <f t="shared" si="37"/>
        <v>1</v>
      </c>
      <c r="G815" s="17" t="str">
        <f t="shared" si="38"/>
        <v>Pass</v>
      </c>
      <c r="H815" s="17" t="str">
        <f t="shared" si="36"/>
        <v>Pass</v>
      </c>
      <c r="I815" s="17">
        <v>0.28000000000000003</v>
      </c>
      <c r="J815" s="17" t="s">
        <v>2489</v>
      </c>
      <c r="K815" s="17">
        <v>0</v>
      </c>
      <c r="L815" s="17">
        <v>1</v>
      </c>
      <c r="M815" s="18">
        <f>Raw_LIMS_Export!K815</f>
        <v>45884</v>
      </c>
      <c r="N815" s="19" t="s">
        <v>2928</v>
      </c>
    </row>
    <row r="816" spans="1:14" x14ac:dyDescent="0.35">
      <c r="A816" s="16" t="s">
        <v>821</v>
      </c>
      <c r="B816" s="17" t="s">
        <v>2417</v>
      </c>
      <c r="C816" s="17" t="s">
        <v>2459</v>
      </c>
      <c r="D816" s="17" t="str">
        <f>_xlfn.XLOOKUP(Raw_LIMS_Export!E816,'mapping Site table'!$B$4:$B$14,'mapping Site table'!$C$4:$C$14,Raw_LIMS_Export!E816)</f>
        <v>Ashford UK</v>
      </c>
      <c r="E816" s="17" t="s">
        <v>2481</v>
      </c>
      <c r="F816" s="17">
        <f t="shared" si="37"/>
        <v>1</v>
      </c>
      <c r="G816" s="17" t="str">
        <f t="shared" si="38"/>
        <v>Pass</v>
      </c>
      <c r="H816" s="17" t="str">
        <f t="shared" si="36"/>
        <v>Fail</v>
      </c>
      <c r="I816" s="17">
        <v>247.64</v>
      </c>
      <c r="J816" s="17" t="s">
        <v>2488</v>
      </c>
      <c r="K816" s="17">
        <v>150</v>
      </c>
      <c r="L816" s="17">
        <v>400</v>
      </c>
      <c r="M816" s="18">
        <f>Raw_LIMS_Export!K816</f>
        <v>45969</v>
      </c>
      <c r="N816" s="19" t="s">
        <v>2927</v>
      </c>
    </row>
    <row r="817" spans="1:14" x14ac:dyDescent="0.35">
      <c r="A817" s="16" t="s">
        <v>822</v>
      </c>
      <c r="B817" s="17" t="s">
        <v>2214</v>
      </c>
      <c r="C817" s="17" t="s">
        <v>2457</v>
      </c>
      <c r="D817" s="17" t="str">
        <f>_xlfn.XLOOKUP(Raw_LIMS_Export!E817,'mapping Site table'!$B$4:$B$14,'mapping Site table'!$C$4:$C$14,Raw_LIMS_Export!E817)</f>
        <v>Ashford UK</v>
      </c>
      <c r="E817" s="17" t="s">
        <v>2479</v>
      </c>
      <c r="F817" s="17">
        <f t="shared" si="37"/>
        <v>1</v>
      </c>
      <c r="G817" s="17" t="str">
        <f t="shared" si="38"/>
        <v>Pass</v>
      </c>
      <c r="H817" s="17" t="str">
        <f t="shared" si="36"/>
        <v>Pass</v>
      </c>
      <c r="I817" s="17">
        <v>58.84</v>
      </c>
      <c r="J817" s="17" t="s">
        <v>2486</v>
      </c>
      <c r="K817" s="17">
        <v>0</v>
      </c>
      <c r="L817" s="17">
        <v>120</v>
      </c>
      <c r="M817" s="18">
        <f>Raw_LIMS_Export!K817</f>
        <v>45791</v>
      </c>
      <c r="N817" s="19" t="s">
        <v>2932</v>
      </c>
    </row>
    <row r="818" spans="1:14" x14ac:dyDescent="0.35">
      <c r="A818" s="16" t="s">
        <v>823</v>
      </c>
      <c r="B818" s="17" t="s">
        <v>2338</v>
      </c>
      <c r="C818" s="17" t="s">
        <v>2458</v>
      </c>
      <c r="D818" s="17" t="str">
        <f>_xlfn.XLOOKUP(Raw_LIMS_Export!E818,'mapping Site table'!$B$4:$B$14,'mapping Site table'!$C$4:$C$14,Raw_LIMS_Export!E818)</f>
        <v>Budapest</v>
      </c>
      <c r="E818" s="17" t="s">
        <v>2480</v>
      </c>
      <c r="F818" s="17">
        <f t="shared" si="37"/>
        <v>1</v>
      </c>
      <c r="G818" s="17" t="str">
        <f t="shared" si="38"/>
        <v>Pass</v>
      </c>
      <c r="H818" s="17" t="str">
        <f t="shared" si="36"/>
        <v>Pending</v>
      </c>
      <c r="I818" s="17">
        <v>0.95</v>
      </c>
      <c r="J818" s="17" t="s">
        <v>2487</v>
      </c>
      <c r="K818" s="17">
        <v>0.88</v>
      </c>
      <c r="L818" s="17">
        <v>0.97</v>
      </c>
      <c r="M818" s="18">
        <f>Raw_LIMS_Export!K818</f>
        <v>45311</v>
      </c>
      <c r="N818" s="19" t="s">
        <v>2926</v>
      </c>
    </row>
    <row r="819" spans="1:14" x14ac:dyDescent="0.35">
      <c r="A819" s="16" t="s">
        <v>824</v>
      </c>
      <c r="B819" s="17" t="s">
        <v>2341</v>
      </c>
      <c r="C819" s="17" t="s">
        <v>2459</v>
      </c>
      <c r="D819" s="17" t="str">
        <f>_xlfn.XLOOKUP(Raw_LIMS_Export!E819,'mapping Site table'!$B$4:$B$14,'mapping Site table'!$C$4:$C$14,Raw_LIMS_Export!E819)</f>
        <v>East Hanover</v>
      </c>
      <c r="E819" s="17" t="s">
        <v>2482</v>
      </c>
      <c r="F819" s="17">
        <f t="shared" si="37"/>
        <v>1</v>
      </c>
      <c r="G819" s="17" t="str">
        <f t="shared" si="38"/>
        <v>Pass</v>
      </c>
      <c r="H819" s="17" t="str">
        <f t="shared" si="36"/>
        <v>Fail</v>
      </c>
      <c r="I819" s="17">
        <v>99.11</v>
      </c>
      <c r="J819" s="17" t="s">
        <v>2489</v>
      </c>
      <c r="K819" s="17">
        <v>97</v>
      </c>
      <c r="L819" s="17">
        <v>100</v>
      </c>
      <c r="M819" s="18">
        <f>Raw_LIMS_Export!K819</f>
        <v>45812</v>
      </c>
      <c r="N819" s="19" t="s">
        <v>2926</v>
      </c>
    </row>
    <row r="820" spans="1:14" x14ac:dyDescent="0.35">
      <c r="A820" s="16" t="s">
        <v>825</v>
      </c>
      <c r="B820" s="17" t="s">
        <v>2297</v>
      </c>
      <c r="C820" s="17" t="s">
        <v>2458</v>
      </c>
      <c r="D820" s="17" t="str">
        <f>_xlfn.XLOOKUP(Raw_LIMS_Export!E820,'mapping Site table'!$B$4:$B$14,'mapping Site table'!$C$4:$C$14,Raw_LIMS_Export!E820)</f>
        <v>East Hanover</v>
      </c>
      <c r="E820" s="17" t="s">
        <v>2485</v>
      </c>
      <c r="F820" s="17">
        <f t="shared" si="37"/>
        <v>1</v>
      </c>
      <c r="G820" s="17" t="str">
        <f t="shared" si="38"/>
        <v>Pass</v>
      </c>
      <c r="H820" s="17" t="str">
        <f t="shared" si="36"/>
        <v>Pass</v>
      </c>
      <c r="I820" s="17">
        <v>56.6</v>
      </c>
      <c r="J820" s="17" t="s">
        <v>2490</v>
      </c>
      <c r="K820" s="17">
        <v>0</v>
      </c>
      <c r="L820" s="17">
        <v>100</v>
      </c>
      <c r="M820" s="18">
        <f>Raw_LIMS_Export!K820</f>
        <v>45800</v>
      </c>
      <c r="N820" s="19" t="s">
        <v>2932</v>
      </c>
    </row>
    <row r="821" spans="1:14" x14ac:dyDescent="0.35">
      <c r="A821" s="16" t="s">
        <v>826</v>
      </c>
      <c r="B821" s="17" t="s">
        <v>2233</v>
      </c>
      <c r="C821" s="17" t="s">
        <v>2459</v>
      </c>
      <c r="D821" s="17" t="str">
        <f>_xlfn.XLOOKUP(Raw_LIMS_Export!E821,'mapping Site table'!$B$4:$B$14,'mapping Site table'!$C$4:$C$14,Raw_LIMS_Export!E821)</f>
        <v>Budapest</v>
      </c>
      <c r="E821" s="17" t="s">
        <v>2481</v>
      </c>
      <c r="F821" s="17">
        <f t="shared" si="37"/>
        <v>1</v>
      </c>
      <c r="G821" s="17" t="str">
        <f t="shared" si="38"/>
        <v>Pass</v>
      </c>
      <c r="H821" s="17" t="str">
        <f t="shared" si="36"/>
        <v>Fail</v>
      </c>
      <c r="I821" s="17">
        <v>232.3</v>
      </c>
      <c r="J821" s="17" t="s">
        <v>2488</v>
      </c>
      <c r="K821" s="17">
        <v>150</v>
      </c>
      <c r="L821" s="17">
        <v>400</v>
      </c>
      <c r="M821" s="18">
        <f>Raw_LIMS_Export!K821</f>
        <v>45854</v>
      </c>
      <c r="N821" s="19" t="s">
        <v>2932</v>
      </c>
    </row>
    <row r="822" spans="1:14" x14ac:dyDescent="0.35">
      <c r="A822" s="16" t="s">
        <v>827</v>
      </c>
      <c r="B822" s="17" t="s">
        <v>2195</v>
      </c>
      <c r="C822" s="17" t="s">
        <v>2457</v>
      </c>
      <c r="D822" s="17" t="str">
        <f>_xlfn.XLOOKUP(Raw_LIMS_Export!E822,'mapping Site table'!$B$4:$B$14,'mapping Site table'!$C$4:$C$14,Raw_LIMS_Export!E822)</f>
        <v>Dortmund DE</v>
      </c>
      <c r="E822" s="17" t="s">
        <v>2481</v>
      </c>
      <c r="F822" s="17">
        <f t="shared" si="37"/>
        <v>1</v>
      </c>
      <c r="G822" s="17" t="str">
        <f t="shared" si="38"/>
        <v>Pass</v>
      </c>
      <c r="H822" s="17" t="str">
        <f t="shared" si="36"/>
        <v>Pass</v>
      </c>
      <c r="I822" s="17">
        <v>226.66</v>
      </c>
      <c r="J822" s="17" t="s">
        <v>2488</v>
      </c>
      <c r="K822" s="17">
        <v>150</v>
      </c>
      <c r="L822" s="17">
        <v>400</v>
      </c>
      <c r="M822" s="18">
        <f>Raw_LIMS_Export!K822</f>
        <v>45588</v>
      </c>
      <c r="N822" s="19" t="s">
        <v>2927</v>
      </c>
    </row>
    <row r="823" spans="1:14" x14ac:dyDescent="0.35">
      <c r="A823" s="16" t="s">
        <v>828</v>
      </c>
      <c r="B823" s="17" t="s">
        <v>2418</v>
      </c>
      <c r="C823" s="17" t="s">
        <v>2458</v>
      </c>
      <c r="D823" s="17" t="str">
        <f>_xlfn.XLOOKUP(Raw_LIMS_Export!E823,'mapping Site table'!$B$4:$B$14,'mapping Site table'!$C$4:$C$14,Raw_LIMS_Export!E823)</f>
        <v>Vernier CH</v>
      </c>
      <c r="E823" s="17" t="s">
        <v>2481</v>
      </c>
      <c r="F823" s="17">
        <f t="shared" si="37"/>
        <v>1</v>
      </c>
      <c r="G823" s="17" t="str">
        <f t="shared" si="38"/>
        <v>Pass</v>
      </c>
      <c r="H823" s="17" t="str">
        <f t="shared" si="36"/>
        <v>Pass</v>
      </c>
      <c r="I823" s="17">
        <v>287.51</v>
      </c>
      <c r="J823" s="17" t="s">
        <v>2488</v>
      </c>
      <c r="K823" s="17">
        <v>150</v>
      </c>
      <c r="L823" s="17">
        <v>400</v>
      </c>
      <c r="M823" s="18">
        <f>Raw_LIMS_Export!K823</f>
        <v>45759</v>
      </c>
      <c r="N823" s="19" t="s">
        <v>2928</v>
      </c>
    </row>
    <row r="824" spans="1:14" x14ac:dyDescent="0.35">
      <c r="A824" s="16" t="s">
        <v>829</v>
      </c>
      <c r="B824" s="17" t="s">
        <v>2114</v>
      </c>
      <c r="C824" s="17" t="s">
        <v>2460</v>
      </c>
      <c r="D824" s="17" t="str">
        <f>_xlfn.XLOOKUP(Raw_LIMS_Export!E824,'mapping Site table'!$B$4:$B$14,'mapping Site table'!$C$4:$C$14,Raw_LIMS_Export!E824)</f>
        <v>East Hanover</v>
      </c>
      <c r="E824" s="17" t="s">
        <v>2481</v>
      </c>
      <c r="F824" s="17">
        <f t="shared" si="37"/>
        <v>1</v>
      </c>
      <c r="G824" s="17" t="str">
        <f t="shared" si="38"/>
        <v>Pass</v>
      </c>
      <c r="H824" s="17" t="str">
        <f t="shared" si="36"/>
        <v>Fail</v>
      </c>
      <c r="I824" s="17">
        <v>251.74</v>
      </c>
      <c r="J824" s="17" t="s">
        <v>2488</v>
      </c>
      <c r="K824" s="17">
        <v>150</v>
      </c>
      <c r="L824" s="17">
        <v>400</v>
      </c>
      <c r="M824" s="18">
        <f>Raw_LIMS_Export!K824</f>
        <v>45654</v>
      </c>
      <c r="N824" s="19" t="s">
        <v>2931</v>
      </c>
    </row>
    <row r="825" spans="1:14" x14ac:dyDescent="0.35">
      <c r="A825" s="16" t="s">
        <v>830</v>
      </c>
      <c r="B825" s="17" t="s">
        <v>2217</v>
      </c>
      <c r="C825" s="17" t="s">
        <v>2458</v>
      </c>
      <c r="D825" s="17" t="str">
        <f>_xlfn.XLOOKUP(Raw_LIMS_Export!E825,'mapping Site table'!$B$4:$B$14,'mapping Site table'!$C$4:$C$14,Raw_LIMS_Export!E825)</f>
        <v>Budapest</v>
      </c>
      <c r="E825" s="17" t="s">
        <v>2481</v>
      </c>
      <c r="F825" s="17">
        <f t="shared" si="37"/>
        <v>1</v>
      </c>
      <c r="G825" s="17" t="str">
        <f t="shared" si="38"/>
        <v>Fail</v>
      </c>
      <c r="H825" s="17" t="str">
        <f t="shared" si="36"/>
        <v>Fail</v>
      </c>
      <c r="I825" s="17">
        <v>30</v>
      </c>
      <c r="J825" s="17" t="s">
        <v>2488</v>
      </c>
      <c r="K825" s="17">
        <v>150</v>
      </c>
      <c r="L825" s="17">
        <v>400</v>
      </c>
      <c r="M825" s="18">
        <f>Raw_LIMS_Export!K825</f>
        <v>45368</v>
      </c>
      <c r="N825" s="19" t="s">
        <v>2928</v>
      </c>
    </row>
    <row r="826" spans="1:14" x14ac:dyDescent="0.35">
      <c r="A826" s="16" t="s">
        <v>831</v>
      </c>
      <c r="B826" s="17" t="s">
        <v>2419</v>
      </c>
      <c r="C826" s="17" t="s">
        <v>2458</v>
      </c>
      <c r="D826" s="17" t="str">
        <f>_xlfn.XLOOKUP(Raw_LIMS_Export!E826,'mapping Site table'!$B$4:$B$14,'mapping Site table'!$C$4:$C$14,Raw_LIMS_Export!E826)</f>
        <v>Dortmund DE</v>
      </c>
      <c r="E826" s="17" t="s">
        <v>2480</v>
      </c>
      <c r="F826" s="17">
        <f t="shared" si="37"/>
        <v>1</v>
      </c>
      <c r="G826" s="17" t="str">
        <f t="shared" si="38"/>
        <v>Pass</v>
      </c>
      <c r="H826" s="17" t="str">
        <f t="shared" si="36"/>
        <v>Pending</v>
      </c>
      <c r="I826" s="17">
        <v>0.88</v>
      </c>
      <c r="J826" s="17" t="s">
        <v>2487</v>
      </c>
      <c r="K826" s="17">
        <v>0.88</v>
      </c>
      <c r="L826" s="17">
        <v>0.97</v>
      </c>
      <c r="M826" s="18">
        <f>Raw_LIMS_Export!K826</f>
        <v>45881</v>
      </c>
      <c r="N826" s="19" t="s">
        <v>2924</v>
      </c>
    </row>
    <row r="827" spans="1:14" x14ac:dyDescent="0.35">
      <c r="A827" s="16" t="s">
        <v>832</v>
      </c>
      <c r="B827" s="17" t="s">
        <v>2379</v>
      </c>
      <c r="C827" s="17" t="s">
        <v>2461</v>
      </c>
      <c r="D827" s="17" t="str">
        <f>_xlfn.XLOOKUP(Raw_LIMS_Export!E827,'mapping Site table'!$B$4:$B$14,'mapping Site table'!$C$4:$C$14,Raw_LIMS_Export!E827)</f>
        <v>Budapest</v>
      </c>
      <c r="E827" s="17" t="s">
        <v>2483</v>
      </c>
      <c r="F827" s="17">
        <f t="shared" si="37"/>
        <v>1</v>
      </c>
      <c r="G827" s="17" t="str">
        <f t="shared" si="38"/>
        <v>Pass</v>
      </c>
      <c r="H827" s="17" t="str">
        <f t="shared" si="36"/>
        <v>Pass</v>
      </c>
      <c r="I827" s="17">
        <v>0.65</v>
      </c>
      <c r="J827" s="17" t="s">
        <v>2489</v>
      </c>
      <c r="K827" s="17">
        <v>0</v>
      </c>
      <c r="L827" s="17">
        <v>1</v>
      </c>
      <c r="M827" s="18">
        <f>Raw_LIMS_Export!K827</f>
        <v>45342</v>
      </c>
      <c r="N827" s="19" t="s">
        <v>2926</v>
      </c>
    </row>
    <row r="828" spans="1:14" x14ac:dyDescent="0.35">
      <c r="A828" s="16" t="s">
        <v>833</v>
      </c>
      <c r="B828" s="17" t="s">
        <v>2327</v>
      </c>
      <c r="C828" s="17" t="s">
        <v>2458</v>
      </c>
      <c r="D828" s="17" t="str">
        <f>_xlfn.XLOOKUP(Raw_LIMS_Export!E828,'mapping Site table'!$B$4:$B$14,'mapping Site table'!$C$4:$C$14,Raw_LIMS_Export!E828)</f>
        <v>Budapest</v>
      </c>
      <c r="E828" s="17" t="s">
        <v>2483</v>
      </c>
      <c r="F828" s="17">
        <f t="shared" si="37"/>
        <v>1</v>
      </c>
      <c r="G828" s="17" t="str">
        <f t="shared" si="38"/>
        <v>Pass</v>
      </c>
      <c r="H828" s="17" t="str">
        <f t="shared" si="36"/>
        <v>Pass</v>
      </c>
      <c r="I828" s="17">
        <v>0.56000000000000005</v>
      </c>
      <c r="J828" s="17" t="s">
        <v>2489</v>
      </c>
      <c r="K828" s="17">
        <v>0</v>
      </c>
      <c r="L828" s="17">
        <v>1</v>
      </c>
      <c r="M828" s="18">
        <f>Raw_LIMS_Export!K828</f>
        <v>45699</v>
      </c>
      <c r="N828" s="19" t="s">
        <v>2932</v>
      </c>
    </row>
    <row r="829" spans="1:14" x14ac:dyDescent="0.35">
      <c r="A829" s="16" t="s">
        <v>834</v>
      </c>
      <c r="B829" s="17" t="s">
        <v>2291</v>
      </c>
      <c r="C829" s="17" t="s">
        <v>2458</v>
      </c>
      <c r="D829" s="17" t="str">
        <f>_xlfn.XLOOKUP(Raw_LIMS_Export!E829,'mapping Site table'!$B$4:$B$14,'mapping Site table'!$C$4:$C$14,Raw_LIMS_Export!E829)</f>
        <v>East Hanover</v>
      </c>
      <c r="E829" s="17" t="s">
        <v>2479</v>
      </c>
      <c r="F829" s="17">
        <f t="shared" si="37"/>
        <v>1</v>
      </c>
      <c r="G829" s="17" t="str">
        <f t="shared" si="38"/>
        <v>Pass</v>
      </c>
      <c r="H829" s="17" t="str">
        <f t="shared" si="36"/>
        <v>Pass</v>
      </c>
      <c r="I829" s="17">
        <v>47.62</v>
      </c>
      <c r="J829" s="17" t="s">
        <v>2486</v>
      </c>
      <c r="K829" s="17">
        <v>0</v>
      </c>
      <c r="L829" s="17">
        <v>120</v>
      </c>
      <c r="M829" s="18">
        <f>Raw_LIMS_Export!K829</f>
        <v>45763</v>
      </c>
      <c r="N829" s="19" t="s">
        <v>2927</v>
      </c>
    </row>
    <row r="830" spans="1:14" x14ac:dyDescent="0.35">
      <c r="A830" s="16" t="s">
        <v>835</v>
      </c>
      <c r="B830" s="17" t="s">
        <v>2198</v>
      </c>
      <c r="C830" s="17" t="s">
        <v>2459</v>
      </c>
      <c r="D830" s="17" t="str">
        <f>_xlfn.XLOOKUP(Raw_LIMS_Export!E830,'mapping Site table'!$B$4:$B$14,'mapping Site table'!$C$4:$C$14,Raw_LIMS_Export!E830)</f>
        <v>East Hanover</v>
      </c>
      <c r="E830" s="17" t="s">
        <v>2485</v>
      </c>
      <c r="F830" s="17">
        <f t="shared" si="37"/>
        <v>1</v>
      </c>
      <c r="G830" s="17" t="str">
        <f t="shared" si="38"/>
        <v>Pass</v>
      </c>
      <c r="H830" s="17" t="str">
        <f t="shared" si="36"/>
        <v>Pass</v>
      </c>
      <c r="I830" s="17">
        <v>27.51</v>
      </c>
      <c r="J830" s="17" t="s">
        <v>2490</v>
      </c>
      <c r="K830" s="17">
        <v>0</v>
      </c>
      <c r="L830" s="17">
        <v>100</v>
      </c>
      <c r="M830" s="18">
        <f>Raw_LIMS_Export!K830</f>
        <v>45704</v>
      </c>
      <c r="N830" s="19" t="s">
        <v>2928</v>
      </c>
    </row>
    <row r="831" spans="1:14" x14ac:dyDescent="0.35">
      <c r="A831" s="16" t="s">
        <v>836</v>
      </c>
      <c r="B831" s="17" t="s">
        <v>2420</v>
      </c>
      <c r="C831" s="17" t="s">
        <v>2460</v>
      </c>
      <c r="D831" s="17" t="str">
        <f>_xlfn.XLOOKUP(Raw_LIMS_Export!E831,'mapping Site table'!$B$4:$B$14,'mapping Site table'!$C$4:$C$14,Raw_LIMS_Export!E831)</f>
        <v>Dortmund DE</v>
      </c>
      <c r="E831" s="17" t="s">
        <v>2484</v>
      </c>
      <c r="F831" s="17">
        <f t="shared" si="37"/>
        <v>1</v>
      </c>
      <c r="G831" s="17" t="str">
        <f t="shared" si="38"/>
        <v>Pass</v>
      </c>
      <c r="H831" s="17" t="str">
        <f t="shared" si="36"/>
        <v>Fail</v>
      </c>
      <c r="I831" s="17">
        <v>6.92</v>
      </c>
      <c r="J831" s="17"/>
      <c r="K831" s="17">
        <v>6</v>
      </c>
      <c r="L831" s="17">
        <v>7.5</v>
      </c>
      <c r="M831" s="18">
        <f>Raw_LIMS_Export!K831</f>
        <v>45962</v>
      </c>
      <c r="N831" s="19" t="s">
        <v>2931</v>
      </c>
    </row>
    <row r="832" spans="1:14" x14ac:dyDescent="0.35">
      <c r="A832" s="16" t="s">
        <v>837</v>
      </c>
      <c r="B832" s="17" t="s">
        <v>2160</v>
      </c>
      <c r="C832" s="17" t="s">
        <v>2458</v>
      </c>
      <c r="D832" s="17" t="str">
        <f>_xlfn.XLOOKUP(Raw_LIMS_Export!E832,'mapping Site table'!$B$4:$B$14,'mapping Site table'!$C$4:$C$14,Raw_LIMS_Export!E832)</f>
        <v>Dortmund DE</v>
      </c>
      <c r="E832" s="17" t="s">
        <v>2485</v>
      </c>
      <c r="F832" s="17">
        <f t="shared" si="37"/>
        <v>1</v>
      </c>
      <c r="G832" s="17" t="str">
        <f t="shared" si="38"/>
        <v>Pass</v>
      </c>
      <c r="H832" s="17" t="str">
        <f t="shared" si="36"/>
        <v>Pass</v>
      </c>
      <c r="I832" s="17">
        <v>11.95</v>
      </c>
      <c r="J832" s="17" t="s">
        <v>2490</v>
      </c>
      <c r="K832" s="17">
        <v>0</v>
      </c>
      <c r="L832" s="17">
        <v>100</v>
      </c>
      <c r="M832" s="18">
        <f>Raw_LIMS_Export!K832</f>
        <v>45476</v>
      </c>
      <c r="N832" s="19" t="s">
        <v>2932</v>
      </c>
    </row>
    <row r="833" spans="1:14" x14ac:dyDescent="0.35">
      <c r="A833" s="16" t="s">
        <v>838</v>
      </c>
      <c r="B833" s="17" t="s">
        <v>2407</v>
      </c>
      <c r="C833" s="17" t="s">
        <v>2461</v>
      </c>
      <c r="D833" s="17" t="str">
        <f>_xlfn.XLOOKUP(Raw_LIMS_Export!E833,'mapping Site table'!$B$4:$B$14,'mapping Site table'!$C$4:$C$14,Raw_LIMS_Export!E833)</f>
        <v>East Hanover</v>
      </c>
      <c r="E833" s="17" t="s">
        <v>2481</v>
      </c>
      <c r="F833" s="17">
        <f t="shared" si="37"/>
        <v>1</v>
      </c>
      <c r="G833" s="17" t="str">
        <f t="shared" si="38"/>
        <v>Pass</v>
      </c>
      <c r="H833" s="17" t="str">
        <f t="shared" si="36"/>
        <v>Pass</v>
      </c>
      <c r="I833" s="17">
        <v>243.32</v>
      </c>
      <c r="J833" s="17" t="s">
        <v>2488</v>
      </c>
      <c r="K833" s="17">
        <v>150</v>
      </c>
      <c r="L833" s="17">
        <v>400</v>
      </c>
      <c r="M833" s="18">
        <f>Raw_LIMS_Export!K833</f>
        <v>45527</v>
      </c>
      <c r="N833" s="19" t="s">
        <v>2923</v>
      </c>
    </row>
    <row r="834" spans="1:14" x14ac:dyDescent="0.35">
      <c r="A834" s="16" t="s">
        <v>839</v>
      </c>
      <c r="B834" s="17" t="s">
        <v>2241</v>
      </c>
      <c r="C834" s="17" t="s">
        <v>2460</v>
      </c>
      <c r="D834" s="17" t="str">
        <f>_xlfn.XLOOKUP(Raw_LIMS_Export!E834,'mapping Site table'!$B$4:$B$14,'mapping Site table'!$C$4:$C$14,Raw_LIMS_Export!E834)</f>
        <v>Dortmund DE</v>
      </c>
      <c r="E834" s="17" t="s">
        <v>2482</v>
      </c>
      <c r="F834" s="17">
        <f t="shared" si="37"/>
        <v>1</v>
      </c>
      <c r="G834" s="17" t="str">
        <f t="shared" si="38"/>
        <v>Pass</v>
      </c>
      <c r="H834" s="17" t="str">
        <f t="shared" ref="H834:H897" si="39">IF(COUNTIFS($B$2:$B$2016,B834,$G$2:$G$2016,"Fail")&gt;0,"Fail",
  IF(COUNTIFS($B$2:$B$2016,B834,$G$2:$G$2016,"Missing")&gt;0,"Pending",
    "Pass"))</f>
        <v>Pass</v>
      </c>
      <c r="I834" s="17">
        <v>98.79</v>
      </c>
      <c r="J834" s="17" t="s">
        <v>2489</v>
      </c>
      <c r="K834" s="17">
        <v>97</v>
      </c>
      <c r="L834" s="17">
        <v>100</v>
      </c>
      <c r="M834" s="18">
        <f>Raw_LIMS_Export!K834</f>
        <v>45781</v>
      </c>
      <c r="N834" s="19" t="s">
        <v>2929</v>
      </c>
    </row>
    <row r="835" spans="1:14" x14ac:dyDescent="0.35">
      <c r="A835" s="16" t="s">
        <v>840</v>
      </c>
      <c r="B835" s="17" t="s">
        <v>2421</v>
      </c>
      <c r="C835" s="17" t="s">
        <v>2460</v>
      </c>
      <c r="D835" s="17" t="str">
        <f>_xlfn.XLOOKUP(Raw_LIMS_Export!E835,'mapping Site table'!$B$4:$B$14,'mapping Site table'!$C$4:$C$14,Raw_LIMS_Export!E835)</f>
        <v>Ashford UK</v>
      </c>
      <c r="E835" s="17" t="s">
        <v>2482</v>
      </c>
      <c r="F835" s="17">
        <f t="shared" ref="F835:F898" si="40">IF(I835="",0,1)</f>
        <v>1</v>
      </c>
      <c r="G835" s="17" t="str">
        <f t="shared" ref="G835:G898" si="41">IF(I835="", "Missing", IF(AND(I835&gt;=K835, I835&lt;=L835), "Pass", "Fail"))</f>
        <v>Pass</v>
      </c>
      <c r="H835" s="17" t="str">
        <f t="shared" si="39"/>
        <v>Pass</v>
      </c>
      <c r="I835" s="17">
        <v>97.38</v>
      </c>
      <c r="J835" s="17" t="s">
        <v>2489</v>
      </c>
      <c r="K835" s="17">
        <v>97</v>
      </c>
      <c r="L835" s="17">
        <v>100</v>
      </c>
      <c r="M835" s="18">
        <f>Raw_LIMS_Export!K835</f>
        <v>45404</v>
      </c>
      <c r="N835" s="19" t="s">
        <v>2923</v>
      </c>
    </row>
    <row r="836" spans="1:14" x14ac:dyDescent="0.35">
      <c r="A836" s="16" t="s">
        <v>841</v>
      </c>
      <c r="B836" s="17" t="s">
        <v>2337</v>
      </c>
      <c r="C836" s="17" t="s">
        <v>2461</v>
      </c>
      <c r="D836" s="17" t="str">
        <f>_xlfn.XLOOKUP(Raw_LIMS_Export!E836,'mapping Site table'!$B$4:$B$14,'mapping Site table'!$C$4:$C$14,Raw_LIMS_Export!E836)</f>
        <v>East Hanover</v>
      </c>
      <c r="E836" s="17" t="s">
        <v>2485</v>
      </c>
      <c r="F836" s="17">
        <f t="shared" si="40"/>
        <v>1</v>
      </c>
      <c r="G836" s="17" t="str">
        <f t="shared" si="41"/>
        <v>Pass</v>
      </c>
      <c r="H836" s="17" t="str">
        <f t="shared" si="39"/>
        <v>Pass</v>
      </c>
      <c r="I836" s="17">
        <v>17.86</v>
      </c>
      <c r="J836" s="17" t="s">
        <v>2490</v>
      </c>
      <c r="K836" s="17">
        <v>0</v>
      </c>
      <c r="L836" s="17">
        <v>100</v>
      </c>
      <c r="M836" s="18">
        <f>Raw_LIMS_Export!K836</f>
        <v>45545</v>
      </c>
      <c r="N836" s="19" t="s">
        <v>2930</v>
      </c>
    </row>
    <row r="837" spans="1:14" x14ac:dyDescent="0.35">
      <c r="A837" s="16" t="s">
        <v>842</v>
      </c>
      <c r="B837" s="17" t="s">
        <v>2382</v>
      </c>
      <c r="C837" s="17" t="s">
        <v>2459</v>
      </c>
      <c r="D837" s="17" t="str">
        <f>_xlfn.XLOOKUP(Raw_LIMS_Export!E837,'mapping Site table'!$B$4:$B$14,'mapping Site table'!$C$4:$C$14,Raw_LIMS_Export!E837)</f>
        <v>East Hanover</v>
      </c>
      <c r="E837" s="17" t="s">
        <v>2481</v>
      </c>
      <c r="F837" s="17">
        <f t="shared" si="40"/>
        <v>1</v>
      </c>
      <c r="G837" s="17" t="str">
        <f t="shared" si="41"/>
        <v>Pass</v>
      </c>
      <c r="H837" s="17" t="str">
        <f t="shared" si="39"/>
        <v>Pass</v>
      </c>
      <c r="I837" s="17">
        <v>262.95999999999998</v>
      </c>
      <c r="J837" s="17" t="s">
        <v>2488</v>
      </c>
      <c r="K837" s="17">
        <v>150</v>
      </c>
      <c r="L837" s="17">
        <v>400</v>
      </c>
      <c r="M837" s="18">
        <f>Raw_LIMS_Export!K837</f>
        <v>45831</v>
      </c>
      <c r="N837" s="19" t="s">
        <v>2929</v>
      </c>
    </row>
    <row r="838" spans="1:14" x14ac:dyDescent="0.35">
      <c r="A838" s="16" t="s">
        <v>843</v>
      </c>
      <c r="B838" s="17" t="s">
        <v>2034</v>
      </c>
      <c r="C838" s="17" t="s">
        <v>2461</v>
      </c>
      <c r="D838" s="17" t="str">
        <f>_xlfn.XLOOKUP(Raw_LIMS_Export!E838,'mapping Site table'!$B$4:$B$14,'mapping Site table'!$C$4:$C$14,Raw_LIMS_Export!E838)</f>
        <v>Ashford UK</v>
      </c>
      <c r="E838" s="17" t="s">
        <v>2485</v>
      </c>
      <c r="F838" s="17">
        <f t="shared" si="40"/>
        <v>1</v>
      </c>
      <c r="G838" s="17" t="str">
        <f t="shared" si="41"/>
        <v>Fail</v>
      </c>
      <c r="H838" s="17" t="str">
        <f t="shared" si="39"/>
        <v>Fail</v>
      </c>
      <c r="I838" s="17">
        <v>-17.05</v>
      </c>
      <c r="J838" s="17" t="s">
        <v>2490</v>
      </c>
      <c r="K838" s="17">
        <v>0</v>
      </c>
      <c r="L838" s="17">
        <v>100</v>
      </c>
      <c r="M838" s="18">
        <f>Raw_LIMS_Export!K838</f>
        <v>45615</v>
      </c>
      <c r="N838" s="19" t="s">
        <v>2931</v>
      </c>
    </row>
    <row r="839" spans="1:14" x14ac:dyDescent="0.35">
      <c r="A839" s="16" t="s">
        <v>844</v>
      </c>
      <c r="B839" s="17" t="s">
        <v>2245</v>
      </c>
      <c r="C839" s="17" t="s">
        <v>2457</v>
      </c>
      <c r="D839" s="17" t="str">
        <f>_xlfn.XLOOKUP(Raw_LIMS_Export!E839,'mapping Site table'!$B$4:$B$14,'mapping Site table'!$C$4:$C$14,Raw_LIMS_Export!E839)</f>
        <v>Budapest</v>
      </c>
      <c r="E839" s="17" t="s">
        <v>2479</v>
      </c>
      <c r="F839" s="17">
        <f t="shared" si="40"/>
        <v>1</v>
      </c>
      <c r="G839" s="17" t="str">
        <f t="shared" si="41"/>
        <v>Pass</v>
      </c>
      <c r="H839" s="17" t="str">
        <f t="shared" si="39"/>
        <v>Pass</v>
      </c>
      <c r="I839" s="17">
        <v>8.7899999999999991</v>
      </c>
      <c r="J839" s="17" t="s">
        <v>2486</v>
      </c>
      <c r="K839" s="17">
        <v>0</v>
      </c>
      <c r="L839" s="17">
        <v>120</v>
      </c>
      <c r="M839" s="18">
        <f>Raw_LIMS_Export!K839</f>
        <v>45441</v>
      </c>
      <c r="N839" s="19" t="s">
        <v>2927</v>
      </c>
    </row>
    <row r="840" spans="1:14" x14ac:dyDescent="0.35">
      <c r="A840" s="16" t="s">
        <v>845</v>
      </c>
      <c r="B840" s="17" t="s">
        <v>2106</v>
      </c>
      <c r="C840" s="17" t="s">
        <v>2461</v>
      </c>
      <c r="D840" s="17" t="str">
        <f>_xlfn.XLOOKUP(Raw_LIMS_Export!E840,'mapping Site table'!$B$4:$B$14,'mapping Site table'!$C$4:$C$14,Raw_LIMS_Export!E840)</f>
        <v>Vernier CH</v>
      </c>
      <c r="E840" s="17" t="s">
        <v>2485</v>
      </c>
      <c r="F840" s="17">
        <f t="shared" si="40"/>
        <v>1</v>
      </c>
      <c r="G840" s="17" t="str">
        <f t="shared" si="41"/>
        <v>Fail</v>
      </c>
      <c r="H840" s="17" t="str">
        <f t="shared" si="39"/>
        <v>Fail</v>
      </c>
      <c r="I840" s="17">
        <v>-6.33</v>
      </c>
      <c r="J840" s="17" t="s">
        <v>2490</v>
      </c>
      <c r="K840" s="17">
        <v>0</v>
      </c>
      <c r="L840" s="17">
        <v>100</v>
      </c>
      <c r="M840" s="18">
        <f>Raw_LIMS_Export!K840</f>
        <v>45388</v>
      </c>
      <c r="N840" s="19" t="s">
        <v>2928</v>
      </c>
    </row>
    <row r="841" spans="1:14" x14ac:dyDescent="0.35">
      <c r="A841" s="16" t="s">
        <v>846</v>
      </c>
      <c r="B841" s="17" t="s">
        <v>2143</v>
      </c>
      <c r="C841" s="17" t="s">
        <v>2460</v>
      </c>
      <c r="D841" s="17" t="str">
        <f>_xlfn.XLOOKUP(Raw_LIMS_Export!E841,'mapping Site table'!$B$4:$B$14,'mapping Site table'!$C$4:$C$14,Raw_LIMS_Export!E841)</f>
        <v>Dortmund DE</v>
      </c>
      <c r="E841" s="17" t="s">
        <v>2481</v>
      </c>
      <c r="F841" s="17">
        <f t="shared" si="40"/>
        <v>1</v>
      </c>
      <c r="G841" s="17" t="str">
        <f t="shared" si="41"/>
        <v>Pass</v>
      </c>
      <c r="H841" s="17" t="str">
        <f t="shared" si="39"/>
        <v>Pass</v>
      </c>
      <c r="I841" s="17">
        <v>214.82</v>
      </c>
      <c r="J841" s="17" t="s">
        <v>2488</v>
      </c>
      <c r="K841" s="17">
        <v>150</v>
      </c>
      <c r="L841" s="17">
        <v>400</v>
      </c>
      <c r="M841" s="18">
        <f>Raw_LIMS_Export!K841</f>
        <v>45540</v>
      </c>
      <c r="N841" s="19" t="s">
        <v>2929</v>
      </c>
    </row>
    <row r="842" spans="1:14" x14ac:dyDescent="0.35">
      <c r="A842" s="16" t="s">
        <v>847</v>
      </c>
      <c r="B842" s="17" t="s">
        <v>2123</v>
      </c>
      <c r="C842" s="17" t="s">
        <v>2457</v>
      </c>
      <c r="D842" s="17" t="str">
        <f>_xlfn.XLOOKUP(Raw_LIMS_Export!E842,'mapping Site table'!$B$4:$B$14,'mapping Site table'!$C$4:$C$14,Raw_LIMS_Export!E842)</f>
        <v>Dortmund DE</v>
      </c>
      <c r="E842" s="17" t="s">
        <v>2480</v>
      </c>
      <c r="F842" s="17">
        <f t="shared" si="40"/>
        <v>1</v>
      </c>
      <c r="G842" s="17" t="str">
        <f t="shared" si="41"/>
        <v>Pass</v>
      </c>
      <c r="H842" s="17" t="str">
        <f t="shared" si="39"/>
        <v>Pass</v>
      </c>
      <c r="I842" s="17">
        <v>0.9</v>
      </c>
      <c r="J842" s="17" t="s">
        <v>2487</v>
      </c>
      <c r="K842" s="17">
        <v>0.88</v>
      </c>
      <c r="L842" s="17">
        <v>0.97</v>
      </c>
      <c r="M842" s="18">
        <f>Raw_LIMS_Export!K842</f>
        <v>45974</v>
      </c>
      <c r="N842" s="19" t="s">
        <v>2928</v>
      </c>
    </row>
    <row r="843" spans="1:14" x14ac:dyDescent="0.35">
      <c r="A843" s="16" t="s">
        <v>848</v>
      </c>
      <c r="B843" s="17" t="s">
        <v>2152</v>
      </c>
      <c r="C843" s="17" t="s">
        <v>2461</v>
      </c>
      <c r="D843" s="17" t="str">
        <f>_xlfn.XLOOKUP(Raw_LIMS_Export!E843,'mapping Site table'!$B$4:$B$14,'mapping Site table'!$C$4:$C$14,Raw_LIMS_Export!E843)</f>
        <v>Budapest</v>
      </c>
      <c r="E843" s="17" t="s">
        <v>2482</v>
      </c>
      <c r="F843" s="17">
        <f t="shared" si="40"/>
        <v>1</v>
      </c>
      <c r="G843" s="17" t="str">
        <f t="shared" si="41"/>
        <v>Pass</v>
      </c>
      <c r="H843" s="17" t="str">
        <f t="shared" si="39"/>
        <v>Fail</v>
      </c>
      <c r="I843" s="17">
        <v>98.17</v>
      </c>
      <c r="J843" s="17" t="s">
        <v>2489</v>
      </c>
      <c r="K843" s="17">
        <v>97</v>
      </c>
      <c r="L843" s="17">
        <v>100</v>
      </c>
      <c r="M843" s="18">
        <f>Raw_LIMS_Export!K843</f>
        <v>45958</v>
      </c>
      <c r="N843" s="19" t="s">
        <v>2928</v>
      </c>
    </row>
    <row r="844" spans="1:14" x14ac:dyDescent="0.35">
      <c r="A844" s="16" t="s">
        <v>849</v>
      </c>
      <c r="B844" s="17" t="s">
        <v>2058</v>
      </c>
      <c r="C844" s="17" t="s">
        <v>2460</v>
      </c>
      <c r="D844" s="17" t="str">
        <f>_xlfn.XLOOKUP(Raw_LIMS_Export!E844,'mapping Site table'!$B$4:$B$14,'mapping Site table'!$C$4:$C$14,Raw_LIMS_Export!E844)</f>
        <v>Budapest</v>
      </c>
      <c r="E844" s="17" t="s">
        <v>2484</v>
      </c>
      <c r="F844" s="17">
        <f t="shared" si="40"/>
        <v>1</v>
      </c>
      <c r="G844" s="17" t="str">
        <f t="shared" si="41"/>
        <v>Pass</v>
      </c>
      <c r="H844" s="17" t="str">
        <f t="shared" si="39"/>
        <v>Pass</v>
      </c>
      <c r="I844" s="17">
        <v>6.83</v>
      </c>
      <c r="J844" s="17"/>
      <c r="K844" s="17">
        <v>6</v>
      </c>
      <c r="L844" s="17">
        <v>7.5</v>
      </c>
      <c r="M844" s="18">
        <f>Raw_LIMS_Export!K844</f>
        <v>45695</v>
      </c>
      <c r="N844" s="19" t="s">
        <v>2924</v>
      </c>
    </row>
    <row r="845" spans="1:14" x14ac:dyDescent="0.35">
      <c r="A845" s="16" t="s">
        <v>850</v>
      </c>
      <c r="B845" s="17" t="s">
        <v>2257</v>
      </c>
      <c r="C845" s="17" t="s">
        <v>2457</v>
      </c>
      <c r="D845" s="17" t="str">
        <f>_xlfn.XLOOKUP(Raw_LIMS_Export!E845,'mapping Site table'!$B$4:$B$14,'mapping Site table'!$C$4:$C$14,Raw_LIMS_Export!E845)</f>
        <v>Dortmund DE</v>
      </c>
      <c r="E845" s="17" t="s">
        <v>2484</v>
      </c>
      <c r="F845" s="17">
        <f t="shared" si="40"/>
        <v>1</v>
      </c>
      <c r="G845" s="17" t="str">
        <f t="shared" si="41"/>
        <v>Pass</v>
      </c>
      <c r="H845" s="17" t="str">
        <f t="shared" si="39"/>
        <v>Fail</v>
      </c>
      <c r="I845" s="17">
        <v>6.6</v>
      </c>
      <c r="J845" s="17"/>
      <c r="K845" s="17">
        <v>6</v>
      </c>
      <c r="L845" s="17">
        <v>7.5</v>
      </c>
      <c r="M845" s="18">
        <f>Raw_LIMS_Export!K845</f>
        <v>45635</v>
      </c>
      <c r="N845" s="19" t="s">
        <v>2927</v>
      </c>
    </row>
    <row r="846" spans="1:14" x14ac:dyDescent="0.35">
      <c r="A846" s="16" t="s">
        <v>851</v>
      </c>
      <c r="B846" s="17" t="s">
        <v>2350</v>
      </c>
      <c r="C846" s="17" t="s">
        <v>2459</v>
      </c>
      <c r="D846" s="17" t="str">
        <f>_xlfn.XLOOKUP(Raw_LIMS_Export!E846,'mapping Site table'!$B$4:$B$14,'mapping Site table'!$C$4:$C$14,Raw_LIMS_Export!E846)</f>
        <v>Vernier CH</v>
      </c>
      <c r="E846" s="17" t="s">
        <v>2481</v>
      </c>
      <c r="F846" s="17">
        <f t="shared" si="40"/>
        <v>1</v>
      </c>
      <c r="G846" s="17" t="str">
        <f t="shared" si="41"/>
        <v>Pass</v>
      </c>
      <c r="H846" s="17" t="str">
        <f t="shared" si="39"/>
        <v>Pending</v>
      </c>
      <c r="I846" s="17">
        <v>311.05</v>
      </c>
      <c r="J846" s="17" t="s">
        <v>2488</v>
      </c>
      <c r="K846" s="17">
        <v>150</v>
      </c>
      <c r="L846" s="17">
        <v>400</v>
      </c>
      <c r="M846" s="18">
        <f>Raw_LIMS_Export!K846</f>
        <v>45605</v>
      </c>
      <c r="N846" s="19" t="s">
        <v>2923</v>
      </c>
    </row>
    <row r="847" spans="1:14" x14ac:dyDescent="0.35">
      <c r="A847" s="16" t="s">
        <v>852</v>
      </c>
      <c r="B847" s="17" t="s">
        <v>2206</v>
      </c>
      <c r="C847" s="17" t="s">
        <v>2458</v>
      </c>
      <c r="D847" s="17" t="str">
        <f>_xlfn.XLOOKUP(Raw_LIMS_Export!E847,'mapping Site table'!$B$4:$B$14,'mapping Site table'!$C$4:$C$14,Raw_LIMS_Export!E847)</f>
        <v>Dortmund DE</v>
      </c>
      <c r="E847" s="17" t="s">
        <v>2480</v>
      </c>
      <c r="F847" s="17">
        <f t="shared" si="40"/>
        <v>1</v>
      </c>
      <c r="G847" s="17" t="str">
        <f t="shared" si="41"/>
        <v>Pass</v>
      </c>
      <c r="H847" s="17" t="str">
        <f t="shared" si="39"/>
        <v>Pass</v>
      </c>
      <c r="I847" s="17">
        <v>0.89</v>
      </c>
      <c r="J847" s="17" t="s">
        <v>2487</v>
      </c>
      <c r="K847" s="17">
        <v>0.88</v>
      </c>
      <c r="L847" s="17">
        <v>0.97</v>
      </c>
      <c r="M847" s="18">
        <f>Raw_LIMS_Export!K847</f>
        <v>45814</v>
      </c>
      <c r="N847" s="19" t="s">
        <v>2929</v>
      </c>
    </row>
    <row r="848" spans="1:14" x14ac:dyDescent="0.35">
      <c r="A848" s="16" t="s">
        <v>853</v>
      </c>
      <c r="B848" s="17" t="s">
        <v>2113</v>
      </c>
      <c r="C848" s="17" t="s">
        <v>2458</v>
      </c>
      <c r="D848" s="17" t="str">
        <f>_xlfn.XLOOKUP(Raw_LIMS_Export!E848,'mapping Site table'!$B$4:$B$14,'mapping Site table'!$C$4:$C$14,Raw_LIMS_Export!E848)</f>
        <v>East Hanover</v>
      </c>
      <c r="E848" s="17" t="s">
        <v>2482</v>
      </c>
      <c r="F848" s="17">
        <f t="shared" si="40"/>
        <v>1</v>
      </c>
      <c r="G848" s="17" t="str">
        <f t="shared" si="41"/>
        <v>Pass</v>
      </c>
      <c r="H848" s="17" t="str">
        <f t="shared" si="39"/>
        <v>Fail</v>
      </c>
      <c r="I848" s="17">
        <v>99.85</v>
      </c>
      <c r="J848" s="17" t="s">
        <v>2489</v>
      </c>
      <c r="K848" s="17">
        <v>97</v>
      </c>
      <c r="L848" s="17">
        <v>100</v>
      </c>
      <c r="M848" s="18">
        <f>Raw_LIMS_Export!K848</f>
        <v>45345</v>
      </c>
      <c r="N848" s="19" t="s">
        <v>2926</v>
      </c>
    </row>
    <row r="849" spans="1:14" x14ac:dyDescent="0.35">
      <c r="A849" s="16" t="s">
        <v>854</v>
      </c>
      <c r="B849" s="17" t="s">
        <v>2313</v>
      </c>
      <c r="C849" s="17" t="s">
        <v>2459</v>
      </c>
      <c r="D849" s="17" t="str">
        <f>_xlfn.XLOOKUP(Raw_LIMS_Export!E849,'mapping Site table'!$B$4:$B$14,'mapping Site table'!$C$4:$C$14,Raw_LIMS_Export!E849)</f>
        <v>Budapest</v>
      </c>
      <c r="E849" s="17" t="s">
        <v>2482</v>
      </c>
      <c r="F849" s="17">
        <f t="shared" si="40"/>
        <v>1</v>
      </c>
      <c r="G849" s="17" t="str">
        <f t="shared" si="41"/>
        <v>Pass</v>
      </c>
      <c r="H849" s="17" t="str">
        <f t="shared" si="39"/>
        <v>Fail</v>
      </c>
      <c r="I849" s="17">
        <v>98.66</v>
      </c>
      <c r="J849" s="17" t="s">
        <v>2489</v>
      </c>
      <c r="K849" s="17">
        <v>97</v>
      </c>
      <c r="L849" s="17">
        <v>100</v>
      </c>
      <c r="M849" s="18">
        <f>Raw_LIMS_Export!K849</f>
        <v>45742</v>
      </c>
      <c r="N849" s="19" t="s">
        <v>2923</v>
      </c>
    </row>
    <row r="850" spans="1:14" x14ac:dyDescent="0.35">
      <c r="A850" s="16" t="s">
        <v>855</v>
      </c>
      <c r="B850" s="17" t="s">
        <v>2120</v>
      </c>
      <c r="C850" s="17" t="s">
        <v>2459</v>
      </c>
      <c r="D850" s="17" t="str">
        <f>_xlfn.XLOOKUP(Raw_LIMS_Export!E850,'mapping Site table'!$B$4:$B$14,'mapping Site table'!$C$4:$C$14,Raw_LIMS_Export!E850)</f>
        <v>Vernier CH</v>
      </c>
      <c r="E850" s="17" t="s">
        <v>2485</v>
      </c>
      <c r="F850" s="17">
        <f t="shared" si="40"/>
        <v>1</v>
      </c>
      <c r="G850" s="17" t="str">
        <f t="shared" si="41"/>
        <v>Pass</v>
      </c>
      <c r="H850" s="17" t="str">
        <f t="shared" si="39"/>
        <v>Fail</v>
      </c>
      <c r="I850" s="17">
        <v>43.12</v>
      </c>
      <c r="J850" s="17" t="s">
        <v>2490</v>
      </c>
      <c r="K850" s="17">
        <v>0</v>
      </c>
      <c r="L850" s="17">
        <v>100</v>
      </c>
      <c r="M850" s="18">
        <f>Raw_LIMS_Export!K850</f>
        <v>45393</v>
      </c>
      <c r="N850" s="19" t="s">
        <v>2925</v>
      </c>
    </row>
    <row r="851" spans="1:14" x14ac:dyDescent="0.35">
      <c r="A851" s="16" t="s">
        <v>856</v>
      </c>
      <c r="B851" s="17" t="s">
        <v>2011</v>
      </c>
      <c r="C851" s="17" t="s">
        <v>2457</v>
      </c>
      <c r="D851" s="17" t="str">
        <f>_xlfn.XLOOKUP(Raw_LIMS_Export!E851,'mapping Site table'!$B$4:$B$14,'mapping Site table'!$C$4:$C$14,Raw_LIMS_Export!E851)</f>
        <v>Ashford UK</v>
      </c>
      <c r="E851" s="17" t="s">
        <v>2482</v>
      </c>
      <c r="F851" s="17">
        <f t="shared" si="40"/>
        <v>0</v>
      </c>
      <c r="G851" s="17" t="str">
        <f t="shared" si="41"/>
        <v>Missing</v>
      </c>
      <c r="H851" s="17" t="str">
        <f t="shared" si="39"/>
        <v>Pending</v>
      </c>
      <c r="I851" s="17"/>
      <c r="J851" s="17" t="s">
        <v>2489</v>
      </c>
      <c r="K851" s="17">
        <v>97</v>
      </c>
      <c r="L851" s="17">
        <v>100</v>
      </c>
      <c r="M851" s="18">
        <f>Raw_LIMS_Export!K851</f>
        <v>45350</v>
      </c>
      <c r="N851" s="19" t="s">
        <v>2924</v>
      </c>
    </row>
    <row r="852" spans="1:14" x14ac:dyDescent="0.35">
      <c r="A852" s="16" t="s">
        <v>857</v>
      </c>
      <c r="B852" s="17" t="s">
        <v>2422</v>
      </c>
      <c r="C852" s="17" t="s">
        <v>2461</v>
      </c>
      <c r="D852" s="17" t="str">
        <f>_xlfn.XLOOKUP(Raw_LIMS_Export!E852,'mapping Site table'!$B$4:$B$14,'mapping Site table'!$C$4:$C$14,Raw_LIMS_Export!E852)</f>
        <v>Dortmund DE</v>
      </c>
      <c r="E852" s="17" t="s">
        <v>2481</v>
      </c>
      <c r="F852" s="17">
        <f t="shared" si="40"/>
        <v>1</v>
      </c>
      <c r="G852" s="17" t="str">
        <f t="shared" si="41"/>
        <v>Pass</v>
      </c>
      <c r="H852" s="17" t="str">
        <f t="shared" si="39"/>
        <v>Fail</v>
      </c>
      <c r="I852" s="17">
        <v>190.07</v>
      </c>
      <c r="J852" s="17" t="s">
        <v>2488</v>
      </c>
      <c r="K852" s="17">
        <v>150</v>
      </c>
      <c r="L852" s="17">
        <v>400</v>
      </c>
      <c r="M852" s="18">
        <f>Raw_LIMS_Export!K852</f>
        <v>45539</v>
      </c>
      <c r="N852" s="19" t="s">
        <v>2929</v>
      </c>
    </row>
    <row r="853" spans="1:14" x14ac:dyDescent="0.35">
      <c r="A853" s="16" t="s">
        <v>858</v>
      </c>
      <c r="B853" s="17" t="s">
        <v>2423</v>
      </c>
      <c r="C853" s="17" t="s">
        <v>2461</v>
      </c>
      <c r="D853" s="17" t="str">
        <f>_xlfn.XLOOKUP(Raw_LIMS_Export!E853,'mapping Site table'!$B$4:$B$14,'mapping Site table'!$C$4:$C$14,Raw_LIMS_Export!E853)</f>
        <v>East Hanover</v>
      </c>
      <c r="E853" s="17" t="s">
        <v>2480</v>
      </c>
      <c r="F853" s="17">
        <f t="shared" si="40"/>
        <v>1</v>
      </c>
      <c r="G853" s="17" t="str">
        <f t="shared" si="41"/>
        <v>Pass</v>
      </c>
      <c r="H853" s="17" t="str">
        <f t="shared" si="39"/>
        <v>Pass</v>
      </c>
      <c r="I853" s="17">
        <v>0.91</v>
      </c>
      <c r="J853" s="17" t="s">
        <v>2487</v>
      </c>
      <c r="K853" s="17">
        <v>0.88</v>
      </c>
      <c r="L853" s="17">
        <v>0.97</v>
      </c>
      <c r="M853" s="18">
        <f>Raw_LIMS_Export!K853</f>
        <v>45916</v>
      </c>
      <c r="N853" s="19" t="s">
        <v>2928</v>
      </c>
    </row>
    <row r="854" spans="1:14" x14ac:dyDescent="0.35">
      <c r="A854" s="16" t="s">
        <v>859</v>
      </c>
      <c r="B854" s="17" t="s">
        <v>2424</v>
      </c>
      <c r="C854" s="17" t="s">
        <v>2457</v>
      </c>
      <c r="D854" s="17" t="str">
        <f>_xlfn.XLOOKUP(Raw_LIMS_Export!E854,'mapping Site table'!$B$4:$B$14,'mapping Site table'!$C$4:$C$14,Raw_LIMS_Export!E854)</f>
        <v>Dortmund DE</v>
      </c>
      <c r="E854" s="17" t="s">
        <v>2485</v>
      </c>
      <c r="F854" s="17">
        <f t="shared" si="40"/>
        <v>1</v>
      </c>
      <c r="G854" s="17" t="str">
        <f t="shared" si="41"/>
        <v>Pass</v>
      </c>
      <c r="H854" s="17" t="str">
        <f t="shared" si="39"/>
        <v>Pass</v>
      </c>
      <c r="I854" s="17">
        <v>95.2</v>
      </c>
      <c r="J854" s="17" t="s">
        <v>2490</v>
      </c>
      <c r="K854" s="17">
        <v>0</v>
      </c>
      <c r="L854" s="17">
        <v>100</v>
      </c>
      <c r="M854" s="18">
        <f>Raw_LIMS_Export!K854</f>
        <v>45371</v>
      </c>
      <c r="N854" s="19" t="s">
        <v>2931</v>
      </c>
    </row>
    <row r="855" spans="1:14" x14ac:dyDescent="0.35">
      <c r="A855" s="16" t="s">
        <v>860</v>
      </c>
      <c r="B855" s="17" t="s">
        <v>2425</v>
      </c>
      <c r="C855" s="17" t="s">
        <v>2461</v>
      </c>
      <c r="D855" s="17" t="str">
        <f>_xlfn.XLOOKUP(Raw_LIMS_Export!E855,'mapping Site table'!$B$4:$B$14,'mapping Site table'!$C$4:$C$14,Raw_LIMS_Export!E855)</f>
        <v>East Hanover</v>
      </c>
      <c r="E855" s="17" t="s">
        <v>2480</v>
      </c>
      <c r="F855" s="17">
        <f t="shared" si="40"/>
        <v>1</v>
      </c>
      <c r="G855" s="17" t="str">
        <f t="shared" si="41"/>
        <v>Pass</v>
      </c>
      <c r="H855" s="17" t="str">
        <f t="shared" si="39"/>
        <v>Pass</v>
      </c>
      <c r="I855" s="17">
        <v>0.92</v>
      </c>
      <c r="J855" s="17" t="s">
        <v>2487</v>
      </c>
      <c r="K855" s="17">
        <v>0.88</v>
      </c>
      <c r="L855" s="17">
        <v>0.97</v>
      </c>
      <c r="M855" s="18">
        <f>Raw_LIMS_Export!K855</f>
        <v>45556</v>
      </c>
      <c r="N855" s="19" t="s">
        <v>2929</v>
      </c>
    </row>
    <row r="856" spans="1:14" x14ac:dyDescent="0.35">
      <c r="A856" s="16" t="s">
        <v>861</v>
      </c>
      <c r="B856" s="17" t="s">
        <v>2052</v>
      </c>
      <c r="C856" s="17" t="s">
        <v>2460</v>
      </c>
      <c r="D856" s="17" t="str">
        <f>_xlfn.XLOOKUP(Raw_LIMS_Export!E856,'mapping Site table'!$B$4:$B$14,'mapping Site table'!$C$4:$C$14,Raw_LIMS_Export!E856)</f>
        <v>East Hanover</v>
      </c>
      <c r="E856" s="17" t="s">
        <v>2484</v>
      </c>
      <c r="F856" s="17">
        <f t="shared" si="40"/>
        <v>1</v>
      </c>
      <c r="G856" s="17" t="str">
        <f t="shared" si="41"/>
        <v>Pass</v>
      </c>
      <c r="H856" s="17" t="str">
        <f t="shared" si="39"/>
        <v>Fail</v>
      </c>
      <c r="I856" s="17">
        <v>7.06</v>
      </c>
      <c r="J856" s="17"/>
      <c r="K856" s="17">
        <v>6</v>
      </c>
      <c r="L856" s="17">
        <v>7.5</v>
      </c>
      <c r="M856" s="18">
        <f>Raw_LIMS_Export!K856</f>
        <v>45461</v>
      </c>
      <c r="N856" s="19" t="s">
        <v>2932</v>
      </c>
    </row>
    <row r="857" spans="1:14" x14ac:dyDescent="0.35">
      <c r="A857" s="16" t="s">
        <v>862</v>
      </c>
      <c r="B857" s="17" t="s">
        <v>2400</v>
      </c>
      <c r="C857" s="17" t="s">
        <v>2457</v>
      </c>
      <c r="D857" s="17" t="str">
        <f>_xlfn.XLOOKUP(Raw_LIMS_Export!E857,'mapping Site table'!$B$4:$B$14,'mapping Site table'!$C$4:$C$14,Raw_LIMS_Export!E857)</f>
        <v>Dortmund DE</v>
      </c>
      <c r="E857" s="17" t="s">
        <v>2480</v>
      </c>
      <c r="F857" s="17">
        <f t="shared" si="40"/>
        <v>1</v>
      </c>
      <c r="G857" s="17" t="str">
        <f t="shared" si="41"/>
        <v>Pass</v>
      </c>
      <c r="H857" s="17" t="str">
        <f t="shared" si="39"/>
        <v>Fail</v>
      </c>
      <c r="I857" s="17">
        <v>0.88</v>
      </c>
      <c r="J857" s="17" t="s">
        <v>2487</v>
      </c>
      <c r="K857" s="17">
        <v>0.88</v>
      </c>
      <c r="L857" s="17">
        <v>0.97</v>
      </c>
      <c r="M857" s="18">
        <f>Raw_LIMS_Export!K857</f>
        <v>45810</v>
      </c>
      <c r="N857" s="19" t="s">
        <v>2932</v>
      </c>
    </row>
    <row r="858" spans="1:14" x14ac:dyDescent="0.35">
      <c r="A858" s="16" t="s">
        <v>863</v>
      </c>
      <c r="B858" s="17" t="s">
        <v>2295</v>
      </c>
      <c r="C858" s="17" t="s">
        <v>2459</v>
      </c>
      <c r="D858" s="17" t="str">
        <f>_xlfn.XLOOKUP(Raw_LIMS_Export!E858,'mapping Site table'!$B$4:$B$14,'mapping Site table'!$C$4:$C$14,Raw_LIMS_Export!E858)</f>
        <v>Vernier CH</v>
      </c>
      <c r="E858" s="17" t="s">
        <v>2481</v>
      </c>
      <c r="F858" s="17">
        <f t="shared" si="40"/>
        <v>1</v>
      </c>
      <c r="G858" s="17" t="str">
        <f t="shared" si="41"/>
        <v>Pass</v>
      </c>
      <c r="H858" s="17" t="str">
        <f t="shared" si="39"/>
        <v>Pass</v>
      </c>
      <c r="I858" s="17">
        <v>241.6</v>
      </c>
      <c r="J858" s="17" t="s">
        <v>2488</v>
      </c>
      <c r="K858" s="17">
        <v>150</v>
      </c>
      <c r="L858" s="17">
        <v>400</v>
      </c>
      <c r="M858" s="18">
        <f>Raw_LIMS_Export!K858</f>
        <v>45977</v>
      </c>
      <c r="N858" s="19" t="s">
        <v>2926</v>
      </c>
    </row>
    <row r="859" spans="1:14" x14ac:dyDescent="0.35">
      <c r="A859" s="16" t="s">
        <v>864</v>
      </c>
      <c r="B859" s="17" t="s">
        <v>2011</v>
      </c>
      <c r="C859" s="17" t="s">
        <v>2457</v>
      </c>
      <c r="D859" s="17" t="str">
        <f>_xlfn.XLOOKUP(Raw_LIMS_Export!E859,'mapping Site table'!$B$4:$B$14,'mapping Site table'!$C$4:$C$14,Raw_LIMS_Export!E859)</f>
        <v>Ashford UK</v>
      </c>
      <c r="E859" s="17" t="s">
        <v>2481</v>
      </c>
      <c r="F859" s="17">
        <f t="shared" si="40"/>
        <v>1</v>
      </c>
      <c r="G859" s="17" t="str">
        <f t="shared" si="41"/>
        <v>Pass</v>
      </c>
      <c r="H859" s="17" t="str">
        <f t="shared" si="39"/>
        <v>Pending</v>
      </c>
      <c r="I859" s="17">
        <v>220.41</v>
      </c>
      <c r="J859" s="17" t="s">
        <v>2488</v>
      </c>
      <c r="K859" s="17">
        <v>150</v>
      </c>
      <c r="L859" s="17">
        <v>400</v>
      </c>
      <c r="M859" s="18">
        <f>Raw_LIMS_Export!K859</f>
        <v>45350</v>
      </c>
      <c r="N859" s="19" t="s">
        <v>2927</v>
      </c>
    </row>
    <row r="860" spans="1:14" x14ac:dyDescent="0.35">
      <c r="A860" s="16" t="s">
        <v>865</v>
      </c>
      <c r="B860" s="17" t="s">
        <v>2044</v>
      </c>
      <c r="C860" s="17" t="s">
        <v>2459</v>
      </c>
      <c r="D860" s="17" t="str">
        <f>_xlfn.XLOOKUP(Raw_LIMS_Export!E860,'mapping Site table'!$B$4:$B$14,'mapping Site table'!$C$4:$C$14,Raw_LIMS_Export!E860)</f>
        <v>Budapest</v>
      </c>
      <c r="E860" s="17" t="s">
        <v>2482</v>
      </c>
      <c r="F860" s="17">
        <f t="shared" si="40"/>
        <v>0</v>
      </c>
      <c r="G860" s="17" t="str">
        <f t="shared" si="41"/>
        <v>Missing</v>
      </c>
      <c r="H860" s="17" t="str">
        <f t="shared" si="39"/>
        <v>Pending</v>
      </c>
      <c r="I860" s="17"/>
      <c r="J860" s="17" t="s">
        <v>2489</v>
      </c>
      <c r="K860" s="17">
        <v>97</v>
      </c>
      <c r="L860" s="17">
        <v>100</v>
      </c>
      <c r="M860" s="18">
        <f>Raw_LIMS_Export!K860</f>
        <v>45350</v>
      </c>
      <c r="N860" s="19" t="s">
        <v>2932</v>
      </c>
    </row>
    <row r="861" spans="1:14" x14ac:dyDescent="0.35">
      <c r="A861" s="16" t="s">
        <v>866</v>
      </c>
      <c r="B861" s="17" t="s">
        <v>2284</v>
      </c>
      <c r="C861" s="17" t="s">
        <v>2461</v>
      </c>
      <c r="D861" s="17" t="str">
        <f>_xlfn.XLOOKUP(Raw_LIMS_Export!E861,'mapping Site table'!$B$4:$B$14,'mapping Site table'!$C$4:$C$14,Raw_LIMS_Export!E861)</f>
        <v>Budapest</v>
      </c>
      <c r="E861" s="17" t="s">
        <v>2484</v>
      </c>
      <c r="F861" s="17">
        <f t="shared" si="40"/>
        <v>1</v>
      </c>
      <c r="G861" s="17" t="str">
        <f t="shared" si="41"/>
        <v>Pass</v>
      </c>
      <c r="H861" s="17" t="str">
        <f t="shared" si="39"/>
        <v>Pending</v>
      </c>
      <c r="I861" s="17">
        <v>7.37</v>
      </c>
      <c r="J861" s="17"/>
      <c r="K861" s="17">
        <v>6</v>
      </c>
      <c r="L861" s="17">
        <v>7.5</v>
      </c>
      <c r="M861" s="18">
        <f>Raw_LIMS_Export!K861</f>
        <v>45542</v>
      </c>
      <c r="N861" s="19" t="s">
        <v>2929</v>
      </c>
    </row>
    <row r="862" spans="1:14" x14ac:dyDescent="0.35">
      <c r="A862" s="16" t="s">
        <v>867</v>
      </c>
      <c r="B862" s="17" t="s">
        <v>2346</v>
      </c>
      <c r="C862" s="17" t="s">
        <v>2457</v>
      </c>
      <c r="D862" s="17" t="str">
        <f>_xlfn.XLOOKUP(Raw_LIMS_Export!E862,'mapping Site table'!$B$4:$B$14,'mapping Site table'!$C$4:$C$14,Raw_LIMS_Export!E862)</f>
        <v>Vernier CH</v>
      </c>
      <c r="E862" s="17" t="s">
        <v>2480</v>
      </c>
      <c r="F862" s="17">
        <f t="shared" si="40"/>
        <v>1</v>
      </c>
      <c r="G862" s="17" t="str">
        <f t="shared" si="41"/>
        <v>Pass</v>
      </c>
      <c r="H862" s="17" t="str">
        <f t="shared" si="39"/>
        <v>Pass</v>
      </c>
      <c r="I862" s="17">
        <v>0.91</v>
      </c>
      <c r="J862" s="17" t="s">
        <v>2487</v>
      </c>
      <c r="K862" s="17">
        <v>0.88</v>
      </c>
      <c r="L862" s="17">
        <v>0.97</v>
      </c>
      <c r="M862" s="18">
        <f>Raw_LIMS_Export!K862</f>
        <v>45318</v>
      </c>
      <c r="N862" s="19" t="s">
        <v>2932</v>
      </c>
    </row>
    <row r="863" spans="1:14" x14ac:dyDescent="0.35">
      <c r="A863" s="16" t="s">
        <v>868</v>
      </c>
      <c r="B863" s="17" t="s">
        <v>2393</v>
      </c>
      <c r="C863" s="17" t="s">
        <v>2460</v>
      </c>
      <c r="D863" s="17" t="str">
        <f>_xlfn.XLOOKUP(Raw_LIMS_Export!E863,'mapping Site table'!$B$4:$B$14,'mapping Site table'!$C$4:$C$14,Raw_LIMS_Export!E863)</f>
        <v>Vernier CH</v>
      </c>
      <c r="E863" s="17" t="s">
        <v>2483</v>
      </c>
      <c r="F863" s="17">
        <f t="shared" si="40"/>
        <v>1</v>
      </c>
      <c r="G863" s="17" t="str">
        <f t="shared" si="41"/>
        <v>Pass</v>
      </c>
      <c r="H863" s="17" t="str">
        <f t="shared" si="39"/>
        <v>Pass</v>
      </c>
      <c r="I863" s="17">
        <v>0.4</v>
      </c>
      <c r="J863" s="17" t="s">
        <v>2489</v>
      </c>
      <c r="K863" s="17">
        <v>0</v>
      </c>
      <c r="L863" s="17">
        <v>1</v>
      </c>
      <c r="M863" s="18">
        <f>Raw_LIMS_Export!K863</f>
        <v>45942</v>
      </c>
      <c r="N863" s="19" t="s">
        <v>2923</v>
      </c>
    </row>
    <row r="864" spans="1:14" x14ac:dyDescent="0.35">
      <c r="A864" s="16" t="s">
        <v>869</v>
      </c>
      <c r="B864" s="17" t="s">
        <v>2426</v>
      </c>
      <c r="C864" s="17" t="s">
        <v>2461</v>
      </c>
      <c r="D864" s="17" t="str">
        <f>_xlfn.XLOOKUP(Raw_LIMS_Export!E864,'mapping Site table'!$B$4:$B$14,'mapping Site table'!$C$4:$C$14,Raw_LIMS_Export!E864)</f>
        <v>Dortmund DE</v>
      </c>
      <c r="E864" s="17" t="s">
        <v>2479</v>
      </c>
      <c r="F864" s="17">
        <f t="shared" si="40"/>
        <v>1</v>
      </c>
      <c r="G864" s="17" t="str">
        <f t="shared" si="41"/>
        <v>Pass</v>
      </c>
      <c r="H864" s="17" t="str">
        <f t="shared" si="39"/>
        <v>Pass</v>
      </c>
      <c r="I864" s="17">
        <v>63.86</v>
      </c>
      <c r="J864" s="17" t="s">
        <v>2486</v>
      </c>
      <c r="K864" s="17">
        <v>0</v>
      </c>
      <c r="L864" s="17">
        <v>120</v>
      </c>
      <c r="M864" s="18">
        <f>Raw_LIMS_Export!K864</f>
        <v>45834</v>
      </c>
      <c r="N864" s="19" t="s">
        <v>2927</v>
      </c>
    </row>
    <row r="865" spans="1:14" x14ac:dyDescent="0.35">
      <c r="A865" s="16" t="s">
        <v>870</v>
      </c>
      <c r="B865" s="17" t="s">
        <v>2354</v>
      </c>
      <c r="C865" s="17" t="s">
        <v>2458</v>
      </c>
      <c r="D865" s="17" t="str">
        <f>_xlfn.XLOOKUP(Raw_LIMS_Export!E865,'mapping Site table'!$B$4:$B$14,'mapping Site table'!$C$4:$C$14,Raw_LIMS_Export!E865)</f>
        <v>Budapest</v>
      </c>
      <c r="E865" s="17" t="s">
        <v>2480</v>
      </c>
      <c r="F865" s="17">
        <f t="shared" si="40"/>
        <v>1</v>
      </c>
      <c r="G865" s="17" t="str">
        <f t="shared" si="41"/>
        <v>Pass</v>
      </c>
      <c r="H865" s="17" t="str">
        <f t="shared" si="39"/>
        <v>Pending</v>
      </c>
      <c r="I865" s="17">
        <v>0.92</v>
      </c>
      <c r="J865" s="17" t="s">
        <v>2487</v>
      </c>
      <c r="K865" s="17">
        <v>0.88</v>
      </c>
      <c r="L865" s="17">
        <v>0.97</v>
      </c>
      <c r="M865" s="18">
        <f>Raw_LIMS_Export!K865</f>
        <v>45587</v>
      </c>
      <c r="N865" s="19" t="s">
        <v>2931</v>
      </c>
    </row>
    <row r="866" spans="1:14" x14ac:dyDescent="0.35">
      <c r="A866" s="16" t="s">
        <v>871</v>
      </c>
      <c r="B866" s="17" t="s">
        <v>2319</v>
      </c>
      <c r="C866" s="17" t="s">
        <v>2458</v>
      </c>
      <c r="D866" s="17" t="str">
        <f>_xlfn.XLOOKUP(Raw_LIMS_Export!E866,'mapping Site table'!$B$4:$B$14,'mapping Site table'!$C$4:$C$14,Raw_LIMS_Export!E866)</f>
        <v>Dortmund DE</v>
      </c>
      <c r="E866" s="17" t="s">
        <v>2479</v>
      </c>
      <c r="F866" s="17">
        <f t="shared" si="40"/>
        <v>1</v>
      </c>
      <c r="G866" s="17" t="str">
        <f t="shared" si="41"/>
        <v>Pass</v>
      </c>
      <c r="H866" s="17" t="str">
        <f t="shared" si="39"/>
        <v>Pass</v>
      </c>
      <c r="I866" s="17">
        <v>11.29</v>
      </c>
      <c r="J866" s="17" t="s">
        <v>2486</v>
      </c>
      <c r="K866" s="17">
        <v>0</v>
      </c>
      <c r="L866" s="17">
        <v>120</v>
      </c>
      <c r="M866" s="18">
        <f>Raw_LIMS_Export!K866</f>
        <v>45477</v>
      </c>
      <c r="N866" s="19" t="s">
        <v>2932</v>
      </c>
    </row>
    <row r="867" spans="1:14" x14ac:dyDescent="0.35">
      <c r="A867" s="16" t="s">
        <v>872</v>
      </c>
      <c r="B867" s="17" t="s">
        <v>2380</v>
      </c>
      <c r="C867" s="17" t="s">
        <v>2457</v>
      </c>
      <c r="D867" s="17" t="str">
        <f>_xlfn.XLOOKUP(Raw_LIMS_Export!E867,'mapping Site table'!$B$4:$B$14,'mapping Site table'!$C$4:$C$14,Raw_LIMS_Export!E867)</f>
        <v>Dortmund DE</v>
      </c>
      <c r="E867" s="17" t="s">
        <v>2484</v>
      </c>
      <c r="F867" s="17">
        <f t="shared" si="40"/>
        <v>1</v>
      </c>
      <c r="G867" s="17" t="str">
        <f t="shared" si="41"/>
        <v>Pass</v>
      </c>
      <c r="H867" s="17" t="str">
        <f t="shared" si="39"/>
        <v>Pass</v>
      </c>
      <c r="I867" s="17">
        <v>7.22</v>
      </c>
      <c r="J867" s="17"/>
      <c r="K867" s="17">
        <v>6</v>
      </c>
      <c r="L867" s="17">
        <v>7.5</v>
      </c>
      <c r="M867" s="18">
        <f>Raw_LIMS_Export!K867</f>
        <v>45787</v>
      </c>
      <c r="N867" s="19" t="s">
        <v>2931</v>
      </c>
    </row>
    <row r="868" spans="1:14" x14ac:dyDescent="0.35">
      <c r="A868" s="16" t="s">
        <v>873</v>
      </c>
      <c r="B868" s="17" t="s">
        <v>2100</v>
      </c>
      <c r="C868" s="17" t="s">
        <v>2461</v>
      </c>
      <c r="D868" s="17" t="str">
        <f>_xlfn.XLOOKUP(Raw_LIMS_Export!E868,'mapping Site table'!$B$4:$B$14,'mapping Site table'!$C$4:$C$14,Raw_LIMS_Export!E868)</f>
        <v>Budapest</v>
      </c>
      <c r="E868" s="17" t="s">
        <v>2484</v>
      </c>
      <c r="F868" s="17">
        <f t="shared" si="40"/>
        <v>1</v>
      </c>
      <c r="G868" s="17" t="str">
        <f t="shared" si="41"/>
        <v>Pass</v>
      </c>
      <c r="H868" s="17" t="str">
        <f t="shared" si="39"/>
        <v>Pass</v>
      </c>
      <c r="I868" s="17">
        <v>6.71</v>
      </c>
      <c r="J868" s="17"/>
      <c r="K868" s="17">
        <v>6</v>
      </c>
      <c r="L868" s="17">
        <v>7.5</v>
      </c>
      <c r="M868" s="18">
        <f>Raw_LIMS_Export!K868</f>
        <v>45413</v>
      </c>
      <c r="N868" s="19" t="s">
        <v>2930</v>
      </c>
    </row>
    <row r="869" spans="1:14" x14ac:dyDescent="0.35">
      <c r="A869" s="16" t="s">
        <v>874</v>
      </c>
      <c r="B869" s="17" t="s">
        <v>2072</v>
      </c>
      <c r="C869" s="17" t="s">
        <v>2460</v>
      </c>
      <c r="D869" s="17" t="str">
        <f>_xlfn.XLOOKUP(Raw_LIMS_Export!E869,'mapping Site table'!$B$4:$B$14,'mapping Site table'!$C$4:$C$14,Raw_LIMS_Export!E869)</f>
        <v>Dortmund DE</v>
      </c>
      <c r="E869" s="17" t="s">
        <v>2482</v>
      </c>
      <c r="F869" s="17">
        <f t="shared" si="40"/>
        <v>1</v>
      </c>
      <c r="G869" s="17" t="str">
        <f t="shared" si="41"/>
        <v>Pass</v>
      </c>
      <c r="H869" s="17" t="str">
        <f t="shared" si="39"/>
        <v>Pass</v>
      </c>
      <c r="I869" s="17">
        <v>98.87</v>
      </c>
      <c r="J869" s="17" t="s">
        <v>2489</v>
      </c>
      <c r="K869" s="17">
        <v>97</v>
      </c>
      <c r="L869" s="17">
        <v>100</v>
      </c>
      <c r="M869" s="18">
        <f>Raw_LIMS_Export!K869</f>
        <v>45544</v>
      </c>
      <c r="N869" s="19" t="s">
        <v>2927</v>
      </c>
    </row>
    <row r="870" spans="1:14" x14ac:dyDescent="0.35">
      <c r="A870" s="16" t="s">
        <v>875</v>
      </c>
      <c r="B870" s="17" t="s">
        <v>2354</v>
      </c>
      <c r="C870" s="17" t="s">
        <v>2458</v>
      </c>
      <c r="D870" s="17" t="str">
        <f>_xlfn.XLOOKUP(Raw_LIMS_Export!E870,'mapping Site table'!$B$4:$B$14,'mapping Site table'!$C$4:$C$14,Raw_LIMS_Export!E870)</f>
        <v>Budapest</v>
      </c>
      <c r="E870" s="17" t="s">
        <v>2484</v>
      </c>
      <c r="F870" s="17">
        <f t="shared" si="40"/>
        <v>0</v>
      </c>
      <c r="G870" s="17" t="str">
        <f t="shared" si="41"/>
        <v>Missing</v>
      </c>
      <c r="H870" s="17" t="str">
        <f t="shared" si="39"/>
        <v>Pending</v>
      </c>
      <c r="I870" s="17"/>
      <c r="J870" s="17"/>
      <c r="K870" s="17">
        <v>6</v>
      </c>
      <c r="L870" s="17">
        <v>7.5</v>
      </c>
      <c r="M870" s="18">
        <f>Raw_LIMS_Export!K870</f>
        <v>45587</v>
      </c>
      <c r="N870" s="19" t="s">
        <v>2928</v>
      </c>
    </row>
    <row r="871" spans="1:14" x14ac:dyDescent="0.35">
      <c r="A871" s="16" t="s">
        <v>876</v>
      </c>
      <c r="B871" s="17" t="s">
        <v>2427</v>
      </c>
      <c r="C871" s="17" t="s">
        <v>2461</v>
      </c>
      <c r="D871" s="17" t="str">
        <f>_xlfn.XLOOKUP(Raw_LIMS_Export!E871,'mapping Site table'!$B$4:$B$14,'mapping Site table'!$C$4:$C$14,Raw_LIMS_Export!E871)</f>
        <v>Budapest</v>
      </c>
      <c r="E871" s="17" t="s">
        <v>2480</v>
      </c>
      <c r="F871" s="17">
        <f t="shared" si="40"/>
        <v>1</v>
      </c>
      <c r="G871" s="17" t="str">
        <f t="shared" si="41"/>
        <v>Pass</v>
      </c>
      <c r="H871" s="17" t="str">
        <f t="shared" si="39"/>
        <v>Pass</v>
      </c>
      <c r="I871" s="17">
        <v>0.89</v>
      </c>
      <c r="J871" s="17" t="s">
        <v>2487</v>
      </c>
      <c r="K871" s="17">
        <v>0.88</v>
      </c>
      <c r="L871" s="17">
        <v>0.97</v>
      </c>
      <c r="M871" s="18">
        <f>Raw_LIMS_Export!K871</f>
        <v>45590</v>
      </c>
      <c r="N871" s="19" t="s">
        <v>2924</v>
      </c>
    </row>
    <row r="872" spans="1:14" x14ac:dyDescent="0.35">
      <c r="A872" s="16" t="s">
        <v>877</v>
      </c>
      <c r="B872" s="17" t="s">
        <v>2327</v>
      </c>
      <c r="C872" s="17" t="s">
        <v>2458</v>
      </c>
      <c r="D872" s="17" t="str">
        <f>_xlfn.XLOOKUP(Raw_LIMS_Export!E872,'mapping Site table'!$B$4:$B$14,'mapping Site table'!$C$4:$C$14,Raw_LIMS_Export!E872)</f>
        <v>Budapest</v>
      </c>
      <c r="E872" s="17" t="s">
        <v>2479</v>
      </c>
      <c r="F872" s="17">
        <f t="shared" si="40"/>
        <v>1</v>
      </c>
      <c r="G872" s="17" t="str">
        <f t="shared" si="41"/>
        <v>Pass</v>
      </c>
      <c r="H872" s="17" t="str">
        <f t="shared" si="39"/>
        <v>Pass</v>
      </c>
      <c r="I872" s="17">
        <v>51.8</v>
      </c>
      <c r="J872" s="17" t="s">
        <v>2486</v>
      </c>
      <c r="K872" s="17">
        <v>0</v>
      </c>
      <c r="L872" s="17">
        <v>120</v>
      </c>
      <c r="M872" s="18">
        <f>Raw_LIMS_Export!K872</f>
        <v>45699</v>
      </c>
      <c r="N872" s="19" t="s">
        <v>2925</v>
      </c>
    </row>
    <row r="873" spans="1:14" x14ac:dyDescent="0.35">
      <c r="A873" s="16" t="s">
        <v>878</v>
      </c>
      <c r="B873" s="17" t="s">
        <v>2428</v>
      </c>
      <c r="C873" s="17" t="s">
        <v>2458</v>
      </c>
      <c r="D873" s="17" t="str">
        <f>_xlfn.XLOOKUP(Raw_LIMS_Export!E873,'mapping Site table'!$B$4:$B$14,'mapping Site table'!$C$4:$C$14,Raw_LIMS_Export!E873)</f>
        <v>Vernier CH</v>
      </c>
      <c r="E873" s="17" t="s">
        <v>2479</v>
      </c>
      <c r="F873" s="17">
        <f t="shared" si="40"/>
        <v>1</v>
      </c>
      <c r="G873" s="17" t="str">
        <f t="shared" si="41"/>
        <v>Pass</v>
      </c>
      <c r="H873" s="17" t="str">
        <f t="shared" si="39"/>
        <v>Fail</v>
      </c>
      <c r="I873" s="17">
        <v>46.73</v>
      </c>
      <c r="J873" s="17" t="s">
        <v>2486</v>
      </c>
      <c r="K873" s="17">
        <v>0</v>
      </c>
      <c r="L873" s="17">
        <v>120</v>
      </c>
      <c r="M873" s="18">
        <f>Raw_LIMS_Export!K873</f>
        <v>45343</v>
      </c>
      <c r="N873" s="19" t="s">
        <v>2931</v>
      </c>
    </row>
    <row r="874" spans="1:14" x14ac:dyDescent="0.35">
      <c r="A874" s="16" t="s">
        <v>879</v>
      </c>
      <c r="B874" s="17" t="s">
        <v>2171</v>
      </c>
      <c r="C874" s="17" t="s">
        <v>2459</v>
      </c>
      <c r="D874" s="17" t="str">
        <f>_xlfn.XLOOKUP(Raw_LIMS_Export!E874,'mapping Site table'!$B$4:$B$14,'mapping Site table'!$C$4:$C$14,Raw_LIMS_Export!E874)</f>
        <v>Ashford UK</v>
      </c>
      <c r="E874" s="17" t="s">
        <v>2482</v>
      </c>
      <c r="F874" s="17">
        <f t="shared" si="40"/>
        <v>1</v>
      </c>
      <c r="G874" s="17" t="str">
        <f t="shared" si="41"/>
        <v>Pass</v>
      </c>
      <c r="H874" s="17" t="str">
        <f t="shared" si="39"/>
        <v>Fail</v>
      </c>
      <c r="I874" s="17">
        <v>98.25</v>
      </c>
      <c r="J874" s="17" t="s">
        <v>2489</v>
      </c>
      <c r="K874" s="17">
        <v>97</v>
      </c>
      <c r="L874" s="17">
        <v>100</v>
      </c>
      <c r="M874" s="18">
        <f>Raw_LIMS_Export!K874</f>
        <v>45629</v>
      </c>
      <c r="N874" s="19" t="s">
        <v>2926</v>
      </c>
    </row>
    <row r="875" spans="1:14" x14ac:dyDescent="0.35">
      <c r="A875" s="16" t="s">
        <v>880</v>
      </c>
      <c r="B875" s="17" t="s">
        <v>2401</v>
      </c>
      <c r="C875" s="17" t="s">
        <v>2457</v>
      </c>
      <c r="D875" s="17" t="str">
        <f>_xlfn.XLOOKUP(Raw_LIMS_Export!E875,'mapping Site table'!$B$4:$B$14,'mapping Site table'!$C$4:$C$14,Raw_LIMS_Export!E875)</f>
        <v>Budapest</v>
      </c>
      <c r="E875" s="17" t="s">
        <v>2484</v>
      </c>
      <c r="F875" s="17">
        <f t="shared" si="40"/>
        <v>1</v>
      </c>
      <c r="G875" s="17" t="str">
        <f t="shared" si="41"/>
        <v>Pass</v>
      </c>
      <c r="H875" s="17" t="str">
        <f t="shared" si="39"/>
        <v>Pass</v>
      </c>
      <c r="I875" s="17">
        <v>7.21</v>
      </c>
      <c r="J875" s="17"/>
      <c r="K875" s="17">
        <v>6</v>
      </c>
      <c r="L875" s="17">
        <v>7.5</v>
      </c>
      <c r="M875" s="18">
        <f>Raw_LIMS_Export!K875</f>
        <v>45660</v>
      </c>
      <c r="N875" s="19" t="s">
        <v>2931</v>
      </c>
    </row>
    <row r="876" spans="1:14" x14ac:dyDescent="0.35">
      <c r="A876" s="16" t="s">
        <v>881</v>
      </c>
      <c r="B876" s="17" t="s">
        <v>2425</v>
      </c>
      <c r="C876" s="17" t="s">
        <v>2461</v>
      </c>
      <c r="D876" s="17" t="str">
        <f>_xlfn.XLOOKUP(Raw_LIMS_Export!E876,'mapping Site table'!$B$4:$B$14,'mapping Site table'!$C$4:$C$14,Raw_LIMS_Export!E876)</f>
        <v>East Hanover</v>
      </c>
      <c r="E876" s="17" t="s">
        <v>2479</v>
      </c>
      <c r="F876" s="17">
        <f t="shared" si="40"/>
        <v>1</v>
      </c>
      <c r="G876" s="17" t="str">
        <f t="shared" si="41"/>
        <v>Pass</v>
      </c>
      <c r="H876" s="17" t="str">
        <f t="shared" si="39"/>
        <v>Pass</v>
      </c>
      <c r="I876" s="17">
        <v>81.17</v>
      </c>
      <c r="J876" s="17" t="s">
        <v>2486</v>
      </c>
      <c r="K876" s="17">
        <v>0</v>
      </c>
      <c r="L876" s="17">
        <v>120</v>
      </c>
      <c r="M876" s="18">
        <f>Raw_LIMS_Export!K876</f>
        <v>45556</v>
      </c>
      <c r="N876" s="19" t="s">
        <v>2926</v>
      </c>
    </row>
    <row r="877" spans="1:14" x14ac:dyDescent="0.35">
      <c r="A877" s="16" t="s">
        <v>882</v>
      </c>
      <c r="B877" s="17" t="s">
        <v>2161</v>
      </c>
      <c r="C877" s="17" t="s">
        <v>2459</v>
      </c>
      <c r="D877" s="17" t="str">
        <f>_xlfn.XLOOKUP(Raw_LIMS_Export!E877,'mapping Site table'!$B$4:$B$14,'mapping Site table'!$C$4:$C$14,Raw_LIMS_Export!E877)</f>
        <v>Dortmund DE</v>
      </c>
      <c r="E877" s="17" t="s">
        <v>2483</v>
      </c>
      <c r="F877" s="17">
        <f t="shared" si="40"/>
        <v>1</v>
      </c>
      <c r="G877" s="17" t="str">
        <f t="shared" si="41"/>
        <v>Pass</v>
      </c>
      <c r="H877" s="17" t="str">
        <f t="shared" si="39"/>
        <v>Pass</v>
      </c>
      <c r="I877" s="17">
        <v>0.37</v>
      </c>
      <c r="J877" s="17" t="s">
        <v>2489</v>
      </c>
      <c r="K877" s="17">
        <v>0</v>
      </c>
      <c r="L877" s="17">
        <v>1</v>
      </c>
      <c r="M877" s="18">
        <f>Raw_LIMS_Export!K877</f>
        <v>45963</v>
      </c>
      <c r="N877" s="19" t="s">
        <v>2929</v>
      </c>
    </row>
    <row r="878" spans="1:14" x14ac:dyDescent="0.35">
      <c r="A878" s="16" t="s">
        <v>883</v>
      </c>
      <c r="B878" s="17" t="s">
        <v>2129</v>
      </c>
      <c r="C878" s="17" t="s">
        <v>2461</v>
      </c>
      <c r="D878" s="17" t="str">
        <f>_xlfn.XLOOKUP(Raw_LIMS_Export!E878,'mapping Site table'!$B$4:$B$14,'mapping Site table'!$C$4:$C$14,Raw_LIMS_Export!E878)</f>
        <v>Dortmund DE</v>
      </c>
      <c r="E878" s="17" t="s">
        <v>2480</v>
      </c>
      <c r="F878" s="17">
        <f t="shared" si="40"/>
        <v>1</v>
      </c>
      <c r="G878" s="17" t="str">
        <f t="shared" si="41"/>
        <v>Pass</v>
      </c>
      <c r="H878" s="17" t="str">
        <f t="shared" si="39"/>
        <v>Pass</v>
      </c>
      <c r="I878" s="17">
        <v>0.97</v>
      </c>
      <c r="J878" s="17" t="s">
        <v>2487</v>
      </c>
      <c r="K878" s="17">
        <v>0.88</v>
      </c>
      <c r="L878" s="17">
        <v>0.97</v>
      </c>
      <c r="M878" s="18">
        <f>Raw_LIMS_Export!K878</f>
        <v>45617</v>
      </c>
      <c r="N878" s="19" t="s">
        <v>2932</v>
      </c>
    </row>
    <row r="879" spans="1:14" x14ac:dyDescent="0.35">
      <c r="A879" s="16" t="s">
        <v>884</v>
      </c>
      <c r="B879" s="17" t="s">
        <v>2108</v>
      </c>
      <c r="C879" s="17" t="s">
        <v>2458</v>
      </c>
      <c r="D879" s="17" t="str">
        <f>_xlfn.XLOOKUP(Raw_LIMS_Export!E879,'mapping Site table'!$B$4:$B$14,'mapping Site table'!$C$4:$C$14,Raw_LIMS_Export!E879)</f>
        <v>Ashford UK</v>
      </c>
      <c r="E879" s="17" t="s">
        <v>2480</v>
      </c>
      <c r="F879" s="17">
        <f t="shared" si="40"/>
        <v>1</v>
      </c>
      <c r="G879" s="17" t="str">
        <f t="shared" si="41"/>
        <v>Pass</v>
      </c>
      <c r="H879" s="17" t="str">
        <f t="shared" si="39"/>
        <v>Pass</v>
      </c>
      <c r="I879" s="17">
        <v>0.89</v>
      </c>
      <c r="J879" s="17" t="s">
        <v>2487</v>
      </c>
      <c r="K879" s="17">
        <v>0.88</v>
      </c>
      <c r="L879" s="17">
        <v>0.97</v>
      </c>
      <c r="M879" s="18">
        <f>Raw_LIMS_Export!K879</f>
        <v>45362</v>
      </c>
      <c r="N879" s="19" t="s">
        <v>2929</v>
      </c>
    </row>
    <row r="880" spans="1:14" x14ac:dyDescent="0.35">
      <c r="A880" s="16" t="s">
        <v>885</v>
      </c>
      <c r="B880" s="17" t="s">
        <v>2036</v>
      </c>
      <c r="C880" s="17" t="s">
        <v>2459</v>
      </c>
      <c r="D880" s="17" t="str">
        <f>_xlfn.XLOOKUP(Raw_LIMS_Export!E880,'mapping Site table'!$B$4:$B$14,'mapping Site table'!$C$4:$C$14,Raw_LIMS_Export!E880)</f>
        <v>Vernier CH</v>
      </c>
      <c r="E880" s="17" t="s">
        <v>2483</v>
      </c>
      <c r="F880" s="17">
        <f t="shared" si="40"/>
        <v>1</v>
      </c>
      <c r="G880" s="17" t="str">
        <f t="shared" si="41"/>
        <v>Pass</v>
      </c>
      <c r="H880" s="17" t="str">
        <f t="shared" si="39"/>
        <v>Pass</v>
      </c>
      <c r="I880" s="17">
        <v>0.34</v>
      </c>
      <c r="J880" s="17" t="s">
        <v>2489</v>
      </c>
      <c r="K880" s="17">
        <v>0</v>
      </c>
      <c r="L880" s="17">
        <v>1</v>
      </c>
      <c r="M880" s="18">
        <f>Raw_LIMS_Export!K880</f>
        <v>45769</v>
      </c>
      <c r="N880" s="19" t="s">
        <v>2931</v>
      </c>
    </row>
    <row r="881" spans="1:14" x14ac:dyDescent="0.35">
      <c r="A881" s="16" t="s">
        <v>886</v>
      </c>
      <c r="B881" s="17" t="s">
        <v>2372</v>
      </c>
      <c r="C881" s="17" t="s">
        <v>2461</v>
      </c>
      <c r="D881" s="17" t="str">
        <f>_xlfn.XLOOKUP(Raw_LIMS_Export!E881,'mapping Site table'!$B$4:$B$14,'mapping Site table'!$C$4:$C$14,Raw_LIMS_Export!E881)</f>
        <v>Ashford UK</v>
      </c>
      <c r="E881" s="17" t="s">
        <v>2481</v>
      </c>
      <c r="F881" s="17">
        <f t="shared" si="40"/>
        <v>1</v>
      </c>
      <c r="G881" s="17" t="str">
        <f t="shared" si="41"/>
        <v>Pass</v>
      </c>
      <c r="H881" s="17" t="str">
        <f t="shared" si="39"/>
        <v>Pass</v>
      </c>
      <c r="I881" s="17">
        <v>216.66</v>
      </c>
      <c r="J881" s="17" t="s">
        <v>2488</v>
      </c>
      <c r="K881" s="17">
        <v>150</v>
      </c>
      <c r="L881" s="17">
        <v>400</v>
      </c>
      <c r="M881" s="18">
        <f>Raw_LIMS_Export!K881</f>
        <v>45704</v>
      </c>
      <c r="N881" s="19" t="s">
        <v>2926</v>
      </c>
    </row>
    <row r="882" spans="1:14" x14ac:dyDescent="0.35">
      <c r="A882" s="16" t="s">
        <v>887</v>
      </c>
      <c r="B882" s="17" t="s">
        <v>2347</v>
      </c>
      <c r="C882" s="17" t="s">
        <v>2460</v>
      </c>
      <c r="D882" s="17" t="str">
        <f>_xlfn.XLOOKUP(Raw_LIMS_Export!E882,'mapping Site table'!$B$4:$B$14,'mapping Site table'!$C$4:$C$14,Raw_LIMS_Export!E882)</f>
        <v>Dortmund DE</v>
      </c>
      <c r="E882" s="17" t="s">
        <v>2481</v>
      </c>
      <c r="F882" s="17">
        <f t="shared" si="40"/>
        <v>1</v>
      </c>
      <c r="G882" s="17" t="str">
        <f t="shared" si="41"/>
        <v>Pass</v>
      </c>
      <c r="H882" s="17" t="str">
        <f t="shared" si="39"/>
        <v>Pass</v>
      </c>
      <c r="I882" s="17">
        <v>277.19</v>
      </c>
      <c r="J882" s="17" t="s">
        <v>2488</v>
      </c>
      <c r="K882" s="17">
        <v>150</v>
      </c>
      <c r="L882" s="17">
        <v>400</v>
      </c>
      <c r="M882" s="18">
        <f>Raw_LIMS_Export!K882</f>
        <v>45401</v>
      </c>
      <c r="N882" s="19" t="s">
        <v>2932</v>
      </c>
    </row>
    <row r="883" spans="1:14" x14ac:dyDescent="0.35">
      <c r="A883" s="16" t="s">
        <v>888</v>
      </c>
      <c r="B883" s="17" t="s">
        <v>2082</v>
      </c>
      <c r="C883" s="17" t="s">
        <v>2461</v>
      </c>
      <c r="D883" s="17" t="str">
        <f>_xlfn.XLOOKUP(Raw_LIMS_Export!E883,'mapping Site table'!$B$4:$B$14,'mapping Site table'!$C$4:$C$14,Raw_LIMS_Export!E883)</f>
        <v>Ashford UK</v>
      </c>
      <c r="E883" s="17" t="s">
        <v>2483</v>
      </c>
      <c r="F883" s="17">
        <f t="shared" si="40"/>
        <v>1</v>
      </c>
      <c r="G883" s="17" t="str">
        <f t="shared" si="41"/>
        <v>Pass</v>
      </c>
      <c r="H883" s="17" t="str">
        <f t="shared" si="39"/>
        <v>Pass</v>
      </c>
      <c r="I883" s="17">
        <v>0.59</v>
      </c>
      <c r="J883" s="17" t="s">
        <v>2489</v>
      </c>
      <c r="K883" s="17">
        <v>0</v>
      </c>
      <c r="L883" s="17">
        <v>1</v>
      </c>
      <c r="M883" s="18">
        <f>Raw_LIMS_Export!K883</f>
        <v>45392</v>
      </c>
      <c r="N883" s="19" t="s">
        <v>2931</v>
      </c>
    </row>
    <row r="884" spans="1:14" x14ac:dyDescent="0.35">
      <c r="A884" s="16" t="s">
        <v>889</v>
      </c>
      <c r="B884" s="17" t="s">
        <v>2152</v>
      </c>
      <c r="C884" s="17" t="s">
        <v>2461</v>
      </c>
      <c r="D884" s="17" t="str">
        <f>_xlfn.XLOOKUP(Raw_LIMS_Export!E884,'mapping Site table'!$B$4:$B$14,'mapping Site table'!$C$4:$C$14,Raw_LIMS_Export!E884)</f>
        <v>Budapest</v>
      </c>
      <c r="E884" s="17" t="s">
        <v>2479</v>
      </c>
      <c r="F884" s="17">
        <f t="shared" si="40"/>
        <v>1</v>
      </c>
      <c r="G884" s="17" t="str">
        <f t="shared" si="41"/>
        <v>Pass</v>
      </c>
      <c r="H884" s="17" t="str">
        <f t="shared" si="39"/>
        <v>Fail</v>
      </c>
      <c r="I884" s="17">
        <v>40.07</v>
      </c>
      <c r="J884" s="17" t="s">
        <v>2486</v>
      </c>
      <c r="K884" s="17">
        <v>0</v>
      </c>
      <c r="L884" s="17">
        <v>120</v>
      </c>
      <c r="M884" s="18">
        <f>Raw_LIMS_Export!K884</f>
        <v>45958</v>
      </c>
      <c r="N884" s="19" t="s">
        <v>2923</v>
      </c>
    </row>
    <row r="885" spans="1:14" x14ac:dyDescent="0.35">
      <c r="A885" s="16" t="s">
        <v>78</v>
      </c>
      <c r="B885" s="17" t="s">
        <v>2076</v>
      </c>
      <c r="C885" s="17" t="s">
        <v>2458</v>
      </c>
      <c r="D885" s="17" t="str">
        <f>_xlfn.XLOOKUP(Raw_LIMS_Export!E885,'mapping Site table'!$B$4:$B$14,'mapping Site table'!$C$4:$C$14,Raw_LIMS_Export!E885)</f>
        <v>East Hanover</v>
      </c>
      <c r="E885" s="17" t="s">
        <v>2479</v>
      </c>
      <c r="F885" s="17">
        <f t="shared" si="40"/>
        <v>1</v>
      </c>
      <c r="G885" s="17" t="str">
        <f t="shared" si="41"/>
        <v>Pass</v>
      </c>
      <c r="H885" s="17" t="str">
        <f t="shared" si="39"/>
        <v>Pass</v>
      </c>
      <c r="I885" s="17">
        <v>65.31</v>
      </c>
      <c r="J885" s="17" t="s">
        <v>2486</v>
      </c>
      <c r="K885" s="17">
        <v>0</v>
      </c>
      <c r="L885" s="17">
        <v>120</v>
      </c>
      <c r="M885" s="18">
        <f>Raw_LIMS_Export!K885</f>
        <v>45955</v>
      </c>
      <c r="N885" s="19" t="s">
        <v>2929</v>
      </c>
    </row>
    <row r="886" spans="1:14" x14ac:dyDescent="0.35">
      <c r="A886" s="16" t="s">
        <v>890</v>
      </c>
      <c r="B886" s="17" t="s">
        <v>2429</v>
      </c>
      <c r="C886" s="17" t="s">
        <v>2460</v>
      </c>
      <c r="D886" s="17" t="str">
        <f>_xlfn.XLOOKUP(Raw_LIMS_Export!E886,'mapping Site table'!$B$4:$B$14,'mapping Site table'!$C$4:$C$14,Raw_LIMS_Export!E886)</f>
        <v>East Hanover</v>
      </c>
      <c r="E886" s="17" t="s">
        <v>2479</v>
      </c>
      <c r="F886" s="17">
        <f t="shared" si="40"/>
        <v>1</v>
      </c>
      <c r="G886" s="17" t="str">
        <f t="shared" si="41"/>
        <v>Pass</v>
      </c>
      <c r="H886" s="17" t="str">
        <f t="shared" si="39"/>
        <v>Pass</v>
      </c>
      <c r="I886" s="17">
        <v>84.97</v>
      </c>
      <c r="J886" s="17" t="s">
        <v>2486</v>
      </c>
      <c r="K886" s="17">
        <v>0</v>
      </c>
      <c r="L886" s="17">
        <v>120</v>
      </c>
      <c r="M886" s="18">
        <f>Raw_LIMS_Export!K886</f>
        <v>45620</v>
      </c>
      <c r="N886" s="19" t="s">
        <v>2926</v>
      </c>
    </row>
    <row r="887" spans="1:14" x14ac:dyDescent="0.35">
      <c r="A887" s="16" t="s">
        <v>891</v>
      </c>
      <c r="B887" s="17" t="s">
        <v>2062</v>
      </c>
      <c r="C887" s="17" t="s">
        <v>2458</v>
      </c>
      <c r="D887" s="17" t="str">
        <f>_xlfn.XLOOKUP(Raw_LIMS_Export!E887,'mapping Site table'!$B$4:$B$14,'mapping Site table'!$C$4:$C$14,Raw_LIMS_Export!E887)</f>
        <v>East Hanover</v>
      </c>
      <c r="E887" s="17" t="s">
        <v>2484</v>
      </c>
      <c r="F887" s="17">
        <f t="shared" si="40"/>
        <v>1</v>
      </c>
      <c r="G887" s="17" t="str">
        <f t="shared" si="41"/>
        <v>Pass</v>
      </c>
      <c r="H887" s="17" t="str">
        <f t="shared" si="39"/>
        <v>Pass</v>
      </c>
      <c r="I887" s="17">
        <v>7.14</v>
      </c>
      <c r="J887" s="17"/>
      <c r="K887" s="17">
        <v>6</v>
      </c>
      <c r="L887" s="17">
        <v>7.5</v>
      </c>
      <c r="M887" s="18">
        <f>Raw_LIMS_Export!K887</f>
        <v>45845</v>
      </c>
      <c r="N887" s="19" t="s">
        <v>2932</v>
      </c>
    </row>
    <row r="888" spans="1:14" x14ac:dyDescent="0.35">
      <c r="A888" s="16" t="s">
        <v>892</v>
      </c>
      <c r="B888" s="17" t="s">
        <v>2417</v>
      </c>
      <c r="C888" s="17" t="s">
        <v>2459</v>
      </c>
      <c r="D888" s="17" t="str">
        <f>_xlfn.XLOOKUP(Raw_LIMS_Export!E888,'mapping Site table'!$B$4:$B$14,'mapping Site table'!$C$4:$C$14,Raw_LIMS_Export!E888)</f>
        <v>Ashford UK</v>
      </c>
      <c r="E888" s="17" t="s">
        <v>2485</v>
      </c>
      <c r="F888" s="17">
        <f t="shared" si="40"/>
        <v>1</v>
      </c>
      <c r="G888" s="17" t="str">
        <f t="shared" si="41"/>
        <v>Fail</v>
      </c>
      <c r="H888" s="17" t="str">
        <f t="shared" si="39"/>
        <v>Fail</v>
      </c>
      <c r="I888" s="17">
        <v>-3.02</v>
      </c>
      <c r="J888" s="17" t="s">
        <v>2490</v>
      </c>
      <c r="K888" s="17">
        <v>0</v>
      </c>
      <c r="L888" s="17">
        <v>100</v>
      </c>
      <c r="M888" s="18">
        <f>Raw_LIMS_Export!K888</f>
        <v>45969</v>
      </c>
      <c r="N888" s="19" t="s">
        <v>2930</v>
      </c>
    </row>
    <row r="889" spans="1:14" x14ac:dyDescent="0.35">
      <c r="A889" s="16" t="s">
        <v>893</v>
      </c>
      <c r="B889" s="17" t="s">
        <v>2371</v>
      </c>
      <c r="C889" s="17" t="s">
        <v>2459</v>
      </c>
      <c r="D889" s="17" t="str">
        <f>_xlfn.XLOOKUP(Raw_LIMS_Export!E889,'mapping Site table'!$B$4:$B$14,'mapping Site table'!$C$4:$C$14,Raw_LIMS_Export!E889)</f>
        <v>Dortmund DE</v>
      </c>
      <c r="E889" s="17" t="s">
        <v>2480</v>
      </c>
      <c r="F889" s="17">
        <f t="shared" si="40"/>
        <v>1</v>
      </c>
      <c r="G889" s="17" t="str">
        <f t="shared" si="41"/>
        <v>Pass</v>
      </c>
      <c r="H889" s="17" t="str">
        <f t="shared" si="39"/>
        <v>Fail</v>
      </c>
      <c r="I889" s="17">
        <v>0.92</v>
      </c>
      <c r="J889" s="17" t="s">
        <v>2487</v>
      </c>
      <c r="K889" s="17">
        <v>0.88</v>
      </c>
      <c r="L889" s="17">
        <v>0.97</v>
      </c>
      <c r="M889" s="18">
        <f>Raw_LIMS_Export!K889</f>
        <v>45519</v>
      </c>
      <c r="N889" s="19" t="s">
        <v>2930</v>
      </c>
    </row>
    <row r="890" spans="1:14" x14ac:dyDescent="0.35">
      <c r="A890" s="16" t="s">
        <v>894</v>
      </c>
      <c r="B890" s="17" t="s">
        <v>2364</v>
      </c>
      <c r="C890" s="17" t="s">
        <v>2461</v>
      </c>
      <c r="D890" s="17" t="str">
        <f>_xlfn.XLOOKUP(Raw_LIMS_Export!E890,'mapping Site table'!$B$4:$B$14,'mapping Site table'!$C$4:$C$14,Raw_LIMS_Export!E890)</f>
        <v>East Hanover</v>
      </c>
      <c r="E890" s="17" t="s">
        <v>2483</v>
      </c>
      <c r="F890" s="17">
        <f t="shared" si="40"/>
        <v>1</v>
      </c>
      <c r="G890" s="17" t="str">
        <f t="shared" si="41"/>
        <v>Pass</v>
      </c>
      <c r="H890" s="17" t="str">
        <f t="shared" si="39"/>
        <v>Pass</v>
      </c>
      <c r="I890" s="17">
        <v>0.56999999999999995</v>
      </c>
      <c r="J890" s="17" t="s">
        <v>2489</v>
      </c>
      <c r="K890" s="17">
        <v>0</v>
      </c>
      <c r="L890" s="17">
        <v>1</v>
      </c>
      <c r="M890" s="18">
        <f>Raw_LIMS_Export!K890</f>
        <v>45885</v>
      </c>
      <c r="N890" s="19" t="s">
        <v>2930</v>
      </c>
    </row>
    <row r="891" spans="1:14" x14ac:dyDescent="0.35">
      <c r="A891" s="16" t="s">
        <v>895</v>
      </c>
      <c r="B891" s="17" t="s">
        <v>2343</v>
      </c>
      <c r="C891" s="17" t="s">
        <v>2457</v>
      </c>
      <c r="D891" s="17" t="str">
        <f>_xlfn.XLOOKUP(Raw_LIMS_Export!E891,'mapping Site table'!$B$4:$B$14,'mapping Site table'!$C$4:$C$14,Raw_LIMS_Export!E891)</f>
        <v>East Hanover</v>
      </c>
      <c r="E891" s="17" t="s">
        <v>2483</v>
      </c>
      <c r="F891" s="17">
        <f t="shared" si="40"/>
        <v>1</v>
      </c>
      <c r="G891" s="17" t="str">
        <f t="shared" si="41"/>
        <v>Pass</v>
      </c>
      <c r="H891" s="17" t="str">
        <f t="shared" si="39"/>
        <v>Pass</v>
      </c>
      <c r="I891" s="17">
        <v>0.34</v>
      </c>
      <c r="J891" s="17" t="s">
        <v>2489</v>
      </c>
      <c r="K891" s="17">
        <v>0</v>
      </c>
      <c r="L891" s="17">
        <v>1</v>
      </c>
      <c r="M891" s="18">
        <f>Raw_LIMS_Export!K891</f>
        <v>45531</v>
      </c>
      <c r="N891" s="19" t="s">
        <v>2930</v>
      </c>
    </row>
    <row r="892" spans="1:14" x14ac:dyDescent="0.35">
      <c r="A892" s="16" t="s">
        <v>896</v>
      </c>
      <c r="B892" s="17" t="s">
        <v>2088</v>
      </c>
      <c r="C892" s="17" t="s">
        <v>2461</v>
      </c>
      <c r="D892" s="17" t="str">
        <f>_xlfn.XLOOKUP(Raw_LIMS_Export!E892,'mapping Site table'!$B$4:$B$14,'mapping Site table'!$C$4:$C$14,Raw_LIMS_Export!E892)</f>
        <v>Budapest</v>
      </c>
      <c r="E892" s="17" t="s">
        <v>2483</v>
      </c>
      <c r="F892" s="17">
        <f t="shared" si="40"/>
        <v>1</v>
      </c>
      <c r="G892" s="17" t="str">
        <f t="shared" si="41"/>
        <v>Pass</v>
      </c>
      <c r="H892" s="17" t="str">
        <f t="shared" si="39"/>
        <v>Pass</v>
      </c>
      <c r="I892" s="17">
        <v>0.27</v>
      </c>
      <c r="J892" s="17" t="s">
        <v>2489</v>
      </c>
      <c r="K892" s="17">
        <v>0</v>
      </c>
      <c r="L892" s="17">
        <v>1</v>
      </c>
      <c r="M892" s="18">
        <f>Raw_LIMS_Export!K892</f>
        <v>45973</v>
      </c>
      <c r="N892" s="19" t="s">
        <v>2931</v>
      </c>
    </row>
    <row r="893" spans="1:14" x14ac:dyDescent="0.35">
      <c r="A893" s="16" t="s">
        <v>861</v>
      </c>
      <c r="B893" s="17" t="s">
        <v>2052</v>
      </c>
      <c r="C893" s="17" t="s">
        <v>2460</v>
      </c>
      <c r="D893" s="17" t="str">
        <f>_xlfn.XLOOKUP(Raw_LIMS_Export!E893,'mapping Site table'!$B$4:$B$14,'mapping Site table'!$C$4:$C$14,Raw_LIMS_Export!E893)</f>
        <v>East Hanover</v>
      </c>
      <c r="E893" s="17" t="s">
        <v>2484</v>
      </c>
      <c r="F893" s="17">
        <f t="shared" si="40"/>
        <v>1</v>
      </c>
      <c r="G893" s="17" t="str">
        <f t="shared" si="41"/>
        <v>Pass</v>
      </c>
      <c r="H893" s="17" t="str">
        <f t="shared" si="39"/>
        <v>Fail</v>
      </c>
      <c r="I893" s="17">
        <v>7.06</v>
      </c>
      <c r="J893" s="17"/>
      <c r="K893" s="17">
        <v>6</v>
      </c>
      <c r="L893" s="17">
        <v>7.5</v>
      </c>
      <c r="M893" s="18">
        <f>Raw_LIMS_Export!K893</f>
        <v>45461</v>
      </c>
      <c r="N893" s="19" t="s">
        <v>2932</v>
      </c>
    </row>
    <row r="894" spans="1:14" x14ac:dyDescent="0.35">
      <c r="A894" s="16" t="s">
        <v>897</v>
      </c>
      <c r="B894" s="17" t="s">
        <v>2428</v>
      </c>
      <c r="C894" s="17" t="s">
        <v>2458</v>
      </c>
      <c r="D894" s="17" t="str">
        <f>_xlfn.XLOOKUP(Raw_LIMS_Export!E894,'mapping Site table'!$B$4:$B$14,'mapping Site table'!$C$4:$C$14,Raw_LIMS_Export!E894)</f>
        <v>Vernier CH</v>
      </c>
      <c r="E894" s="17" t="s">
        <v>2480</v>
      </c>
      <c r="F894" s="17">
        <f t="shared" si="40"/>
        <v>1</v>
      </c>
      <c r="G894" s="17" t="str">
        <f t="shared" si="41"/>
        <v>Pass</v>
      </c>
      <c r="H894" s="17" t="str">
        <f t="shared" si="39"/>
        <v>Fail</v>
      </c>
      <c r="I894" s="17">
        <v>0.92</v>
      </c>
      <c r="J894" s="17" t="s">
        <v>2487</v>
      </c>
      <c r="K894" s="17">
        <v>0.88</v>
      </c>
      <c r="L894" s="17">
        <v>0.97</v>
      </c>
      <c r="M894" s="18">
        <f>Raw_LIMS_Export!K894</f>
        <v>45343</v>
      </c>
      <c r="N894" s="19" t="s">
        <v>2928</v>
      </c>
    </row>
    <row r="895" spans="1:14" x14ac:dyDescent="0.35">
      <c r="A895" s="16" t="s">
        <v>898</v>
      </c>
      <c r="B895" s="17" t="s">
        <v>2177</v>
      </c>
      <c r="C895" s="17" t="s">
        <v>2457</v>
      </c>
      <c r="D895" s="17" t="str">
        <f>_xlfn.XLOOKUP(Raw_LIMS_Export!E895,'mapping Site table'!$B$4:$B$14,'mapping Site table'!$C$4:$C$14,Raw_LIMS_Export!E895)</f>
        <v>Vernier CH</v>
      </c>
      <c r="E895" s="17" t="s">
        <v>2484</v>
      </c>
      <c r="F895" s="17">
        <f t="shared" si="40"/>
        <v>1</v>
      </c>
      <c r="G895" s="17" t="str">
        <f t="shared" si="41"/>
        <v>Pass</v>
      </c>
      <c r="H895" s="17" t="str">
        <f t="shared" si="39"/>
        <v>Fail</v>
      </c>
      <c r="I895" s="17">
        <v>6.12</v>
      </c>
      <c r="J895" s="17"/>
      <c r="K895" s="17">
        <v>6</v>
      </c>
      <c r="L895" s="17">
        <v>7.5</v>
      </c>
      <c r="M895" s="18">
        <f>Raw_LIMS_Export!K895</f>
        <v>45520</v>
      </c>
      <c r="N895" s="19" t="s">
        <v>2925</v>
      </c>
    </row>
    <row r="896" spans="1:14" x14ac:dyDescent="0.35">
      <c r="A896" s="16" t="s">
        <v>899</v>
      </c>
      <c r="B896" s="17" t="s">
        <v>2430</v>
      </c>
      <c r="C896" s="17" t="s">
        <v>2458</v>
      </c>
      <c r="D896" s="17" t="str">
        <f>_xlfn.XLOOKUP(Raw_LIMS_Export!E896,'mapping Site table'!$B$4:$B$14,'mapping Site table'!$C$4:$C$14,Raw_LIMS_Export!E896)</f>
        <v>Budapest</v>
      </c>
      <c r="E896" s="17" t="s">
        <v>2485</v>
      </c>
      <c r="F896" s="17">
        <f t="shared" si="40"/>
        <v>1</v>
      </c>
      <c r="G896" s="17" t="str">
        <f t="shared" si="41"/>
        <v>Fail</v>
      </c>
      <c r="H896" s="17" t="str">
        <f t="shared" si="39"/>
        <v>Fail</v>
      </c>
      <c r="I896" s="17">
        <v>-0.14000000000000001</v>
      </c>
      <c r="J896" s="17" t="s">
        <v>2490</v>
      </c>
      <c r="K896" s="17">
        <v>0</v>
      </c>
      <c r="L896" s="17">
        <v>100</v>
      </c>
      <c r="M896" s="18">
        <f>Raw_LIMS_Export!K896</f>
        <v>45714</v>
      </c>
      <c r="N896" s="19" t="s">
        <v>2932</v>
      </c>
    </row>
    <row r="897" spans="1:14" x14ac:dyDescent="0.35">
      <c r="A897" s="16" t="s">
        <v>900</v>
      </c>
      <c r="B897" s="17" t="s">
        <v>2429</v>
      </c>
      <c r="C897" s="17" t="s">
        <v>2460</v>
      </c>
      <c r="D897" s="17" t="str">
        <f>_xlfn.XLOOKUP(Raw_LIMS_Export!E897,'mapping Site table'!$B$4:$B$14,'mapping Site table'!$C$4:$C$14,Raw_LIMS_Export!E897)</f>
        <v>East Hanover</v>
      </c>
      <c r="E897" s="17" t="s">
        <v>2481</v>
      </c>
      <c r="F897" s="17">
        <f t="shared" si="40"/>
        <v>1</v>
      </c>
      <c r="G897" s="17" t="str">
        <f t="shared" si="41"/>
        <v>Pass</v>
      </c>
      <c r="H897" s="17" t="str">
        <f t="shared" si="39"/>
        <v>Pass</v>
      </c>
      <c r="I897" s="17">
        <v>207.65</v>
      </c>
      <c r="J897" s="17" t="s">
        <v>2488</v>
      </c>
      <c r="K897" s="17">
        <v>150</v>
      </c>
      <c r="L897" s="17">
        <v>400</v>
      </c>
      <c r="M897" s="18">
        <f>Raw_LIMS_Export!K897</f>
        <v>45620</v>
      </c>
      <c r="N897" s="19" t="s">
        <v>2925</v>
      </c>
    </row>
    <row r="898" spans="1:14" x14ac:dyDescent="0.35">
      <c r="A898" s="16" t="s">
        <v>901</v>
      </c>
      <c r="B898" s="17" t="s">
        <v>2389</v>
      </c>
      <c r="C898" s="17" t="s">
        <v>2460</v>
      </c>
      <c r="D898" s="17" t="str">
        <f>_xlfn.XLOOKUP(Raw_LIMS_Export!E898,'mapping Site table'!$B$4:$B$14,'mapping Site table'!$C$4:$C$14,Raw_LIMS_Export!E898)</f>
        <v>Dortmund DE</v>
      </c>
      <c r="E898" s="17" t="s">
        <v>2484</v>
      </c>
      <c r="F898" s="17">
        <f t="shared" si="40"/>
        <v>1</v>
      </c>
      <c r="G898" s="17" t="str">
        <f t="shared" si="41"/>
        <v>Pass</v>
      </c>
      <c r="H898" s="17" t="str">
        <f t="shared" ref="H898:H961" si="42">IF(COUNTIFS($B$2:$B$2016,B898,$G$2:$G$2016,"Fail")&gt;0,"Fail",
  IF(COUNTIFS($B$2:$B$2016,B898,$G$2:$G$2016,"Missing")&gt;0,"Pending",
    "Pass"))</f>
        <v>Pass</v>
      </c>
      <c r="I898" s="17">
        <v>7.37</v>
      </c>
      <c r="J898" s="17"/>
      <c r="K898" s="17">
        <v>6</v>
      </c>
      <c r="L898" s="17">
        <v>7.5</v>
      </c>
      <c r="M898" s="18">
        <f>Raw_LIMS_Export!K898</f>
        <v>45546</v>
      </c>
      <c r="N898" s="19" t="s">
        <v>2930</v>
      </c>
    </row>
    <row r="899" spans="1:14" x14ac:dyDescent="0.35">
      <c r="A899" s="16" t="s">
        <v>902</v>
      </c>
      <c r="B899" s="17" t="s">
        <v>2105</v>
      </c>
      <c r="C899" s="17" t="s">
        <v>2457</v>
      </c>
      <c r="D899" s="17" t="str">
        <f>_xlfn.XLOOKUP(Raw_LIMS_Export!E899,'mapping Site table'!$B$4:$B$14,'mapping Site table'!$C$4:$C$14,Raw_LIMS_Export!E899)</f>
        <v>Ashford UK</v>
      </c>
      <c r="E899" s="17" t="s">
        <v>2480</v>
      </c>
      <c r="F899" s="17">
        <f t="shared" ref="F899:F962" si="43">IF(I899="",0,1)</f>
        <v>1</v>
      </c>
      <c r="G899" s="17" t="str">
        <f t="shared" ref="G899:G962" si="44">IF(I899="", "Missing", IF(AND(I899&gt;=K899, I899&lt;=L899), "Pass", "Fail"))</f>
        <v>Pass</v>
      </c>
      <c r="H899" s="17" t="str">
        <f t="shared" si="42"/>
        <v>Pass</v>
      </c>
      <c r="I899" s="17">
        <v>0.93</v>
      </c>
      <c r="J899" s="17" t="s">
        <v>2487</v>
      </c>
      <c r="K899" s="17">
        <v>0.88</v>
      </c>
      <c r="L899" s="17">
        <v>0.97</v>
      </c>
      <c r="M899" s="18">
        <f>Raw_LIMS_Export!K899</f>
        <v>45358</v>
      </c>
      <c r="N899" s="19" t="s">
        <v>2929</v>
      </c>
    </row>
    <row r="900" spans="1:14" x14ac:dyDescent="0.35">
      <c r="A900" s="16" t="s">
        <v>903</v>
      </c>
      <c r="B900" s="17" t="s">
        <v>2427</v>
      </c>
      <c r="C900" s="17" t="s">
        <v>2461</v>
      </c>
      <c r="D900" s="17" t="str">
        <f>_xlfn.XLOOKUP(Raw_LIMS_Export!E900,'mapping Site table'!$B$4:$B$14,'mapping Site table'!$C$4:$C$14,Raw_LIMS_Export!E900)</f>
        <v>Budapest</v>
      </c>
      <c r="E900" s="17" t="s">
        <v>2483</v>
      </c>
      <c r="F900" s="17">
        <f t="shared" si="43"/>
        <v>1</v>
      </c>
      <c r="G900" s="17" t="str">
        <f t="shared" si="44"/>
        <v>Pass</v>
      </c>
      <c r="H900" s="17" t="str">
        <f t="shared" si="42"/>
        <v>Pass</v>
      </c>
      <c r="I900" s="17">
        <v>0.28999999999999998</v>
      </c>
      <c r="J900" s="17" t="s">
        <v>2489</v>
      </c>
      <c r="K900" s="17">
        <v>0</v>
      </c>
      <c r="L900" s="17">
        <v>1</v>
      </c>
      <c r="M900" s="18">
        <f>Raw_LIMS_Export!K900</f>
        <v>45590</v>
      </c>
      <c r="N900" s="19" t="s">
        <v>2923</v>
      </c>
    </row>
    <row r="901" spans="1:14" x14ac:dyDescent="0.35">
      <c r="A901" s="16" t="s">
        <v>904</v>
      </c>
      <c r="B901" s="17" t="s">
        <v>2020</v>
      </c>
      <c r="C901" s="17" t="s">
        <v>2458</v>
      </c>
      <c r="D901" s="17" t="str">
        <f>_xlfn.XLOOKUP(Raw_LIMS_Export!E901,'mapping Site table'!$B$4:$B$14,'mapping Site table'!$C$4:$C$14,Raw_LIMS_Export!E901)</f>
        <v>Budapest</v>
      </c>
      <c r="E901" s="17" t="s">
        <v>2483</v>
      </c>
      <c r="F901" s="17">
        <f t="shared" si="43"/>
        <v>1</v>
      </c>
      <c r="G901" s="17" t="str">
        <f t="shared" si="44"/>
        <v>Pass</v>
      </c>
      <c r="H901" s="17" t="str">
        <f t="shared" si="42"/>
        <v>Pass</v>
      </c>
      <c r="I901" s="17">
        <v>0.38</v>
      </c>
      <c r="J901" s="17" t="s">
        <v>2489</v>
      </c>
      <c r="K901" s="17">
        <v>0</v>
      </c>
      <c r="L901" s="17">
        <v>1</v>
      </c>
      <c r="M901" s="18">
        <f>Raw_LIMS_Export!K901</f>
        <v>45655</v>
      </c>
      <c r="N901" s="19" t="s">
        <v>2926</v>
      </c>
    </row>
    <row r="902" spans="1:14" x14ac:dyDescent="0.35">
      <c r="A902" s="16" t="s">
        <v>905</v>
      </c>
      <c r="B902" s="17" t="s">
        <v>2167</v>
      </c>
      <c r="C902" s="17" t="s">
        <v>2460</v>
      </c>
      <c r="D902" s="17" t="str">
        <f>_xlfn.XLOOKUP(Raw_LIMS_Export!E902,'mapping Site table'!$B$4:$B$14,'mapping Site table'!$C$4:$C$14,Raw_LIMS_Export!E902)</f>
        <v>Vernier CH</v>
      </c>
      <c r="E902" s="17" t="s">
        <v>2480</v>
      </c>
      <c r="F902" s="17">
        <f t="shared" si="43"/>
        <v>1</v>
      </c>
      <c r="G902" s="17" t="str">
        <f t="shared" si="44"/>
        <v>Pass</v>
      </c>
      <c r="H902" s="17" t="str">
        <f t="shared" si="42"/>
        <v>Pending</v>
      </c>
      <c r="I902" s="17">
        <v>0.94</v>
      </c>
      <c r="J902" s="17" t="s">
        <v>2487</v>
      </c>
      <c r="K902" s="17">
        <v>0.88</v>
      </c>
      <c r="L902" s="17">
        <v>0.97</v>
      </c>
      <c r="M902" s="18">
        <f>Raw_LIMS_Export!K902</f>
        <v>45528</v>
      </c>
      <c r="N902" s="19" t="s">
        <v>2931</v>
      </c>
    </row>
    <row r="903" spans="1:14" x14ac:dyDescent="0.35">
      <c r="A903" s="16" t="s">
        <v>906</v>
      </c>
      <c r="B903" s="17" t="s">
        <v>2311</v>
      </c>
      <c r="C903" s="17" t="s">
        <v>2459</v>
      </c>
      <c r="D903" s="17" t="str">
        <f>_xlfn.XLOOKUP(Raw_LIMS_Export!E903,'mapping Site table'!$B$4:$B$14,'mapping Site table'!$C$4:$C$14,Raw_LIMS_Export!E903)</f>
        <v>East Hanover</v>
      </c>
      <c r="E903" s="17" t="s">
        <v>2485</v>
      </c>
      <c r="F903" s="17">
        <f t="shared" si="43"/>
        <v>1</v>
      </c>
      <c r="G903" s="17" t="str">
        <f t="shared" si="44"/>
        <v>Fail</v>
      </c>
      <c r="H903" s="17" t="str">
        <f t="shared" si="42"/>
        <v>Fail</v>
      </c>
      <c r="I903" s="17">
        <v>-26.98</v>
      </c>
      <c r="J903" s="17" t="s">
        <v>2490</v>
      </c>
      <c r="K903" s="17">
        <v>0</v>
      </c>
      <c r="L903" s="17">
        <v>100</v>
      </c>
      <c r="M903" s="18">
        <f>Raw_LIMS_Export!K903</f>
        <v>45958</v>
      </c>
      <c r="N903" s="19" t="s">
        <v>2928</v>
      </c>
    </row>
    <row r="904" spans="1:14" x14ac:dyDescent="0.35">
      <c r="A904" s="16" t="s">
        <v>907</v>
      </c>
      <c r="B904" s="17" t="s">
        <v>2125</v>
      </c>
      <c r="C904" s="17" t="s">
        <v>2460</v>
      </c>
      <c r="D904" s="17" t="str">
        <f>_xlfn.XLOOKUP(Raw_LIMS_Export!E904,'mapping Site table'!$B$4:$B$14,'mapping Site table'!$C$4:$C$14,Raw_LIMS_Export!E904)</f>
        <v>Budapest</v>
      </c>
      <c r="E904" s="17" t="s">
        <v>2485</v>
      </c>
      <c r="F904" s="17">
        <f t="shared" si="43"/>
        <v>1</v>
      </c>
      <c r="G904" s="17" t="str">
        <f t="shared" si="44"/>
        <v>Pass</v>
      </c>
      <c r="H904" s="17" t="str">
        <f t="shared" si="42"/>
        <v>Pass</v>
      </c>
      <c r="I904" s="17">
        <v>16.75</v>
      </c>
      <c r="J904" s="17" t="s">
        <v>2490</v>
      </c>
      <c r="K904" s="17">
        <v>0</v>
      </c>
      <c r="L904" s="17">
        <v>100</v>
      </c>
      <c r="M904" s="18">
        <f>Raw_LIMS_Export!K904</f>
        <v>45544</v>
      </c>
      <c r="N904" s="19" t="s">
        <v>2926</v>
      </c>
    </row>
    <row r="905" spans="1:14" x14ac:dyDescent="0.35">
      <c r="A905" s="16" t="s">
        <v>908</v>
      </c>
      <c r="B905" s="17" t="s">
        <v>2431</v>
      </c>
      <c r="C905" s="17" t="s">
        <v>2460</v>
      </c>
      <c r="D905" s="17" t="str">
        <f>_xlfn.XLOOKUP(Raw_LIMS_Export!E905,'mapping Site table'!$B$4:$B$14,'mapping Site table'!$C$4:$C$14,Raw_LIMS_Export!E905)</f>
        <v>Ashford UK</v>
      </c>
      <c r="E905" s="17" t="s">
        <v>2483</v>
      </c>
      <c r="F905" s="17">
        <f t="shared" si="43"/>
        <v>1</v>
      </c>
      <c r="G905" s="17" t="str">
        <f t="shared" si="44"/>
        <v>Pass</v>
      </c>
      <c r="H905" s="17" t="str">
        <f t="shared" si="42"/>
        <v>Pass</v>
      </c>
      <c r="I905" s="17">
        <v>0.54</v>
      </c>
      <c r="J905" s="17" t="s">
        <v>2489</v>
      </c>
      <c r="K905" s="17">
        <v>0</v>
      </c>
      <c r="L905" s="17">
        <v>1</v>
      </c>
      <c r="M905" s="18">
        <f>Raw_LIMS_Export!K905</f>
        <v>45462</v>
      </c>
      <c r="N905" s="19" t="s">
        <v>2925</v>
      </c>
    </row>
    <row r="906" spans="1:14" x14ac:dyDescent="0.35">
      <c r="A906" s="16" t="s">
        <v>909</v>
      </c>
      <c r="B906" s="17" t="s">
        <v>2394</v>
      </c>
      <c r="C906" s="17" t="s">
        <v>2460</v>
      </c>
      <c r="D906" s="17" t="str">
        <f>_xlfn.XLOOKUP(Raw_LIMS_Export!E906,'mapping Site table'!$B$4:$B$14,'mapping Site table'!$C$4:$C$14,Raw_LIMS_Export!E906)</f>
        <v>Vernier CH</v>
      </c>
      <c r="E906" s="17" t="s">
        <v>2484</v>
      </c>
      <c r="F906" s="17">
        <f t="shared" si="43"/>
        <v>1</v>
      </c>
      <c r="G906" s="17" t="str">
        <f t="shared" si="44"/>
        <v>Pass</v>
      </c>
      <c r="H906" s="17" t="str">
        <f t="shared" si="42"/>
        <v>Fail</v>
      </c>
      <c r="I906" s="17">
        <v>6.9</v>
      </c>
      <c r="J906" s="17"/>
      <c r="K906" s="17">
        <v>6</v>
      </c>
      <c r="L906" s="17">
        <v>7.5</v>
      </c>
      <c r="M906" s="18">
        <f>Raw_LIMS_Export!K906</f>
        <v>45499</v>
      </c>
      <c r="N906" s="19" t="s">
        <v>2932</v>
      </c>
    </row>
    <row r="907" spans="1:14" x14ac:dyDescent="0.35">
      <c r="A907" s="16" t="s">
        <v>910</v>
      </c>
      <c r="B907" s="17" t="s">
        <v>2042</v>
      </c>
      <c r="C907" s="17" t="s">
        <v>2460</v>
      </c>
      <c r="D907" s="17" t="str">
        <f>_xlfn.XLOOKUP(Raw_LIMS_Export!E907,'mapping Site table'!$B$4:$B$14,'mapping Site table'!$C$4:$C$14,Raw_LIMS_Export!E907)</f>
        <v>Vernier CH</v>
      </c>
      <c r="E907" s="17" t="s">
        <v>2484</v>
      </c>
      <c r="F907" s="17">
        <f t="shared" si="43"/>
        <v>1</v>
      </c>
      <c r="G907" s="17" t="str">
        <f t="shared" si="44"/>
        <v>Fail</v>
      </c>
      <c r="H907" s="17" t="str">
        <f t="shared" si="42"/>
        <v>Fail</v>
      </c>
      <c r="I907" s="17">
        <v>7.61</v>
      </c>
      <c r="J907" s="17"/>
      <c r="K907" s="17">
        <v>6</v>
      </c>
      <c r="L907" s="17">
        <v>7.5</v>
      </c>
      <c r="M907" s="18">
        <f>Raw_LIMS_Export!K907</f>
        <v>45774</v>
      </c>
      <c r="N907" s="19" t="s">
        <v>2929</v>
      </c>
    </row>
    <row r="908" spans="1:14" x14ac:dyDescent="0.35">
      <c r="A908" s="16" t="s">
        <v>911</v>
      </c>
      <c r="B908" s="17" t="s">
        <v>2051</v>
      </c>
      <c r="C908" s="17" t="s">
        <v>2461</v>
      </c>
      <c r="D908" s="17" t="str">
        <f>_xlfn.XLOOKUP(Raw_LIMS_Export!E908,'mapping Site table'!$B$4:$B$14,'mapping Site table'!$C$4:$C$14,Raw_LIMS_Export!E908)</f>
        <v>Dortmund DE</v>
      </c>
      <c r="E908" s="17" t="s">
        <v>2483</v>
      </c>
      <c r="F908" s="17">
        <f t="shared" si="43"/>
        <v>1</v>
      </c>
      <c r="G908" s="17" t="str">
        <f t="shared" si="44"/>
        <v>Pass</v>
      </c>
      <c r="H908" s="17" t="str">
        <f t="shared" si="42"/>
        <v>Fail</v>
      </c>
      <c r="I908" s="17">
        <v>0.51</v>
      </c>
      <c r="J908" s="17" t="s">
        <v>2489</v>
      </c>
      <c r="K908" s="17">
        <v>0</v>
      </c>
      <c r="L908" s="17">
        <v>1</v>
      </c>
      <c r="M908" s="18">
        <f>Raw_LIMS_Export!K908</f>
        <v>45564</v>
      </c>
      <c r="N908" s="19" t="s">
        <v>2924</v>
      </c>
    </row>
    <row r="909" spans="1:14" x14ac:dyDescent="0.35">
      <c r="A909" s="16" t="s">
        <v>912</v>
      </c>
      <c r="B909" s="17" t="s">
        <v>2364</v>
      </c>
      <c r="C909" s="17" t="s">
        <v>2461</v>
      </c>
      <c r="D909" s="17" t="str">
        <f>_xlfn.XLOOKUP(Raw_LIMS_Export!E909,'mapping Site table'!$B$4:$B$14,'mapping Site table'!$C$4:$C$14,Raw_LIMS_Export!E909)</f>
        <v>East Hanover</v>
      </c>
      <c r="E909" s="17" t="s">
        <v>2479</v>
      </c>
      <c r="F909" s="17">
        <f t="shared" si="43"/>
        <v>1</v>
      </c>
      <c r="G909" s="17" t="str">
        <f t="shared" si="44"/>
        <v>Pass</v>
      </c>
      <c r="H909" s="17" t="str">
        <f t="shared" si="42"/>
        <v>Pass</v>
      </c>
      <c r="I909" s="17">
        <v>49.17</v>
      </c>
      <c r="J909" s="17" t="s">
        <v>2486</v>
      </c>
      <c r="K909" s="17">
        <v>0</v>
      </c>
      <c r="L909" s="17">
        <v>120</v>
      </c>
      <c r="M909" s="18">
        <f>Raw_LIMS_Export!K909</f>
        <v>45885</v>
      </c>
      <c r="N909" s="19" t="s">
        <v>2927</v>
      </c>
    </row>
    <row r="910" spans="1:14" x14ac:dyDescent="0.35">
      <c r="A910" s="16" t="s">
        <v>913</v>
      </c>
      <c r="B910" s="17" t="s">
        <v>2160</v>
      </c>
      <c r="C910" s="17" t="s">
        <v>2458</v>
      </c>
      <c r="D910" s="17" t="str">
        <f>_xlfn.XLOOKUP(Raw_LIMS_Export!E910,'mapping Site table'!$B$4:$B$14,'mapping Site table'!$C$4:$C$14,Raw_LIMS_Export!E910)</f>
        <v>Dortmund DE</v>
      </c>
      <c r="E910" s="17" t="s">
        <v>2479</v>
      </c>
      <c r="F910" s="17">
        <f t="shared" si="43"/>
        <v>1</v>
      </c>
      <c r="G910" s="17" t="str">
        <f t="shared" si="44"/>
        <v>Pass</v>
      </c>
      <c r="H910" s="17" t="str">
        <f t="shared" si="42"/>
        <v>Pass</v>
      </c>
      <c r="I910" s="17">
        <v>59.52</v>
      </c>
      <c r="J910" s="17" t="s">
        <v>2486</v>
      </c>
      <c r="K910" s="17">
        <v>0</v>
      </c>
      <c r="L910" s="17">
        <v>120</v>
      </c>
      <c r="M910" s="18">
        <f>Raw_LIMS_Export!K910</f>
        <v>45476</v>
      </c>
      <c r="N910" s="19" t="s">
        <v>2926</v>
      </c>
    </row>
    <row r="911" spans="1:14" x14ac:dyDescent="0.35">
      <c r="A911" s="16" t="s">
        <v>914</v>
      </c>
      <c r="B911" s="17" t="s">
        <v>2432</v>
      </c>
      <c r="C911" s="17" t="s">
        <v>2459</v>
      </c>
      <c r="D911" s="17" t="str">
        <f>_xlfn.XLOOKUP(Raw_LIMS_Export!E911,'mapping Site table'!$B$4:$B$14,'mapping Site table'!$C$4:$C$14,Raw_LIMS_Export!E911)</f>
        <v>East Hanover</v>
      </c>
      <c r="E911" s="17" t="s">
        <v>2485</v>
      </c>
      <c r="F911" s="17">
        <f t="shared" si="43"/>
        <v>1</v>
      </c>
      <c r="G911" s="17" t="str">
        <f t="shared" si="44"/>
        <v>Pass</v>
      </c>
      <c r="H911" s="17" t="str">
        <f t="shared" si="42"/>
        <v>Pass</v>
      </c>
      <c r="I911" s="17">
        <v>14.28</v>
      </c>
      <c r="J911" s="17" t="s">
        <v>2490</v>
      </c>
      <c r="K911" s="17">
        <v>0</v>
      </c>
      <c r="L911" s="17">
        <v>100</v>
      </c>
      <c r="M911" s="18">
        <f>Raw_LIMS_Export!K911</f>
        <v>45457</v>
      </c>
      <c r="N911" s="19" t="s">
        <v>2927</v>
      </c>
    </row>
    <row r="912" spans="1:14" x14ac:dyDescent="0.35">
      <c r="A912" s="16" t="s">
        <v>915</v>
      </c>
      <c r="B912" s="17" t="s">
        <v>2433</v>
      </c>
      <c r="C912" s="17" t="s">
        <v>2461</v>
      </c>
      <c r="D912" s="17" t="str">
        <f>_xlfn.XLOOKUP(Raw_LIMS_Export!E912,'mapping Site table'!$B$4:$B$14,'mapping Site table'!$C$4:$C$14,Raw_LIMS_Export!E912)</f>
        <v>Vernier CH</v>
      </c>
      <c r="E912" s="17" t="s">
        <v>2481</v>
      </c>
      <c r="F912" s="17">
        <f t="shared" si="43"/>
        <v>1</v>
      </c>
      <c r="G912" s="17" t="str">
        <f t="shared" si="44"/>
        <v>Pass</v>
      </c>
      <c r="H912" s="17" t="str">
        <f t="shared" si="42"/>
        <v>Pass</v>
      </c>
      <c r="I912" s="17">
        <v>215.34</v>
      </c>
      <c r="J912" s="17" t="s">
        <v>2488</v>
      </c>
      <c r="K912" s="17">
        <v>150</v>
      </c>
      <c r="L912" s="17">
        <v>400</v>
      </c>
      <c r="M912" s="18">
        <f>Raw_LIMS_Export!K912</f>
        <v>45503</v>
      </c>
      <c r="N912" s="19" t="s">
        <v>2926</v>
      </c>
    </row>
    <row r="913" spans="1:14" x14ac:dyDescent="0.35">
      <c r="A913" s="16" t="s">
        <v>916</v>
      </c>
      <c r="B913" s="17" t="s">
        <v>2232</v>
      </c>
      <c r="C913" s="17" t="s">
        <v>2460</v>
      </c>
      <c r="D913" s="17" t="str">
        <f>_xlfn.XLOOKUP(Raw_LIMS_Export!E913,'mapping Site table'!$B$4:$B$14,'mapping Site table'!$C$4:$C$14,Raw_LIMS_Export!E913)</f>
        <v>Ashford UK</v>
      </c>
      <c r="E913" s="17" t="s">
        <v>2479</v>
      </c>
      <c r="F913" s="17">
        <f t="shared" si="43"/>
        <v>1</v>
      </c>
      <c r="G913" s="17" t="str">
        <f t="shared" si="44"/>
        <v>Pass</v>
      </c>
      <c r="H913" s="17" t="str">
        <f t="shared" si="42"/>
        <v>Pass</v>
      </c>
      <c r="I913" s="17">
        <v>46.32</v>
      </c>
      <c r="J913" s="17" t="s">
        <v>2486</v>
      </c>
      <c r="K913" s="17">
        <v>0</v>
      </c>
      <c r="L913" s="17">
        <v>120</v>
      </c>
      <c r="M913" s="18">
        <f>Raw_LIMS_Export!K913</f>
        <v>45553</v>
      </c>
      <c r="N913" s="19" t="s">
        <v>2923</v>
      </c>
    </row>
    <row r="914" spans="1:14" x14ac:dyDescent="0.35">
      <c r="A914" s="16" t="s">
        <v>917</v>
      </c>
      <c r="B914" s="17" t="s">
        <v>2211</v>
      </c>
      <c r="C914" s="17" t="s">
        <v>2457</v>
      </c>
      <c r="D914" s="17" t="str">
        <f>_xlfn.XLOOKUP(Raw_LIMS_Export!E914,'mapping Site table'!$B$4:$B$14,'mapping Site table'!$C$4:$C$14,Raw_LIMS_Export!E914)</f>
        <v>Budapest</v>
      </c>
      <c r="E914" s="17" t="s">
        <v>2485</v>
      </c>
      <c r="F914" s="17">
        <f t="shared" si="43"/>
        <v>1</v>
      </c>
      <c r="G914" s="17" t="str">
        <f t="shared" si="44"/>
        <v>Fail</v>
      </c>
      <c r="H914" s="17" t="str">
        <f t="shared" si="42"/>
        <v>Fail</v>
      </c>
      <c r="I914" s="17">
        <v>-12.65</v>
      </c>
      <c r="J914" s="17" t="s">
        <v>2490</v>
      </c>
      <c r="K914" s="17">
        <v>0</v>
      </c>
      <c r="L914" s="17">
        <v>100</v>
      </c>
      <c r="M914" s="18">
        <f>Raw_LIMS_Export!K914</f>
        <v>45540</v>
      </c>
      <c r="N914" s="19" t="s">
        <v>2930</v>
      </c>
    </row>
    <row r="915" spans="1:14" x14ac:dyDescent="0.35">
      <c r="A915" s="16" t="s">
        <v>918</v>
      </c>
      <c r="B915" s="17" t="s">
        <v>2026</v>
      </c>
      <c r="C915" s="17" t="s">
        <v>2461</v>
      </c>
      <c r="D915" s="17" t="str">
        <f>_xlfn.XLOOKUP(Raw_LIMS_Export!E915,'mapping Site table'!$B$4:$B$14,'mapping Site table'!$C$4:$C$14,Raw_LIMS_Export!E915)</f>
        <v>Vernier CH</v>
      </c>
      <c r="E915" s="17" t="s">
        <v>2484</v>
      </c>
      <c r="F915" s="17">
        <f t="shared" si="43"/>
        <v>1</v>
      </c>
      <c r="G915" s="17" t="str">
        <f t="shared" si="44"/>
        <v>Fail</v>
      </c>
      <c r="H915" s="17" t="str">
        <f t="shared" si="42"/>
        <v>Fail</v>
      </c>
      <c r="I915" s="17">
        <v>8.6999999999999993</v>
      </c>
      <c r="J915" s="17"/>
      <c r="K915" s="17">
        <v>6</v>
      </c>
      <c r="L915" s="17">
        <v>7.5</v>
      </c>
      <c r="M915" s="18">
        <f>Raw_LIMS_Export!K915</f>
        <v>45294</v>
      </c>
      <c r="N915" s="19" t="s">
        <v>2925</v>
      </c>
    </row>
    <row r="916" spans="1:14" x14ac:dyDescent="0.35">
      <c r="A916" s="16" t="s">
        <v>919</v>
      </c>
      <c r="B916" s="17" t="s">
        <v>2254</v>
      </c>
      <c r="C916" s="17" t="s">
        <v>2457</v>
      </c>
      <c r="D916" s="17" t="str">
        <f>_xlfn.XLOOKUP(Raw_LIMS_Export!E916,'mapping Site table'!$B$4:$B$14,'mapping Site table'!$C$4:$C$14,Raw_LIMS_Export!E916)</f>
        <v>Budapest</v>
      </c>
      <c r="E916" s="17" t="s">
        <v>2480</v>
      </c>
      <c r="F916" s="17">
        <f t="shared" si="43"/>
        <v>1</v>
      </c>
      <c r="G916" s="17" t="str">
        <f t="shared" si="44"/>
        <v>Pass</v>
      </c>
      <c r="H916" s="17" t="str">
        <f t="shared" si="42"/>
        <v>Pass</v>
      </c>
      <c r="I916" s="17">
        <v>0.95</v>
      </c>
      <c r="J916" s="17" t="s">
        <v>2487</v>
      </c>
      <c r="K916" s="17">
        <v>0.88</v>
      </c>
      <c r="L916" s="17">
        <v>0.97</v>
      </c>
      <c r="M916" s="18">
        <f>Raw_LIMS_Export!K916</f>
        <v>45774</v>
      </c>
      <c r="N916" s="19" t="s">
        <v>2923</v>
      </c>
    </row>
    <row r="917" spans="1:14" x14ac:dyDescent="0.35">
      <c r="A917" s="16" t="s">
        <v>920</v>
      </c>
      <c r="B917" s="17" t="s">
        <v>2061</v>
      </c>
      <c r="C917" s="17" t="s">
        <v>2457</v>
      </c>
      <c r="D917" s="17" t="str">
        <f>_xlfn.XLOOKUP(Raw_LIMS_Export!E917,'mapping Site table'!$B$4:$B$14,'mapping Site table'!$C$4:$C$14,Raw_LIMS_Export!E917)</f>
        <v>Budapest</v>
      </c>
      <c r="E917" s="17" t="s">
        <v>2484</v>
      </c>
      <c r="F917" s="17">
        <f t="shared" si="43"/>
        <v>1</v>
      </c>
      <c r="G917" s="17" t="str">
        <f t="shared" si="44"/>
        <v>Pass</v>
      </c>
      <c r="H917" s="17" t="str">
        <f t="shared" si="42"/>
        <v>Pass</v>
      </c>
      <c r="I917" s="17">
        <v>6.54</v>
      </c>
      <c r="J917" s="17"/>
      <c r="K917" s="17">
        <v>6</v>
      </c>
      <c r="L917" s="17">
        <v>7.5</v>
      </c>
      <c r="M917" s="18">
        <f>Raw_LIMS_Export!K917</f>
        <v>45831</v>
      </c>
      <c r="N917" s="19" t="s">
        <v>2924</v>
      </c>
    </row>
    <row r="918" spans="1:14" x14ac:dyDescent="0.35">
      <c r="A918" s="16" t="s">
        <v>921</v>
      </c>
      <c r="B918" s="17" t="s">
        <v>2073</v>
      </c>
      <c r="C918" s="17" t="s">
        <v>2457</v>
      </c>
      <c r="D918" s="17" t="str">
        <f>_xlfn.XLOOKUP(Raw_LIMS_Export!E918,'mapping Site table'!$B$4:$B$14,'mapping Site table'!$C$4:$C$14,Raw_LIMS_Export!E918)</f>
        <v>Dortmund DE</v>
      </c>
      <c r="E918" s="17" t="s">
        <v>2482</v>
      </c>
      <c r="F918" s="17">
        <f t="shared" si="43"/>
        <v>0</v>
      </c>
      <c r="G918" s="17" t="str">
        <f t="shared" si="44"/>
        <v>Missing</v>
      </c>
      <c r="H918" s="17" t="str">
        <f t="shared" si="42"/>
        <v>Pending</v>
      </c>
      <c r="I918" s="17"/>
      <c r="J918" s="17" t="s">
        <v>2489</v>
      </c>
      <c r="K918" s="17">
        <v>97</v>
      </c>
      <c r="L918" s="17">
        <v>100</v>
      </c>
      <c r="M918" s="18">
        <f>Raw_LIMS_Export!K918</f>
        <v>45638</v>
      </c>
      <c r="N918" s="19" t="s">
        <v>2929</v>
      </c>
    </row>
    <row r="919" spans="1:14" x14ac:dyDescent="0.35">
      <c r="A919" s="16" t="s">
        <v>922</v>
      </c>
      <c r="B919" s="17" t="s">
        <v>2397</v>
      </c>
      <c r="C919" s="17" t="s">
        <v>2459</v>
      </c>
      <c r="D919" s="17" t="str">
        <f>_xlfn.XLOOKUP(Raw_LIMS_Export!E919,'mapping Site table'!$B$4:$B$14,'mapping Site table'!$C$4:$C$14,Raw_LIMS_Export!E919)</f>
        <v>Budapest</v>
      </c>
      <c r="E919" s="17" t="s">
        <v>2485</v>
      </c>
      <c r="F919" s="17">
        <f t="shared" si="43"/>
        <v>1</v>
      </c>
      <c r="G919" s="17" t="str">
        <f t="shared" si="44"/>
        <v>Pass</v>
      </c>
      <c r="H919" s="17" t="str">
        <f t="shared" si="42"/>
        <v>Pass</v>
      </c>
      <c r="I919" s="17">
        <v>46.05</v>
      </c>
      <c r="J919" s="17" t="s">
        <v>2490</v>
      </c>
      <c r="K919" s="17">
        <v>0</v>
      </c>
      <c r="L919" s="17">
        <v>100</v>
      </c>
      <c r="M919" s="18">
        <f>Raw_LIMS_Export!K919</f>
        <v>45436</v>
      </c>
      <c r="N919" s="19" t="s">
        <v>2928</v>
      </c>
    </row>
    <row r="920" spans="1:14" x14ac:dyDescent="0.35">
      <c r="A920" s="16" t="s">
        <v>923</v>
      </c>
      <c r="B920" s="17" t="s">
        <v>2417</v>
      </c>
      <c r="C920" s="17" t="s">
        <v>2459</v>
      </c>
      <c r="D920" s="17" t="str">
        <f>_xlfn.XLOOKUP(Raw_LIMS_Export!E920,'mapping Site table'!$B$4:$B$14,'mapping Site table'!$C$4:$C$14,Raw_LIMS_Export!E920)</f>
        <v>Ashford UK</v>
      </c>
      <c r="E920" s="17" t="s">
        <v>2482</v>
      </c>
      <c r="F920" s="17">
        <f t="shared" si="43"/>
        <v>1</v>
      </c>
      <c r="G920" s="17" t="str">
        <f t="shared" si="44"/>
        <v>Pass</v>
      </c>
      <c r="H920" s="17" t="str">
        <f t="shared" si="42"/>
        <v>Fail</v>
      </c>
      <c r="I920" s="17">
        <v>98.38</v>
      </c>
      <c r="J920" s="17" t="s">
        <v>2489</v>
      </c>
      <c r="K920" s="17">
        <v>97</v>
      </c>
      <c r="L920" s="17">
        <v>100</v>
      </c>
      <c r="M920" s="18">
        <f>Raw_LIMS_Export!K920</f>
        <v>45969</v>
      </c>
      <c r="N920" s="19" t="s">
        <v>2931</v>
      </c>
    </row>
    <row r="921" spans="1:14" x14ac:dyDescent="0.35">
      <c r="A921" s="16" t="s">
        <v>924</v>
      </c>
      <c r="B921" s="17" t="s">
        <v>2275</v>
      </c>
      <c r="C921" s="17" t="s">
        <v>2458</v>
      </c>
      <c r="D921" s="17" t="str">
        <f>_xlfn.XLOOKUP(Raw_LIMS_Export!E921,'mapping Site table'!$B$4:$B$14,'mapping Site table'!$C$4:$C$14,Raw_LIMS_Export!E921)</f>
        <v>Vernier CH</v>
      </c>
      <c r="E921" s="17" t="s">
        <v>2481</v>
      </c>
      <c r="F921" s="17">
        <f t="shared" si="43"/>
        <v>1</v>
      </c>
      <c r="G921" s="17" t="str">
        <f t="shared" si="44"/>
        <v>Pass</v>
      </c>
      <c r="H921" s="17" t="str">
        <f t="shared" si="42"/>
        <v>Pass</v>
      </c>
      <c r="I921" s="17">
        <v>279.11</v>
      </c>
      <c r="J921" s="17" t="s">
        <v>2488</v>
      </c>
      <c r="K921" s="17">
        <v>150</v>
      </c>
      <c r="L921" s="17">
        <v>400</v>
      </c>
      <c r="M921" s="18">
        <f>Raw_LIMS_Export!K921</f>
        <v>45513</v>
      </c>
      <c r="N921" s="19" t="s">
        <v>2931</v>
      </c>
    </row>
    <row r="922" spans="1:14" x14ac:dyDescent="0.35">
      <c r="A922" s="16" t="s">
        <v>925</v>
      </c>
      <c r="B922" s="17" t="s">
        <v>2228</v>
      </c>
      <c r="C922" s="17" t="s">
        <v>2458</v>
      </c>
      <c r="D922" s="17" t="str">
        <f>_xlfn.XLOOKUP(Raw_LIMS_Export!E922,'mapping Site table'!$B$4:$B$14,'mapping Site table'!$C$4:$C$14,Raw_LIMS_Export!E922)</f>
        <v>East Hanover</v>
      </c>
      <c r="E922" s="17" t="s">
        <v>2480</v>
      </c>
      <c r="F922" s="17">
        <f t="shared" si="43"/>
        <v>1</v>
      </c>
      <c r="G922" s="17" t="str">
        <f t="shared" si="44"/>
        <v>Fail</v>
      </c>
      <c r="H922" s="17" t="str">
        <f t="shared" si="42"/>
        <v>Fail</v>
      </c>
      <c r="I922" s="17">
        <v>0.98</v>
      </c>
      <c r="J922" s="17" t="s">
        <v>2487</v>
      </c>
      <c r="K922" s="17">
        <v>0.88</v>
      </c>
      <c r="L922" s="17">
        <v>0.97</v>
      </c>
      <c r="M922" s="18">
        <f>Raw_LIMS_Export!K922</f>
        <v>45813</v>
      </c>
      <c r="N922" s="19" t="s">
        <v>2925</v>
      </c>
    </row>
    <row r="923" spans="1:14" x14ac:dyDescent="0.35">
      <c r="A923" s="16" t="s">
        <v>926</v>
      </c>
      <c r="B923" s="17" t="s">
        <v>2219</v>
      </c>
      <c r="C923" s="17" t="s">
        <v>2460</v>
      </c>
      <c r="D923" s="17" t="str">
        <f>_xlfn.XLOOKUP(Raw_LIMS_Export!E923,'mapping Site table'!$B$4:$B$14,'mapping Site table'!$C$4:$C$14,Raw_LIMS_Export!E923)</f>
        <v>East Hanover</v>
      </c>
      <c r="E923" s="17" t="s">
        <v>2479</v>
      </c>
      <c r="F923" s="17">
        <f t="shared" si="43"/>
        <v>1</v>
      </c>
      <c r="G923" s="17" t="str">
        <f t="shared" si="44"/>
        <v>Pass</v>
      </c>
      <c r="H923" s="17" t="str">
        <f t="shared" si="42"/>
        <v>Fail</v>
      </c>
      <c r="I923" s="17">
        <v>47.91</v>
      </c>
      <c r="J923" s="17" t="s">
        <v>2486</v>
      </c>
      <c r="K923" s="17">
        <v>0</v>
      </c>
      <c r="L923" s="17">
        <v>120</v>
      </c>
      <c r="M923" s="18">
        <f>Raw_LIMS_Export!K923</f>
        <v>45626</v>
      </c>
      <c r="N923" s="19" t="s">
        <v>2930</v>
      </c>
    </row>
    <row r="924" spans="1:14" x14ac:dyDescent="0.35">
      <c r="A924" s="16" t="s">
        <v>927</v>
      </c>
      <c r="B924" s="17" t="s">
        <v>2208</v>
      </c>
      <c r="C924" s="17" t="s">
        <v>2460</v>
      </c>
      <c r="D924" s="17" t="str">
        <f>_xlfn.XLOOKUP(Raw_LIMS_Export!E924,'mapping Site table'!$B$4:$B$14,'mapping Site table'!$C$4:$C$14,Raw_LIMS_Export!E924)</f>
        <v>Ashford UK</v>
      </c>
      <c r="E924" s="17" t="s">
        <v>2481</v>
      </c>
      <c r="F924" s="17">
        <f t="shared" si="43"/>
        <v>1</v>
      </c>
      <c r="G924" s="17" t="str">
        <f t="shared" si="44"/>
        <v>Pass</v>
      </c>
      <c r="H924" s="17" t="str">
        <f t="shared" si="42"/>
        <v>Pass</v>
      </c>
      <c r="I924" s="17">
        <v>165.05</v>
      </c>
      <c r="J924" s="17" t="s">
        <v>2488</v>
      </c>
      <c r="K924" s="17">
        <v>150</v>
      </c>
      <c r="L924" s="17">
        <v>400</v>
      </c>
      <c r="M924" s="18">
        <f>Raw_LIMS_Export!K924</f>
        <v>45505</v>
      </c>
      <c r="N924" s="19" t="s">
        <v>2931</v>
      </c>
    </row>
    <row r="925" spans="1:14" x14ac:dyDescent="0.35">
      <c r="A925" s="16" t="s">
        <v>928</v>
      </c>
      <c r="B925" s="17" t="s">
        <v>2329</v>
      </c>
      <c r="C925" s="17" t="s">
        <v>2459</v>
      </c>
      <c r="D925" s="17" t="str">
        <f>_xlfn.XLOOKUP(Raw_LIMS_Export!E925,'mapping Site table'!$B$4:$B$14,'mapping Site table'!$C$4:$C$14,Raw_LIMS_Export!E925)</f>
        <v>Dortmund DE</v>
      </c>
      <c r="E925" s="17" t="s">
        <v>2479</v>
      </c>
      <c r="F925" s="17">
        <f t="shared" si="43"/>
        <v>1</v>
      </c>
      <c r="G925" s="17" t="str">
        <f t="shared" si="44"/>
        <v>Pass</v>
      </c>
      <c r="H925" s="17" t="str">
        <f t="shared" si="42"/>
        <v>Pass</v>
      </c>
      <c r="I925" s="17">
        <v>61.28</v>
      </c>
      <c r="J925" s="17" t="s">
        <v>2486</v>
      </c>
      <c r="K925" s="17">
        <v>0</v>
      </c>
      <c r="L925" s="17">
        <v>120</v>
      </c>
      <c r="M925" s="18">
        <f>Raw_LIMS_Export!K925</f>
        <v>45849</v>
      </c>
      <c r="N925" s="19" t="s">
        <v>2932</v>
      </c>
    </row>
    <row r="926" spans="1:14" x14ac:dyDescent="0.35">
      <c r="A926" s="16" t="s">
        <v>929</v>
      </c>
      <c r="B926" s="17" t="s">
        <v>2242</v>
      </c>
      <c r="C926" s="17" t="s">
        <v>2460</v>
      </c>
      <c r="D926" s="17" t="str">
        <f>_xlfn.XLOOKUP(Raw_LIMS_Export!E926,'mapping Site table'!$B$4:$B$14,'mapping Site table'!$C$4:$C$14,Raw_LIMS_Export!E926)</f>
        <v>Budapest</v>
      </c>
      <c r="E926" s="17" t="s">
        <v>2480</v>
      </c>
      <c r="F926" s="17">
        <f t="shared" si="43"/>
        <v>1</v>
      </c>
      <c r="G926" s="17" t="str">
        <f t="shared" si="44"/>
        <v>Pass</v>
      </c>
      <c r="H926" s="17" t="str">
        <f t="shared" si="42"/>
        <v>Pass</v>
      </c>
      <c r="I926" s="17">
        <v>0.91</v>
      </c>
      <c r="J926" s="17" t="s">
        <v>2487</v>
      </c>
      <c r="K926" s="17">
        <v>0.88</v>
      </c>
      <c r="L926" s="17">
        <v>0.97</v>
      </c>
      <c r="M926" s="18">
        <f>Raw_LIMS_Export!K926</f>
        <v>45704</v>
      </c>
      <c r="N926" s="19" t="s">
        <v>2931</v>
      </c>
    </row>
    <row r="927" spans="1:14" x14ac:dyDescent="0.35">
      <c r="A927" s="16" t="s">
        <v>930</v>
      </c>
      <c r="B927" s="17" t="s">
        <v>2228</v>
      </c>
      <c r="C927" s="17" t="s">
        <v>2458</v>
      </c>
      <c r="D927" s="17" t="str">
        <f>_xlfn.XLOOKUP(Raw_LIMS_Export!E927,'mapping Site table'!$B$4:$B$14,'mapping Site table'!$C$4:$C$14,Raw_LIMS_Export!E927)</f>
        <v>East Hanover</v>
      </c>
      <c r="E927" s="17" t="s">
        <v>2485</v>
      </c>
      <c r="F927" s="17">
        <f t="shared" si="43"/>
        <v>1</v>
      </c>
      <c r="G927" s="17" t="str">
        <f t="shared" si="44"/>
        <v>Pass</v>
      </c>
      <c r="H927" s="17" t="str">
        <f t="shared" si="42"/>
        <v>Fail</v>
      </c>
      <c r="I927" s="17">
        <v>14.64</v>
      </c>
      <c r="J927" s="17" t="s">
        <v>2490</v>
      </c>
      <c r="K927" s="17">
        <v>0</v>
      </c>
      <c r="L927" s="17">
        <v>100</v>
      </c>
      <c r="M927" s="18">
        <f>Raw_LIMS_Export!K927</f>
        <v>45813</v>
      </c>
      <c r="N927" s="19" t="s">
        <v>2927</v>
      </c>
    </row>
    <row r="928" spans="1:14" x14ac:dyDescent="0.35">
      <c r="A928" s="16" t="s">
        <v>931</v>
      </c>
      <c r="B928" s="17" t="s">
        <v>2392</v>
      </c>
      <c r="C928" s="17" t="s">
        <v>2461</v>
      </c>
      <c r="D928" s="17" t="str">
        <f>_xlfn.XLOOKUP(Raw_LIMS_Export!E928,'mapping Site table'!$B$4:$B$14,'mapping Site table'!$C$4:$C$14,Raw_LIMS_Export!E928)</f>
        <v>Ashford UK</v>
      </c>
      <c r="E928" s="17" t="s">
        <v>2479</v>
      </c>
      <c r="F928" s="17">
        <f t="shared" si="43"/>
        <v>1</v>
      </c>
      <c r="G928" s="17" t="str">
        <f t="shared" si="44"/>
        <v>Pass</v>
      </c>
      <c r="H928" s="17" t="str">
        <f t="shared" si="42"/>
        <v>Pass</v>
      </c>
      <c r="I928" s="17">
        <v>32.29</v>
      </c>
      <c r="J928" s="17" t="s">
        <v>2486</v>
      </c>
      <c r="K928" s="17">
        <v>0</v>
      </c>
      <c r="L928" s="17">
        <v>120</v>
      </c>
      <c r="M928" s="18">
        <f>Raw_LIMS_Export!K928</f>
        <v>45923</v>
      </c>
      <c r="N928" s="19" t="s">
        <v>2931</v>
      </c>
    </row>
    <row r="929" spans="1:14" x14ac:dyDescent="0.35">
      <c r="A929" s="16" t="s">
        <v>932</v>
      </c>
      <c r="B929" s="17" t="s">
        <v>2176</v>
      </c>
      <c r="C929" s="17" t="s">
        <v>2461</v>
      </c>
      <c r="D929" s="17" t="str">
        <f>_xlfn.XLOOKUP(Raw_LIMS_Export!E929,'mapping Site table'!$B$4:$B$14,'mapping Site table'!$C$4:$C$14,Raw_LIMS_Export!E929)</f>
        <v>Dortmund DE</v>
      </c>
      <c r="E929" s="17" t="s">
        <v>2480</v>
      </c>
      <c r="F929" s="17">
        <f t="shared" si="43"/>
        <v>1</v>
      </c>
      <c r="G929" s="17" t="str">
        <f t="shared" si="44"/>
        <v>Pass</v>
      </c>
      <c r="H929" s="17" t="str">
        <f t="shared" si="42"/>
        <v>Pass</v>
      </c>
      <c r="I929" s="17">
        <v>0.91</v>
      </c>
      <c r="J929" s="17" t="s">
        <v>2487</v>
      </c>
      <c r="K929" s="17">
        <v>0.88</v>
      </c>
      <c r="L929" s="17">
        <v>0.97</v>
      </c>
      <c r="M929" s="18">
        <f>Raw_LIMS_Export!K929</f>
        <v>45312</v>
      </c>
      <c r="N929" s="19" t="s">
        <v>2923</v>
      </c>
    </row>
    <row r="930" spans="1:14" x14ac:dyDescent="0.35">
      <c r="A930" s="16" t="s">
        <v>933</v>
      </c>
      <c r="B930" s="17" t="s">
        <v>2219</v>
      </c>
      <c r="C930" s="17" t="s">
        <v>2460</v>
      </c>
      <c r="D930" s="17" t="str">
        <f>_xlfn.XLOOKUP(Raw_LIMS_Export!E930,'mapping Site table'!$B$4:$B$14,'mapping Site table'!$C$4:$C$14,Raw_LIMS_Export!E930)</f>
        <v>East Hanover</v>
      </c>
      <c r="E930" s="17" t="s">
        <v>2480</v>
      </c>
      <c r="F930" s="17">
        <f t="shared" si="43"/>
        <v>1</v>
      </c>
      <c r="G930" s="17" t="str">
        <f t="shared" si="44"/>
        <v>Pass</v>
      </c>
      <c r="H930" s="17" t="str">
        <f t="shared" si="42"/>
        <v>Fail</v>
      </c>
      <c r="I930" s="17">
        <v>0.94</v>
      </c>
      <c r="J930" s="17" t="s">
        <v>2487</v>
      </c>
      <c r="K930" s="17">
        <v>0.88</v>
      </c>
      <c r="L930" s="17">
        <v>0.97</v>
      </c>
      <c r="M930" s="18">
        <f>Raw_LIMS_Export!K930</f>
        <v>45626</v>
      </c>
      <c r="N930" s="19" t="s">
        <v>2932</v>
      </c>
    </row>
    <row r="931" spans="1:14" x14ac:dyDescent="0.35">
      <c r="A931" s="16" t="s">
        <v>934</v>
      </c>
      <c r="B931" s="17" t="s">
        <v>2349</v>
      </c>
      <c r="C931" s="17" t="s">
        <v>2461</v>
      </c>
      <c r="D931" s="17" t="str">
        <f>_xlfn.XLOOKUP(Raw_LIMS_Export!E931,'mapping Site table'!$B$4:$B$14,'mapping Site table'!$C$4:$C$14,Raw_LIMS_Export!E931)</f>
        <v>East Hanover</v>
      </c>
      <c r="E931" s="17" t="s">
        <v>2481</v>
      </c>
      <c r="F931" s="17">
        <f t="shared" si="43"/>
        <v>1</v>
      </c>
      <c r="G931" s="17" t="str">
        <f t="shared" si="44"/>
        <v>Pass</v>
      </c>
      <c r="H931" s="17" t="str">
        <f t="shared" si="42"/>
        <v>Pass</v>
      </c>
      <c r="I931" s="17">
        <v>284.89999999999998</v>
      </c>
      <c r="J931" s="17" t="s">
        <v>2488</v>
      </c>
      <c r="K931" s="17">
        <v>150</v>
      </c>
      <c r="L931" s="17">
        <v>400</v>
      </c>
      <c r="M931" s="18">
        <f>Raw_LIMS_Export!K931</f>
        <v>45451</v>
      </c>
      <c r="N931" s="19" t="s">
        <v>2932</v>
      </c>
    </row>
    <row r="932" spans="1:14" x14ac:dyDescent="0.35">
      <c r="A932" s="16" t="s">
        <v>935</v>
      </c>
      <c r="B932" s="17" t="s">
        <v>2199</v>
      </c>
      <c r="C932" s="17" t="s">
        <v>2460</v>
      </c>
      <c r="D932" s="17" t="str">
        <f>_xlfn.XLOOKUP(Raw_LIMS_Export!E932,'mapping Site table'!$B$4:$B$14,'mapping Site table'!$C$4:$C$14,Raw_LIMS_Export!E932)</f>
        <v>Ashford UK</v>
      </c>
      <c r="E932" s="17" t="s">
        <v>2482</v>
      </c>
      <c r="F932" s="17">
        <f t="shared" si="43"/>
        <v>1</v>
      </c>
      <c r="G932" s="17" t="str">
        <f t="shared" si="44"/>
        <v>Pass</v>
      </c>
      <c r="H932" s="17" t="str">
        <f t="shared" si="42"/>
        <v>Pass</v>
      </c>
      <c r="I932" s="17">
        <v>98.45</v>
      </c>
      <c r="J932" s="17" t="s">
        <v>2489</v>
      </c>
      <c r="K932" s="17">
        <v>97</v>
      </c>
      <c r="L932" s="17">
        <v>100</v>
      </c>
      <c r="M932" s="18">
        <f>Raw_LIMS_Export!K932</f>
        <v>45413</v>
      </c>
      <c r="N932" s="19" t="s">
        <v>2928</v>
      </c>
    </row>
    <row r="933" spans="1:14" x14ac:dyDescent="0.35">
      <c r="A933" s="16" t="s">
        <v>936</v>
      </c>
      <c r="B933" s="17" t="s">
        <v>2304</v>
      </c>
      <c r="C933" s="17" t="s">
        <v>2460</v>
      </c>
      <c r="D933" s="17" t="str">
        <f>_xlfn.XLOOKUP(Raw_LIMS_Export!E933,'mapping Site table'!$B$4:$B$14,'mapping Site table'!$C$4:$C$14,Raw_LIMS_Export!E933)</f>
        <v>East Hanover</v>
      </c>
      <c r="E933" s="17" t="s">
        <v>2484</v>
      </c>
      <c r="F933" s="17">
        <f t="shared" si="43"/>
        <v>1</v>
      </c>
      <c r="G933" s="17" t="str">
        <f t="shared" si="44"/>
        <v>Pass</v>
      </c>
      <c r="H933" s="17" t="str">
        <f t="shared" si="42"/>
        <v>Pass</v>
      </c>
      <c r="I933" s="17">
        <v>6.27</v>
      </c>
      <c r="J933" s="17"/>
      <c r="K933" s="17">
        <v>6</v>
      </c>
      <c r="L933" s="17">
        <v>7.5</v>
      </c>
      <c r="M933" s="18">
        <f>Raw_LIMS_Export!K933</f>
        <v>45398</v>
      </c>
      <c r="N933" s="19" t="s">
        <v>2929</v>
      </c>
    </row>
    <row r="934" spans="1:14" x14ac:dyDescent="0.35">
      <c r="A934" s="16" t="s">
        <v>937</v>
      </c>
      <c r="B934" s="17" t="s">
        <v>2221</v>
      </c>
      <c r="C934" s="17" t="s">
        <v>2458</v>
      </c>
      <c r="D934" s="17" t="str">
        <f>_xlfn.XLOOKUP(Raw_LIMS_Export!E934,'mapping Site table'!$B$4:$B$14,'mapping Site table'!$C$4:$C$14,Raw_LIMS_Export!E934)</f>
        <v>Dortmund DE</v>
      </c>
      <c r="E934" s="17" t="s">
        <v>2483</v>
      </c>
      <c r="F934" s="17">
        <f t="shared" si="43"/>
        <v>1</v>
      </c>
      <c r="G934" s="17" t="str">
        <f t="shared" si="44"/>
        <v>Pass</v>
      </c>
      <c r="H934" s="17" t="str">
        <f t="shared" si="42"/>
        <v>Pass</v>
      </c>
      <c r="I934" s="17">
        <v>0.43</v>
      </c>
      <c r="J934" s="17" t="s">
        <v>2489</v>
      </c>
      <c r="K934" s="17">
        <v>0</v>
      </c>
      <c r="L934" s="17">
        <v>1</v>
      </c>
      <c r="M934" s="18">
        <f>Raw_LIMS_Export!K934</f>
        <v>45520</v>
      </c>
      <c r="N934" s="19" t="s">
        <v>2926</v>
      </c>
    </row>
    <row r="935" spans="1:14" x14ac:dyDescent="0.35">
      <c r="A935" s="16" t="s">
        <v>938</v>
      </c>
      <c r="B935" s="17" t="s">
        <v>2228</v>
      </c>
      <c r="C935" s="17" t="s">
        <v>2458</v>
      </c>
      <c r="D935" s="17" t="str">
        <f>_xlfn.XLOOKUP(Raw_LIMS_Export!E935,'mapping Site table'!$B$4:$B$14,'mapping Site table'!$C$4:$C$14,Raw_LIMS_Export!E935)</f>
        <v>East Hanover</v>
      </c>
      <c r="E935" s="17" t="s">
        <v>2479</v>
      </c>
      <c r="F935" s="17">
        <f t="shared" si="43"/>
        <v>1</v>
      </c>
      <c r="G935" s="17" t="str">
        <f t="shared" si="44"/>
        <v>Pass</v>
      </c>
      <c r="H935" s="17" t="str">
        <f t="shared" si="42"/>
        <v>Fail</v>
      </c>
      <c r="I935" s="17">
        <v>36.479999999999997</v>
      </c>
      <c r="J935" s="17" t="s">
        <v>2486</v>
      </c>
      <c r="K935" s="17">
        <v>0</v>
      </c>
      <c r="L935" s="17">
        <v>120</v>
      </c>
      <c r="M935" s="18">
        <f>Raw_LIMS_Export!K935</f>
        <v>45813</v>
      </c>
      <c r="N935" s="19" t="s">
        <v>2924</v>
      </c>
    </row>
    <row r="936" spans="1:14" x14ac:dyDescent="0.35">
      <c r="A936" s="16" t="s">
        <v>939</v>
      </c>
      <c r="B936" s="17" t="s">
        <v>2225</v>
      </c>
      <c r="C936" s="17" t="s">
        <v>2458</v>
      </c>
      <c r="D936" s="17" t="str">
        <f>_xlfn.XLOOKUP(Raw_LIMS_Export!E936,'mapping Site table'!$B$4:$B$14,'mapping Site table'!$C$4:$C$14,Raw_LIMS_Export!E936)</f>
        <v>Vernier CH</v>
      </c>
      <c r="E936" s="17" t="s">
        <v>2479</v>
      </c>
      <c r="F936" s="17">
        <f t="shared" si="43"/>
        <v>1</v>
      </c>
      <c r="G936" s="17" t="str">
        <f t="shared" si="44"/>
        <v>Pass</v>
      </c>
      <c r="H936" s="17" t="str">
        <f t="shared" si="42"/>
        <v>Fail</v>
      </c>
      <c r="I936" s="17">
        <v>41.01</v>
      </c>
      <c r="J936" s="17" t="s">
        <v>2486</v>
      </c>
      <c r="K936" s="17">
        <v>0</v>
      </c>
      <c r="L936" s="17">
        <v>120</v>
      </c>
      <c r="M936" s="18">
        <f>Raw_LIMS_Export!K936</f>
        <v>45516</v>
      </c>
      <c r="N936" s="19" t="s">
        <v>2932</v>
      </c>
    </row>
    <row r="937" spans="1:14" x14ac:dyDescent="0.35">
      <c r="A937" s="16" t="s">
        <v>940</v>
      </c>
      <c r="B937" s="17" t="s">
        <v>2211</v>
      </c>
      <c r="C937" s="17" t="s">
        <v>2457</v>
      </c>
      <c r="D937" s="17" t="str">
        <f>_xlfn.XLOOKUP(Raw_LIMS_Export!E937,'mapping Site table'!$B$4:$B$14,'mapping Site table'!$C$4:$C$14,Raw_LIMS_Export!E937)</f>
        <v>Budapest</v>
      </c>
      <c r="E937" s="17" t="s">
        <v>2483</v>
      </c>
      <c r="F937" s="17">
        <f t="shared" si="43"/>
        <v>1</v>
      </c>
      <c r="G937" s="17" t="str">
        <f t="shared" si="44"/>
        <v>Pass</v>
      </c>
      <c r="H937" s="17" t="str">
        <f t="shared" si="42"/>
        <v>Fail</v>
      </c>
      <c r="I937" s="17">
        <v>0.02</v>
      </c>
      <c r="J937" s="17" t="s">
        <v>2489</v>
      </c>
      <c r="K937" s="17">
        <v>0</v>
      </c>
      <c r="L937" s="17">
        <v>1</v>
      </c>
      <c r="M937" s="18">
        <f>Raw_LIMS_Export!K937</f>
        <v>45540</v>
      </c>
      <c r="N937" s="19" t="s">
        <v>2929</v>
      </c>
    </row>
    <row r="938" spans="1:14" x14ac:dyDescent="0.35">
      <c r="A938" s="16" t="s">
        <v>941</v>
      </c>
      <c r="B938" s="17" t="s">
        <v>2166</v>
      </c>
      <c r="C938" s="17" t="s">
        <v>2459</v>
      </c>
      <c r="D938" s="17" t="str">
        <f>_xlfn.XLOOKUP(Raw_LIMS_Export!E938,'mapping Site table'!$B$4:$B$14,'mapping Site table'!$C$4:$C$14,Raw_LIMS_Export!E938)</f>
        <v>Dortmund DE</v>
      </c>
      <c r="E938" s="17" t="s">
        <v>2482</v>
      </c>
      <c r="F938" s="17">
        <f t="shared" si="43"/>
        <v>1</v>
      </c>
      <c r="G938" s="17" t="str">
        <f t="shared" si="44"/>
        <v>Pass</v>
      </c>
      <c r="H938" s="17" t="str">
        <f t="shared" si="42"/>
        <v>Pass</v>
      </c>
      <c r="I938" s="17">
        <v>98.9</v>
      </c>
      <c r="J938" s="17" t="s">
        <v>2489</v>
      </c>
      <c r="K938" s="17">
        <v>97</v>
      </c>
      <c r="L938" s="17">
        <v>100</v>
      </c>
      <c r="M938" s="18">
        <f>Raw_LIMS_Export!K938</f>
        <v>45970</v>
      </c>
      <c r="N938" s="19" t="s">
        <v>2931</v>
      </c>
    </row>
    <row r="939" spans="1:14" x14ac:dyDescent="0.35">
      <c r="A939" s="16" t="s">
        <v>942</v>
      </c>
      <c r="B939" s="17" t="s">
        <v>2308</v>
      </c>
      <c r="C939" s="17" t="s">
        <v>2457</v>
      </c>
      <c r="D939" s="17" t="str">
        <f>_xlfn.XLOOKUP(Raw_LIMS_Export!E939,'mapping Site table'!$B$4:$B$14,'mapping Site table'!$C$4:$C$14,Raw_LIMS_Export!E939)</f>
        <v>Budapest</v>
      </c>
      <c r="E939" s="17" t="s">
        <v>2481</v>
      </c>
      <c r="F939" s="17">
        <f t="shared" si="43"/>
        <v>1</v>
      </c>
      <c r="G939" s="17" t="str">
        <f t="shared" si="44"/>
        <v>Pass</v>
      </c>
      <c r="H939" s="17" t="str">
        <f t="shared" si="42"/>
        <v>Pass</v>
      </c>
      <c r="I939" s="17">
        <v>249.31</v>
      </c>
      <c r="J939" s="17" t="s">
        <v>2488</v>
      </c>
      <c r="K939" s="17">
        <v>150</v>
      </c>
      <c r="L939" s="17">
        <v>400</v>
      </c>
      <c r="M939" s="18">
        <f>Raw_LIMS_Export!K939</f>
        <v>45797</v>
      </c>
      <c r="N939" s="19" t="s">
        <v>2932</v>
      </c>
    </row>
    <row r="940" spans="1:14" x14ac:dyDescent="0.35">
      <c r="A940" s="16" t="s">
        <v>943</v>
      </c>
      <c r="B940" s="17" t="s">
        <v>2354</v>
      </c>
      <c r="C940" s="17" t="s">
        <v>2458</v>
      </c>
      <c r="D940" s="17" t="str">
        <f>_xlfn.XLOOKUP(Raw_LIMS_Export!E940,'mapping Site table'!$B$4:$B$14,'mapping Site table'!$C$4:$C$14,Raw_LIMS_Export!E940)</f>
        <v>Budapest</v>
      </c>
      <c r="E940" s="17" t="s">
        <v>2485</v>
      </c>
      <c r="F940" s="17">
        <f t="shared" si="43"/>
        <v>1</v>
      </c>
      <c r="G940" s="17" t="str">
        <f t="shared" si="44"/>
        <v>Pass</v>
      </c>
      <c r="H940" s="17" t="str">
        <f t="shared" si="42"/>
        <v>Pending</v>
      </c>
      <c r="I940" s="17">
        <v>66.73</v>
      </c>
      <c r="J940" s="17" t="s">
        <v>2490</v>
      </c>
      <c r="K940" s="17">
        <v>0</v>
      </c>
      <c r="L940" s="17">
        <v>100</v>
      </c>
      <c r="M940" s="18">
        <f>Raw_LIMS_Export!K940</f>
        <v>45587</v>
      </c>
      <c r="N940" s="19" t="s">
        <v>2930</v>
      </c>
    </row>
    <row r="941" spans="1:14" x14ac:dyDescent="0.35">
      <c r="A941" s="16" t="s">
        <v>944</v>
      </c>
      <c r="B941" s="17" t="s">
        <v>2025</v>
      </c>
      <c r="C941" s="17" t="s">
        <v>2458</v>
      </c>
      <c r="D941" s="17" t="str">
        <f>_xlfn.XLOOKUP(Raw_LIMS_Export!E941,'mapping Site table'!$B$4:$B$14,'mapping Site table'!$C$4:$C$14,Raw_LIMS_Export!E941)</f>
        <v>East Hanover</v>
      </c>
      <c r="E941" s="17" t="s">
        <v>2480</v>
      </c>
      <c r="F941" s="17">
        <f t="shared" si="43"/>
        <v>1</v>
      </c>
      <c r="G941" s="17" t="str">
        <f t="shared" si="44"/>
        <v>Fail</v>
      </c>
      <c r="H941" s="17" t="str">
        <f t="shared" si="42"/>
        <v>Fail</v>
      </c>
      <c r="I941" s="17">
        <v>0.87</v>
      </c>
      <c r="J941" s="17" t="s">
        <v>2487</v>
      </c>
      <c r="K941" s="17">
        <v>0.88</v>
      </c>
      <c r="L941" s="17">
        <v>0.97</v>
      </c>
      <c r="M941" s="18">
        <f>Raw_LIMS_Export!K941</f>
        <v>45351</v>
      </c>
      <c r="N941" s="19" t="s">
        <v>2924</v>
      </c>
    </row>
    <row r="942" spans="1:14" x14ac:dyDescent="0.35">
      <c r="A942" s="16" t="s">
        <v>945</v>
      </c>
      <c r="B942" s="17" t="s">
        <v>2434</v>
      </c>
      <c r="C942" s="17" t="s">
        <v>2461</v>
      </c>
      <c r="D942" s="17" t="str">
        <f>_xlfn.XLOOKUP(Raw_LIMS_Export!E942,'mapping Site table'!$B$4:$B$14,'mapping Site table'!$C$4:$C$14,Raw_LIMS_Export!E942)</f>
        <v>Vernier CH</v>
      </c>
      <c r="E942" s="17" t="s">
        <v>2481</v>
      </c>
      <c r="F942" s="17">
        <f t="shared" si="43"/>
        <v>1</v>
      </c>
      <c r="G942" s="17" t="str">
        <f t="shared" si="44"/>
        <v>Pass</v>
      </c>
      <c r="H942" s="17" t="str">
        <f t="shared" si="42"/>
        <v>Pending</v>
      </c>
      <c r="I942" s="17">
        <v>232.07</v>
      </c>
      <c r="J942" s="17" t="s">
        <v>2488</v>
      </c>
      <c r="K942" s="17">
        <v>150</v>
      </c>
      <c r="L942" s="17">
        <v>400</v>
      </c>
      <c r="M942" s="18">
        <f>Raw_LIMS_Export!K942</f>
        <v>45506</v>
      </c>
      <c r="N942" s="19" t="s">
        <v>2928</v>
      </c>
    </row>
    <row r="943" spans="1:14" x14ac:dyDescent="0.35">
      <c r="A943" s="16" t="s">
        <v>946</v>
      </c>
      <c r="B943" s="17" t="s">
        <v>2164</v>
      </c>
      <c r="C943" s="17" t="s">
        <v>2460</v>
      </c>
      <c r="D943" s="17" t="str">
        <f>_xlfn.XLOOKUP(Raw_LIMS_Export!E943,'mapping Site table'!$B$4:$B$14,'mapping Site table'!$C$4:$C$14,Raw_LIMS_Export!E943)</f>
        <v>Ashford UK</v>
      </c>
      <c r="E943" s="17" t="s">
        <v>2481</v>
      </c>
      <c r="F943" s="17">
        <f t="shared" si="43"/>
        <v>1</v>
      </c>
      <c r="G943" s="17" t="str">
        <f t="shared" si="44"/>
        <v>Pass</v>
      </c>
      <c r="H943" s="17" t="str">
        <f t="shared" si="42"/>
        <v>Fail</v>
      </c>
      <c r="I943" s="17">
        <v>202.3</v>
      </c>
      <c r="J943" s="17" t="s">
        <v>2488</v>
      </c>
      <c r="K943" s="17">
        <v>150</v>
      </c>
      <c r="L943" s="17">
        <v>400</v>
      </c>
      <c r="M943" s="18">
        <f>Raw_LIMS_Export!K943</f>
        <v>45912</v>
      </c>
      <c r="N943" s="19" t="s">
        <v>2924</v>
      </c>
    </row>
    <row r="944" spans="1:14" x14ac:dyDescent="0.35">
      <c r="A944" s="16" t="s">
        <v>947</v>
      </c>
      <c r="B944" s="17" t="s">
        <v>2089</v>
      </c>
      <c r="C944" s="17" t="s">
        <v>2460</v>
      </c>
      <c r="D944" s="17" t="str">
        <f>_xlfn.XLOOKUP(Raw_LIMS_Export!E944,'mapping Site table'!$B$4:$B$14,'mapping Site table'!$C$4:$C$14,Raw_LIMS_Export!E944)</f>
        <v>Budapest</v>
      </c>
      <c r="E944" s="17" t="s">
        <v>2482</v>
      </c>
      <c r="F944" s="17">
        <f t="shared" si="43"/>
        <v>1</v>
      </c>
      <c r="G944" s="17" t="str">
        <f t="shared" si="44"/>
        <v>Pass</v>
      </c>
      <c r="H944" s="17" t="str">
        <f t="shared" si="42"/>
        <v>Pass</v>
      </c>
      <c r="I944" s="17">
        <v>98.61</v>
      </c>
      <c r="J944" s="17" t="s">
        <v>2489</v>
      </c>
      <c r="K944" s="17">
        <v>97</v>
      </c>
      <c r="L944" s="17">
        <v>100</v>
      </c>
      <c r="M944" s="18">
        <f>Raw_LIMS_Export!K944</f>
        <v>45789</v>
      </c>
      <c r="N944" s="19" t="s">
        <v>2923</v>
      </c>
    </row>
    <row r="945" spans="1:14" x14ac:dyDescent="0.35">
      <c r="A945" s="16" t="s">
        <v>948</v>
      </c>
      <c r="B945" s="17" t="s">
        <v>2389</v>
      </c>
      <c r="C945" s="17" t="s">
        <v>2460</v>
      </c>
      <c r="D945" s="17" t="str">
        <f>_xlfn.XLOOKUP(Raw_LIMS_Export!E945,'mapping Site table'!$B$4:$B$14,'mapping Site table'!$C$4:$C$14,Raw_LIMS_Export!E945)</f>
        <v>Dortmund DE</v>
      </c>
      <c r="E945" s="17" t="s">
        <v>2481</v>
      </c>
      <c r="F945" s="17">
        <f t="shared" si="43"/>
        <v>1</v>
      </c>
      <c r="G945" s="17" t="str">
        <f t="shared" si="44"/>
        <v>Pass</v>
      </c>
      <c r="H945" s="17" t="str">
        <f t="shared" si="42"/>
        <v>Pass</v>
      </c>
      <c r="I945" s="17">
        <v>150</v>
      </c>
      <c r="J945" s="17" t="s">
        <v>2488</v>
      </c>
      <c r="K945" s="17">
        <v>150</v>
      </c>
      <c r="L945" s="17">
        <v>400</v>
      </c>
      <c r="M945" s="18">
        <f>Raw_LIMS_Export!K945</f>
        <v>45546</v>
      </c>
      <c r="N945" s="19" t="s">
        <v>2930</v>
      </c>
    </row>
    <row r="946" spans="1:14" x14ac:dyDescent="0.35">
      <c r="A946" s="16" t="s">
        <v>949</v>
      </c>
      <c r="B946" s="17" t="s">
        <v>2093</v>
      </c>
      <c r="C946" s="17" t="s">
        <v>2459</v>
      </c>
      <c r="D946" s="17" t="str">
        <f>_xlfn.XLOOKUP(Raw_LIMS_Export!E946,'mapping Site table'!$B$4:$B$14,'mapping Site table'!$C$4:$C$14,Raw_LIMS_Export!E946)</f>
        <v>East Hanover</v>
      </c>
      <c r="E946" s="17" t="s">
        <v>2479</v>
      </c>
      <c r="F946" s="17">
        <f t="shared" si="43"/>
        <v>1</v>
      </c>
      <c r="G946" s="17" t="str">
        <f t="shared" si="44"/>
        <v>Fail</v>
      </c>
      <c r="H946" s="17" t="str">
        <f t="shared" si="42"/>
        <v>Fail</v>
      </c>
      <c r="I946" s="17">
        <v>-60</v>
      </c>
      <c r="J946" s="17" t="s">
        <v>2486</v>
      </c>
      <c r="K946" s="17">
        <v>0</v>
      </c>
      <c r="L946" s="17">
        <v>120</v>
      </c>
      <c r="M946" s="18">
        <f>Raw_LIMS_Export!K946</f>
        <v>45542</v>
      </c>
      <c r="N946" s="19" t="s">
        <v>2932</v>
      </c>
    </row>
    <row r="947" spans="1:14" x14ac:dyDescent="0.35">
      <c r="A947" s="16" t="s">
        <v>950</v>
      </c>
      <c r="B947" s="17" t="s">
        <v>2045</v>
      </c>
      <c r="C947" s="17" t="s">
        <v>2457</v>
      </c>
      <c r="D947" s="17" t="str">
        <f>_xlfn.XLOOKUP(Raw_LIMS_Export!E947,'mapping Site table'!$B$4:$B$14,'mapping Site table'!$C$4:$C$14,Raw_LIMS_Export!E947)</f>
        <v>Budapest</v>
      </c>
      <c r="E947" s="17" t="s">
        <v>2480</v>
      </c>
      <c r="F947" s="17">
        <f t="shared" si="43"/>
        <v>1</v>
      </c>
      <c r="G947" s="17" t="str">
        <f t="shared" si="44"/>
        <v>Pass</v>
      </c>
      <c r="H947" s="17" t="str">
        <f t="shared" si="42"/>
        <v>Pass</v>
      </c>
      <c r="I947" s="17">
        <v>0.9</v>
      </c>
      <c r="J947" s="17" t="s">
        <v>2487</v>
      </c>
      <c r="K947" s="17">
        <v>0.88</v>
      </c>
      <c r="L947" s="17">
        <v>0.97</v>
      </c>
      <c r="M947" s="18">
        <f>Raw_LIMS_Export!K947</f>
        <v>45655</v>
      </c>
      <c r="N947" s="19" t="s">
        <v>2929</v>
      </c>
    </row>
    <row r="948" spans="1:14" x14ac:dyDescent="0.35">
      <c r="A948" s="16" t="s">
        <v>951</v>
      </c>
      <c r="B948" s="17" t="s">
        <v>2102</v>
      </c>
      <c r="C948" s="17" t="s">
        <v>2461</v>
      </c>
      <c r="D948" s="17" t="str">
        <f>_xlfn.XLOOKUP(Raw_LIMS_Export!E948,'mapping Site table'!$B$4:$B$14,'mapping Site table'!$C$4:$C$14,Raw_LIMS_Export!E948)</f>
        <v>Vernier CH</v>
      </c>
      <c r="E948" s="17" t="s">
        <v>2485</v>
      </c>
      <c r="F948" s="17">
        <f t="shared" si="43"/>
        <v>1</v>
      </c>
      <c r="G948" s="17" t="str">
        <f t="shared" si="44"/>
        <v>Pass</v>
      </c>
      <c r="H948" s="17" t="str">
        <f t="shared" si="42"/>
        <v>Pass</v>
      </c>
      <c r="I948" s="17">
        <v>4.17</v>
      </c>
      <c r="J948" s="17" t="s">
        <v>2490</v>
      </c>
      <c r="K948" s="17">
        <v>0</v>
      </c>
      <c r="L948" s="17">
        <v>100</v>
      </c>
      <c r="M948" s="18">
        <f>Raw_LIMS_Export!K948</f>
        <v>45959</v>
      </c>
      <c r="N948" s="19" t="s">
        <v>2924</v>
      </c>
    </row>
    <row r="949" spans="1:14" x14ac:dyDescent="0.35">
      <c r="A949" s="16" t="s">
        <v>952</v>
      </c>
      <c r="B949" s="17" t="s">
        <v>2125</v>
      </c>
      <c r="C949" s="17" t="s">
        <v>2460</v>
      </c>
      <c r="D949" s="17" t="str">
        <f>_xlfn.XLOOKUP(Raw_LIMS_Export!E949,'mapping Site table'!$B$4:$B$14,'mapping Site table'!$C$4:$C$14,Raw_LIMS_Export!E949)</f>
        <v>Budapest</v>
      </c>
      <c r="E949" s="17" t="s">
        <v>2480</v>
      </c>
      <c r="F949" s="17">
        <f t="shared" si="43"/>
        <v>1</v>
      </c>
      <c r="G949" s="17" t="str">
        <f t="shared" si="44"/>
        <v>Pass</v>
      </c>
      <c r="H949" s="17" t="str">
        <f t="shared" si="42"/>
        <v>Pass</v>
      </c>
      <c r="I949" s="17">
        <v>0.91</v>
      </c>
      <c r="J949" s="17" t="s">
        <v>2487</v>
      </c>
      <c r="K949" s="17">
        <v>0.88</v>
      </c>
      <c r="L949" s="17">
        <v>0.97</v>
      </c>
      <c r="M949" s="18">
        <f>Raw_LIMS_Export!K949</f>
        <v>45544</v>
      </c>
      <c r="N949" s="19" t="s">
        <v>2923</v>
      </c>
    </row>
    <row r="950" spans="1:14" x14ac:dyDescent="0.35">
      <c r="A950" s="16" t="s">
        <v>953</v>
      </c>
      <c r="B950" s="17" t="s">
        <v>2435</v>
      </c>
      <c r="C950" s="17" t="s">
        <v>2460</v>
      </c>
      <c r="D950" s="17" t="str">
        <f>_xlfn.XLOOKUP(Raw_LIMS_Export!E950,'mapping Site table'!$B$4:$B$14,'mapping Site table'!$C$4:$C$14,Raw_LIMS_Export!E950)</f>
        <v>Ashford UK</v>
      </c>
      <c r="E950" s="17" t="s">
        <v>2483</v>
      </c>
      <c r="F950" s="17">
        <f t="shared" si="43"/>
        <v>1</v>
      </c>
      <c r="G950" s="17" t="str">
        <f t="shared" si="44"/>
        <v>Pass</v>
      </c>
      <c r="H950" s="17" t="str">
        <f t="shared" si="42"/>
        <v>Pass</v>
      </c>
      <c r="I950" s="17">
        <v>0.36</v>
      </c>
      <c r="J950" s="17" t="s">
        <v>2489</v>
      </c>
      <c r="K950" s="17">
        <v>0</v>
      </c>
      <c r="L950" s="17">
        <v>1</v>
      </c>
      <c r="M950" s="18">
        <f>Raw_LIMS_Export!K950</f>
        <v>45806</v>
      </c>
      <c r="N950" s="19" t="s">
        <v>2926</v>
      </c>
    </row>
    <row r="951" spans="1:14" x14ac:dyDescent="0.35">
      <c r="A951" s="16" t="s">
        <v>954</v>
      </c>
      <c r="B951" s="17" t="s">
        <v>2309</v>
      </c>
      <c r="C951" s="17" t="s">
        <v>2457</v>
      </c>
      <c r="D951" s="17" t="str">
        <f>_xlfn.XLOOKUP(Raw_LIMS_Export!E951,'mapping Site table'!$B$4:$B$14,'mapping Site table'!$C$4:$C$14,Raw_LIMS_Export!E951)</f>
        <v>Budapest</v>
      </c>
      <c r="E951" s="17" t="s">
        <v>2484</v>
      </c>
      <c r="F951" s="17">
        <f t="shared" si="43"/>
        <v>1</v>
      </c>
      <c r="G951" s="17" t="str">
        <f t="shared" si="44"/>
        <v>Pass</v>
      </c>
      <c r="H951" s="17" t="str">
        <f t="shared" si="42"/>
        <v>Fail</v>
      </c>
      <c r="I951" s="17">
        <v>6.73</v>
      </c>
      <c r="J951" s="17"/>
      <c r="K951" s="17">
        <v>6</v>
      </c>
      <c r="L951" s="17">
        <v>7.5</v>
      </c>
      <c r="M951" s="18">
        <f>Raw_LIMS_Export!K951</f>
        <v>45826</v>
      </c>
      <c r="N951" s="19" t="s">
        <v>2926</v>
      </c>
    </row>
    <row r="952" spans="1:14" x14ac:dyDescent="0.35">
      <c r="A952" s="16" t="s">
        <v>955</v>
      </c>
      <c r="B952" s="17" t="s">
        <v>2272</v>
      </c>
      <c r="C952" s="17" t="s">
        <v>2459</v>
      </c>
      <c r="D952" s="17" t="str">
        <f>_xlfn.XLOOKUP(Raw_LIMS_Export!E952,'mapping Site table'!$B$4:$B$14,'mapping Site table'!$C$4:$C$14,Raw_LIMS_Export!E952)</f>
        <v>Ashford UK</v>
      </c>
      <c r="E952" s="17" t="s">
        <v>2479</v>
      </c>
      <c r="F952" s="17">
        <f t="shared" si="43"/>
        <v>1</v>
      </c>
      <c r="G952" s="17" t="str">
        <f t="shared" si="44"/>
        <v>Pass</v>
      </c>
      <c r="H952" s="17" t="str">
        <f t="shared" si="42"/>
        <v>Pass</v>
      </c>
      <c r="I952" s="17">
        <v>50.13</v>
      </c>
      <c r="J952" s="17" t="s">
        <v>2486</v>
      </c>
      <c r="K952" s="17">
        <v>0</v>
      </c>
      <c r="L952" s="17">
        <v>120</v>
      </c>
      <c r="M952" s="18">
        <f>Raw_LIMS_Export!K952</f>
        <v>45680</v>
      </c>
      <c r="N952" s="19" t="s">
        <v>2926</v>
      </c>
    </row>
    <row r="953" spans="1:14" x14ac:dyDescent="0.35">
      <c r="A953" s="16" t="s">
        <v>956</v>
      </c>
      <c r="B953" s="17" t="s">
        <v>2317</v>
      </c>
      <c r="C953" s="17" t="s">
        <v>2457</v>
      </c>
      <c r="D953" s="17" t="str">
        <f>_xlfn.XLOOKUP(Raw_LIMS_Export!E953,'mapping Site table'!$B$4:$B$14,'mapping Site table'!$C$4:$C$14,Raw_LIMS_Export!E953)</f>
        <v>East Hanover</v>
      </c>
      <c r="E953" s="17" t="s">
        <v>2485</v>
      </c>
      <c r="F953" s="17">
        <f t="shared" si="43"/>
        <v>1</v>
      </c>
      <c r="G953" s="17" t="str">
        <f t="shared" si="44"/>
        <v>Fail</v>
      </c>
      <c r="H953" s="17" t="str">
        <f t="shared" si="42"/>
        <v>Fail</v>
      </c>
      <c r="I953" s="17">
        <v>175</v>
      </c>
      <c r="J953" s="17" t="s">
        <v>2490</v>
      </c>
      <c r="K953" s="17">
        <v>0</v>
      </c>
      <c r="L953" s="17">
        <v>100</v>
      </c>
      <c r="M953" s="18">
        <f>Raw_LIMS_Export!K953</f>
        <v>45786</v>
      </c>
      <c r="N953" s="19" t="s">
        <v>2931</v>
      </c>
    </row>
    <row r="954" spans="1:14" x14ac:dyDescent="0.35">
      <c r="A954" s="16" t="s">
        <v>957</v>
      </c>
      <c r="B954" s="17" t="s">
        <v>2016</v>
      </c>
      <c r="C954" s="17" t="s">
        <v>2458</v>
      </c>
      <c r="D954" s="17" t="str">
        <f>_xlfn.XLOOKUP(Raw_LIMS_Export!E954,'mapping Site table'!$B$4:$B$14,'mapping Site table'!$C$4:$C$14,Raw_LIMS_Export!E954)</f>
        <v>Ashford UK</v>
      </c>
      <c r="E954" s="17" t="s">
        <v>2480</v>
      </c>
      <c r="F954" s="17">
        <f t="shared" si="43"/>
        <v>1</v>
      </c>
      <c r="G954" s="17" t="str">
        <f t="shared" si="44"/>
        <v>Pass</v>
      </c>
      <c r="H954" s="17" t="str">
        <f t="shared" si="42"/>
        <v>Pass</v>
      </c>
      <c r="I954" s="17">
        <v>0.93</v>
      </c>
      <c r="J954" s="17" t="s">
        <v>2487</v>
      </c>
      <c r="K954" s="17">
        <v>0.88</v>
      </c>
      <c r="L954" s="17">
        <v>0.97</v>
      </c>
      <c r="M954" s="18">
        <f>Raw_LIMS_Export!K954</f>
        <v>45446</v>
      </c>
      <c r="N954" s="19" t="s">
        <v>2925</v>
      </c>
    </row>
    <row r="955" spans="1:14" x14ac:dyDescent="0.35">
      <c r="A955" s="16" t="s">
        <v>958</v>
      </c>
      <c r="B955" s="17" t="s">
        <v>2016</v>
      </c>
      <c r="C955" s="17" t="s">
        <v>2458</v>
      </c>
      <c r="D955" s="17" t="str">
        <f>_xlfn.XLOOKUP(Raw_LIMS_Export!E955,'mapping Site table'!$B$4:$B$14,'mapping Site table'!$C$4:$C$14,Raw_LIMS_Export!E955)</f>
        <v>Ashford UK</v>
      </c>
      <c r="E955" s="17" t="s">
        <v>2484</v>
      </c>
      <c r="F955" s="17">
        <f t="shared" si="43"/>
        <v>1</v>
      </c>
      <c r="G955" s="17" t="str">
        <f t="shared" si="44"/>
        <v>Pass</v>
      </c>
      <c r="H955" s="17" t="str">
        <f t="shared" si="42"/>
        <v>Pass</v>
      </c>
      <c r="I955" s="17">
        <v>6.8</v>
      </c>
      <c r="J955" s="17"/>
      <c r="K955" s="17">
        <v>6</v>
      </c>
      <c r="L955" s="17">
        <v>7.5</v>
      </c>
      <c r="M955" s="18">
        <f>Raw_LIMS_Export!K955</f>
        <v>45446</v>
      </c>
      <c r="N955" s="19" t="s">
        <v>2926</v>
      </c>
    </row>
    <row r="956" spans="1:14" x14ac:dyDescent="0.35">
      <c r="A956" s="16" t="s">
        <v>959</v>
      </c>
      <c r="B956" s="17" t="s">
        <v>2242</v>
      </c>
      <c r="C956" s="17" t="s">
        <v>2460</v>
      </c>
      <c r="D956" s="17" t="str">
        <f>_xlfn.XLOOKUP(Raw_LIMS_Export!E956,'mapping Site table'!$B$4:$B$14,'mapping Site table'!$C$4:$C$14,Raw_LIMS_Export!E956)</f>
        <v>Budapest</v>
      </c>
      <c r="E956" s="17" t="s">
        <v>2483</v>
      </c>
      <c r="F956" s="17">
        <f t="shared" si="43"/>
        <v>1</v>
      </c>
      <c r="G956" s="17" t="str">
        <f t="shared" si="44"/>
        <v>Pass</v>
      </c>
      <c r="H956" s="17" t="str">
        <f t="shared" si="42"/>
        <v>Pass</v>
      </c>
      <c r="I956" s="17">
        <v>0.24</v>
      </c>
      <c r="J956" s="17" t="s">
        <v>2489</v>
      </c>
      <c r="K956" s="17">
        <v>0</v>
      </c>
      <c r="L956" s="17">
        <v>1</v>
      </c>
      <c r="M956" s="18">
        <f>Raw_LIMS_Export!K956</f>
        <v>45704</v>
      </c>
      <c r="N956" s="19" t="s">
        <v>2923</v>
      </c>
    </row>
    <row r="957" spans="1:14" x14ac:dyDescent="0.35">
      <c r="A957" s="16" t="s">
        <v>960</v>
      </c>
      <c r="B957" s="17" t="s">
        <v>2021</v>
      </c>
      <c r="C957" s="17" t="s">
        <v>2457</v>
      </c>
      <c r="D957" s="17" t="str">
        <f>_xlfn.XLOOKUP(Raw_LIMS_Export!E957,'mapping Site table'!$B$4:$B$14,'mapping Site table'!$C$4:$C$14,Raw_LIMS_Export!E957)</f>
        <v>East Hanover</v>
      </c>
      <c r="E957" s="17" t="s">
        <v>2481</v>
      </c>
      <c r="F957" s="17">
        <f t="shared" si="43"/>
        <v>1</v>
      </c>
      <c r="G957" s="17" t="str">
        <f t="shared" si="44"/>
        <v>Pass</v>
      </c>
      <c r="H957" s="17" t="str">
        <f t="shared" si="42"/>
        <v>Fail</v>
      </c>
      <c r="I957" s="17">
        <v>269.06</v>
      </c>
      <c r="J957" s="17" t="s">
        <v>2488</v>
      </c>
      <c r="K957" s="17">
        <v>150</v>
      </c>
      <c r="L957" s="17">
        <v>400</v>
      </c>
      <c r="M957" s="18">
        <f>Raw_LIMS_Export!K957</f>
        <v>45577</v>
      </c>
      <c r="N957" s="19" t="s">
        <v>2925</v>
      </c>
    </row>
    <row r="958" spans="1:14" x14ac:dyDescent="0.35">
      <c r="A958" s="16" t="s">
        <v>961</v>
      </c>
      <c r="B958" s="17" t="s">
        <v>2148</v>
      </c>
      <c r="C958" s="17" t="s">
        <v>2460</v>
      </c>
      <c r="D958" s="17" t="str">
        <f>_xlfn.XLOOKUP(Raw_LIMS_Export!E958,'mapping Site table'!$B$4:$B$14,'mapping Site table'!$C$4:$C$14,Raw_LIMS_Export!E958)</f>
        <v>Vernier CH</v>
      </c>
      <c r="E958" s="17" t="s">
        <v>2481</v>
      </c>
      <c r="F958" s="17">
        <f t="shared" si="43"/>
        <v>1</v>
      </c>
      <c r="G958" s="17" t="str">
        <f t="shared" si="44"/>
        <v>Fail</v>
      </c>
      <c r="H958" s="17" t="str">
        <f t="shared" si="42"/>
        <v>Fail</v>
      </c>
      <c r="I958" s="17">
        <v>30</v>
      </c>
      <c r="J958" s="17" t="s">
        <v>2488</v>
      </c>
      <c r="K958" s="17">
        <v>150</v>
      </c>
      <c r="L958" s="17">
        <v>400</v>
      </c>
      <c r="M958" s="18">
        <f>Raw_LIMS_Export!K958</f>
        <v>45840</v>
      </c>
      <c r="N958" s="19" t="s">
        <v>2924</v>
      </c>
    </row>
    <row r="959" spans="1:14" x14ac:dyDescent="0.35">
      <c r="A959" s="16" t="s">
        <v>962</v>
      </c>
      <c r="B959" s="17" t="s">
        <v>2147</v>
      </c>
      <c r="C959" s="17" t="s">
        <v>2458</v>
      </c>
      <c r="D959" s="17" t="str">
        <f>_xlfn.XLOOKUP(Raw_LIMS_Export!E959,'mapping Site table'!$B$4:$B$14,'mapping Site table'!$C$4:$C$14,Raw_LIMS_Export!E959)</f>
        <v>Vernier CH</v>
      </c>
      <c r="E959" s="17" t="s">
        <v>2479</v>
      </c>
      <c r="F959" s="17">
        <f t="shared" si="43"/>
        <v>1</v>
      </c>
      <c r="G959" s="17" t="str">
        <f t="shared" si="44"/>
        <v>Pass</v>
      </c>
      <c r="H959" s="17" t="str">
        <f t="shared" si="42"/>
        <v>Pending</v>
      </c>
      <c r="I959" s="17">
        <v>59.21</v>
      </c>
      <c r="J959" s="17" t="s">
        <v>2486</v>
      </c>
      <c r="K959" s="17">
        <v>0</v>
      </c>
      <c r="L959" s="17">
        <v>120</v>
      </c>
      <c r="M959" s="18">
        <f>Raw_LIMS_Export!K959</f>
        <v>45371</v>
      </c>
      <c r="N959" s="19" t="s">
        <v>2931</v>
      </c>
    </row>
    <row r="960" spans="1:14" x14ac:dyDescent="0.35">
      <c r="A960" s="16" t="s">
        <v>963</v>
      </c>
      <c r="B960" s="17" t="s">
        <v>2100</v>
      </c>
      <c r="C960" s="17" t="s">
        <v>2461</v>
      </c>
      <c r="D960" s="17" t="str">
        <f>_xlfn.XLOOKUP(Raw_LIMS_Export!E960,'mapping Site table'!$B$4:$B$14,'mapping Site table'!$C$4:$C$14,Raw_LIMS_Export!E960)</f>
        <v>Budapest</v>
      </c>
      <c r="E960" s="17" t="s">
        <v>2485</v>
      </c>
      <c r="F960" s="17">
        <f t="shared" si="43"/>
        <v>1</v>
      </c>
      <c r="G960" s="17" t="str">
        <f t="shared" si="44"/>
        <v>Pass</v>
      </c>
      <c r="H960" s="17" t="str">
        <f t="shared" si="42"/>
        <v>Pass</v>
      </c>
      <c r="I960" s="17">
        <v>15.58</v>
      </c>
      <c r="J960" s="17" t="s">
        <v>2490</v>
      </c>
      <c r="K960" s="17">
        <v>0</v>
      </c>
      <c r="L960" s="17">
        <v>100</v>
      </c>
      <c r="M960" s="18">
        <f>Raw_LIMS_Export!K960</f>
        <v>45413</v>
      </c>
      <c r="N960" s="19" t="s">
        <v>2926</v>
      </c>
    </row>
    <row r="961" spans="1:14" x14ac:dyDescent="0.35">
      <c r="A961" s="16" t="s">
        <v>964</v>
      </c>
      <c r="B961" s="17" t="s">
        <v>2184</v>
      </c>
      <c r="C961" s="17" t="s">
        <v>2461</v>
      </c>
      <c r="D961" s="17" t="str">
        <f>_xlfn.XLOOKUP(Raw_LIMS_Export!E961,'mapping Site table'!$B$4:$B$14,'mapping Site table'!$C$4:$C$14,Raw_LIMS_Export!E961)</f>
        <v>Ashford UK</v>
      </c>
      <c r="E961" s="17" t="s">
        <v>2485</v>
      </c>
      <c r="F961" s="17">
        <f t="shared" si="43"/>
        <v>1</v>
      </c>
      <c r="G961" s="17" t="str">
        <f t="shared" si="44"/>
        <v>Pass</v>
      </c>
      <c r="H961" s="17" t="str">
        <f t="shared" si="42"/>
        <v>Pass</v>
      </c>
      <c r="I961" s="17">
        <v>59.38</v>
      </c>
      <c r="J961" s="17" t="s">
        <v>2490</v>
      </c>
      <c r="K961" s="17">
        <v>0</v>
      </c>
      <c r="L961" s="17">
        <v>100</v>
      </c>
      <c r="M961" s="18">
        <f>Raw_LIMS_Export!K961</f>
        <v>45662</v>
      </c>
      <c r="N961" s="19" t="s">
        <v>2926</v>
      </c>
    </row>
    <row r="962" spans="1:14" x14ac:dyDescent="0.35">
      <c r="A962" s="16" t="s">
        <v>965</v>
      </c>
      <c r="B962" s="17" t="s">
        <v>2382</v>
      </c>
      <c r="C962" s="17" t="s">
        <v>2459</v>
      </c>
      <c r="D962" s="17" t="str">
        <f>_xlfn.XLOOKUP(Raw_LIMS_Export!E962,'mapping Site table'!$B$4:$B$14,'mapping Site table'!$C$4:$C$14,Raw_LIMS_Export!E962)</f>
        <v>East Hanover</v>
      </c>
      <c r="E962" s="17" t="s">
        <v>2483</v>
      </c>
      <c r="F962" s="17">
        <f t="shared" si="43"/>
        <v>1</v>
      </c>
      <c r="G962" s="17" t="str">
        <f t="shared" si="44"/>
        <v>Pass</v>
      </c>
      <c r="H962" s="17" t="str">
        <f t="shared" ref="H962:H1025" si="45">IF(COUNTIFS($B$2:$B$2016,B962,$G$2:$G$2016,"Fail")&gt;0,"Fail",
  IF(COUNTIFS($B$2:$B$2016,B962,$G$2:$G$2016,"Missing")&gt;0,"Pending",
    "Pass"))</f>
        <v>Pass</v>
      </c>
      <c r="I962" s="17">
        <v>0.36</v>
      </c>
      <c r="J962" s="17" t="s">
        <v>2489</v>
      </c>
      <c r="K962" s="17">
        <v>0</v>
      </c>
      <c r="L962" s="17">
        <v>1</v>
      </c>
      <c r="M962" s="18">
        <f>Raw_LIMS_Export!K962</f>
        <v>45831</v>
      </c>
      <c r="N962" s="19" t="s">
        <v>2926</v>
      </c>
    </row>
    <row r="963" spans="1:14" x14ac:dyDescent="0.35">
      <c r="A963" s="16" t="s">
        <v>966</v>
      </c>
      <c r="B963" s="17" t="s">
        <v>2356</v>
      </c>
      <c r="C963" s="17" t="s">
        <v>2458</v>
      </c>
      <c r="D963" s="17" t="str">
        <f>_xlfn.XLOOKUP(Raw_LIMS_Export!E963,'mapping Site table'!$B$4:$B$14,'mapping Site table'!$C$4:$C$14,Raw_LIMS_Export!E963)</f>
        <v>East Hanover</v>
      </c>
      <c r="E963" s="17" t="s">
        <v>2480</v>
      </c>
      <c r="F963" s="17">
        <f t="shared" ref="F963:F1026" si="46">IF(I963="",0,1)</f>
        <v>1</v>
      </c>
      <c r="G963" s="17" t="str">
        <f t="shared" ref="G963:G1026" si="47">IF(I963="", "Missing", IF(AND(I963&gt;=K963, I963&lt;=L963), "Pass", "Fail"))</f>
        <v>Pass</v>
      </c>
      <c r="H963" s="17" t="str">
        <f t="shared" si="45"/>
        <v>Pass</v>
      </c>
      <c r="I963" s="17">
        <v>0.94</v>
      </c>
      <c r="J963" s="17" t="s">
        <v>2487</v>
      </c>
      <c r="K963" s="17">
        <v>0.88</v>
      </c>
      <c r="L963" s="17">
        <v>0.97</v>
      </c>
      <c r="M963" s="18">
        <f>Raw_LIMS_Export!K963</f>
        <v>45765</v>
      </c>
      <c r="N963" s="19" t="s">
        <v>2929</v>
      </c>
    </row>
    <row r="964" spans="1:14" x14ac:dyDescent="0.35">
      <c r="A964" s="16" t="s">
        <v>967</v>
      </c>
      <c r="B964" s="17" t="s">
        <v>2436</v>
      </c>
      <c r="C964" s="17" t="s">
        <v>2461</v>
      </c>
      <c r="D964" s="17" t="str">
        <f>_xlfn.XLOOKUP(Raw_LIMS_Export!E964,'mapping Site table'!$B$4:$B$14,'mapping Site table'!$C$4:$C$14,Raw_LIMS_Export!E964)</f>
        <v>Ashford UK</v>
      </c>
      <c r="E964" s="17" t="s">
        <v>2479</v>
      </c>
      <c r="F964" s="17">
        <f t="shared" si="46"/>
        <v>1</v>
      </c>
      <c r="G964" s="17" t="str">
        <f t="shared" si="47"/>
        <v>Pass</v>
      </c>
      <c r="H964" s="17" t="str">
        <f t="shared" si="45"/>
        <v>Fail</v>
      </c>
      <c r="I964" s="17">
        <v>39.64</v>
      </c>
      <c r="J964" s="17" t="s">
        <v>2486</v>
      </c>
      <c r="K964" s="17">
        <v>0</v>
      </c>
      <c r="L964" s="17">
        <v>120</v>
      </c>
      <c r="M964" s="18">
        <f>Raw_LIMS_Export!K964</f>
        <v>45332</v>
      </c>
      <c r="N964" s="19" t="s">
        <v>2932</v>
      </c>
    </row>
    <row r="965" spans="1:14" x14ac:dyDescent="0.35">
      <c r="A965" s="16" t="s">
        <v>968</v>
      </c>
      <c r="B965" s="17" t="s">
        <v>2200</v>
      </c>
      <c r="C965" s="17" t="s">
        <v>2459</v>
      </c>
      <c r="D965" s="17" t="str">
        <f>_xlfn.XLOOKUP(Raw_LIMS_Export!E965,'mapping Site table'!$B$4:$B$14,'mapping Site table'!$C$4:$C$14,Raw_LIMS_Export!E965)</f>
        <v>Vernier CH</v>
      </c>
      <c r="E965" s="17" t="s">
        <v>2482</v>
      </c>
      <c r="F965" s="17">
        <f t="shared" si="46"/>
        <v>1</v>
      </c>
      <c r="G965" s="17" t="str">
        <f t="shared" si="47"/>
        <v>Pass</v>
      </c>
      <c r="H965" s="17" t="str">
        <f t="shared" si="45"/>
        <v>Pass</v>
      </c>
      <c r="I965" s="17">
        <v>98.26</v>
      </c>
      <c r="J965" s="17" t="s">
        <v>2489</v>
      </c>
      <c r="K965" s="17">
        <v>97</v>
      </c>
      <c r="L965" s="17">
        <v>100</v>
      </c>
      <c r="M965" s="18">
        <f>Raw_LIMS_Export!K965</f>
        <v>45499</v>
      </c>
      <c r="N965" s="19" t="s">
        <v>2927</v>
      </c>
    </row>
    <row r="966" spans="1:14" x14ac:dyDescent="0.35">
      <c r="A966" s="16" t="s">
        <v>969</v>
      </c>
      <c r="B966" s="17" t="s">
        <v>2200</v>
      </c>
      <c r="C966" s="17" t="s">
        <v>2459</v>
      </c>
      <c r="D966" s="17" t="str">
        <f>_xlfn.XLOOKUP(Raw_LIMS_Export!E966,'mapping Site table'!$B$4:$B$14,'mapping Site table'!$C$4:$C$14,Raw_LIMS_Export!E966)</f>
        <v>Vernier CH</v>
      </c>
      <c r="E966" s="17" t="s">
        <v>2481</v>
      </c>
      <c r="F966" s="17">
        <f t="shared" si="46"/>
        <v>1</v>
      </c>
      <c r="G966" s="17" t="str">
        <f t="shared" si="47"/>
        <v>Pass</v>
      </c>
      <c r="H966" s="17" t="str">
        <f t="shared" si="45"/>
        <v>Pass</v>
      </c>
      <c r="I966" s="17">
        <v>255.53</v>
      </c>
      <c r="J966" s="17" t="s">
        <v>2488</v>
      </c>
      <c r="K966" s="17">
        <v>150</v>
      </c>
      <c r="L966" s="17">
        <v>400</v>
      </c>
      <c r="M966" s="18">
        <f>Raw_LIMS_Export!K966</f>
        <v>45499</v>
      </c>
      <c r="N966" s="19" t="s">
        <v>2926</v>
      </c>
    </row>
    <row r="967" spans="1:14" x14ac:dyDescent="0.35">
      <c r="A967" s="16" t="s">
        <v>970</v>
      </c>
      <c r="B967" s="17" t="s">
        <v>2381</v>
      </c>
      <c r="C967" s="17" t="s">
        <v>2457</v>
      </c>
      <c r="D967" s="17" t="str">
        <f>_xlfn.XLOOKUP(Raw_LIMS_Export!E967,'mapping Site table'!$B$4:$B$14,'mapping Site table'!$C$4:$C$14,Raw_LIMS_Export!E967)</f>
        <v>Vernier CH</v>
      </c>
      <c r="E967" s="17" t="s">
        <v>2485</v>
      </c>
      <c r="F967" s="17">
        <f t="shared" si="46"/>
        <v>1</v>
      </c>
      <c r="G967" s="17" t="str">
        <f t="shared" si="47"/>
        <v>Pass</v>
      </c>
      <c r="H967" s="17" t="str">
        <f t="shared" si="45"/>
        <v>Pass</v>
      </c>
      <c r="I967" s="17">
        <v>12.73</v>
      </c>
      <c r="J967" s="17" t="s">
        <v>2490</v>
      </c>
      <c r="K967" s="17">
        <v>0</v>
      </c>
      <c r="L967" s="17">
        <v>100</v>
      </c>
      <c r="M967" s="18">
        <f>Raw_LIMS_Export!K967</f>
        <v>45355</v>
      </c>
      <c r="N967" s="19" t="s">
        <v>2924</v>
      </c>
    </row>
    <row r="968" spans="1:14" x14ac:dyDescent="0.35">
      <c r="A968" s="16" t="s">
        <v>971</v>
      </c>
      <c r="B968" s="17" t="s">
        <v>2253</v>
      </c>
      <c r="C968" s="17" t="s">
        <v>2461</v>
      </c>
      <c r="D968" s="17" t="str">
        <f>_xlfn.XLOOKUP(Raw_LIMS_Export!E968,'mapping Site table'!$B$4:$B$14,'mapping Site table'!$C$4:$C$14,Raw_LIMS_Export!E968)</f>
        <v>Dortmund DE</v>
      </c>
      <c r="E968" s="17" t="s">
        <v>2480</v>
      </c>
      <c r="F968" s="17">
        <f t="shared" si="46"/>
        <v>1</v>
      </c>
      <c r="G968" s="17" t="str">
        <f t="shared" si="47"/>
        <v>Pass</v>
      </c>
      <c r="H968" s="17" t="str">
        <f t="shared" si="45"/>
        <v>Fail</v>
      </c>
      <c r="I968" s="17">
        <v>0.93</v>
      </c>
      <c r="J968" s="17" t="s">
        <v>2487</v>
      </c>
      <c r="K968" s="17">
        <v>0.88</v>
      </c>
      <c r="L968" s="17">
        <v>0.97</v>
      </c>
      <c r="M968" s="18">
        <f>Raw_LIMS_Export!K968</f>
        <v>45388</v>
      </c>
      <c r="N968" s="19" t="s">
        <v>2925</v>
      </c>
    </row>
    <row r="969" spans="1:14" x14ac:dyDescent="0.35">
      <c r="A969" s="16" t="s">
        <v>972</v>
      </c>
      <c r="B969" s="17" t="s">
        <v>2384</v>
      </c>
      <c r="C969" s="17" t="s">
        <v>2460</v>
      </c>
      <c r="D969" s="17" t="str">
        <f>_xlfn.XLOOKUP(Raw_LIMS_Export!E969,'mapping Site table'!$B$4:$B$14,'mapping Site table'!$C$4:$C$14,Raw_LIMS_Export!E969)</f>
        <v>Budapest</v>
      </c>
      <c r="E969" s="17" t="s">
        <v>2479</v>
      </c>
      <c r="F969" s="17">
        <f t="shared" si="46"/>
        <v>1</v>
      </c>
      <c r="G969" s="17" t="str">
        <f t="shared" si="47"/>
        <v>Pass</v>
      </c>
      <c r="H969" s="17" t="str">
        <f t="shared" si="45"/>
        <v>Pass</v>
      </c>
      <c r="I969" s="17">
        <v>69.010000000000005</v>
      </c>
      <c r="J969" s="17" t="s">
        <v>2486</v>
      </c>
      <c r="K969" s="17">
        <v>0</v>
      </c>
      <c r="L969" s="17">
        <v>120</v>
      </c>
      <c r="M969" s="18">
        <f>Raw_LIMS_Export!K969</f>
        <v>45554</v>
      </c>
      <c r="N969" s="19" t="s">
        <v>2924</v>
      </c>
    </row>
    <row r="970" spans="1:14" x14ac:dyDescent="0.35">
      <c r="A970" s="16" t="s">
        <v>973</v>
      </c>
      <c r="B970" s="17" t="s">
        <v>2190</v>
      </c>
      <c r="C970" s="17" t="s">
        <v>2458</v>
      </c>
      <c r="D970" s="17" t="str">
        <f>_xlfn.XLOOKUP(Raw_LIMS_Export!E970,'mapping Site table'!$B$4:$B$14,'mapping Site table'!$C$4:$C$14,Raw_LIMS_Export!E970)</f>
        <v>East Hanover</v>
      </c>
      <c r="E970" s="17" t="s">
        <v>2479</v>
      </c>
      <c r="F970" s="17">
        <f t="shared" si="46"/>
        <v>1</v>
      </c>
      <c r="G970" s="17" t="str">
        <f t="shared" si="47"/>
        <v>Pass</v>
      </c>
      <c r="H970" s="17" t="str">
        <f t="shared" si="45"/>
        <v>Pass</v>
      </c>
      <c r="I970" s="17">
        <v>43.87</v>
      </c>
      <c r="J970" s="17" t="s">
        <v>2486</v>
      </c>
      <c r="K970" s="17">
        <v>0</v>
      </c>
      <c r="L970" s="17">
        <v>120</v>
      </c>
      <c r="M970" s="18">
        <f>Raw_LIMS_Export!K970</f>
        <v>45428</v>
      </c>
      <c r="N970" s="19" t="s">
        <v>2923</v>
      </c>
    </row>
    <row r="971" spans="1:14" x14ac:dyDescent="0.35">
      <c r="A971" s="16" t="s">
        <v>974</v>
      </c>
      <c r="B971" s="17" t="s">
        <v>2299</v>
      </c>
      <c r="C971" s="17" t="s">
        <v>2459</v>
      </c>
      <c r="D971" s="17" t="str">
        <f>_xlfn.XLOOKUP(Raw_LIMS_Export!E971,'mapping Site table'!$B$4:$B$14,'mapping Site table'!$C$4:$C$14,Raw_LIMS_Export!E971)</f>
        <v>Ashford UK</v>
      </c>
      <c r="E971" s="17" t="s">
        <v>2484</v>
      </c>
      <c r="F971" s="17">
        <f t="shared" si="46"/>
        <v>1</v>
      </c>
      <c r="G971" s="17" t="str">
        <f t="shared" si="47"/>
        <v>Fail</v>
      </c>
      <c r="H971" s="17" t="str">
        <f t="shared" si="45"/>
        <v>Fail</v>
      </c>
      <c r="I971" s="17">
        <v>7.55</v>
      </c>
      <c r="J971" s="17"/>
      <c r="K971" s="17">
        <v>6</v>
      </c>
      <c r="L971" s="17">
        <v>7.5</v>
      </c>
      <c r="M971" s="18">
        <f>Raw_LIMS_Export!K971</f>
        <v>45508</v>
      </c>
      <c r="N971" s="19" t="s">
        <v>2929</v>
      </c>
    </row>
    <row r="972" spans="1:14" x14ac:dyDescent="0.35">
      <c r="A972" s="16" t="s">
        <v>975</v>
      </c>
      <c r="B972" s="17" t="s">
        <v>2437</v>
      </c>
      <c r="C972" s="17" t="s">
        <v>2457</v>
      </c>
      <c r="D972" s="17" t="str">
        <f>_xlfn.XLOOKUP(Raw_LIMS_Export!E972,'mapping Site table'!$B$4:$B$14,'mapping Site table'!$C$4:$C$14,Raw_LIMS_Export!E972)</f>
        <v>Dortmund DE</v>
      </c>
      <c r="E972" s="17" t="s">
        <v>2485</v>
      </c>
      <c r="F972" s="17">
        <f t="shared" si="46"/>
        <v>1</v>
      </c>
      <c r="G972" s="17" t="str">
        <f t="shared" si="47"/>
        <v>Fail</v>
      </c>
      <c r="H972" s="17" t="str">
        <f t="shared" si="45"/>
        <v>Fail</v>
      </c>
      <c r="I972" s="17">
        <v>-28.37</v>
      </c>
      <c r="J972" s="17" t="s">
        <v>2490</v>
      </c>
      <c r="K972" s="17">
        <v>0</v>
      </c>
      <c r="L972" s="17">
        <v>100</v>
      </c>
      <c r="M972" s="18">
        <f>Raw_LIMS_Export!K972</f>
        <v>45366</v>
      </c>
      <c r="N972" s="19" t="s">
        <v>2930</v>
      </c>
    </row>
    <row r="973" spans="1:14" x14ac:dyDescent="0.35">
      <c r="A973" s="16" t="s">
        <v>976</v>
      </c>
      <c r="B973" s="17" t="s">
        <v>2109</v>
      </c>
      <c r="C973" s="17" t="s">
        <v>2461</v>
      </c>
      <c r="D973" s="17" t="str">
        <f>_xlfn.XLOOKUP(Raw_LIMS_Export!E973,'mapping Site table'!$B$4:$B$14,'mapping Site table'!$C$4:$C$14,Raw_LIMS_Export!E973)</f>
        <v>Budapest</v>
      </c>
      <c r="E973" s="17" t="s">
        <v>2479</v>
      </c>
      <c r="F973" s="17">
        <f t="shared" si="46"/>
        <v>1</v>
      </c>
      <c r="G973" s="17" t="str">
        <f t="shared" si="47"/>
        <v>Pass</v>
      </c>
      <c r="H973" s="17" t="str">
        <f t="shared" si="45"/>
        <v>Pending</v>
      </c>
      <c r="I973" s="17">
        <v>37.51</v>
      </c>
      <c r="J973" s="17" t="s">
        <v>2486</v>
      </c>
      <c r="K973" s="17">
        <v>0</v>
      </c>
      <c r="L973" s="17">
        <v>120</v>
      </c>
      <c r="M973" s="18">
        <f>Raw_LIMS_Export!K973</f>
        <v>45596</v>
      </c>
      <c r="N973" s="19" t="s">
        <v>2932</v>
      </c>
    </row>
    <row r="974" spans="1:14" x14ac:dyDescent="0.35">
      <c r="A974" s="16" t="s">
        <v>977</v>
      </c>
      <c r="B974" s="17" t="s">
        <v>2277</v>
      </c>
      <c r="C974" s="17" t="s">
        <v>2457</v>
      </c>
      <c r="D974" s="17" t="str">
        <f>_xlfn.XLOOKUP(Raw_LIMS_Export!E974,'mapping Site table'!$B$4:$B$14,'mapping Site table'!$C$4:$C$14,Raw_LIMS_Export!E974)</f>
        <v>Budapest</v>
      </c>
      <c r="E974" s="17" t="s">
        <v>2485</v>
      </c>
      <c r="F974" s="17">
        <f t="shared" si="46"/>
        <v>1</v>
      </c>
      <c r="G974" s="17" t="str">
        <f t="shared" si="47"/>
        <v>Pass</v>
      </c>
      <c r="H974" s="17" t="str">
        <f t="shared" si="45"/>
        <v>Pass</v>
      </c>
      <c r="I974" s="17">
        <v>4.7699999999999996</v>
      </c>
      <c r="J974" s="17" t="s">
        <v>2490</v>
      </c>
      <c r="K974" s="17">
        <v>0</v>
      </c>
      <c r="L974" s="17">
        <v>100</v>
      </c>
      <c r="M974" s="18">
        <f>Raw_LIMS_Export!K974</f>
        <v>45587</v>
      </c>
      <c r="N974" s="19" t="s">
        <v>2929</v>
      </c>
    </row>
    <row r="975" spans="1:14" x14ac:dyDescent="0.35">
      <c r="A975" s="16" t="s">
        <v>978</v>
      </c>
      <c r="B975" s="17" t="s">
        <v>2438</v>
      </c>
      <c r="C975" s="17" t="s">
        <v>2457</v>
      </c>
      <c r="D975" s="17" t="str">
        <f>_xlfn.XLOOKUP(Raw_LIMS_Export!E975,'mapping Site table'!$B$4:$B$14,'mapping Site table'!$C$4:$C$14,Raw_LIMS_Export!E975)</f>
        <v>Dortmund DE</v>
      </c>
      <c r="E975" s="17" t="s">
        <v>2482</v>
      </c>
      <c r="F975" s="17">
        <f t="shared" si="46"/>
        <v>1</v>
      </c>
      <c r="G975" s="17" t="str">
        <f t="shared" si="47"/>
        <v>Pass</v>
      </c>
      <c r="H975" s="17" t="str">
        <f t="shared" si="45"/>
        <v>Pass</v>
      </c>
      <c r="I975" s="17">
        <v>98.52</v>
      </c>
      <c r="J975" s="17" t="s">
        <v>2489</v>
      </c>
      <c r="K975" s="17">
        <v>97</v>
      </c>
      <c r="L975" s="17">
        <v>100</v>
      </c>
      <c r="M975" s="18">
        <f>Raw_LIMS_Export!K975</f>
        <v>45681</v>
      </c>
      <c r="N975" s="19" t="s">
        <v>2925</v>
      </c>
    </row>
    <row r="976" spans="1:14" x14ac:dyDescent="0.35">
      <c r="A976" s="16" t="s">
        <v>979</v>
      </c>
      <c r="B976" s="17" t="s">
        <v>2386</v>
      </c>
      <c r="C976" s="17" t="s">
        <v>2459</v>
      </c>
      <c r="D976" s="17" t="str">
        <f>_xlfn.XLOOKUP(Raw_LIMS_Export!E976,'mapping Site table'!$B$4:$B$14,'mapping Site table'!$C$4:$C$14,Raw_LIMS_Export!E976)</f>
        <v>East Hanover</v>
      </c>
      <c r="E976" s="17" t="s">
        <v>2479</v>
      </c>
      <c r="F976" s="17">
        <f t="shared" si="46"/>
        <v>1</v>
      </c>
      <c r="G976" s="17" t="str">
        <f t="shared" si="47"/>
        <v>Pass</v>
      </c>
      <c r="H976" s="17" t="str">
        <f t="shared" si="45"/>
        <v>Pass</v>
      </c>
      <c r="I976" s="17">
        <v>16.7</v>
      </c>
      <c r="J976" s="17" t="s">
        <v>2486</v>
      </c>
      <c r="K976" s="17">
        <v>0</v>
      </c>
      <c r="L976" s="17">
        <v>120</v>
      </c>
      <c r="M976" s="18">
        <f>Raw_LIMS_Export!K976</f>
        <v>45609</v>
      </c>
      <c r="N976" s="19" t="s">
        <v>2925</v>
      </c>
    </row>
    <row r="977" spans="1:14" x14ac:dyDescent="0.35">
      <c r="A977" s="16" t="s">
        <v>980</v>
      </c>
      <c r="B977" s="17" t="s">
        <v>2323</v>
      </c>
      <c r="C977" s="17" t="s">
        <v>2461</v>
      </c>
      <c r="D977" s="17" t="str">
        <f>_xlfn.XLOOKUP(Raw_LIMS_Export!E977,'mapping Site table'!$B$4:$B$14,'mapping Site table'!$C$4:$C$14,Raw_LIMS_Export!E977)</f>
        <v>Budapest</v>
      </c>
      <c r="E977" s="17" t="s">
        <v>2485</v>
      </c>
      <c r="F977" s="17">
        <f t="shared" si="46"/>
        <v>1</v>
      </c>
      <c r="G977" s="17" t="str">
        <f t="shared" si="47"/>
        <v>Pass</v>
      </c>
      <c r="H977" s="17" t="str">
        <f t="shared" si="45"/>
        <v>Pass</v>
      </c>
      <c r="I977" s="17">
        <v>9.7100000000000009</v>
      </c>
      <c r="J977" s="17" t="s">
        <v>2490</v>
      </c>
      <c r="K977" s="17">
        <v>0</v>
      </c>
      <c r="L977" s="17">
        <v>100</v>
      </c>
      <c r="M977" s="18">
        <f>Raw_LIMS_Export!K977</f>
        <v>45571</v>
      </c>
      <c r="N977" s="19" t="s">
        <v>2932</v>
      </c>
    </row>
    <row r="978" spans="1:14" x14ac:dyDescent="0.35">
      <c r="A978" s="16" t="s">
        <v>981</v>
      </c>
      <c r="B978" s="17" t="s">
        <v>2246</v>
      </c>
      <c r="C978" s="17" t="s">
        <v>2460</v>
      </c>
      <c r="D978" s="17" t="str">
        <f>_xlfn.XLOOKUP(Raw_LIMS_Export!E978,'mapping Site table'!$B$4:$B$14,'mapping Site table'!$C$4:$C$14,Raw_LIMS_Export!E978)</f>
        <v>Vernier CH</v>
      </c>
      <c r="E978" s="17" t="s">
        <v>2481</v>
      </c>
      <c r="F978" s="17">
        <f t="shared" si="46"/>
        <v>1</v>
      </c>
      <c r="G978" s="17" t="str">
        <f t="shared" si="47"/>
        <v>Pass</v>
      </c>
      <c r="H978" s="17" t="str">
        <f t="shared" si="45"/>
        <v>Pass</v>
      </c>
      <c r="I978" s="17">
        <v>283.70999999999998</v>
      </c>
      <c r="J978" s="17" t="s">
        <v>2488</v>
      </c>
      <c r="K978" s="17">
        <v>150</v>
      </c>
      <c r="L978" s="17">
        <v>400</v>
      </c>
      <c r="M978" s="18">
        <f>Raw_LIMS_Export!K978</f>
        <v>45884</v>
      </c>
      <c r="N978" s="19" t="s">
        <v>2925</v>
      </c>
    </row>
    <row r="979" spans="1:14" x14ac:dyDescent="0.35">
      <c r="A979" s="16" t="s">
        <v>982</v>
      </c>
      <c r="B979" s="17" t="s">
        <v>2144</v>
      </c>
      <c r="C979" s="17" t="s">
        <v>2461</v>
      </c>
      <c r="D979" s="17" t="str">
        <f>_xlfn.XLOOKUP(Raw_LIMS_Export!E979,'mapping Site table'!$B$4:$B$14,'mapping Site table'!$C$4:$C$14,Raw_LIMS_Export!E979)</f>
        <v>East Hanover</v>
      </c>
      <c r="E979" s="17" t="s">
        <v>2485</v>
      </c>
      <c r="F979" s="17">
        <f t="shared" si="46"/>
        <v>1</v>
      </c>
      <c r="G979" s="17" t="str">
        <f t="shared" si="47"/>
        <v>Fail</v>
      </c>
      <c r="H979" s="17" t="str">
        <f t="shared" si="45"/>
        <v>Fail</v>
      </c>
      <c r="I979" s="17">
        <v>-40.49</v>
      </c>
      <c r="J979" s="17" t="s">
        <v>2490</v>
      </c>
      <c r="K979" s="17">
        <v>0</v>
      </c>
      <c r="L979" s="17">
        <v>100</v>
      </c>
      <c r="M979" s="18">
        <f>Raw_LIMS_Export!K979</f>
        <v>45635</v>
      </c>
      <c r="N979" s="19" t="s">
        <v>2925</v>
      </c>
    </row>
    <row r="980" spans="1:14" x14ac:dyDescent="0.35">
      <c r="A980" s="16" t="s">
        <v>983</v>
      </c>
      <c r="B980" s="17" t="s">
        <v>2237</v>
      </c>
      <c r="C980" s="17" t="s">
        <v>2458</v>
      </c>
      <c r="D980" s="17" t="str">
        <f>_xlfn.XLOOKUP(Raw_LIMS_Export!E980,'mapping Site table'!$B$4:$B$14,'mapping Site table'!$C$4:$C$14,Raw_LIMS_Export!E980)</f>
        <v>Vernier CH</v>
      </c>
      <c r="E980" s="17" t="s">
        <v>2485</v>
      </c>
      <c r="F980" s="17">
        <f t="shared" si="46"/>
        <v>1</v>
      </c>
      <c r="G980" s="17" t="str">
        <f t="shared" si="47"/>
        <v>Pass</v>
      </c>
      <c r="H980" s="17" t="str">
        <f t="shared" si="45"/>
        <v>Pass</v>
      </c>
      <c r="I980" s="17">
        <v>21.46</v>
      </c>
      <c r="J980" s="17" t="s">
        <v>2490</v>
      </c>
      <c r="K980" s="17">
        <v>0</v>
      </c>
      <c r="L980" s="17">
        <v>100</v>
      </c>
      <c r="M980" s="18">
        <f>Raw_LIMS_Export!K980</f>
        <v>45697</v>
      </c>
      <c r="N980" s="19" t="s">
        <v>2923</v>
      </c>
    </row>
    <row r="981" spans="1:14" x14ac:dyDescent="0.35">
      <c r="A981" s="16" t="s">
        <v>984</v>
      </c>
      <c r="B981" s="17" t="s">
        <v>2422</v>
      </c>
      <c r="C981" s="17" t="s">
        <v>2461</v>
      </c>
      <c r="D981" s="17" t="str">
        <f>_xlfn.XLOOKUP(Raw_LIMS_Export!E981,'mapping Site table'!$B$4:$B$14,'mapping Site table'!$C$4:$C$14,Raw_LIMS_Export!E981)</f>
        <v>Dortmund DE</v>
      </c>
      <c r="E981" s="17" t="s">
        <v>2484</v>
      </c>
      <c r="F981" s="17">
        <f t="shared" si="46"/>
        <v>1</v>
      </c>
      <c r="G981" s="17" t="str">
        <f t="shared" si="47"/>
        <v>Fail</v>
      </c>
      <c r="H981" s="17" t="str">
        <f t="shared" si="45"/>
        <v>Fail</v>
      </c>
      <c r="I981" s="17">
        <v>8.0500000000000007</v>
      </c>
      <c r="J981" s="17"/>
      <c r="K981" s="17">
        <v>6</v>
      </c>
      <c r="L981" s="17">
        <v>7.5</v>
      </c>
      <c r="M981" s="18">
        <f>Raw_LIMS_Export!K981</f>
        <v>45539</v>
      </c>
      <c r="N981" s="19" t="s">
        <v>2924</v>
      </c>
    </row>
    <row r="982" spans="1:14" x14ac:dyDescent="0.35">
      <c r="A982" s="16" t="s">
        <v>985</v>
      </c>
      <c r="B982" s="17" t="s">
        <v>2088</v>
      </c>
      <c r="C982" s="17" t="s">
        <v>2461</v>
      </c>
      <c r="D982" s="17" t="str">
        <f>_xlfn.XLOOKUP(Raw_LIMS_Export!E982,'mapping Site table'!$B$4:$B$14,'mapping Site table'!$C$4:$C$14,Raw_LIMS_Export!E982)</f>
        <v>Budapest</v>
      </c>
      <c r="E982" s="17" t="s">
        <v>2482</v>
      </c>
      <c r="F982" s="17">
        <f t="shared" si="46"/>
        <v>1</v>
      </c>
      <c r="G982" s="17" t="str">
        <f t="shared" si="47"/>
        <v>Pass</v>
      </c>
      <c r="H982" s="17" t="str">
        <f t="shared" si="45"/>
        <v>Pass</v>
      </c>
      <c r="I982" s="17">
        <v>97.58</v>
      </c>
      <c r="J982" s="17" t="s">
        <v>2489</v>
      </c>
      <c r="K982" s="17">
        <v>97</v>
      </c>
      <c r="L982" s="17">
        <v>100</v>
      </c>
      <c r="M982" s="18">
        <f>Raw_LIMS_Export!K982</f>
        <v>45973</v>
      </c>
      <c r="N982" s="19" t="s">
        <v>2924</v>
      </c>
    </row>
    <row r="983" spans="1:14" x14ac:dyDescent="0.35">
      <c r="A983" s="16" t="s">
        <v>986</v>
      </c>
      <c r="B983" s="17" t="s">
        <v>2297</v>
      </c>
      <c r="C983" s="17" t="s">
        <v>2458</v>
      </c>
      <c r="D983" s="17" t="str">
        <f>_xlfn.XLOOKUP(Raw_LIMS_Export!E983,'mapping Site table'!$B$4:$B$14,'mapping Site table'!$C$4:$C$14,Raw_LIMS_Export!E983)</f>
        <v>East Hanover</v>
      </c>
      <c r="E983" s="17" t="s">
        <v>2481</v>
      </c>
      <c r="F983" s="17">
        <f t="shared" si="46"/>
        <v>1</v>
      </c>
      <c r="G983" s="17" t="str">
        <f t="shared" si="47"/>
        <v>Pass</v>
      </c>
      <c r="H983" s="17" t="str">
        <f t="shared" si="45"/>
        <v>Pass</v>
      </c>
      <c r="I983" s="17">
        <v>232.04</v>
      </c>
      <c r="J983" s="17" t="s">
        <v>2488</v>
      </c>
      <c r="K983" s="17">
        <v>150</v>
      </c>
      <c r="L983" s="17">
        <v>400</v>
      </c>
      <c r="M983" s="18">
        <f>Raw_LIMS_Export!K983</f>
        <v>45800</v>
      </c>
      <c r="N983" s="19" t="s">
        <v>2928</v>
      </c>
    </row>
    <row r="984" spans="1:14" x14ac:dyDescent="0.35">
      <c r="A984" s="16" t="s">
        <v>987</v>
      </c>
      <c r="B984" s="17" t="s">
        <v>2302</v>
      </c>
      <c r="C984" s="17" t="s">
        <v>2460</v>
      </c>
      <c r="D984" s="17" t="str">
        <f>_xlfn.XLOOKUP(Raw_LIMS_Export!E984,'mapping Site table'!$B$4:$B$14,'mapping Site table'!$C$4:$C$14,Raw_LIMS_Export!E984)</f>
        <v>Ashford UK</v>
      </c>
      <c r="E984" s="17" t="s">
        <v>2485</v>
      </c>
      <c r="F984" s="17">
        <f t="shared" si="46"/>
        <v>1</v>
      </c>
      <c r="G984" s="17" t="str">
        <f t="shared" si="47"/>
        <v>Fail</v>
      </c>
      <c r="H984" s="17" t="str">
        <f t="shared" si="45"/>
        <v>Fail</v>
      </c>
      <c r="I984" s="17">
        <v>-11.56</v>
      </c>
      <c r="J984" s="17" t="s">
        <v>2490</v>
      </c>
      <c r="K984" s="17">
        <v>0</v>
      </c>
      <c r="L984" s="17">
        <v>100</v>
      </c>
      <c r="M984" s="18">
        <f>Raw_LIMS_Export!K984</f>
        <v>45776</v>
      </c>
      <c r="N984" s="19" t="s">
        <v>2924</v>
      </c>
    </row>
    <row r="985" spans="1:14" x14ac:dyDescent="0.35">
      <c r="A985" s="16" t="s">
        <v>988</v>
      </c>
      <c r="B985" s="17" t="s">
        <v>2112</v>
      </c>
      <c r="C985" s="17" t="s">
        <v>2457</v>
      </c>
      <c r="D985" s="17" t="str">
        <f>_xlfn.XLOOKUP(Raw_LIMS_Export!E985,'mapping Site table'!$B$4:$B$14,'mapping Site table'!$C$4:$C$14,Raw_LIMS_Export!E985)</f>
        <v>Dortmund DE</v>
      </c>
      <c r="E985" s="17" t="s">
        <v>2485</v>
      </c>
      <c r="F985" s="17">
        <f t="shared" si="46"/>
        <v>1</v>
      </c>
      <c r="G985" s="17" t="str">
        <f t="shared" si="47"/>
        <v>Pass</v>
      </c>
      <c r="H985" s="17" t="str">
        <f t="shared" si="45"/>
        <v>Pass</v>
      </c>
      <c r="I985" s="17">
        <v>33.770000000000003</v>
      </c>
      <c r="J985" s="17" t="s">
        <v>2490</v>
      </c>
      <c r="K985" s="17">
        <v>0</v>
      </c>
      <c r="L985" s="17">
        <v>100</v>
      </c>
      <c r="M985" s="18">
        <f>Raw_LIMS_Export!K985</f>
        <v>45993</v>
      </c>
      <c r="N985" s="19" t="s">
        <v>2927</v>
      </c>
    </row>
    <row r="986" spans="1:14" x14ac:dyDescent="0.35">
      <c r="A986" s="16" t="s">
        <v>989</v>
      </c>
      <c r="B986" s="17" t="s">
        <v>2094</v>
      </c>
      <c r="C986" s="17" t="s">
        <v>2460</v>
      </c>
      <c r="D986" s="17" t="str">
        <f>_xlfn.XLOOKUP(Raw_LIMS_Export!E986,'mapping Site table'!$B$4:$B$14,'mapping Site table'!$C$4:$C$14,Raw_LIMS_Export!E986)</f>
        <v>Ashford UK</v>
      </c>
      <c r="E986" s="17" t="s">
        <v>2485</v>
      </c>
      <c r="F986" s="17">
        <f t="shared" si="46"/>
        <v>1</v>
      </c>
      <c r="G986" s="17" t="str">
        <f t="shared" si="47"/>
        <v>Fail</v>
      </c>
      <c r="H986" s="17" t="str">
        <f t="shared" si="45"/>
        <v>Fail</v>
      </c>
      <c r="I986" s="17">
        <v>-13.7</v>
      </c>
      <c r="J986" s="17" t="s">
        <v>2490</v>
      </c>
      <c r="K986" s="17">
        <v>0</v>
      </c>
      <c r="L986" s="17">
        <v>100</v>
      </c>
      <c r="M986" s="18">
        <f>Raw_LIMS_Export!K986</f>
        <v>45316</v>
      </c>
      <c r="N986" s="19" t="s">
        <v>2929</v>
      </c>
    </row>
    <row r="987" spans="1:14" x14ac:dyDescent="0.35">
      <c r="A987" s="16" t="s">
        <v>990</v>
      </c>
      <c r="B987" s="17" t="s">
        <v>2056</v>
      </c>
      <c r="C987" s="17" t="s">
        <v>2459</v>
      </c>
      <c r="D987" s="17" t="str">
        <f>_xlfn.XLOOKUP(Raw_LIMS_Export!E987,'mapping Site table'!$B$4:$B$14,'mapping Site table'!$C$4:$C$14,Raw_LIMS_Export!E987)</f>
        <v>Budapest</v>
      </c>
      <c r="E987" s="17" t="s">
        <v>2479</v>
      </c>
      <c r="F987" s="17">
        <f t="shared" si="46"/>
        <v>1</v>
      </c>
      <c r="G987" s="17" t="str">
        <f t="shared" si="47"/>
        <v>Pass</v>
      </c>
      <c r="H987" s="17" t="str">
        <f t="shared" si="45"/>
        <v>Pass</v>
      </c>
      <c r="I987" s="17">
        <v>49.96</v>
      </c>
      <c r="J987" s="17" t="s">
        <v>2486</v>
      </c>
      <c r="K987" s="17">
        <v>0</v>
      </c>
      <c r="L987" s="17">
        <v>120</v>
      </c>
      <c r="M987" s="18">
        <f>Raw_LIMS_Export!K987</f>
        <v>45997</v>
      </c>
      <c r="N987" s="19" t="s">
        <v>2930</v>
      </c>
    </row>
    <row r="988" spans="1:14" x14ac:dyDescent="0.35">
      <c r="A988" s="16" t="s">
        <v>991</v>
      </c>
      <c r="B988" s="17" t="s">
        <v>2438</v>
      </c>
      <c r="C988" s="17" t="s">
        <v>2457</v>
      </c>
      <c r="D988" s="17" t="str">
        <f>_xlfn.XLOOKUP(Raw_LIMS_Export!E988,'mapping Site table'!$B$4:$B$14,'mapping Site table'!$C$4:$C$14,Raw_LIMS_Export!E988)</f>
        <v>Dortmund DE</v>
      </c>
      <c r="E988" s="17" t="s">
        <v>2480</v>
      </c>
      <c r="F988" s="17">
        <f t="shared" si="46"/>
        <v>1</v>
      </c>
      <c r="G988" s="17" t="str">
        <f t="shared" si="47"/>
        <v>Pass</v>
      </c>
      <c r="H988" s="17" t="str">
        <f t="shared" si="45"/>
        <v>Pass</v>
      </c>
      <c r="I988" s="17">
        <v>0.91</v>
      </c>
      <c r="J988" s="17" t="s">
        <v>2487</v>
      </c>
      <c r="K988" s="17">
        <v>0.88</v>
      </c>
      <c r="L988" s="17">
        <v>0.97</v>
      </c>
      <c r="M988" s="18">
        <f>Raw_LIMS_Export!K988</f>
        <v>45681</v>
      </c>
      <c r="N988" s="19" t="s">
        <v>2931</v>
      </c>
    </row>
    <row r="989" spans="1:14" x14ac:dyDescent="0.35">
      <c r="A989" s="16" t="s">
        <v>992</v>
      </c>
      <c r="B989" s="17" t="s">
        <v>2141</v>
      </c>
      <c r="C989" s="17" t="s">
        <v>2458</v>
      </c>
      <c r="D989" s="17" t="str">
        <f>_xlfn.XLOOKUP(Raw_LIMS_Export!E989,'mapping Site table'!$B$4:$B$14,'mapping Site table'!$C$4:$C$14,Raw_LIMS_Export!E989)</f>
        <v>Vernier CH</v>
      </c>
      <c r="E989" s="17" t="s">
        <v>2481</v>
      </c>
      <c r="F989" s="17">
        <f t="shared" si="46"/>
        <v>1</v>
      </c>
      <c r="G989" s="17" t="str">
        <f t="shared" si="47"/>
        <v>Pass</v>
      </c>
      <c r="H989" s="17" t="str">
        <f t="shared" si="45"/>
        <v>Pass</v>
      </c>
      <c r="I989" s="17">
        <v>221.08</v>
      </c>
      <c r="J989" s="17" t="s">
        <v>2488</v>
      </c>
      <c r="K989" s="17">
        <v>150</v>
      </c>
      <c r="L989" s="17">
        <v>400</v>
      </c>
      <c r="M989" s="18">
        <f>Raw_LIMS_Export!K989</f>
        <v>45936</v>
      </c>
      <c r="N989" s="19" t="s">
        <v>2926</v>
      </c>
    </row>
    <row r="990" spans="1:14" x14ac:dyDescent="0.35">
      <c r="A990" s="16" t="s">
        <v>993</v>
      </c>
      <c r="B990" s="17" t="s">
        <v>2372</v>
      </c>
      <c r="C990" s="17" t="s">
        <v>2461</v>
      </c>
      <c r="D990" s="17" t="str">
        <f>_xlfn.XLOOKUP(Raw_LIMS_Export!E990,'mapping Site table'!$B$4:$B$14,'mapping Site table'!$C$4:$C$14,Raw_LIMS_Export!E990)</f>
        <v>Ashford UK</v>
      </c>
      <c r="E990" s="17" t="s">
        <v>2479</v>
      </c>
      <c r="F990" s="17">
        <f t="shared" si="46"/>
        <v>1</v>
      </c>
      <c r="G990" s="17" t="str">
        <f t="shared" si="47"/>
        <v>Pass</v>
      </c>
      <c r="H990" s="17" t="str">
        <f t="shared" si="45"/>
        <v>Pass</v>
      </c>
      <c r="I990" s="17">
        <v>70.099999999999994</v>
      </c>
      <c r="J990" s="17" t="s">
        <v>2486</v>
      </c>
      <c r="K990" s="17">
        <v>0</v>
      </c>
      <c r="L990" s="17">
        <v>120</v>
      </c>
      <c r="M990" s="18">
        <f>Raw_LIMS_Export!K990</f>
        <v>45704</v>
      </c>
      <c r="N990" s="19" t="s">
        <v>2924</v>
      </c>
    </row>
    <row r="991" spans="1:14" x14ac:dyDescent="0.35">
      <c r="A991" s="16" t="s">
        <v>994</v>
      </c>
      <c r="B991" s="17" t="s">
        <v>2202</v>
      </c>
      <c r="C991" s="17" t="s">
        <v>2460</v>
      </c>
      <c r="D991" s="17" t="str">
        <f>_xlfn.XLOOKUP(Raw_LIMS_Export!E991,'mapping Site table'!$B$4:$B$14,'mapping Site table'!$C$4:$C$14,Raw_LIMS_Export!E991)</f>
        <v>Ashford UK</v>
      </c>
      <c r="E991" s="17" t="s">
        <v>2484</v>
      </c>
      <c r="F991" s="17">
        <f t="shared" si="46"/>
        <v>1</v>
      </c>
      <c r="G991" s="17" t="str">
        <f t="shared" si="47"/>
        <v>Pass</v>
      </c>
      <c r="H991" s="17" t="str">
        <f t="shared" si="45"/>
        <v>Pass</v>
      </c>
      <c r="I991" s="17">
        <v>6.32</v>
      </c>
      <c r="J991" s="17"/>
      <c r="K991" s="17">
        <v>6</v>
      </c>
      <c r="L991" s="17">
        <v>7.5</v>
      </c>
      <c r="M991" s="18">
        <f>Raw_LIMS_Export!K991</f>
        <v>45393</v>
      </c>
      <c r="N991" s="19" t="s">
        <v>2929</v>
      </c>
    </row>
    <row r="992" spans="1:14" x14ac:dyDescent="0.35">
      <c r="A992" s="16" t="s">
        <v>995</v>
      </c>
      <c r="B992" s="17" t="s">
        <v>2106</v>
      </c>
      <c r="C992" s="17" t="s">
        <v>2461</v>
      </c>
      <c r="D992" s="17" t="str">
        <f>_xlfn.XLOOKUP(Raw_LIMS_Export!E992,'mapping Site table'!$B$4:$B$14,'mapping Site table'!$C$4:$C$14,Raw_LIMS_Export!E992)</f>
        <v>Vernier CH</v>
      </c>
      <c r="E992" s="17" t="s">
        <v>2479</v>
      </c>
      <c r="F992" s="17">
        <f t="shared" si="46"/>
        <v>1</v>
      </c>
      <c r="G992" s="17" t="str">
        <f t="shared" si="47"/>
        <v>Pass</v>
      </c>
      <c r="H992" s="17" t="str">
        <f t="shared" si="45"/>
        <v>Fail</v>
      </c>
      <c r="I992" s="17">
        <v>55.76</v>
      </c>
      <c r="J992" s="17" t="s">
        <v>2486</v>
      </c>
      <c r="K992" s="17">
        <v>0</v>
      </c>
      <c r="L992" s="17">
        <v>120</v>
      </c>
      <c r="M992" s="18">
        <f>Raw_LIMS_Export!K992</f>
        <v>45388</v>
      </c>
      <c r="N992" s="19" t="s">
        <v>2924</v>
      </c>
    </row>
    <row r="993" spans="1:14" x14ac:dyDescent="0.35">
      <c r="A993" s="16" t="s">
        <v>996</v>
      </c>
      <c r="B993" s="17" t="s">
        <v>2394</v>
      </c>
      <c r="C993" s="17" t="s">
        <v>2460</v>
      </c>
      <c r="D993" s="17" t="str">
        <f>_xlfn.XLOOKUP(Raw_LIMS_Export!E993,'mapping Site table'!$B$4:$B$14,'mapping Site table'!$C$4:$C$14,Raw_LIMS_Export!E993)</f>
        <v>Vernier CH</v>
      </c>
      <c r="E993" s="17" t="s">
        <v>2479</v>
      </c>
      <c r="F993" s="17">
        <f t="shared" si="46"/>
        <v>1</v>
      </c>
      <c r="G993" s="17" t="str">
        <f t="shared" si="47"/>
        <v>Pass</v>
      </c>
      <c r="H993" s="17" t="str">
        <f t="shared" si="45"/>
        <v>Fail</v>
      </c>
      <c r="I993" s="17">
        <v>13.55</v>
      </c>
      <c r="J993" s="17" t="s">
        <v>2486</v>
      </c>
      <c r="K993" s="17">
        <v>0</v>
      </c>
      <c r="L993" s="17">
        <v>120</v>
      </c>
      <c r="M993" s="18">
        <f>Raw_LIMS_Export!K993</f>
        <v>45499</v>
      </c>
      <c r="N993" s="19" t="s">
        <v>2928</v>
      </c>
    </row>
    <row r="994" spans="1:14" x14ac:dyDescent="0.35">
      <c r="A994" s="16" t="s">
        <v>997</v>
      </c>
      <c r="B994" s="17" t="s">
        <v>2037</v>
      </c>
      <c r="C994" s="17" t="s">
        <v>2461</v>
      </c>
      <c r="D994" s="17" t="str">
        <f>_xlfn.XLOOKUP(Raw_LIMS_Export!E994,'mapping Site table'!$B$4:$B$14,'mapping Site table'!$C$4:$C$14,Raw_LIMS_Export!E994)</f>
        <v>Budapest</v>
      </c>
      <c r="E994" s="17" t="s">
        <v>2482</v>
      </c>
      <c r="F994" s="17">
        <f t="shared" si="46"/>
        <v>1</v>
      </c>
      <c r="G994" s="17" t="str">
        <f t="shared" si="47"/>
        <v>Pass</v>
      </c>
      <c r="H994" s="17" t="str">
        <f t="shared" si="45"/>
        <v>Pass</v>
      </c>
      <c r="I994" s="17">
        <v>98.76</v>
      </c>
      <c r="J994" s="17" t="s">
        <v>2489</v>
      </c>
      <c r="K994" s="17">
        <v>97</v>
      </c>
      <c r="L994" s="17">
        <v>100</v>
      </c>
      <c r="M994" s="18">
        <f>Raw_LIMS_Export!K994</f>
        <v>45643</v>
      </c>
      <c r="N994" s="19" t="s">
        <v>2932</v>
      </c>
    </row>
    <row r="995" spans="1:14" x14ac:dyDescent="0.35">
      <c r="A995" s="16" t="s">
        <v>998</v>
      </c>
      <c r="B995" s="17" t="s">
        <v>2130</v>
      </c>
      <c r="C995" s="17" t="s">
        <v>2457</v>
      </c>
      <c r="D995" s="17" t="str">
        <f>_xlfn.XLOOKUP(Raw_LIMS_Export!E995,'mapping Site table'!$B$4:$B$14,'mapping Site table'!$C$4:$C$14,Raw_LIMS_Export!E995)</f>
        <v>East Hanover</v>
      </c>
      <c r="E995" s="17" t="s">
        <v>2479</v>
      </c>
      <c r="F995" s="17">
        <f t="shared" si="46"/>
        <v>1</v>
      </c>
      <c r="G995" s="17" t="str">
        <f t="shared" si="47"/>
        <v>Pass</v>
      </c>
      <c r="H995" s="17" t="str">
        <f t="shared" si="45"/>
        <v>Pass</v>
      </c>
      <c r="I995" s="17">
        <v>58.01</v>
      </c>
      <c r="J995" s="17" t="s">
        <v>2486</v>
      </c>
      <c r="K995" s="17">
        <v>0</v>
      </c>
      <c r="L995" s="17">
        <v>120</v>
      </c>
      <c r="M995" s="18">
        <f>Raw_LIMS_Export!K995</f>
        <v>45943</v>
      </c>
      <c r="N995" s="19" t="s">
        <v>2923</v>
      </c>
    </row>
    <row r="996" spans="1:14" x14ac:dyDescent="0.35">
      <c r="A996" s="16" t="s">
        <v>999</v>
      </c>
      <c r="B996" s="17" t="s">
        <v>2255</v>
      </c>
      <c r="C996" s="17" t="s">
        <v>2457</v>
      </c>
      <c r="D996" s="17" t="str">
        <f>_xlfn.XLOOKUP(Raw_LIMS_Export!E996,'mapping Site table'!$B$4:$B$14,'mapping Site table'!$C$4:$C$14,Raw_LIMS_Export!E996)</f>
        <v>Ashford UK</v>
      </c>
      <c r="E996" s="17" t="s">
        <v>2481</v>
      </c>
      <c r="F996" s="17">
        <f t="shared" si="46"/>
        <v>1</v>
      </c>
      <c r="G996" s="17" t="str">
        <f t="shared" si="47"/>
        <v>Pass</v>
      </c>
      <c r="H996" s="17" t="str">
        <f t="shared" si="45"/>
        <v>Pass</v>
      </c>
      <c r="I996" s="17">
        <v>283.77999999999997</v>
      </c>
      <c r="J996" s="17" t="s">
        <v>2488</v>
      </c>
      <c r="K996" s="17">
        <v>150</v>
      </c>
      <c r="L996" s="17">
        <v>400</v>
      </c>
      <c r="M996" s="18">
        <f>Raw_LIMS_Export!K996</f>
        <v>45451</v>
      </c>
      <c r="N996" s="19" t="s">
        <v>2928</v>
      </c>
    </row>
    <row r="997" spans="1:14" x14ac:dyDescent="0.35">
      <c r="A997" s="16" t="s">
        <v>1000</v>
      </c>
      <c r="B997" s="17" t="s">
        <v>2210</v>
      </c>
      <c r="C997" s="17" t="s">
        <v>2457</v>
      </c>
      <c r="D997" s="17" t="str">
        <f>_xlfn.XLOOKUP(Raw_LIMS_Export!E997,'mapping Site table'!$B$4:$B$14,'mapping Site table'!$C$4:$C$14,Raw_LIMS_Export!E997)</f>
        <v>Budapest</v>
      </c>
      <c r="E997" s="17" t="s">
        <v>2485</v>
      </c>
      <c r="F997" s="17">
        <f t="shared" si="46"/>
        <v>1</v>
      </c>
      <c r="G997" s="17" t="str">
        <f t="shared" si="47"/>
        <v>Pass</v>
      </c>
      <c r="H997" s="17" t="str">
        <f t="shared" si="45"/>
        <v>Pending</v>
      </c>
      <c r="I997" s="17">
        <v>15.01</v>
      </c>
      <c r="J997" s="17" t="s">
        <v>2490</v>
      </c>
      <c r="K997" s="17">
        <v>0</v>
      </c>
      <c r="L997" s="17">
        <v>100</v>
      </c>
      <c r="M997" s="18">
        <f>Raw_LIMS_Export!K997</f>
        <v>45960</v>
      </c>
      <c r="N997" s="19" t="s">
        <v>2931</v>
      </c>
    </row>
    <row r="998" spans="1:14" x14ac:dyDescent="0.35">
      <c r="A998" s="16" t="s">
        <v>1001</v>
      </c>
      <c r="B998" s="17" t="s">
        <v>2355</v>
      </c>
      <c r="C998" s="17" t="s">
        <v>2457</v>
      </c>
      <c r="D998" s="17" t="str">
        <f>_xlfn.XLOOKUP(Raw_LIMS_Export!E998,'mapping Site table'!$B$4:$B$14,'mapping Site table'!$C$4:$C$14,Raw_LIMS_Export!E998)</f>
        <v>Budapest</v>
      </c>
      <c r="E998" s="17" t="s">
        <v>2482</v>
      </c>
      <c r="F998" s="17">
        <f t="shared" si="46"/>
        <v>1</v>
      </c>
      <c r="G998" s="17" t="str">
        <f t="shared" si="47"/>
        <v>Pass</v>
      </c>
      <c r="H998" s="17" t="str">
        <f t="shared" si="45"/>
        <v>Fail</v>
      </c>
      <c r="I998" s="17">
        <v>99.15</v>
      </c>
      <c r="J998" s="17" t="s">
        <v>2489</v>
      </c>
      <c r="K998" s="17">
        <v>97</v>
      </c>
      <c r="L998" s="17">
        <v>100</v>
      </c>
      <c r="M998" s="18">
        <f>Raw_LIMS_Export!K998</f>
        <v>45598</v>
      </c>
      <c r="N998" s="19" t="s">
        <v>2928</v>
      </c>
    </row>
    <row r="999" spans="1:14" x14ac:dyDescent="0.35">
      <c r="A999" s="16" t="s">
        <v>1002</v>
      </c>
      <c r="B999" s="17" t="s">
        <v>2203</v>
      </c>
      <c r="C999" s="17" t="s">
        <v>2458</v>
      </c>
      <c r="D999" s="17" t="str">
        <f>_xlfn.XLOOKUP(Raw_LIMS_Export!E999,'mapping Site table'!$B$4:$B$14,'mapping Site table'!$C$4:$C$14,Raw_LIMS_Export!E999)</f>
        <v>Dortmund DE</v>
      </c>
      <c r="E999" s="17" t="s">
        <v>2483</v>
      </c>
      <c r="F999" s="17">
        <f t="shared" si="46"/>
        <v>1</v>
      </c>
      <c r="G999" s="17" t="str">
        <f t="shared" si="47"/>
        <v>Pass</v>
      </c>
      <c r="H999" s="17" t="str">
        <f t="shared" si="45"/>
        <v>Fail</v>
      </c>
      <c r="I999" s="17">
        <v>0.39</v>
      </c>
      <c r="J999" s="17" t="s">
        <v>2489</v>
      </c>
      <c r="K999" s="17">
        <v>0</v>
      </c>
      <c r="L999" s="17">
        <v>1</v>
      </c>
      <c r="M999" s="18">
        <f>Raw_LIMS_Export!K999</f>
        <v>45911</v>
      </c>
      <c r="N999" s="19" t="s">
        <v>2923</v>
      </c>
    </row>
    <row r="1000" spans="1:14" x14ac:dyDescent="0.35">
      <c r="A1000" s="16" t="s">
        <v>1003</v>
      </c>
      <c r="B1000" s="17" t="s">
        <v>2210</v>
      </c>
      <c r="C1000" s="17" t="s">
        <v>2457</v>
      </c>
      <c r="D1000" s="17" t="str">
        <f>_xlfn.XLOOKUP(Raw_LIMS_Export!E1000,'mapping Site table'!$B$4:$B$14,'mapping Site table'!$C$4:$C$14,Raw_LIMS_Export!E1000)</f>
        <v>Budapest</v>
      </c>
      <c r="E1000" s="17" t="s">
        <v>2482</v>
      </c>
      <c r="F1000" s="17">
        <f t="shared" si="46"/>
        <v>1</v>
      </c>
      <c r="G1000" s="17" t="str">
        <f t="shared" si="47"/>
        <v>Pass</v>
      </c>
      <c r="H1000" s="17" t="str">
        <f t="shared" si="45"/>
        <v>Pending</v>
      </c>
      <c r="I1000" s="17">
        <v>99.16</v>
      </c>
      <c r="J1000" s="17" t="s">
        <v>2489</v>
      </c>
      <c r="K1000" s="17">
        <v>97</v>
      </c>
      <c r="L1000" s="17">
        <v>100</v>
      </c>
      <c r="M1000" s="18">
        <f>Raw_LIMS_Export!K1000</f>
        <v>45960</v>
      </c>
      <c r="N1000" s="19" t="s">
        <v>2929</v>
      </c>
    </row>
    <row r="1001" spans="1:14" x14ac:dyDescent="0.35">
      <c r="A1001" s="16" t="s">
        <v>1004</v>
      </c>
      <c r="B1001" s="17" t="s">
        <v>2299</v>
      </c>
      <c r="C1001" s="17" t="s">
        <v>2459</v>
      </c>
      <c r="D1001" s="17" t="str">
        <f>_xlfn.XLOOKUP(Raw_LIMS_Export!E1001,'mapping Site table'!$B$4:$B$14,'mapping Site table'!$C$4:$C$14,Raw_LIMS_Export!E1001)</f>
        <v>Ashford UK</v>
      </c>
      <c r="E1001" s="17" t="s">
        <v>2479</v>
      </c>
      <c r="F1001" s="17">
        <f t="shared" si="46"/>
        <v>1</v>
      </c>
      <c r="G1001" s="17" t="str">
        <f t="shared" si="47"/>
        <v>Pass</v>
      </c>
      <c r="H1001" s="17" t="str">
        <f t="shared" si="45"/>
        <v>Fail</v>
      </c>
      <c r="I1001" s="17">
        <v>55.59</v>
      </c>
      <c r="J1001" s="17" t="s">
        <v>2486</v>
      </c>
      <c r="K1001" s="17">
        <v>0</v>
      </c>
      <c r="L1001" s="17">
        <v>120</v>
      </c>
      <c r="M1001" s="18">
        <f>Raw_LIMS_Export!K1001</f>
        <v>45508</v>
      </c>
      <c r="N1001" s="19" t="s">
        <v>2925</v>
      </c>
    </row>
    <row r="1002" spans="1:14" x14ac:dyDescent="0.35">
      <c r="A1002" s="16" t="s">
        <v>1005</v>
      </c>
      <c r="B1002" s="17" t="s">
        <v>2388</v>
      </c>
      <c r="C1002" s="17" t="s">
        <v>2457</v>
      </c>
      <c r="D1002" s="17" t="str">
        <f>_xlfn.XLOOKUP(Raw_LIMS_Export!E1002,'mapping Site table'!$B$4:$B$14,'mapping Site table'!$C$4:$C$14,Raw_LIMS_Export!E1002)</f>
        <v>East Hanover</v>
      </c>
      <c r="E1002" s="17" t="s">
        <v>2482</v>
      </c>
      <c r="F1002" s="17">
        <f t="shared" si="46"/>
        <v>1</v>
      </c>
      <c r="G1002" s="17" t="str">
        <f t="shared" si="47"/>
        <v>Pass</v>
      </c>
      <c r="H1002" s="17" t="str">
        <f t="shared" si="45"/>
        <v>Fail</v>
      </c>
      <c r="I1002" s="17">
        <v>98.32</v>
      </c>
      <c r="J1002" s="17" t="s">
        <v>2489</v>
      </c>
      <c r="K1002" s="17">
        <v>97</v>
      </c>
      <c r="L1002" s="17">
        <v>100</v>
      </c>
      <c r="M1002" s="18">
        <f>Raw_LIMS_Export!K1002</f>
        <v>45336</v>
      </c>
      <c r="N1002" s="19" t="s">
        <v>2928</v>
      </c>
    </row>
    <row r="1003" spans="1:14" x14ac:dyDescent="0.35">
      <c r="A1003" s="16" t="s">
        <v>1006</v>
      </c>
      <c r="B1003" s="17" t="s">
        <v>2404</v>
      </c>
      <c r="C1003" s="17" t="s">
        <v>2458</v>
      </c>
      <c r="D1003" s="17" t="str">
        <f>_xlfn.XLOOKUP(Raw_LIMS_Export!E1003,'mapping Site table'!$B$4:$B$14,'mapping Site table'!$C$4:$C$14,Raw_LIMS_Export!E1003)</f>
        <v>Dortmund DE</v>
      </c>
      <c r="E1003" s="17" t="s">
        <v>2481</v>
      </c>
      <c r="F1003" s="17">
        <f t="shared" si="46"/>
        <v>1</v>
      </c>
      <c r="G1003" s="17" t="str">
        <f t="shared" si="47"/>
        <v>Pass</v>
      </c>
      <c r="H1003" s="17" t="str">
        <f t="shared" si="45"/>
        <v>Pass</v>
      </c>
      <c r="I1003" s="17">
        <v>339.36</v>
      </c>
      <c r="J1003" s="17" t="s">
        <v>2488</v>
      </c>
      <c r="K1003" s="17">
        <v>150</v>
      </c>
      <c r="L1003" s="17">
        <v>400</v>
      </c>
      <c r="M1003" s="18">
        <f>Raw_LIMS_Export!K1003</f>
        <v>45368</v>
      </c>
      <c r="N1003" s="19" t="s">
        <v>2923</v>
      </c>
    </row>
    <row r="1004" spans="1:14" x14ac:dyDescent="0.35">
      <c r="A1004" s="16" t="s">
        <v>1007</v>
      </c>
      <c r="B1004" s="17" t="s">
        <v>2154</v>
      </c>
      <c r="C1004" s="17" t="s">
        <v>2461</v>
      </c>
      <c r="D1004" s="17" t="str">
        <f>_xlfn.XLOOKUP(Raw_LIMS_Export!E1004,'mapping Site table'!$B$4:$B$14,'mapping Site table'!$C$4:$C$14,Raw_LIMS_Export!E1004)</f>
        <v>Budapest</v>
      </c>
      <c r="E1004" s="17" t="s">
        <v>2484</v>
      </c>
      <c r="F1004" s="17">
        <f t="shared" si="46"/>
        <v>1</v>
      </c>
      <c r="G1004" s="17" t="str">
        <f t="shared" si="47"/>
        <v>Fail</v>
      </c>
      <c r="H1004" s="17" t="str">
        <f t="shared" si="45"/>
        <v>Fail</v>
      </c>
      <c r="I1004" s="17">
        <v>8.6999999999999993</v>
      </c>
      <c r="J1004" s="17"/>
      <c r="K1004" s="17">
        <v>6</v>
      </c>
      <c r="L1004" s="17">
        <v>7.5</v>
      </c>
      <c r="M1004" s="18">
        <f>Raw_LIMS_Export!K1004</f>
        <v>45349</v>
      </c>
      <c r="N1004" s="19" t="s">
        <v>2929</v>
      </c>
    </row>
    <row r="1005" spans="1:14" x14ac:dyDescent="0.35">
      <c r="A1005" s="16" t="s">
        <v>1008</v>
      </c>
      <c r="B1005" s="17" t="s">
        <v>2365</v>
      </c>
      <c r="C1005" s="17" t="s">
        <v>2459</v>
      </c>
      <c r="D1005" s="17" t="str">
        <f>_xlfn.XLOOKUP(Raw_LIMS_Export!E1005,'mapping Site table'!$B$4:$B$14,'mapping Site table'!$C$4:$C$14,Raw_LIMS_Export!E1005)</f>
        <v>Budapest</v>
      </c>
      <c r="E1005" s="17" t="s">
        <v>2482</v>
      </c>
      <c r="F1005" s="17">
        <f t="shared" si="46"/>
        <v>1</v>
      </c>
      <c r="G1005" s="17" t="str">
        <f t="shared" si="47"/>
        <v>Pass</v>
      </c>
      <c r="H1005" s="17" t="str">
        <f t="shared" si="45"/>
        <v>Pass</v>
      </c>
      <c r="I1005" s="17">
        <v>97.8</v>
      </c>
      <c r="J1005" s="17" t="s">
        <v>2489</v>
      </c>
      <c r="K1005" s="17">
        <v>97</v>
      </c>
      <c r="L1005" s="17">
        <v>100</v>
      </c>
      <c r="M1005" s="18">
        <f>Raw_LIMS_Export!K1005</f>
        <v>45344</v>
      </c>
      <c r="N1005" s="19" t="s">
        <v>2931</v>
      </c>
    </row>
    <row r="1006" spans="1:14" x14ac:dyDescent="0.35">
      <c r="A1006" s="16" t="s">
        <v>1009</v>
      </c>
      <c r="B1006" s="17" t="s">
        <v>2352</v>
      </c>
      <c r="C1006" s="17" t="s">
        <v>2457</v>
      </c>
      <c r="D1006" s="17" t="str">
        <f>_xlfn.XLOOKUP(Raw_LIMS_Export!E1006,'mapping Site table'!$B$4:$B$14,'mapping Site table'!$C$4:$C$14,Raw_LIMS_Export!E1006)</f>
        <v>Dortmund DE</v>
      </c>
      <c r="E1006" s="17" t="s">
        <v>2479</v>
      </c>
      <c r="F1006" s="17">
        <f t="shared" si="46"/>
        <v>1</v>
      </c>
      <c r="G1006" s="17" t="str">
        <f t="shared" si="47"/>
        <v>Pass</v>
      </c>
      <c r="H1006" s="17" t="str">
        <f t="shared" si="45"/>
        <v>Fail</v>
      </c>
      <c r="I1006" s="17">
        <v>43.81</v>
      </c>
      <c r="J1006" s="17" t="s">
        <v>2486</v>
      </c>
      <c r="K1006" s="17">
        <v>0</v>
      </c>
      <c r="L1006" s="17">
        <v>120</v>
      </c>
      <c r="M1006" s="18">
        <f>Raw_LIMS_Export!K1006</f>
        <v>45416</v>
      </c>
      <c r="N1006" s="19" t="s">
        <v>2924</v>
      </c>
    </row>
    <row r="1007" spans="1:14" x14ac:dyDescent="0.35">
      <c r="A1007" s="16" t="s">
        <v>1010</v>
      </c>
      <c r="B1007" s="17" t="s">
        <v>2439</v>
      </c>
      <c r="C1007" s="17" t="s">
        <v>2458</v>
      </c>
      <c r="D1007" s="17" t="str">
        <f>_xlfn.XLOOKUP(Raw_LIMS_Export!E1007,'mapping Site table'!$B$4:$B$14,'mapping Site table'!$C$4:$C$14,Raw_LIMS_Export!E1007)</f>
        <v>Ashford UK</v>
      </c>
      <c r="E1007" s="17" t="s">
        <v>2482</v>
      </c>
      <c r="F1007" s="17">
        <f t="shared" si="46"/>
        <v>1</v>
      </c>
      <c r="G1007" s="17" t="str">
        <f t="shared" si="47"/>
        <v>Fail</v>
      </c>
      <c r="H1007" s="17" t="str">
        <f t="shared" si="45"/>
        <v>Fail</v>
      </c>
      <c r="I1007" s="17">
        <v>100.07</v>
      </c>
      <c r="J1007" s="17" t="s">
        <v>2489</v>
      </c>
      <c r="K1007" s="17">
        <v>97</v>
      </c>
      <c r="L1007" s="17">
        <v>100</v>
      </c>
      <c r="M1007" s="18">
        <f>Raw_LIMS_Export!K1007</f>
        <v>45549</v>
      </c>
      <c r="N1007" s="19" t="s">
        <v>2928</v>
      </c>
    </row>
    <row r="1008" spans="1:14" x14ac:dyDescent="0.35">
      <c r="A1008" s="16" t="s">
        <v>1011</v>
      </c>
      <c r="B1008" s="17" t="s">
        <v>2244</v>
      </c>
      <c r="C1008" s="17" t="s">
        <v>2458</v>
      </c>
      <c r="D1008" s="17" t="str">
        <f>_xlfn.XLOOKUP(Raw_LIMS_Export!E1008,'mapping Site table'!$B$4:$B$14,'mapping Site table'!$C$4:$C$14,Raw_LIMS_Export!E1008)</f>
        <v>East Hanover</v>
      </c>
      <c r="E1008" s="17" t="s">
        <v>2479</v>
      </c>
      <c r="F1008" s="17">
        <f t="shared" si="46"/>
        <v>1</v>
      </c>
      <c r="G1008" s="17" t="str">
        <f t="shared" si="47"/>
        <v>Pass</v>
      </c>
      <c r="H1008" s="17" t="str">
        <f t="shared" si="45"/>
        <v>Pass</v>
      </c>
      <c r="I1008" s="17">
        <v>56.21</v>
      </c>
      <c r="J1008" s="17" t="s">
        <v>2486</v>
      </c>
      <c r="K1008" s="17">
        <v>0</v>
      </c>
      <c r="L1008" s="17">
        <v>120</v>
      </c>
      <c r="M1008" s="18">
        <f>Raw_LIMS_Export!K1008</f>
        <v>45821</v>
      </c>
      <c r="N1008" s="19" t="s">
        <v>2924</v>
      </c>
    </row>
    <row r="1009" spans="1:14" x14ac:dyDescent="0.35">
      <c r="A1009" s="16" t="s">
        <v>1012</v>
      </c>
      <c r="B1009" s="17" t="s">
        <v>2396</v>
      </c>
      <c r="C1009" s="17" t="s">
        <v>2461</v>
      </c>
      <c r="D1009" s="17" t="str">
        <f>_xlfn.XLOOKUP(Raw_LIMS_Export!E1009,'mapping Site table'!$B$4:$B$14,'mapping Site table'!$C$4:$C$14,Raw_LIMS_Export!E1009)</f>
        <v>Budapest</v>
      </c>
      <c r="E1009" s="17" t="s">
        <v>2485</v>
      </c>
      <c r="F1009" s="17">
        <f t="shared" si="46"/>
        <v>1</v>
      </c>
      <c r="G1009" s="17" t="str">
        <f t="shared" si="47"/>
        <v>Pass</v>
      </c>
      <c r="H1009" s="17" t="str">
        <f t="shared" si="45"/>
        <v>Pass</v>
      </c>
      <c r="I1009" s="17">
        <v>30.53</v>
      </c>
      <c r="J1009" s="17" t="s">
        <v>2490</v>
      </c>
      <c r="K1009" s="17">
        <v>0</v>
      </c>
      <c r="L1009" s="17">
        <v>100</v>
      </c>
      <c r="M1009" s="18">
        <f>Raw_LIMS_Export!K1009</f>
        <v>45767</v>
      </c>
      <c r="N1009" s="19" t="s">
        <v>2927</v>
      </c>
    </row>
    <row r="1010" spans="1:14" x14ac:dyDescent="0.35">
      <c r="A1010" s="16" t="s">
        <v>1013</v>
      </c>
      <c r="B1010" s="17" t="s">
        <v>2122</v>
      </c>
      <c r="C1010" s="17" t="s">
        <v>2457</v>
      </c>
      <c r="D1010" s="17" t="str">
        <f>_xlfn.XLOOKUP(Raw_LIMS_Export!E1010,'mapping Site table'!$B$4:$B$14,'mapping Site table'!$C$4:$C$14,Raw_LIMS_Export!E1010)</f>
        <v>East Hanover</v>
      </c>
      <c r="E1010" s="17" t="s">
        <v>2480</v>
      </c>
      <c r="F1010" s="17">
        <f t="shared" si="46"/>
        <v>1</v>
      </c>
      <c r="G1010" s="17" t="str">
        <f t="shared" si="47"/>
        <v>Fail</v>
      </c>
      <c r="H1010" s="17" t="str">
        <f t="shared" si="45"/>
        <v>Fail</v>
      </c>
      <c r="I1010" s="17">
        <v>1.06</v>
      </c>
      <c r="J1010" s="17" t="s">
        <v>2487</v>
      </c>
      <c r="K1010" s="17">
        <v>0.88</v>
      </c>
      <c r="L1010" s="17">
        <v>0.97</v>
      </c>
      <c r="M1010" s="18">
        <f>Raw_LIMS_Export!K1010</f>
        <v>45671</v>
      </c>
      <c r="N1010" s="19" t="s">
        <v>2931</v>
      </c>
    </row>
    <row r="1011" spans="1:14" x14ac:dyDescent="0.35">
      <c r="A1011" s="16" t="s">
        <v>1014</v>
      </c>
      <c r="B1011" s="17" t="s">
        <v>2039</v>
      </c>
      <c r="C1011" s="17" t="s">
        <v>2458</v>
      </c>
      <c r="D1011" s="17" t="str">
        <f>_xlfn.XLOOKUP(Raw_LIMS_Export!E1011,'mapping Site table'!$B$4:$B$14,'mapping Site table'!$C$4:$C$14,Raw_LIMS_Export!E1011)</f>
        <v>Budapest</v>
      </c>
      <c r="E1011" s="17" t="s">
        <v>2484</v>
      </c>
      <c r="F1011" s="17">
        <f t="shared" si="46"/>
        <v>1</v>
      </c>
      <c r="G1011" s="17" t="str">
        <f t="shared" si="47"/>
        <v>Fail</v>
      </c>
      <c r="H1011" s="17" t="str">
        <f t="shared" si="45"/>
        <v>Fail</v>
      </c>
      <c r="I1011" s="17">
        <v>5.98</v>
      </c>
      <c r="J1011" s="17"/>
      <c r="K1011" s="17">
        <v>6</v>
      </c>
      <c r="L1011" s="17">
        <v>7.5</v>
      </c>
      <c r="M1011" s="18">
        <f>Raw_LIMS_Export!K1011</f>
        <v>45969</v>
      </c>
      <c r="N1011" s="19" t="s">
        <v>2925</v>
      </c>
    </row>
    <row r="1012" spans="1:14" x14ac:dyDescent="0.35">
      <c r="A1012" s="16" t="s">
        <v>1015</v>
      </c>
      <c r="B1012" s="17" t="s">
        <v>2207</v>
      </c>
      <c r="C1012" s="17" t="s">
        <v>2460</v>
      </c>
      <c r="D1012" s="17" t="str">
        <f>_xlfn.XLOOKUP(Raw_LIMS_Export!E1012,'mapping Site table'!$B$4:$B$14,'mapping Site table'!$C$4:$C$14,Raw_LIMS_Export!E1012)</f>
        <v>Budapest</v>
      </c>
      <c r="E1012" s="17" t="s">
        <v>2484</v>
      </c>
      <c r="F1012" s="17">
        <f t="shared" si="46"/>
        <v>1</v>
      </c>
      <c r="G1012" s="17" t="str">
        <f t="shared" si="47"/>
        <v>Pass</v>
      </c>
      <c r="H1012" s="17" t="str">
        <f t="shared" si="45"/>
        <v>Fail</v>
      </c>
      <c r="I1012" s="17">
        <v>7.49</v>
      </c>
      <c r="J1012" s="17"/>
      <c r="K1012" s="17">
        <v>6</v>
      </c>
      <c r="L1012" s="17">
        <v>7.5</v>
      </c>
      <c r="M1012" s="18">
        <f>Raw_LIMS_Export!K1012</f>
        <v>45736</v>
      </c>
      <c r="N1012" s="19" t="s">
        <v>2923</v>
      </c>
    </row>
    <row r="1013" spans="1:14" x14ac:dyDescent="0.35">
      <c r="A1013" s="16" t="s">
        <v>1016</v>
      </c>
      <c r="B1013" s="17" t="s">
        <v>2260</v>
      </c>
      <c r="C1013" s="17" t="s">
        <v>2461</v>
      </c>
      <c r="D1013" s="17" t="str">
        <f>_xlfn.XLOOKUP(Raw_LIMS_Export!E1013,'mapping Site table'!$B$4:$B$14,'mapping Site table'!$C$4:$C$14,Raw_LIMS_Export!E1013)</f>
        <v>Budapest</v>
      </c>
      <c r="E1013" s="17" t="s">
        <v>2480</v>
      </c>
      <c r="F1013" s="17">
        <f t="shared" si="46"/>
        <v>1</v>
      </c>
      <c r="G1013" s="17" t="str">
        <f t="shared" si="47"/>
        <v>Pass</v>
      </c>
      <c r="H1013" s="17" t="str">
        <f t="shared" si="45"/>
        <v>Pass</v>
      </c>
      <c r="I1013" s="17">
        <v>0.92</v>
      </c>
      <c r="J1013" s="17" t="s">
        <v>2487</v>
      </c>
      <c r="K1013" s="17">
        <v>0.88</v>
      </c>
      <c r="L1013" s="17">
        <v>0.97</v>
      </c>
      <c r="M1013" s="18">
        <f>Raw_LIMS_Export!K1013</f>
        <v>45623</v>
      </c>
      <c r="N1013" s="19" t="s">
        <v>2924</v>
      </c>
    </row>
    <row r="1014" spans="1:14" x14ac:dyDescent="0.35">
      <c r="A1014" s="16" t="s">
        <v>1017</v>
      </c>
      <c r="B1014" s="17" t="s">
        <v>2294</v>
      </c>
      <c r="C1014" s="17" t="s">
        <v>2460</v>
      </c>
      <c r="D1014" s="17" t="str">
        <f>_xlfn.XLOOKUP(Raw_LIMS_Export!E1014,'mapping Site table'!$B$4:$B$14,'mapping Site table'!$C$4:$C$14,Raw_LIMS_Export!E1014)</f>
        <v>Budapest</v>
      </c>
      <c r="E1014" s="17" t="s">
        <v>2481</v>
      </c>
      <c r="F1014" s="17">
        <f t="shared" si="46"/>
        <v>1</v>
      </c>
      <c r="G1014" s="17" t="str">
        <f t="shared" si="47"/>
        <v>Pass</v>
      </c>
      <c r="H1014" s="17" t="str">
        <f t="shared" si="45"/>
        <v>Pass</v>
      </c>
      <c r="I1014" s="17">
        <v>229.34</v>
      </c>
      <c r="J1014" s="17" t="s">
        <v>2488</v>
      </c>
      <c r="K1014" s="17">
        <v>150</v>
      </c>
      <c r="L1014" s="17">
        <v>400</v>
      </c>
      <c r="M1014" s="18">
        <f>Raw_LIMS_Export!K1014</f>
        <v>45560</v>
      </c>
      <c r="N1014" s="19" t="s">
        <v>2930</v>
      </c>
    </row>
    <row r="1015" spans="1:14" x14ac:dyDescent="0.35">
      <c r="A1015" s="16" t="s">
        <v>1018</v>
      </c>
      <c r="B1015" s="17" t="s">
        <v>2330</v>
      </c>
      <c r="C1015" s="17" t="s">
        <v>2461</v>
      </c>
      <c r="D1015" s="17" t="str">
        <f>_xlfn.XLOOKUP(Raw_LIMS_Export!E1015,'mapping Site table'!$B$4:$B$14,'mapping Site table'!$C$4:$C$14,Raw_LIMS_Export!E1015)</f>
        <v>East Hanover</v>
      </c>
      <c r="E1015" s="17" t="s">
        <v>2479</v>
      </c>
      <c r="F1015" s="17">
        <f t="shared" si="46"/>
        <v>1</v>
      </c>
      <c r="G1015" s="17" t="str">
        <f t="shared" si="47"/>
        <v>Pass</v>
      </c>
      <c r="H1015" s="17" t="str">
        <f t="shared" si="45"/>
        <v>Fail</v>
      </c>
      <c r="I1015" s="17">
        <v>62.86</v>
      </c>
      <c r="J1015" s="17" t="s">
        <v>2486</v>
      </c>
      <c r="K1015" s="17">
        <v>0</v>
      </c>
      <c r="L1015" s="17">
        <v>120</v>
      </c>
      <c r="M1015" s="18">
        <f>Raw_LIMS_Export!K1015</f>
        <v>45600</v>
      </c>
      <c r="N1015" s="19" t="s">
        <v>2923</v>
      </c>
    </row>
    <row r="1016" spans="1:14" x14ac:dyDescent="0.35">
      <c r="A1016" s="16" t="s">
        <v>1019</v>
      </c>
      <c r="B1016" s="17" t="s">
        <v>2186</v>
      </c>
      <c r="C1016" s="17" t="s">
        <v>2457</v>
      </c>
      <c r="D1016" s="17" t="str">
        <f>_xlfn.XLOOKUP(Raw_LIMS_Export!E1016,'mapping Site table'!$B$4:$B$14,'mapping Site table'!$C$4:$C$14,Raw_LIMS_Export!E1016)</f>
        <v>Budapest</v>
      </c>
      <c r="E1016" s="17" t="s">
        <v>2485</v>
      </c>
      <c r="F1016" s="17">
        <f t="shared" si="46"/>
        <v>1</v>
      </c>
      <c r="G1016" s="17" t="str">
        <f t="shared" si="47"/>
        <v>Pass</v>
      </c>
      <c r="H1016" s="17" t="str">
        <f t="shared" si="45"/>
        <v>Pass</v>
      </c>
      <c r="I1016" s="17">
        <v>45.99</v>
      </c>
      <c r="J1016" s="17" t="s">
        <v>2490</v>
      </c>
      <c r="K1016" s="17">
        <v>0</v>
      </c>
      <c r="L1016" s="17">
        <v>100</v>
      </c>
      <c r="M1016" s="18">
        <f>Raw_LIMS_Export!K1016</f>
        <v>45579</v>
      </c>
      <c r="N1016" s="19" t="s">
        <v>2928</v>
      </c>
    </row>
    <row r="1017" spans="1:14" x14ac:dyDescent="0.35">
      <c r="A1017" s="16" t="s">
        <v>1020</v>
      </c>
      <c r="B1017" s="17" t="s">
        <v>2047</v>
      </c>
      <c r="C1017" s="17" t="s">
        <v>2460</v>
      </c>
      <c r="D1017" s="17" t="str">
        <f>_xlfn.XLOOKUP(Raw_LIMS_Export!E1017,'mapping Site table'!$B$4:$B$14,'mapping Site table'!$C$4:$C$14,Raw_LIMS_Export!E1017)</f>
        <v>Budapest</v>
      </c>
      <c r="E1017" s="17" t="s">
        <v>2482</v>
      </c>
      <c r="F1017" s="17">
        <f t="shared" si="46"/>
        <v>1</v>
      </c>
      <c r="G1017" s="17" t="str">
        <f t="shared" si="47"/>
        <v>Pass</v>
      </c>
      <c r="H1017" s="17" t="str">
        <f t="shared" si="45"/>
        <v>Pass</v>
      </c>
      <c r="I1017" s="17">
        <v>99.3</v>
      </c>
      <c r="J1017" s="17" t="s">
        <v>2489</v>
      </c>
      <c r="K1017" s="17">
        <v>97</v>
      </c>
      <c r="L1017" s="17">
        <v>100</v>
      </c>
      <c r="M1017" s="18">
        <f>Raw_LIMS_Export!K1017</f>
        <v>45543</v>
      </c>
      <c r="N1017" s="19" t="s">
        <v>2930</v>
      </c>
    </row>
    <row r="1018" spans="1:14" x14ac:dyDescent="0.35">
      <c r="A1018" s="16" t="s">
        <v>1021</v>
      </c>
      <c r="B1018" s="17" t="s">
        <v>2017</v>
      </c>
      <c r="C1018" s="17" t="s">
        <v>2458</v>
      </c>
      <c r="D1018" s="17" t="str">
        <f>_xlfn.XLOOKUP(Raw_LIMS_Export!E1018,'mapping Site table'!$B$4:$B$14,'mapping Site table'!$C$4:$C$14,Raw_LIMS_Export!E1018)</f>
        <v>Vernier CH</v>
      </c>
      <c r="E1018" s="17" t="s">
        <v>2479</v>
      </c>
      <c r="F1018" s="17">
        <f t="shared" si="46"/>
        <v>1</v>
      </c>
      <c r="G1018" s="17" t="str">
        <f t="shared" si="47"/>
        <v>Pass</v>
      </c>
      <c r="H1018" s="17" t="str">
        <f t="shared" si="45"/>
        <v>Fail</v>
      </c>
      <c r="I1018" s="17">
        <v>24.09</v>
      </c>
      <c r="J1018" s="17" t="s">
        <v>2486</v>
      </c>
      <c r="K1018" s="17">
        <v>0</v>
      </c>
      <c r="L1018" s="17">
        <v>120</v>
      </c>
      <c r="M1018" s="18">
        <f>Raw_LIMS_Export!K1018</f>
        <v>46008</v>
      </c>
      <c r="N1018" s="19" t="s">
        <v>2931</v>
      </c>
    </row>
    <row r="1019" spans="1:14" x14ac:dyDescent="0.35">
      <c r="A1019" s="16" t="s">
        <v>1022</v>
      </c>
      <c r="B1019" s="17" t="s">
        <v>2086</v>
      </c>
      <c r="C1019" s="17" t="s">
        <v>2459</v>
      </c>
      <c r="D1019" s="17" t="str">
        <f>_xlfn.XLOOKUP(Raw_LIMS_Export!E1019,'mapping Site table'!$B$4:$B$14,'mapping Site table'!$C$4:$C$14,Raw_LIMS_Export!E1019)</f>
        <v>Ashford UK</v>
      </c>
      <c r="E1019" s="17" t="s">
        <v>2480</v>
      </c>
      <c r="F1019" s="17">
        <f t="shared" si="46"/>
        <v>1</v>
      </c>
      <c r="G1019" s="17" t="str">
        <f t="shared" si="47"/>
        <v>Pass</v>
      </c>
      <c r="H1019" s="17" t="str">
        <f t="shared" si="45"/>
        <v>Fail</v>
      </c>
      <c r="I1019" s="17">
        <v>0.96</v>
      </c>
      <c r="J1019" s="17" t="s">
        <v>2487</v>
      </c>
      <c r="K1019" s="17">
        <v>0.88</v>
      </c>
      <c r="L1019" s="17">
        <v>0.97</v>
      </c>
      <c r="M1019" s="18">
        <f>Raw_LIMS_Export!K1019</f>
        <v>45668</v>
      </c>
      <c r="N1019" s="19" t="s">
        <v>2924</v>
      </c>
    </row>
    <row r="1020" spans="1:14" x14ac:dyDescent="0.35">
      <c r="A1020" s="16" t="s">
        <v>1023</v>
      </c>
      <c r="B1020" s="17" t="s">
        <v>2417</v>
      </c>
      <c r="C1020" s="17" t="s">
        <v>2459</v>
      </c>
      <c r="D1020" s="17" t="str">
        <f>_xlfn.XLOOKUP(Raw_LIMS_Export!E1020,'mapping Site table'!$B$4:$B$14,'mapping Site table'!$C$4:$C$14,Raw_LIMS_Export!E1020)</f>
        <v>Ashford UK</v>
      </c>
      <c r="E1020" s="17" t="s">
        <v>2484</v>
      </c>
      <c r="F1020" s="17">
        <f t="shared" si="46"/>
        <v>1</v>
      </c>
      <c r="G1020" s="17" t="str">
        <f t="shared" si="47"/>
        <v>Pass</v>
      </c>
      <c r="H1020" s="17" t="str">
        <f t="shared" si="45"/>
        <v>Fail</v>
      </c>
      <c r="I1020" s="17">
        <v>6.24</v>
      </c>
      <c r="J1020" s="17"/>
      <c r="K1020" s="17">
        <v>6</v>
      </c>
      <c r="L1020" s="17">
        <v>7.5</v>
      </c>
      <c r="M1020" s="18">
        <f>Raw_LIMS_Export!K1020</f>
        <v>45969</v>
      </c>
      <c r="N1020" s="19" t="s">
        <v>2924</v>
      </c>
    </row>
    <row r="1021" spans="1:14" x14ac:dyDescent="0.35">
      <c r="A1021" s="16" t="s">
        <v>1024</v>
      </c>
      <c r="B1021" s="17" t="s">
        <v>2033</v>
      </c>
      <c r="C1021" s="17" t="s">
        <v>2459</v>
      </c>
      <c r="D1021" s="17" t="str">
        <f>_xlfn.XLOOKUP(Raw_LIMS_Export!E1021,'mapping Site table'!$B$4:$B$14,'mapping Site table'!$C$4:$C$14,Raw_LIMS_Export!E1021)</f>
        <v>East Hanover</v>
      </c>
      <c r="E1021" s="17" t="s">
        <v>2481</v>
      </c>
      <c r="F1021" s="17">
        <f t="shared" si="46"/>
        <v>1</v>
      </c>
      <c r="G1021" s="17" t="str">
        <f t="shared" si="47"/>
        <v>Pass</v>
      </c>
      <c r="H1021" s="17" t="str">
        <f t="shared" si="45"/>
        <v>Fail</v>
      </c>
      <c r="I1021" s="17">
        <v>257.23</v>
      </c>
      <c r="J1021" s="17" t="s">
        <v>2488</v>
      </c>
      <c r="K1021" s="17">
        <v>150</v>
      </c>
      <c r="L1021" s="17">
        <v>400</v>
      </c>
      <c r="M1021" s="18">
        <f>Raw_LIMS_Export!K1021</f>
        <v>45330</v>
      </c>
      <c r="N1021" s="19" t="s">
        <v>2930</v>
      </c>
    </row>
    <row r="1022" spans="1:14" x14ac:dyDescent="0.35">
      <c r="A1022" s="16" t="s">
        <v>1025</v>
      </c>
      <c r="B1022" s="17" t="s">
        <v>2388</v>
      </c>
      <c r="C1022" s="17" t="s">
        <v>2457</v>
      </c>
      <c r="D1022" s="17" t="str">
        <f>_xlfn.XLOOKUP(Raw_LIMS_Export!E1022,'mapping Site table'!$B$4:$B$14,'mapping Site table'!$C$4:$C$14,Raw_LIMS_Export!E1022)</f>
        <v>East Hanover</v>
      </c>
      <c r="E1022" s="17" t="s">
        <v>2484</v>
      </c>
      <c r="F1022" s="17">
        <f t="shared" si="46"/>
        <v>1</v>
      </c>
      <c r="G1022" s="17" t="str">
        <f t="shared" si="47"/>
        <v>Pass</v>
      </c>
      <c r="H1022" s="17" t="str">
        <f t="shared" si="45"/>
        <v>Fail</v>
      </c>
      <c r="I1022" s="17">
        <v>6.5</v>
      </c>
      <c r="J1022" s="17"/>
      <c r="K1022" s="17">
        <v>6</v>
      </c>
      <c r="L1022" s="17">
        <v>7.5</v>
      </c>
      <c r="M1022" s="18">
        <f>Raw_LIMS_Export!K1022</f>
        <v>45336</v>
      </c>
      <c r="N1022" s="19" t="s">
        <v>2931</v>
      </c>
    </row>
    <row r="1023" spans="1:14" x14ac:dyDescent="0.35">
      <c r="A1023" s="16" t="s">
        <v>1026</v>
      </c>
      <c r="B1023" s="17" t="s">
        <v>2101</v>
      </c>
      <c r="C1023" s="17" t="s">
        <v>2458</v>
      </c>
      <c r="D1023" s="17" t="str">
        <f>_xlfn.XLOOKUP(Raw_LIMS_Export!E1023,'mapping Site table'!$B$4:$B$14,'mapping Site table'!$C$4:$C$14,Raw_LIMS_Export!E1023)</f>
        <v>Dortmund DE</v>
      </c>
      <c r="E1023" s="17" t="s">
        <v>2483</v>
      </c>
      <c r="F1023" s="17">
        <f t="shared" si="46"/>
        <v>1</v>
      </c>
      <c r="G1023" s="17" t="str">
        <f t="shared" si="47"/>
        <v>Pass</v>
      </c>
      <c r="H1023" s="17" t="str">
        <f t="shared" si="45"/>
        <v>Pass</v>
      </c>
      <c r="I1023" s="17">
        <v>0.41</v>
      </c>
      <c r="J1023" s="17" t="s">
        <v>2489</v>
      </c>
      <c r="K1023" s="17">
        <v>0</v>
      </c>
      <c r="L1023" s="17">
        <v>1</v>
      </c>
      <c r="M1023" s="18">
        <f>Raw_LIMS_Export!K1023</f>
        <v>46013</v>
      </c>
      <c r="N1023" s="19" t="s">
        <v>2925</v>
      </c>
    </row>
    <row r="1024" spans="1:14" x14ac:dyDescent="0.35">
      <c r="A1024" s="16" t="s">
        <v>1027</v>
      </c>
      <c r="B1024" s="17" t="s">
        <v>2120</v>
      </c>
      <c r="C1024" s="17" t="s">
        <v>2459</v>
      </c>
      <c r="D1024" s="17" t="str">
        <f>_xlfn.XLOOKUP(Raw_LIMS_Export!E1024,'mapping Site table'!$B$4:$B$14,'mapping Site table'!$C$4:$C$14,Raw_LIMS_Export!E1024)</f>
        <v>Vernier CH</v>
      </c>
      <c r="E1024" s="17" t="s">
        <v>2484</v>
      </c>
      <c r="F1024" s="17">
        <f t="shared" si="46"/>
        <v>1</v>
      </c>
      <c r="G1024" s="17" t="str">
        <f t="shared" si="47"/>
        <v>Fail</v>
      </c>
      <c r="H1024" s="17" t="str">
        <f t="shared" si="45"/>
        <v>Fail</v>
      </c>
      <c r="I1024" s="17">
        <v>7.51</v>
      </c>
      <c r="J1024" s="17"/>
      <c r="K1024" s="17">
        <v>6</v>
      </c>
      <c r="L1024" s="17">
        <v>7.5</v>
      </c>
      <c r="M1024" s="18">
        <f>Raw_LIMS_Export!K1024</f>
        <v>45393</v>
      </c>
      <c r="N1024" s="19" t="s">
        <v>2932</v>
      </c>
    </row>
    <row r="1025" spans="1:14" x14ac:dyDescent="0.35">
      <c r="A1025" s="16" t="s">
        <v>1028</v>
      </c>
      <c r="B1025" s="17" t="s">
        <v>2323</v>
      </c>
      <c r="C1025" s="17" t="s">
        <v>2461</v>
      </c>
      <c r="D1025" s="17" t="str">
        <f>_xlfn.XLOOKUP(Raw_LIMS_Export!E1025,'mapping Site table'!$B$4:$B$14,'mapping Site table'!$C$4:$C$14,Raw_LIMS_Export!E1025)</f>
        <v>Budapest</v>
      </c>
      <c r="E1025" s="17" t="s">
        <v>2483</v>
      </c>
      <c r="F1025" s="17">
        <f t="shared" si="46"/>
        <v>1</v>
      </c>
      <c r="G1025" s="17" t="str">
        <f t="shared" si="47"/>
        <v>Pass</v>
      </c>
      <c r="H1025" s="17" t="str">
        <f t="shared" si="45"/>
        <v>Pass</v>
      </c>
      <c r="I1025" s="17">
        <v>0.27</v>
      </c>
      <c r="J1025" s="17" t="s">
        <v>2489</v>
      </c>
      <c r="K1025" s="17">
        <v>0</v>
      </c>
      <c r="L1025" s="17">
        <v>1</v>
      </c>
      <c r="M1025" s="18">
        <f>Raw_LIMS_Export!K1025</f>
        <v>45571</v>
      </c>
      <c r="N1025" s="19" t="s">
        <v>2925</v>
      </c>
    </row>
    <row r="1026" spans="1:14" x14ac:dyDescent="0.35">
      <c r="A1026" s="16" t="s">
        <v>1029</v>
      </c>
      <c r="B1026" s="17" t="s">
        <v>2051</v>
      </c>
      <c r="C1026" s="17" t="s">
        <v>2461</v>
      </c>
      <c r="D1026" s="17" t="str">
        <f>_xlfn.XLOOKUP(Raw_LIMS_Export!E1026,'mapping Site table'!$B$4:$B$14,'mapping Site table'!$C$4:$C$14,Raw_LIMS_Export!E1026)</f>
        <v>Dortmund DE</v>
      </c>
      <c r="E1026" s="17" t="s">
        <v>2480</v>
      </c>
      <c r="F1026" s="17">
        <f t="shared" si="46"/>
        <v>1</v>
      </c>
      <c r="G1026" s="17" t="str">
        <f t="shared" si="47"/>
        <v>Fail</v>
      </c>
      <c r="H1026" s="17" t="str">
        <f t="shared" ref="H1026:H1089" si="48">IF(COUNTIFS($B$2:$B$2016,B1026,$G$2:$G$2016,"Fail")&gt;0,"Fail",
  IF(COUNTIFS($B$2:$B$2016,B1026,$G$2:$G$2016,"Missing")&gt;0,"Pending",
    "Pass"))</f>
        <v>Fail</v>
      </c>
      <c r="I1026" s="17">
        <v>0.86</v>
      </c>
      <c r="J1026" s="17" t="s">
        <v>2487</v>
      </c>
      <c r="K1026" s="17">
        <v>0.88</v>
      </c>
      <c r="L1026" s="17">
        <v>0.97</v>
      </c>
      <c r="M1026" s="18">
        <f>Raw_LIMS_Export!K1026</f>
        <v>45564</v>
      </c>
      <c r="N1026" s="19" t="s">
        <v>2924</v>
      </c>
    </row>
    <row r="1027" spans="1:14" x14ac:dyDescent="0.35">
      <c r="A1027" s="16" t="s">
        <v>1030</v>
      </c>
      <c r="B1027" s="17" t="s">
        <v>2193</v>
      </c>
      <c r="C1027" s="17" t="s">
        <v>2460</v>
      </c>
      <c r="D1027" s="17" t="str">
        <f>_xlfn.XLOOKUP(Raw_LIMS_Export!E1027,'mapping Site table'!$B$4:$B$14,'mapping Site table'!$C$4:$C$14,Raw_LIMS_Export!E1027)</f>
        <v>Ashford UK</v>
      </c>
      <c r="E1027" s="17" t="s">
        <v>2485</v>
      </c>
      <c r="F1027" s="17">
        <f t="shared" ref="F1027:F1090" si="49">IF(I1027="",0,1)</f>
        <v>1</v>
      </c>
      <c r="G1027" s="17" t="str">
        <f t="shared" ref="G1027:G1090" si="50">IF(I1027="", "Missing", IF(AND(I1027&gt;=K1027, I1027&lt;=L1027), "Pass", "Fail"))</f>
        <v>Pass</v>
      </c>
      <c r="H1027" s="17" t="str">
        <f t="shared" si="48"/>
        <v>Pass</v>
      </c>
      <c r="I1027" s="17">
        <v>15.54</v>
      </c>
      <c r="J1027" s="17" t="s">
        <v>2490</v>
      </c>
      <c r="K1027" s="17">
        <v>0</v>
      </c>
      <c r="L1027" s="17">
        <v>100</v>
      </c>
      <c r="M1027" s="18">
        <f>Raw_LIMS_Export!K1027</f>
        <v>45552</v>
      </c>
      <c r="N1027" s="19" t="s">
        <v>2929</v>
      </c>
    </row>
    <row r="1028" spans="1:14" x14ac:dyDescent="0.35">
      <c r="A1028" s="16" t="s">
        <v>1031</v>
      </c>
      <c r="B1028" s="17" t="s">
        <v>2234</v>
      </c>
      <c r="C1028" s="17" t="s">
        <v>2457</v>
      </c>
      <c r="D1028" s="17" t="str">
        <f>_xlfn.XLOOKUP(Raw_LIMS_Export!E1028,'mapping Site table'!$B$4:$B$14,'mapping Site table'!$C$4:$C$14,Raw_LIMS_Export!E1028)</f>
        <v>Budapest</v>
      </c>
      <c r="E1028" s="17" t="s">
        <v>2484</v>
      </c>
      <c r="F1028" s="17">
        <f t="shared" si="49"/>
        <v>1</v>
      </c>
      <c r="G1028" s="17" t="str">
        <f t="shared" si="50"/>
        <v>Pass</v>
      </c>
      <c r="H1028" s="17" t="str">
        <f t="shared" si="48"/>
        <v>Pass</v>
      </c>
      <c r="I1028" s="17">
        <v>6.5</v>
      </c>
      <c r="J1028" s="17"/>
      <c r="K1028" s="17">
        <v>6</v>
      </c>
      <c r="L1028" s="17">
        <v>7.5</v>
      </c>
      <c r="M1028" s="18">
        <f>Raw_LIMS_Export!K1028</f>
        <v>45774</v>
      </c>
      <c r="N1028" s="19" t="s">
        <v>2929</v>
      </c>
    </row>
    <row r="1029" spans="1:14" x14ac:dyDescent="0.35">
      <c r="A1029" s="16" t="s">
        <v>339</v>
      </c>
      <c r="B1029" s="17" t="s">
        <v>2146</v>
      </c>
      <c r="C1029" s="17" t="s">
        <v>2459</v>
      </c>
      <c r="D1029" s="17" t="str">
        <f>_xlfn.XLOOKUP(Raw_LIMS_Export!E1029,'mapping Site table'!$B$4:$B$14,'mapping Site table'!$C$4:$C$14,Raw_LIMS_Export!E1029)</f>
        <v>Budapest</v>
      </c>
      <c r="E1029" s="17" t="s">
        <v>2480</v>
      </c>
      <c r="F1029" s="17">
        <f t="shared" si="49"/>
        <v>1</v>
      </c>
      <c r="G1029" s="17" t="str">
        <f t="shared" si="50"/>
        <v>Pass</v>
      </c>
      <c r="H1029" s="17" t="str">
        <f t="shared" si="48"/>
        <v>Pass</v>
      </c>
      <c r="I1029" s="17">
        <v>0.9</v>
      </c>
      <c r="J1029" s="17" t="s">
        <v>2487</v>
      </c>
      <c r="K1029" s="17">
        <v>0.88</v>
      </c>
      <c r="L1029" s="17">
        <v>0.97</v>
      </c>
      <c r="M1029" s="18">
        <f>Raw_LIMS_Export!K1029</f>
        <v>45476</v>
      </c>
      <c r="N1029" s="19" t="s">
        <v>2924</v>
      </c>
    </row>
    <row r="1030" spans="1:14" x14ac:dyDescent="0.35">
      <c r="A1030" s="16" t="s">
        <v>1032</v>
      </c>
      <c r="B1030" s="17" t="s">
        <v>2123</v>
      </c>
      <c r="C1030" s="17" t="s">
        <v>2457</v>
      </c>
      <c r="D1030" s="17" t="str">
        <f>_xlfn.XLOOKUP(Raw_LIMS_Export!E1030,'mapping Site table'!$B$4:$B$14,'mapping Site table'!$C$4:$C$14,Raw_LIMS_Export!E1030)</f>
        <v>Dortmund DE</v>
      </c>
      <c r="E1030" s="17" t="s">
        <v>2482</v>
      </c>
      <c r="F1030" s="17">
        <f t="shared" si="49"/>
        <v>1</v>
      </c>
      <c r="G1030" s="17" t="str">
        <f t="shared" si="50"/>
        <v>Pass</v>
      </c>
      <c r="H1030" s="17" t="str">
        <f t="shared" si="48"/>
        <v>Pass</v>
      </c>
      <c r="I1030" s="17">
        <v>98.24</v>
      </c>
      <c r="J1030" s="17" t="s">
        <v>2489</v>
      </c>
      <c r="K1030" s="17">
        <v>97</v>
      </c>
      <c r="L1030" s="17">
        <v>100</v>
      </c>
      <c r="M1030" s="18">
        <f>Raw_LIMS_Export!K1030</f>
        <v>45974</v>
      </c>
      <c r="N1030" s="19" t="s">
        <v>2927</v>
      </c>
    </row>
    <row r="1031" spans="1:14" x14ac:dyDescent="0.35">
      <c r="A1031" s="16" t="s">
        <v>1033</v>
      </c>
      <c r="B1031" s="17" t="s">
        <v>2222</v>
      </c>
      <c r="C1031" s="17" t="s">
        <v>2459</v>
      </c>
      <c r="D1031" s="17" t="str">
        <f>_xlfn.XLOOKUP(Raw_LIMS_Export!E1031,'mapping Site table'!$B$4:$B$14,'mapping Site table'!$C$4:$C$14,Raw_LIMS_Export!E1031)</f>
        <v>Ashford UK</v>
      </c>
      <c r="E1031" s="17" t="s">
        <v>2482</v>
      </c>
      <c r="F1031" s="17">
        <f t="shared" si="49"/>
        <v>1</v>
      </c>
      <c r="G1031" s="17" t="str">
        <f t="shared" si="50"/>
        <v>Pass</v>
      </c>
      <c r="H1031" s="17" t="str">
        <f t="shared" si="48"/>
        <v>Pass</v>
      </c>
      <c r="I1031" s="17">
        <v>99.26</v>
      </c>
      <c r="J1031" s="17" t="s">
        <v>2489</v>
      </c>
      <c r="K1031" s="17">
        <v>97</v>
      </c>
      <c r="L1031" s="17">
        <v>100</v>
      </c>
      <c r="M1031" s="18">
        <f>Raw_LIMS_Export!K1031</f>
        <v>45317</v>
      </c>
      <c r="N1031" s="19" t="s">
        <v>2929</v>
      </c>
    </row>
    <row r="1032" spans="1:14" x14ac:dyDescent="0.35">
      <c r="A1032" s="16" t="s">
        <v>1034</v>
      </c>
      <c r="B1032" s="17" t="s">
        <v>2402</v>
      </c>
      <c r="C1032" s="17" t="s">
        <v>2461</v>
      </c>
      <c r="D1032" s="17" t="str">
        <f>_xlfn.XLOOKUP(Raw_LIMS_Export!E1032,'mapping Site table'!$B$4:$B$14,'mapping Site table'!$C$4:$C$14,Raw_LIMS_Export!E1032)</f>
        <v>East Hanover</v>
      </c>
      <c r="E1032" s="17" t="s">
        <v>2479</v>
      </c>
      <c r="F1032" s="17">
        <f t="shared" si="49"/>
        <v>1</v>
      </c>
      <c r="G1032" s="17" t="str">
        <f t="shared" si="50"/>
        <v>Pass</v>
      </c>
      <c r="H1032" s="17" t="str">
        <f t="shared" si="48"/>
        <v>Fail</v>
      </c>
      <c r="I1032" s="17">
        <v>52.45</v>
      </c>
      <c r="J1032" s="17" t="s">
        <v>2486</v>
      </c>
      <c r="K1032" s="17">
        <v>0</v>
      </c>
      <c r="L1032" s="17">
        <v>120</v>
      </c>
      <c r="M1032" s="18">
        <f>Raw_LIMS_Export!K1032</f>
        <v>45479</v>
      </c>
      <c r="N1032" s="19" t="s">
        <v>2929</v>
      </c>
    </row>
    <row r="1033" spans="1:14" x14ac:dyDescent="0.35">
      <c r="A1033" s="16" t="s">
        <v>1035</v>
      </c>
      <c r="B1033" s="17" t="s">
        <v>2340</v>
      </c>
      <c r="C1033" s="17" t="s">
        <v>2460</v>
      </c>
      <c r="D1033" s="17" t="str">
        <f>_xlfn.XLOOKUP(Raw_LIMS_Export!E1033,'mapping Site table'!$B$4:$B$14,'mapping Site table'!$C$4:$C$14,Raw_LIMS_Export!E1033)</f>
        <v>Vernier CH</v>
      </c>
      <c r="E1033" s="17" t="s">
        <v>2482</v>
      </c>
      <c r="F1033" s="17">
        <f t="shared" si="49"/>
        <v>1</v>
      </c>
      <c r="G1033" s="17" t="str">
        <f t="shared" si="50"/>
        <v>Pass</v>
      </c>
      <c r="H1033" s="17" t="str">
        <f t="shared" si="48"/>
        <v>Pass</v>
      </c>
      <c r="I1033" s="17">
        <v>98.04</v>
      </c>
      <c r="J1033" s="17" t="s">
        <v>2489</v>
      </c>
      <c r="K1033" s="17">
        <v>97</v>
      </c>
      <c r="L1033" s="17">
        <v>100</v>
      </c>
      <c r="M1033" s="18">
        <f>Raw_LIMS_Export!K1033</f>
        <v>45890</v>
      </c>
      <c r="N1033" s="19" t="s">
        <v>2931</v>
      </c>
    </row>
    <row r="1034" spans="1:14" x14ac:dyDescent="0.35">
      <c r="A1034" s="16" t="s">
        <v>1036</v>
      </c>
      <c r="B1034" s="17" t="s">
        <v>2329</v>
      </c>
      <c r="C1034" s="17" t="s">
        <v>2459</v>
      </c>
      <c r="D1034" s="17" t="str">
        <f>_xlfn.XLOOKUP(Raw_LIMS_Export!E1034,'mapping Site table'!$B$4:$B$14,'mapping Site table'!$C$4:$C$14,Raw_LIMS_Export!E1034)</f>
        <v>Dortmund DE</v>
      </c>
      <c r="E1034" s="17" t="s">
        <v>2482</v>
      </c>
      <c r="F1034" s="17">
        <f t="shared" si="49"/>
        <v>1</v>
      </c>
      <c r="G1034" s="17" t="str">
        <f t="shared" si="50"/>
        <v>Pass</v>
      </c>
      <c r="H1034" s="17" t="str">
        <f t="shared" si="48"/>
        <v>Pass</v>
      </c>
      <c r="I1034" s="17">
        <v>99.39</v>
      </c>
      <c r="J1034" s="17" t="s">
        <v>2489</v>
      </c>
      <c r="K1034" s="17">
        <v>97</v>
      </c>
      <c r="L1034" s="17">
        <v>100</v>
      </c>
      <c r="M1034" s="18">
        <f>Raw_LIMS_Export!K1034</f>
        <v>45849</v>
      </c>
      <c r="N1034" s="19" t="s">
        <v>2927</v>
      </c>
    </row>
    <row r="1035" spans="1:14" x14ac:dyDescent="0.35">
      <c r="A1035" s="16" t="s">
        <v>1037</v>
      </c>
      <c r="B1035" s="17" t="s">
        <v>2439</v>
      </c>
      <c r="C1035" s="17" t="s">
        <v>2458</v>
      </c>
      <c r="D1035" s="17" t="str">
        <f>_xlfn.XLOOKUP(Raw_LIMS_Export!E1035,'mapping Site table'!$B$4:$B$14,'mapping Site table'!$C$4:$C$14,Raw_LIMS_Export!E1035)</f>
        <v>Ashford UK</v>
      </c>
      <c r="E1035" s="17" t="s">
        <v>2480</v>
      </c>
      <c r="F1035" s="17">
        <f t="shared" si="49"/>
        <v>1</v>
      </c>
      <c r="G1035" s="17" t="str">
        <f t="shared" si="50"/>
        <v>Pass</v>
      </c>
      <c r="H1035" s="17" t="str">
        <f t="shared" si="48"/>
        <v>Fail</v>
      </c>
      <c r="I1035" s="17">
        <v>0.91</v>
      </c>
      <c r="J1035" s="17" t="s">
        <v>2487</v>
      </c>
      <c r="K1035" s="17">
        <v>0.88</v>
      </c>
      <c r="L1035" s="17">
        <v>0.97</v>
      </c>
      <c r="M1035" s="18">
        <f>Raw_LIMS_Export!K1035</f>
        <v>45549</v>
      </c>
      <c r="N1035" s="19" t="s">
        <v>2924</v>
      </c>
    </row>
    <row r="1036" spans="1:14" x14ac:dyDescent="0.35">
      <c r="A1036" s="16" t="s">
        <v>1038</v>
      </c>
      <c r="B1036" s="17" t="s">
        <v>2294</v>
      </c>
      <c r="C1036" s="17" t="s">
        <v>2460</v>
      </c>
      <c r="D1036" s="17" t="str">
        <f>_xlfn.XLOOKUP(Raw_LIMS_Export!E1036,'mapping Site table'!$B$4:$B$14,'mapping Site table'!$C$4:$C$14,Raw_LIMS_Export!E1036)</f>
        <v>Budapest</v>
      </c>
      <c r="E1036" s="17" t="s">
        <v>2485</v>
      </c>
      <c r="F1036" s="17">
        <f t="shared" si="49"/>
        <v>1</v>
      </c>
      <c r="G1036" s="17" t="str">
        <f t="shared" si="50"/>
        <v>Pass</v>
      </c>
      <c r="H1036" s="17" t="str">
        <f t="shared" si="48"/>
        <v>Pass</v>
      </c>
      <c r="I1036" s="17">
        <v>13.67</v>
      </c>
      <c r="J1036" s="17" t="s">
        <v>2490</v>
      </c>
      <c r="K1036" s="17">
        <v>0</v>
      </c>
      <c r="L1036" s="17">
        <v>100</v>
      </c>
      <c r="M1036" s="18">
        <f>Raw_LIMS_Export!K1036</f>
        <v>45560</v>
      </c>
      <c r="N1036" s="19" t="s">
        <v>2925</v>
      </c>
    </row>
    <row r="1037" spans="1:14" x14ac:dyDescent="0.35">
      <c r="A1037" s="16" t="s">
        <v>1039</v>
      </c>
      <c r="B1037" s="17" t="s">
        <v>2059</v>
      </c>
      <c r="C1037" s="17" t="s">
        <v>2459</v>
      </c>
      <c r="D1037" s="17" t="str">
        <f>_xlfn.XLOOKUP(Raw_LIMS_Export!E1037,'mapping Site table'!$B$4:$B$14,'mapping Site table'!$C$4:$C$14,Raw_LIMS_Export!E1037)</f>
        <v>Vernier CH</v>
      </c>
      <c r="E1037" s="17" t="s">
        <v>2483</v>
      </c>
      <c r="F1037" s="17">
        <f t="shared" si="49"/>
        <v>1</v>
      </c>
      <c r="G1037" s="17" t="str">
        <f t="shared" si="50"/>
        <v>Pass</v>
      </c>
      <c r="H1037" s="17" t="str">
        <f t="shared" si="48"/>
        <v>Fail</v>
      </c>
      <c r="I1037" s="17">
        <v>0.4</v>
      </c>
      <c r="J1037" s="17" t="s">
        <v>2489</v>
      </c>
      <c r="K1037" s="17">
        <v>0</v>
      </c>
      <c r="L1037" s="17">
        <v>1</v>
      </c>
      <c r="M1037" s="18">
        <f>Raw_LIMS_Export!K1037</f>
        <v>45743</v>
      </c>
      <c r="N1037" s="19" t="s">
        <v>2932</v>
      </c>
    </row>
    <row r="1038" spans="1:14" x14ac:dyDescent="0.35">
      <c r="A1038" s="16" t="s">
        <v>1040</v>
      </c>
      <c r="B1038" s="17" t="s">
        <v>2289</v>
      </c>
      <c r="C1038" s="17" t="s">
        <v>2457</v>
      </c>
      <c r="D1038" s="17" t="str">
        <f>_xlfn.XLOOKUP(Raw_LIMS_Export!E1038,'mapping Site table'!$B$4:$B$14,'mapping Site table'!$C$4:$C$14,Raw_LIMS_Export!E1038)</f>
        <v>Budapest</v>
      </c>
      <c r="E1038" s="17" t="s">
        <v>2482</v>
      </c>
      <c r="F1038" s="17">
        <f t="shared" si="49"/>
        <v>1</v>
      </c>
      <c r="G1038" s="17" t="str">
        <f t="shared" si="50"/>
        <v>Pass</v>
      </c>
      <c r="H1038" s="17" t="str">
        <f t="shared" si="48"/>
        <v>Pass</v>
      </c>
      <c r="I1038" s="17">
        <v>98.97</v>
      </c>
      <c r="J1038" s="17" t="s">
        <v>2489</v>
      </c>
      <c r="K1038" s="17">
        <v>97</v>
      </c>
      <c r="L1038" s="17">
        <v>100</v>
      </c>
      <c r="M1038" s="18">
        <f>Raw_LIMS_Export!K1038</f>
        <v>45326</v>
      </c>
      <c r="N1038" s="19" t="s">
        <v>2928</v>
      </c>
    </row>
    <row r="1039" spans="1:14" x14ac:dyDescent="0.35">
      <c r="A1039" s="16" t="s">
        <v>1041</v>
      </c>
      <c r="B1039" s="17" t="s">
        <v>2082</v>
      </c>
      <c r="C1039" s="17" t="s">
        <v>2461</v>
      </c>
      <c r="D1039" s="17" t="str">
        <f>_xlfn.XLOOKUP(Raw_LIMS_Export!E1039,'mapping Site table'!$B$4:$B$14,'mapping Site table'!$C$4:$C$14,Raw_LIMS_Export!E1039)</f>
        <v>Ashford UK</v>
      </c>
      <c r="E1039" s="17" t="s">
        <v>2479</v>
      </c>
      <c r="F1039" s="17">
        <f t="shared" si="49"/>
        <v>1</v>
      </c>
      <c r="G1039" s="17" t="str">
        <f t="shared" si="50"/>
        <v>Pass</v>
      </c>
      <c r="H1039" s="17" t="str">
        <f t="shared" si="48"/>
        <v>Pass</v>
      </c>
      <c r="I1039" s="17">
        <v>60.28</v>
      </c>
      <c r="J1039" s="17" t="s">
        <v>2486</v>
      </c>
      <c r="K1039" s="17">
        <v>0</v>
      </c>
      <c r="L1039" s="17">
        <v>120</v>
      </c>
      <c r="M1039" s="18">
        <f>Raw_LIMS_Export!K1039</f>
        <v>45392</v>
      </c>
      <c r="N1039" s="19" t="s">
        <v>2931</v>
      </c>
    </row>
    <row r="1040" spans="1:14" x14ac:dyDescent="0.35">
      <c r="A1040" s="16" t="s">
        <v>1042</v>
      </c>
      <c r="B1040" s="17" t="s">
        <v>2264</v>
      </c>
      <c r="C1040" s="17" t="s">
        <v>2459</v>
      </c>
      <c r="D1040" s="17" t="str">
        <f>_xlfn.XLOOKUP(Raw_LIMS_Export!E1040,'mapping Site table'!$B$4:$B$14,'mapping Site table'!$C$4:$C$14,Raw_LIMS_Export!E1040)</f>
        <v>Dortmund DE</v>
      </c>
      <c r="E1040" s="17" t="s">
        <v>2483</v>
      </c>
      <c r="F1040" s="17">
        <f t="shared" si="49"/>
        <v>1</v>
      </c>
      <c r="G1040" s="17" t="str">
        <f t="shared" si="50"/>
        <v>Pass</v>
      </c>
      <c r="H1040" s="17" t="str">
        <f t="shared" si="48"/>
        <v>Fail</v>
      </c>
      <c r="I1040" s="17">
        <v>0.4</v>
      </c>
      <c r="J1040" s="17" t="s">
        <v>2489</v>
      </c>
      <c r="K1040" s="17">
        <v>0</v>
      </c>
      <c r="L1040" s="17">
        <v>1</v>
      </c>
      <c r="M1040" s="18">
        <f>Raw_LIMS_Export!K1040</f>
        <v>45795</v>
      </c>
      <c r="N1040" s="19" t="s">
        <v>2929</v>
      </c>
    </row>
    <row r="1041" spans="1:14" x14ac:dyDescent="0.35">
      <c r="A1041" s="16" t="s">
        <v>1043</v>
      </c>
      <c r="B1041" s="17" t="s">
        <v>2048</v>
      </c>
      <c r="C1041" s="17" t="s">
        <v>2458</v>
      </c>
      <c r="D1041" s="17" t="str">
        <f>_xlfn.XLOOKUP(Raw_LIMS_Export!E1041,'mapping Site table'!$B$4:$B$14,'mapping Site table'!$C$4:$C$14,Raw_LIMS_Export!E1041)</f>
        <v>Dortmund DE</v>
      </c>
      <c r="E1041" s="17" t="s">
        <v>2485</v>
      </c>
      <c r="F1041" s="17">
        <f t="shared" si="49"/>
        <v>1</v>
      </c>
      <c r="G1041" s="17" t="str">
        <f t="shared" si="50"/>
        <v>Fail</v>
      </c>
      <c r="H1041" s="17" t="str">
        <f t="shared" si="48"/>
        <v>Fail</v>
      </c>
      <c r="I1041" s="17">
        <v>-4.54</v>
      </c>
      <c r="J1041" s="17" t="s">
        <v>2490</v>
      </c>
      <c r="K1041" s="17">
        <v>0</v>
      </c>
      <c r="L1041" s="17">
        <v>100</v>
      </c>
      <c r="M1041" s="18">
        <f>Raw_LIMS_Export!K1041</f>
        <v>45845</v>
      </c>
      <c r="N1041" s="19" t="s">
        <v>2932</v>
      </c>
    </row>
    <row r="1042" spans="1:14" x14ac:dyDescent="0.35">
      <c r="A1042" s="16" t="s">
        <v>1044</v>
      </c>
      <c r="B1042" s="17" t="s">
        <v>2271</v>
      </c>
      <c r="C1042" s="17" t="s">
        <v>2459</v>
      </c>
      <c r="D1042" s="17" t="str">
        <f>_xlfn.XLOOKUP(Raw_LIMS_Export!E1042,'mapping Site table'!$B$4:$B$14,'mapping Site table'!$C$4:$C$14,Raw_LIMS_Export!E1042)</f>
        <v>Budapest</v>
      </c>
      <c r="E1042" s="17" t="s">
        <v>2479</v>
      </c>
      <c r="F1042" s="17">
        <f t="shared" si="49"/>
        <v>1</v>
      </c>
      <c r="G1042" s="17" t="str">
        <f t="shared" si="50"/>
        <v>Pass</v>
      </c>
      <c r="H1042" s="17" t="str">
        <f t="shared" si="48"/>
        <v>Pass</v>
      </c>
      <c r="I1042" s="17">
        <v>32.020000000000003</v>
      </c>
      <c r="J1042" s="17" t="s">
        <v>2486</v>
      </c>
      <c r="K1042" s="17">
        <v>0</v>
      </c>
      <c r="L1042" s="17">
        <v>120</v>
      </c>
      <c r="M1042" s="18">
        <f>Raw_LIMS_Export!K1042</f>
        <v>45583</v>
      </c>
      <c r="N1042" s="19" t="s">
        <v>2925</v>
      </c>
    </row>
    <row r="1043" spans="1:14" x14ac:dyDescent="0.35">
      <c r="A1043" s="16" t="s">
        <v>1045</v>
      </c>
      <c r="B1043" s="17" t="s">
        <v>2111</v>
      </c>
      <c r="C1043" s="17" t="s">
        <v>2461</v>
      </c>
      <c r="D1043" s="17" t="str">
        <f>_xlfn.XLOOKUP(Raw_LIMS_Export!E1043,'mapping Site table'!$B$4:$B$14,'mapping Site table'!$C$4:$C$14,Raw_LIMS_Export!E1043)</f>
        <v>Vernier CH</v>
      </c>
      <c r="E1043" s="17" t="s">
        <v>2482</v>
      </c>
      <c r="F1043" s="17">
        <f t="shared" si="49"/>
        <v>1</v>
      </c>
      <c r="G1043" s="17" t="str">
        <f t="shared" si="50"/>
        <v>Pass</v>
      </c>
      <c r="H1043" s="17" t="str">
        <f t="shared" si="48"/>
        <v>Pass</v>
      </c>
      <c r="I1043" s="17">
        <v>98.55</v>
      </c>
      <c r="J1043" s="17" t="s">
        <v>2489</v>
      </c>
      <c r="K1043" s="17">
        <v>97</v>
      </c>
      <c r="L1043" s="17">
        <v>100</v>
      </c>
      <c r="M1043" s="18">
        <f>Raw_LIMS_Export!K1043</f>
        <v>45547</v>
      </c>
      <c r="N1043" s="19" t="s">
        <v>2932</v>
      </c>
    </row>
    <row r="1044" spans="1:14" x14ac:dyDescent="0.35">
      <c r="A1044" s="16" t="s">
        <v>1046</v>
      </c>
      <c r="B1044" s="17" t="s">
        <v>2037</v>
      </c>
      <c r="C1044" s="17" t="s">
        <v>2461</v>
      </c>
      <c r="D1044" s="17" t="str">
        <f>_xlfn.XLOOKUP(Raw_LIMS_Export!E1044,'mapping Site table'!$B$4:$B$14,'mapping Site table'!$C$4:$C$14,Raw_LIMS_Export!E1044)</f>
        <v>Budapest</v>
      </c>
      <c r="E1044" s="17" t="s">
        <v>2485</v>
      </c>
      <c r="F1044" s="17">
        <f t="shared" si="49"/>
        <v>1</v>
      </c>
      <c r="G1044" s="17" t="str">
        <f t="shared" si="50"/>
        <v>Pass</v>
      </c>
      <c r="H1044" s="17" t="str">
        <f t="shared" si="48"/>
        <v>Pass</v>
      </c>
      <c r="I1044" s="17">
        <v>64.34</v>
      </c>
      <c r="J1044" s="17" t="s">
        <v>2490</v>
      </c>
      <c r="K1044" s="17">
        <v>0</v>
      </c>
      <c r="L1044" s="17">
        <v>100</v>
      </c>
      <c r="M1044" s="18">
        <f>Raw_LIMS_Export!K1044</f>
        <v>45643</v>
      </c>
      <c r="N1044" s="19" t="s">
        <v>2932</v>
      </c>
    </row>
    <row r="1045" spans="1:14" x14ac:dyDescent="0.35">
      <c r="A1045" s="16" t="s">
        <v>1047</v>
      </c>
      <c r="B1045" s="17" t="s">
        <v>2254</v>
      </c>
      <c r="C1045" s="17" t="s">
        <v>2457</v>
      </c>
      <c r="D1045" s="17" t="str">
        <f>_xlfn.XLOOKUP(Raw_LIMS_Export!E1045,'mapping Site table'!$B$4:$B$14,'mapping Site table'!$C$4:$C$14,Raw_LIMS_Export!E1045)</f>
        <v>Budapest</v>
      </c>
      <c r="E1045" s="17" t="s">
        <v>2481</v>
      </c>
      <c r="F1045" s="17">
        <f t="shared" si="49"/>
        <v>1</v>
      </c>
      <c r="G1045" s="17" t="str">
        <f t="shared" si="50"/>
        <v>Pass</v>
      </c>
      <c r="H1045" s="17" t="str">
        <f t="shared" si="48"/>
        <v>Pass</v>
      </c>
      <c r="I1045" s="17">
        <v>254.35</v>
      </c>
      <c r="J1045" s="17" t="s">
        <v>2488</v>
      </c>
      <c r="K1045" s="17">
        <v>150</v>
      </c>
      <c r="L1045" s="17">
        <v>400</v>
      </c>
      <c r="M1045" s="18">
        <f>Raw_LIMS_Export!K1045</f>
        <v>45774</v>
      </c>
      <c r="N1045" s="19" t="s">
        <v>2927</v>
      </c>
    </row>
    <row r="1046" spans="1:14" x14ac:dyDescent="0.35">
      <c r="A1046" s="16" t="s">
        <v>1048</v>
      </c>
      <c r="B1046" s="17" t="s">
        <v>2332</v>
      </c>
      <c r="C1046" s="17" t="s">
        <v>2461</v>
      </c>
      <c r="D1046" s="17" t="str">
        <f>_xlfn.XLOOKUP(Raw_LIMS_Export!E1046,'mapping Site table'!$B$4:$B$14,'mapping Site table'!$C$4:$C$14,Raw_LIMS_Export!E1046)</f>
        <v>Ashford UK</v>
      </c>
      <c r="E1046" s="17" t="s">
        <v>2483</v>
      </c>
      <c r="F1046" s="17">
        <f t="shared" si="49"/>
        <v>1</v>
      </c>
      <c r="G1046" s="17" t="str">
        <f t="shared" si="50"/>
        <v>Pass</v>
      </c>
      <c r="H1046" s="17" t="str">
        <f t="shared" si="48"/>
        <v>Pending</v>
      </c>
      <c r="I1046" s="17">
        <v>0.56999999999999995</v>
      </c>
      <c r="J1046" s="17" t="s">
        <v>2489</v>
      </c>
      <c r="K1046" s="17">
        <v>0</v>
      </c>
      <c r="L1046" s="17">
        <v>1</v>
      </c>
      <c r="M1046" s="18">
        <f>Raw_LIMS_Export!K1046</f>
        <v>45649</v>
      </c>
      <c r="N1046" s="19" t="s">
        <v>2932</v>
      </c>
    </row>
    <row r="1047" spans="1:14" x14ac:dyDescent="0.35">
      <c r="A1047" s="16" t="s">
        <v>1049</v>
      </c>
      <c r="B1047" s="17" t="s">
        <v>2169</v>
      </c>
      <c r="C1047" s="17" t="s">
        <v>2458</v>
      </c>
      <c r="D1047" s="17" t="str">
        <f>_xlfn.XLOOKUP(Raw_LIMS_Export!E1047,'mapping Site table'!$B$4:$B$14,'mapping Site table'!$C$4:$C$14,Raw_LIMS_Export!E1047)</f>
        <v>Vernier CH</v>
      </c>
      <c r="E1047" s="17" t="s">
        <v>2483</v>
      </c>
      <c r="F1047" s="17">
        <f t="shared" si="49"/>
        <v>1</v>
      </c>
      <c r="G1047" s="17" t="str">
        <f t="shared" si="50"/>
        <v>Pass</v>
      </c>
      <c r="H1047" s="17" t="str">
        <f t="shared" si="48"/>
        <v>Pass</v>
      </c>
      <c r="I1047" s="17">
        <v>0.36</v>
      </c>
      <c r="J1047" s="17" t="s">
        <v>2489</v>
      </c>
      <c r="K1047" s="17">
        <v>0</v>
      </c>
      <c r="L1047" s="17">
        <v>1</v>
      </c>
      <c r="M1047" s="18">
        <f>Raw_LIMS_Export!K1047</f>
        <v>45571</v>
      </c>
      <c r="N1047" s="19" t="s">
        <v>2923</v>
      </c>
    </row>
    <row r="1048" spans="1:14" x14ac:dyDescent="0.35">
      <c r="A1048" s="16" t="s">
        <v>1050</v>
      </c>
      <c r="B1048" s="17" t="s">
        <v>2172</v>
      </c>
      <c r="C1048" s="17" t="s">
        <v>2459</v>
      </c>
      <c r="D1048" s="17" t="str">
        <f>_xlfn.XLOOKUP(Raw_LIMS_Export!E1048,'mapping Site table'!$B$4:$B$14,'mapping Site table'!$C$4:$C$14,Raw_LIMS_Export!E1048)</f>
        <v>Dortmund DE</v>
      </c>
      <c r="E1048" s="17" t="s">
        <v>2483</v>
      </c>
      <c r="F1048" s="17">
        <f t="shared" si="49"/>
        <v>1</v>
      </c>
      <c r="G1048" s="17" t="str">
        <f t="shared" si="50"/>
        <v>Pass</v>
      </c>
      <c r="H1048" s="17" t="str">
        <f t="shared" si="48"/>
        <v>Fail</v>
      </c>
      <c r="I1048" s="17">
        <v>0.46</v>
      </c>
      <c r="J1048" s="17" t="s">
        <v>2489</v>
      </c>
      <c r="K1048" s="17">
        <v>0</v>
      </c>
      <c r="L1048" s="17">
        <v>1</v>
      </c>
      <c r="M1048" s="18">
        <f>Raw_LIMS_Export!K1048</f>
        <v>45453</v>
      </c>
      <c r="N1048" s="19" t="s">
        <v>2923</v>
      </c>
    </row>
    <row r="1049" spans="1:14" x14ac:dyDescent="0.35">
      <c r="A1049" s="16" t="s">
        <v>1051</v>
      </c>
      <c r="B1049" s="17" t="s">
        <v>2197</v>
      </c>
      <c r="C1049" s="17" t="s">
        <v>2459</v>
      </c>
      <c r="D1049" s="17" t="str">
        <f>_xlfn.XLOOKUP(Raw_LIMS_Export!E1049,'mapping Site table'!$B$4:$B$14,'mapping Site table'!$C$4:$C$14,Raw_LIMS_Export!E1049)</f>
        <v>East Hanover</v>
      </c>
      <c r="E1049" s="17" t="s">
        <v>2483</v>
      </c>
      <c r="F1049" s="17">
        <f t="shared" si="49"/>
        <v>1</v>
      </c>
      <c r="G1049" s="17" t="str">
        <f t="shared" si="50"/>
        <v>Pass</v>
      </c>
      <c r="H1049" s="17" t="str">
        <f t="shared" si="48"/>
        <v>Pending</v>
      </c>
      <c r="I1049" s="17">
        <v>0.35</v>
      </c>
      <c r="J1049" s="17" t="s">
        <v>2489</v>
      </c>
      <c r="K1049" s="17">
        <v>0</v>
      </c>
      <c r="L1049" s="17">
        <v>1</v>
      </c>
      <c r="M1049" s="18">
        <f>Raw_LIMS_Export!K1049</f>
        <v>45854</v>
      </c>
      <c r="N1049" s="19" t="s">
        <v>2930</v>
      </c>
    </row>
    <row r="1050" spans="1:14" x14ac:dyDescent="0.35">
      <c r="A1050" s="16" t="s">
        <v>1052</v>
      </c>
      <c r="B1050" s="17" t="s">
        <v>2216</v>
      </c>
      <c r="C1050" s="17" t="s">
        <v>2458</v>
      </c>
      <c r="D1050" s="17" t="str">
        <f>_xlfn.XLOOKUP(Raw_LIMS_Export!E1050,'mapping Site table'!$B$4:$B$14,'mapping Site table'!$C$4:$C$14,Raw_LIMS_Export!E1050)</f>
        <v>Dortmund DE</v>
      </c>
      <c r="E1050" s="17" t="s">
        <v>2485</v>
      </c>
      <c r="F1050" s="17">
        <f t="shared" si="49"/>
        <v>1</v>
      </c>
      <c r="G1050" s="17" t="str">
        <f t="shared" si="50"/>
        <v>Pass</v>
      </c>
      <c r="H1050" s="17" t="str">
        <f t="shared" si="48"/>
        <v>Pass</v>
      </c>
      <c r="I1050" s="17">
        <v>28.97</v>
      </c>
      <c r="J1050" s="17" t="s">
        <v>2490</v>
      </c>
      <c r="K1050" s="17">
        <v>0</v>
      </c>
      <c r="L1050" s="17">
        <v>100</v>
      </c>
      <c r="M1050" s="18">
        <f>Raw_LIMS_Export!K1050</f>
        <v>45873</v>
      </c>
      <c r="N1050" s="19" t="s">
        <v>2932</v>
      </c>
    </row>
    <row r="1051" spans="1:14" x14ac:dyDescent="0.35">
      <c r="A1051" s="16" t="s">
        <v>1053</v>
      </c>
      <c r="B1051" s="17" t="s">
        <v>2112</v>
      </c>
      <c r="C1051" s="17" t="s">
        <v>2457</v>
      </c>
      <c r="D1051" s="17" t="str">
        <f>_xlfn.XLOOKUP(Raw_LIMS_Export!E1051,'mapping Site table'!$B$4:$B$14,'mapping Site table'!$C$4:$C$14,Raw_LIMS_Export!E1051)</f>
        <v>Dortmund DE</v>
      </c>
      <c r="E1051" s="17" t="s">
        <v>2480</v>
      </c>
      <c r="F1051" s="17">
        <f t="shared" si="49"/>
        <v>1</v>
      </c>
      <c r="G1051" s="17" t="str">
        <f t="shared" si="50"/>
        <v>Pass</v>
      </c>
      <c r="H1051" s="17" t="str">
        <f t="shared" si="48"/>
        <v>Pass</v>
      </c>
      <c r="I1051" s="17">
        <v>0.92</v>
      </c>
      <c r="J1051" s="17" t="s">
        <v>2487</v>
      </c>
      <c r="K1051" s="17">
        <v>0.88</v>
      </c>
      <c r="L1051" s="17">
        <v>0.97</v>
      </c>
      <c r="M1051" s="18">
        <f>Raw_LIMS_Export!K1051</f>
        <v>45993</v>
      </c>
      <c r="N1051" s="19" t="s">
        <v>2924</v>
      </c>
    </row>
    <row r="1052" spans="1:14" x14ac:dyDescent="0.35">
      <c r="A1052" s="16" t="s">
        <v>1054</v>
      </c>
      <c r="B1052" s="17" t="s">
        <v>2377</v>
      </c>
      <c r="C1052" s="17" t="s">
        <v>2460</v>
      </c>
      <c r="D1052" s="17" t="str">
        <f>_xlfn.XLOOKUP(Raw_LIMS_Export!E1052,'mapping Site table'!$B$4:$B$14,'mapping Site table'!$C$4:$C$14,Raw_LIMS_Export!E1052)</f>
        <v>Vernier CH</v>
      </c>
      <c r="E1052" s="17" t="s">
        <v>2484</v>
      </c>
      <c r="F1052" s="17">
        <f t="shared" si="49"/>
        <v>1</v>
      </c>
      <c r="G1052" s="17" t="str">
        <f t="shared" si="50"/>
        <v>Pass</v>
      </c>
      <c r="H1052" s="17" t="str">
        <f t="shared" si="48"/>
        <v>Fail</v>
      </c>
      <c r="I1052" s="17">
        <v>6.65</v>
      </c>
      <c r="J1052" s="17"/>
      <c r="K1052" s="17">
        <v>6</v>
      </c>
      <c r="L1052" s="17">
        <v>7.5</v>
      </c>
      <c r="M1052" s="18">
        <f>Raw_LIMS_Export!K1052</f>
        <v>45398</v>
      </c>
      <c r="N1052" s="19" t="s">
        <v>2931</v>
      </c>
    </row>
    <row r="1053" spans="1:14" x14ac:dyDescent="0.35">
      <c r="A1053" s="16" t="s">
        <v>1055</v>
      </c>
      <c r="B1053" s="17" t="s">
        <v>2351</v>
      </c>
      <c r="C1053" s="17" t="s">
        <v>2459</v>
      </c>
      <c r="D1053" s="17" t="str">
        <f>_xlfn.XLOOKUP(Raw_LIMS_Export!E1053,'mapping Site table'!$B$4:$B$14,'mapping Site table'!$C$4:$C$14,Raw_LIMS_Export!E1053)</f>
        <v>Vernier CH</v>
      </c>
      <c r="E1053" s="17" t="s">
        <v>2484</v>
      </c>
      <c r="F1053" s="17">
        <f t="shared" si="49"/>
        <v>1</v>
      </c>
      <c r="G1053" s="17" t="str">
        <f t="shared" si="50"/>
        <v>Pass</v>
      </c>
      <c r="H1053" s="17" t="str">
        <f t="shared" si="48"/>
        <v>Pass</v>
      </c>
      <c r="I1053" s="17">
        <v>6.67</v>
      </c>
      <c r="J1053" s="17"/>
      <c r="K1053" s="17">
        <v>6</v>
      </c>
      <c r="L1053" s="17">
        <v>7.5</v>
      </c>
      <c r="M1053" s="18">
        <f>Raw_LIMS_Export!K1053</f>
        <v>45984</v>
      </c>
      <c r="N1053" s="19" t="s">
        <v>2924</v>
      </c>
    </row>
    <row r="1054" spans="1:14" x14ac:dyDescent="0.35">
      <c r="A1054" s="16" t="s">
        <v>1056</v>
      </c>
      <c r="B1054" s="17" t="s">
        <v>2163</v>
      </c>
      <c r="C1054" s="17" t="s">
        <v>2460</v>
      </c>
      <c r="D1054" s="17" t="str">
        <f>_xlfn.XLOOKUP(Raw_LIMS_Export!E1054,'mapping Site table'!$B$4:$B$14,'mapping Site table'!$C$4:$C$14,Raw_LIMS_Export!E1054)</f>
        <v>East Hanover</v>
      </c>
      <c r="E1054" s="17" t="s">
        <v>2484</v>
      </c>
      <c r="F1054" s="17">
        <f t="shared" si="49"/>
        <v>1</v>
      </c>
      <c r="G1054" s="17" t="str">
        <f t="shared" si="50"/>
        <v>Pass</v>
      </c>
      <c r="H1054" s="17" t="str">
        <f t="shared" si="48"/>
        <v>Fail</v>
      </c>
      <c r="I1054" s="17">
        <v>6.9</v>
      </c>
      <c r="J1054" s="17"/>
      <c r="K1054" s="17">
        <v>6</v>
      </c>
      <c r="L1054" s="17">
        <v>7.5</v>
      </c>
      <c r="M1054" s="18">
        <f>Raw_LIMS_Export!K1054</f>
        <v>45698</v>
      </c>
      <c r="N1054" s="19" t="s">
        <v>2930</v>
      </c>
    </row>
    <row r="1055" spans="1:14" x14ac:dyDescent="0.35">
      <c r="A1055" s="16" t="s">
        <v>1057</v>
      </c>
      <c r="B1055" s="17" t="s">
        <v>2440</v>
      </c>
      <c r="C1055" s="17" t="s">
        <v>2460</v>
      </c>
      <c r="D1055" s="17" t="str">
        <f>_xlfn.XLOOKUP(Raw_LIMS_Export!E1055,'mapping Site table'!$B$4:$B$14,'mapping Site table'!$C$4:$C$14,Raw_LIMS_Export!E1055)</f>
        <v>Budapest</v>
      </c>
      <c r="E1055" s="17" t="s">
        <v>2479</v>
      </c>
      <c r="F1055" s="17">
        <f t="shared" si="49"/>
        <v>1</v>
      </c>
      <c r="G1055" s="17" t="str">
        <f t="shared" si="50"/>
        <v>Pass</v>
      </c>
      <c r="H1055" s="17" t="str">
        <f t="shared" si="48"/>
        <v>Pass</v>
      </c>
      <c r="I1055" s="17">
        <v>43.86</v>
      </c>
      <c r="J1055" s="17" t="s">
        <v>2486</v>
      </c>
      <c r="K1055" s="17">
        <v>0</v>
      </c>
      <c r="L1055" s="17">
        <v>120</v>
      </c>
      <c r="M1055" s="18">
        <f>Raw_LIMS_Export!K1055</f>
        <v>45606</v>
      </c>
      <c r="N1055" s="19" t="s">
        <v>2929</v>
      </c>
    </row>
    <row r="1056" spans="1:14" x14ac:dyDescent="0.35">
      <c r="A1056" s="16" t="s">
        <v>1058</v>
      </c>
      <c r="B1056" s="17" t="s">
        <v>2441</v>
      </c>
      <c r="C1056" s="17" t="s">
        <v>2461</v>
      </c>
      <c r="D1056" s="17" t="str">
        <f>_xlfn.XLOOKUP(Raw_LIMS_Export!E1056,'mapping Site table'!$B$4:$B$14,'mapping Site table'!$C$4:$C$14,Raw_LIMS_Export!E1056)</f>
        <v>East Hanover</v>
      </c>
      <c r="E1056" s="17" t="s">
        <v>2481</v>
      </c>
      <c r="F1056" s="17">
        <f t="shared" si="49"/>
        <v>1</v>
      </c>
      <c r="G1056" s="17" t="str">
        <f t="shared" si="50"/>
        <v>Pass</v>
      </c>
      <c r="H1056" s="17" t="str">
        <f t="shared" si="48"/>
        <v>Pass</v>
      </c>
      <c r="I1056" s="17">
        <v>231.5</v>
      </c>
      <c r="J1056" s="17" t="s">
        <v>2488</v>
      </c>
      <c r="K1056" s="17">
        <v>150</v>
      </c>
      <c r="L1056" s="17">
        <v>400</v>
      </c>
      <c r="M1056" s="18">
        <f>Raw_LIMS_Export!K1056</f>
        <v>45870</v>
      </c>
      <c r="N1056" s="19" t="s">
        <v>2928</v>
      </c>
    </row>
    <row r="1057" spans="1:14" x14ac:dyDescent="0.35">
      <c r="A1057" s="16" t="s">
        <v>1059</v>
      </c>
      <c r="B1057" s="17" t="s">
        <v>2442</v>
      </c>
      <c r="C1057" s="17" t="s">
        <v>2458</v>
      </c>
      <c r="D1057" s="17" t="str">
        <f>_xlfn.XLOOKUP(Raw_LIMS_Export!E1057,'mapping Site table'!$B$4:$B$14,'mapping Site table'!$C$4:$C$14,Raw_LIMS_Export!E1057)</f>
        <v>Vernier CH</v>
      </c>
      <c r="E1057" s="17" t="s">
        <v>2479</v>
      </c>
      <c r="F1057" s="17">
        <f t="shared" si="49"/>
        <v>1</v>
      </c>
      <c r="G1057" s="17" t="str">
        <f t="shared" si="50"/>
        <v>Pass</v>
      </c>
      <c r="H1057" s="17" t="str">
        <f t="shared" si="48"/>
        <v>Fail</v>
      </c>
      <c r="I1057" s="17">
        <v>74.31</v>
      </c>
      <c r="J1057" s="17" t="s">
        <v>2486</v>
      </c>
      <c r="K1057" s="17">
        <v>0</v>
      </c>
      <c r="L1057" s="17">
        <v>120</v>
      </c>
      <c r="M1057" s="18">
        <f>Raw_LIMS_Export!K1057</f>
        <v>45385</v>
      </c>
      <c r="N1057" s="19" t="s">
        <v>2927</v>
      </c>
    </row>
    <row r="1058" spans="1:14" x14ac:dyDescent="0.35">
      <c r="A1058" s="16" t="s">
        <v>1060</v>
      </c>
      <c r="B1058" s="17" t="s">
        <v>2091</v>
      </c>
      <c r="C1058" s="17" t="s">
        <v>2460</v>
      </c>
      <c r="D1058" s="17" t="str">
        <f>_xlfn.XLOOKUP(Raw_LIMS_Export!E1058,'mapping Site table'!$B$4:$B$14,'mapping Site table'!$C$4:$C$14,Raw_LIMS_Export!E1058)</f>
        <v>Vernier CH</v>
      </c>
      <c r="E1058" s="17" t="s">
        <v>2483</v>
      </c>
      <c r="F1058" s="17">
        <f t="shared" si="49"/>
        <v>1</v>
      </c>
      <c r="G1058" s="17" t="str">
        <f t="shared" si="50"/>
        <v>Pass</v>
      </c>
      <c r="H1058" s="17" t="str">
        <f t="shared" si="48"/>
        <v>Pass</v>
      </c>
      <c r="I1058" s="17">
        <v>0.57999999999999996</v>
      </c>
      <c r="J1058" s="17" t="s">
        <v>2489</v>
      </c>
      <c r="K1058" s="17">
        <v>0</v>
      </c>
      <c r="L1058" s="17">
        <v>1</v>
      </c>
      <c r="M1058" s="18">
        <f>Raw_LIMS_Export!K1058</f>
        <v>45517</v>
      </c>
      <c r="N1058" s="19" t="s">
        <v>2931</v>
      </c>
    </row>
    <row r="1059" spans="1:14" x14ac:dyDescent="0.35">
      <c r="A1059" s="16" t="s">
        <v>1061</v>
      </c>
      <c r="B1059" s="17" t="s">
        <v>2331</v>
      </c>
      <c r="C1059" s="17" t="s">
        <v>2457</v>
      </c>
      <c r="D1059" s="17" t="str">
        <f>_xlfn.XLOOKUP(Raw_LIMS_Export!E1059,'mapping Site table'!$B$4:$B$14,'mapping Site table'!$C$4:$C$14,Raw_LIMS_Export!E1059)</f>
        <v>Budapest</v>
      </c>
      <c r="E1059" s="17" t="s">
        <v>2482</v>
      </c>
      <c r="F1059" s="17">
        <f t="shared" si="49"/>
        <v>1</v>
      </c>
      <c r="G1059" s="17" t="str">
        <f t="shared" si="50"/>
        <v>Pass</v>
      </c>
      <c r="H1059" s="17" t="str">
        <f t="shared" si="48"/>
        <v>Pass</v>
      </c>
      <c r="I1059" s="17">
        <v>97.88</v>
      </c>
      <c r="J1059" s="17" t="s">
        <v>2489</v>
      </c>
      <c r="K1059" s="17">
        <v>97</v>
      </c>
      <c r="L1059" s="17">
        <v>100</v>
      </c>
      <c r="M1059" s="18">
        <f>Raw_LIMS_Export!K1059</f>
        <v>46019</v>
      </c>
      <c r="N1059" s="19" t="s">
        <v>2932</v>
      </c>
    </row>
    <row r="1060" spans="1:14" x14ac:dyDescent="0.35">
      <c r="A1060" s="16" t="s">
        <v>1062</v>
      </c>
      <c r="B1060" s="17" t="s">
        <v>2443</v>
      </c>
      <c r="C1060" s="17" t="s">
        <v>2460</v>
      </c>
      <c r="D1060" s="17" t="str">
        <f>_xlfn.XLOOKUP(Raw_LIMS_Export!E1060,'mapping Site table'!$B$4:$B$14,'mapping Site table'!$C$4:$C$14,Raw_LIMS_Export!E1060)</f>
        <v>Ashford UK</v>
      </c>
      <c r="E1060" s="17" t="s">
        <v>2483</v>
      </c>
      <c r="F1060" s="17">
        <f t="shared" si="49"/>
        <v>1</v>
      </c>
      <c r="G1060" s="17" t="str">
        <f t="shared" si="50"/>
        <v>Pass</v>
      </c>
      <c r="H1060" s="17" t="str">
        <f t="shared" si="48"/>
        <v>Pass</v>
      </c>
      <c r="I1060" s="17">
        <v>0.47</v>
      </c>
      <c r="J1060" s="17" t="s">
        <v>2489</v>
      </c>
      <c r="K1060" s="17">
        <v>0</v>
      </c>
      <c r="L1060" s="17">
        <v>1</v>
      </c>
      <c r="M1060" s="18">
        <f>Raw_LIMS_Export!K1060</f>
        <v>45533</v>
      </c>
      <c r="N1060" s="19" t="s">
        <v>2924</v>
      </c>
    </row>
    <row r="1061" spans="1:14" x14ac:dyDescent="0.35">
      <c r="A1061" s="16" t="s">
        <v>1063</v>
      </c>
      <c r="B1061" s="17" t="s">
        <v>2390</v>
      </c>
      <c r="C1061" s="17" t="s">
        <v>2459</v>
      </c>
      <c r="D1061" s="17" t="str">
        <f>_xlfn.XLOOKUP(Raw_LIMS_Export!E1061,'mapping Site table'!$B$4:$B$14,'mapping Site table'!$C$4:$C$14,Raw_LIMS_Export!E1061)</f>
        <v>Vernier CH</v>
      </c>
      <c r="E1061" s="17" t="s">
        <v>2484</v>
      </c>
      <c r="F1061" s="17">
        <f t="shared" si="49"/>
        <v>1</v>
      </c>
      <c r="G1061" s="17" t="str">
        <f t="shared" si="50"/>
        <v>Pass</v>
      </c>
      <c r="H1061" s="17" t="str">
        <f t="shared" si="48"/>
        <v>Pending</v>
      </c>
      <c r="I1061" s="17">
        <v>6.72</v>
      </c>
      <c r="J1061" s="17"/>
      <c r="K1061" s="17">
        <v>6</v>
      </c>
      <c r="L1061" s="17">
        <v>7.5</v>
      </c>
      <c r="M1061" s="18">
        <f>Raw_LIMS_Export!K1061</f>
        <v>45571</v>
      </c>
      <c r="N1061" s="19" t="s">
        <v>2924</v>
      </c>
    </row>
    <row r="1062" spans="1:14" x14ac:dyDescent="0.35">
      <c r="A1062" s="16" t="s">
        <v>1064</v>
      </c>
      <c r="B1062" s="17" t="s">
        <v>2151</v>
      </c>
      <c r="C1062" s="17" t="s">
        <v>2458</v>
      </c>
      <c r="D1062" s="17" t="str">
        <f>_xlfn.XLOOKUP(Raw_LIMS_Export!E1062,'mapping Site table'!$B$4:$B$14,'mapping Site table'!$C$4:$C$14,Raw_LIMS_Export!E1062)</f>
        <v>East Hanover</v>
      </c>
      <c r="E1062" s="17" t="s">
        <v>2479</v>
      </c>
      <c r="F1062" s="17">
        <f t="shared" si="49"/>
        <v>1</v>
      </c>
      <c r="G1062" s="17" t="str">
        <f t="shared" si="50"/>
        <v>Pass</v>
      </c>
      <c r="H1062" s="17" t="str">
        <f t="shared" si="48"/>
        <v>Fail</v>
      </c>
      <c r="I1062" s="17">
        <v>41.29</v>
      </c>
      <c r="J1062" s="17" t="s">
        <v>2486</v>
      </c>
      <c r="K1062" s="17">
        <v>0</v>
      </c>
      <c r="L1062" s="17">
        <v>120</v>
      </c>
      <c r="M1062" s="18">
        <f>Raw_LIMS_Export!K1062</f>
        <v>45334</v>
      </c>
      <c r="N1062" s="19" t="s">
        <v>2932</v>
      </c>
    </row>
    <row r="1063" spans="1:14" x14ac:dyDescent="0.35">
      <c r="A1063" s="16" t="s">
        <v>1065</v>
      </c>
      <c r="B1063" s="17" t="s">
        <v>2353</v>
      </c>
      <c r="C1063" s="17" t="s">
        <v>2461</v>
      </c>
      <c r="D1063" s="17" t="str">
        <f>_xlfn.XLOOKUP(Raw_LIMS_Export!E1063,'mapping Site table'!$B$4:$B$14,'mapping Site table'!$C$4:$C$14,Raw_LIMS_Export!E1063)</f>
        <v>Dortmund DE</v>
      </c>
      <c r="E1063" s="17" t="s">
        <v>2485</v>
      </c>
      <c r="F1063" s="17">
        <f t="shared" si="49"/>
        <v>1</v>
      </c>
      <c r="G1063" s="17" t="str">
        <f t="shared" si="50"/>
        <v>Pass</v>
      </c>
      <c r="H1063" s="17" t="str">
        <f t="shared" si="48"/>
        <v>Pass</v>
      </c>
      <c r="I1063" s="17">
        <v>15.71</v>
      </c>
      <c r="J1063" s="17" t="s">
        <v>2490</v>
      </c>
      <c r="K1063" s="17">
        <v>0</v>
      </c>
      <c r="L1063" s="17">
        <v>100</v>
      </c>
      <c r="M1063" s="18">
        <f>Raw_LIMS_Export!K1063</f>
        <v>45610</v>
      </c>
      <c r="N1063" s="19" t="s">
        <v>2932</v>
      </c>
    </row>
    <row r="1064" spans="1:14" x14ac:dyDescent="0.35">
      <c r="A1064" s="16" t="s">
        <v>1066</v>
      </c>
      <c r="B1064" s="17" t="s">
        <v>2423</v>
      </c>
      <c r="C1064" s="17" t="s">
        <v>2461</v>
      </c>
      <c r="D1064" s="17" t="str">
        <f>_xlfn.XLOOKUP(Raw_LIMS_Export!E1064,'mapping Site table'!$B$4:$B$14,'mapping Site table'!$C$4:$C$14,Raw_LIMS_Export!E1064)</f>
        <v>East Hanover</v>
      </c>
      <c r="E1064" s="17" t="s">
        <v>2482</v>
      </c>
      <c r="F1064" s="17">
        <f t="shared" si="49"/>
        <v>1</v>
      </c>
      <c r="G1064" s="17" t="str">
        <f t="shared" si="50"/>
        <v>Pass</v>
      </c>
      <c r="H1064" s="17" t="str">
        <f t="shared" si="48"/>
        <v>Pass</v>
      </c>
      <c r="I1064" s="17">
        <v>98.73</v>
      </c>
      <c r="J1064" s="17" t="s">
        <v>2489</v>
      </c>
      <c r="K1064" s="17">
        <v>97</v>
      </c>
      <c r="L1064" s="17">
        <v>100</v>
      </c>
      <c r="M1064" s="18">
        <f>Raw_LIMS_Export!K1064</f>
        <v>45916</v>
      </c>
      <c r="N1064" s="19" t="s">
        <v>2927</v>
      </c>
    </row>
    <row r="1065" spans="1:14" x14ac:dyDescent="0.35">
      <c r="A1065" s="16" t="s">
        <v>1067</v>
      </c>
      <c r="B1065" s="17" t="s">
        <v>2090</v>
      </c>
      <c r="C1065" s="17" t="s">
        <v>2457</v>
      </c>
      <c r="D1065" s="17" t="str">
        <f>_xlfn.XLOOKUP(Raw_LIMS_Export!E1065,'mapping Site table'!$B$4:$B$14,'mapping Site table'!$C$4:$C$14,Raw_LIMS_Export!E1065)</f>
        <v>Ashford UK</v>
      </c>
      <c r="E1065" s="17" t="s">
        <v>2482</v>
      </c>
      <c r="F1065" s="17">
        <f t="shared" si="49"/>
        <v>1</v>
      </c>
      <c r="G1065" s="17" t="str">
        <f t="shared" si="50"/>
        <v>Pass</v>
      </c>
      <c r="H1065" s="17" t="str">
        <f t="shared" si="48"/>
        <v>Fail</v>
      </c>
      <c r="I1065" s="17">
        <v>98.77</v>
      </c>
      <c r="J1065" s="17" t="s">
        <v>2489</v>
      </c>
      <c r="K1065" s="17">
        <v>97</v>
      </c>
      <c r="L1065" s="17">
        <v>100</v>
      </c>
      <c r="M1065" s="18">
        <f>Raw_LIMS_Export!K1065</f>
        <v>45534</v>
      </c>
      <c r="N1065" s="19" t="s">
        <v>2923</v>
      </c>
    </row>
    <row r="1066" spans="1:14" x14ac:dyDescent="0.35">
      <c r="A1066" s="16" t="s">
        <v>1068</v>
      </c>
      <c r="B1066" s="17" t="s">
        <v>2239</v>
      </c>
      <c r="C1066" s="17" t="s">
        <v>2459</v>
      </c>
      <c r="D1066" s="17" t="str">
        <f>_xlfn.XLOOKUP(Raw_LIMS_Export!E1066,'mapping Site table'!$B$4:$B$14,'mapping Site table'!$C$4:$C$14,Raw_LIMS_Export!E1066)</f>
        <v>Vernier CH</v>
      </c>
      <c r="E1066" s="17" t="s">
        <v>2482</v>
      </c>
      <c r="F1066" s="17">
        <f t="shared" si="49"/>
        <v>1</v>
      </c>
      <c r="G1066" s="17" t="str">
        <f t="shared" si="50"/>
        <v>Pass</v>
      </c>
      <c r="H1066" s="17" t="str">
        <f t="shared" si="48"/>
        <v>Fail</v>
      </c>
      <c r="I1066" s="17">
        <v>99.48</v>
      </c>
      <c r="J1066" s="17" t="s">
        <v>2489</v>
      </c>
      <c r="K1066" s="17">
        <v>97</v>
      </c>
      <c r="L1066" s="17">
        <v>100</v>
      </c>
      <c r="M1066" s="18">
        <f>Raw_LIMS_Export!K1066</f>
        <v>45340</v>
      </c>
      <c r="N1066" s="19" t="s">
        <v>2931</v>
      </c>
    </row>
    <row r="1067" spans="1:14" x14ac:dyDescent="0.35">
      <c r="A1067" s="16" t="s">
        <v>1069</v>
      </c>
      <c r="B1067" s="17" t="s">
        <v>2341</v>
      </c>
      <c r="C1067" s="17" t="s">
        <v>2459</v>
      </c>
      <c r="D1067" s="17" t="str">
        <f>_xlfn.XLOOKUP(Raw_LIMS_Export!E1067,'mapping Site table'!$B$4:$B$14,'mapping Site table'!$C$4:$C$14,Raw_LIMS_Export!E1067)</f>
        <v>East Hanover</v>
      </c>
      <c r="E1067" s="17" t="s">
        <v>2480</v>
      </c>
      <c r="F1067" s="17">
        <f t="shared" si="49"/>
        <v>1</v>
      </c>
      <c r="G1067" s="17" t="str">
        <f t="shared" si="50"/>
        <v>Pass</v>
      </c>
      <c r="H1067" s="17" t="str">
        <f t="shared" si="48"/>
        <v>Fail</v>
      </c>
      <c r="I1067" s="17">
        <v>0.95</v>
      </c>
      <c r="J1067" s="17" t="s">
        <v>2487</v>
      </c>
      <c r="K1067" s="17">
        <v>0.88</v>
      </c>
      <c r="L1067" s="17">
        <v>0.97</v>
      </c>
      <c r="M1067" s="18">
        <f>Raw_LIMS_Export!K1067</f>
        <v>45812</v>
      </c>
      <c r="N1067" s="19" t="s">
        <v>2923</v>
      </c>
    </row>
    <row r="1068" spans="1:14" x14ac:dyDescent="0.35">
      <c r="A1068" s="16" t="s">
        <v>1070</v>
      </c>
      <c r="B1068" s="17" t="s">
        <v>2144</v>
      </c>
      <c r="C1068" s="17" t="s">
        <v>2461</v>
      </c>
      <c r="D1068" s="17" t="str">
        <f>_xlfn.XLOOKUP(Raw_LIMS_Export!E1068,'mapping Site table'!$B$4:$B$14,'mapping Site table'!$C$4:$C$14,Raw_LIMS_Export!E1068)</f>
        <v>East Hanover</v>
      </c>
      <c r="E1068" s="17" t="s">
        <v>2481</v>
      </c>
      <c r="F1068" s="17">
        <f t="shared" si="49"/>
        <v>1</v>
      </c>
      <c r="G1068" s="17" t="str">
        <f t="shared" si="50"/>
        <v>Pass</v>
      </c>
      <c r="H1068" s="17" t="str">
        <f t="shared" si="48"/>
        <v>Fail</v>
      </c>
      <c r="I1068" s="17">
        <v>339.38</v>
      </c>
      <c r="J1068" s="17" t="s">
        <v>2488</v>
      </c>
      <c r="K1068" s="17">
        <v>150</v>
      </c>
      <c r="L1068" s="17">
        <v>400</v>
      </c>
      <c r="M1068" s="18">
        <f>Raw_LIMS_Export!K1068</f>
        <v>45635</v>
      </c>
      <c r="N1068" s="19" t="s">
        <v>2932</v>
      </c>
    </row>
    <row r="1069" spans="1:14" x14ac:dyDescent="0.35">
      <c r="A1069" s="16" t="s">
        <v>1071</v>
      </c>
      <c r="B1069" s="17" t="s">
        <v>2152</v>
      </c>
      <c r="C1069" s="17" t="s">
        <v>2461</v>
      </c>
      <c r="D1069" s="17" t="str">
        <f>_xlfn.XLOOKUP(Raw_LIMS_Export!E1069,'mapping Site table'!$B$4:$B$14,'mapping Site table'!$C$4:$C$14,Raw_LIMS_Export!E1069)</f>
        <v>Budapest</v>
      </c>
      <c r="E1069" s="17" t="s">
        <v>2483</v>
      </c>
      <c r="F1069" s="17">
        <f t="shared" si="49"/>
        <v>1</v>
      </c>
      <c r="G1069" s="17" t="str">
        <f t="shared" si="50"/>
        <v>Pass</v>
      </c>
      <c r="H1069" s="17" t="str">
        <f t="shared" si="48"/>
        <v>Fail</v>
      </c>
      <c r="I1069" s="17">
        <v>0.4</v>
      </c>
      <c r="J1069" s="17" t="s">
        <v>2489</v>
      </c>
      <c r="K1069" s="17">
        <v>0</v>
      </c>
      <c r="L1069" s="17">
        <v>1</v>
      </c>
      <c r="M1069" s="18">
        <f>Raw_LIMS_Export!K1069</f>
        <v>45958</v>
      </c>
      <c r="N1069" s="19" t="s">
        <v>2932</v>
      </c>
    </row>
    <row r="1070" spans="1:14" x14ac:dyDescent="0.35">
      <c r="A1070" s="16" t="s">
        <v>1072</v>
      </c>
      <c r="B1070" s="17" t="s">
        <v>2234</v>
      </c>
      <c r="C1070" s="17" t="s">
        <v>2457</v>
      </c>
      <c r="D1070" s="17" t="str">
        <f>_xlfn.XLOOKUP(Raw_LIMS_Export!E1070,'mapping Site table'!$B$4:$B$14,'mapping Site table'!$C$4:$C$14,Raw_LIMS_Export!E1070)</f>
        <v>Budapest</v>
      </c>
      <c r="E1070" s="17" t="s">
        <v>2483</v>
      </c>
      <c r="F1070" s="17">
        <f t="shared" si="49"/>
        <v>1</v>
      </c>
      <c r="G1070" s="17" t="str">
        <f t="shared" si="50"/>
        <v>Pass</v>
      </c>
      <c r="H1070" s="17" t="str">
        <f t="shared" si="48"/>
        <v>Pass</v>
      </c>
      <c r="I1070" s="17">
        <v>0.22</v>
      </c>
      <c r="J1070" s="17" t="s">
        <v>2489</v>
      </c>
      <c r="K1070" s="17">
        <v>0</v>
      </c>
      <c r="L1070" s="17">
        <v>1</v>
      </c>
      <c r="M1070" s="18">
        <f>Raw_LIMS_Export!K1070</f>
        <v>45774</v>
      </c>
      <c r="N1070" s="19" t="s">
        <v>2928</v>
      </c>
    </row>
    <row r="1071" spans="1:14" x14ac:dyDescent="0.35">
      <c r="A1071" s="16" t="s">
        <v>1073</v>
      </c>
      <c r="B1071" s="17" t="s">
        <v>2083</v>
      </c>
      <c r="C1071" s="17" t="s">
        <v>2459</v>
      </c>
      <c r="D1071" s="17" t="str">
        <f>_xlfn.XLOOKUP(Raw_LIMS_Export!E1071,'mapping Site table'!$B$4:$B$14,'mapping Site table'!$C$4:$C$14,Raw_LIMS_Export!E1071)</f>
        <v>Ashford UK</v>
      </c>
      <c r="E1071" s="17" t="s">
        <v>2481</v>
      </c>
      <c r="F1071" s="17">
        <f t="shared" si="49"/>
        <v>1</v>
      </c>
      <c r="G1071" s="17" t="str">
        <f t="shared" si="50"/>
        <v>Pass</v>
      </c>
      <c r="H1071" s="17" t="str">
        <f t="shared" si="48"/>
        <v>Pass</v>
      </c>
      <c r="I1071" s="17">
        <v>328.59</v>
      </c>
      <c r="J1071" s="17" t="s">
        <v>2488</v>
      </c>
      <c r="K1071" s="17">
        <v>150</v>
      </c>
      <c r="L1071" s="17">
        <v>400</v>
      </c>
      <c r="M1071" s="18">
        <f>Raw_LIMS_Export!K1071</f>
        <v>45979</v>
      </c>
      <c r="N1071" s="19" t="s">
        <v>2930</v>
      </c>
    </row>
    <row r="1072" spans="1:14" x14ac:dyDescent="0.35">
      <c r="A1072" s="16" t="s">
        <v>1074</v>
      </c>
      <c r="B1072" s="17" t="s">
        <v>2316</v>
      </c>
      <c r="C1072" s="17" t="s">
        <v>2460</v>
      </c>
      <c r="D1072" s="17" t="str">
        <f>_xlfn.XLOOKUP(Raw_LIMS_Export!E1072,'mapping Site table'!$B$4:$B$14,'mapping Site table'!$C$4:$C$14,Raw_LIMS_Export!E1072)</f>
        <v>Dortmund DE</v>
      </c>
      <c r="E1072" s="17" t="s">
        <v>2485</v>
      </c>
      <c r="F1072" s="17">
        <f t="shared" si="49"/>
        <v>1</v>
      </c>
      <c r="G1072" s="17" t="str">
        <f t="shared" si="50"/>
        <v>Fail</v>
      </c>
      <c r="H1072" s="17" t="str">
        <f t="shared" si="48"/>
        <v>Fail</v>
      </c>
      <c r="I1072" s="17">
        <v>-17.079999999999998</v>
      </c>
      <c r="J1072" s="17" t="s">
        <v>2490</v>
      </c>
      <c r="K1072" s="17">
        <v>0</v>
      </c>
      <c r="L1072" s="17">
        <v>100</v>
      </c>
      <c r="M1072" s="18">
        <f>Raw_LIMS_Export!K1072</f>
        <v>45524</v>
      </c>
      <c r="N1072" s="19" t="s">
        <v>2930</v>
      </c>
    </row>
    <row r="1073" spans="1:14" x14ac:dyDescent="0.35">
      <c r="A1073" s="16" t="s">
        <v>1075</v>
      </c>
      <c r="B1073" s="17" t="s">
        <v>2262</v>
      </c>
      <c r="C1073" s="17" t="s">
        <v>2459</v>
      </c>
      <c r="D1073" s="17" t="str">
        <f>_xlfn.XLOOKUP(Raw_LIMS_Export!E1073,'mapping Site table'!$B$4:$B$14,'mapping Site table'!$C$4:$C$14,Raw_LIMS_Export!E1073)</f>
        <v>Vernier CH</v>
      </c>
      <c r="E1073" s="17" t="s">
        <v>2483</v>
      </c>
      <c r="F1073" s="17">
        <f t="shared" si="49"/>
        <v>1</v>
      </c>
      <c r="G1073" s="17" t="str">
        <f t="shared" si="50"/>
        <v>Pass</v>
      </c>
      <c r="H1073" s="17" t="str">
        <f t="shared" si="48"/>
        <v>Fail</v>
      </c>
      <c r="I1073" s="17">
        <v>0.35</v>
      </c>
      <c r="J1073" s="17" t="s">
        <v>2489</v>
      </c>
      <c r="K1073" s="17">
        <v>0</v>
      </c>
      <c r="L1073" s="17">
        <v>1</v>
      </c>
      <c r="M1073" s="18">
        <f>Raw_LIMS_Export!K1073</f>
        <v>45659</v>
      </c>
      <c r="N1073" s="19" t="s">
        <v>2930</v>
      </c>
    </row>
    <row r="1074" spans="1:14" x14ac:dyDescent="0.35">
      <c r="A1074" s="16" t="s">
        <v>1076</v>
      </c>
      <c r="B1074" s="17" t="s">
        <v>2201</v>
      </c>
      <c r="C1074" s="17" t="s">
        <v>2460</v>
      </c>
      <c r="D1074" s="17" t="str">
        <f>_xlfn.XLOOKUP(Raw_LIMS_Export!E1074,'mapping Site table'!$B$4:$B$14,'mapping Site table'!$C$4:$C$14,Raw_LIMS_Export!E1074)</f>
        <v>Ashford UK</v>
      </c>
      <c r="E1074" s="17" t="s">
        <v>2482</v>
      </c>
      <c r="F1074" s="17">
        <f t="shared" si="49"/>
        <v>1</v>
      </c>
      <c r="G1074" s="17" t="str">
        <f t="shared" si="50"/>
        <v>Pass</v>
      </c>
      <c r="H1074" s="17" t="str">
        <f t="shared" si="48"/>
        <v>Pass</v>
      </c>
      <c r="I1074" s="17">
        <v>98.22</v>
      </c>
      <c r="J1074" s="17" t="s">
        <v>2489</v>
      </c>
      <c r="K1074" s="17">
        <v>97</v>
      </c>
      <c r="L1074" s="17">
        <v>100</v>
      </c>
      <c r="M1074" s="18">
        <f>Raw_LIMS_Export!K1074</f>
        <v>45947</v>
      </c>
      <c r="N1074" s="19" t="s">
        <v>2923</v>
      </c>
    </row>
    <row r="1075" spans="1:14" x14ac:dyDescent="0.35">
      <c r="A1075" s="16" t="s">
        <v>1077</v>
      </c>
      <c r="B1075" s="17" t="s">
        <v>2444</v>
      </c>
      <c r="C1075" s="17" t="s">
        <v>2459</v>
      </c>
      <c r="D1075" s="17" t="str">
        <f>_xlfn.XLOOKUP(Raw_LIMS_Export!E1075,'mapping Site table'!$B$4:$B$14,'mapping Site table'!$C$4:$C$14,Raw_LIMS_Export!E1075)</f>
        <v>Budapest</v>
      </c>
      <c r="E1075" s="17" t="s">
        <v>2483</v>
      </c>
      <c r="F1075" s="17">
        <f t="shared" si="49"/>
        <v>1</v>
      </c>
      <c r="G1075" s="17" t="str">
        <f t="shared" si="50"/>
        <v>Pass</v>
      </c>
      <c r="H1075" s="17" t="str">
        <f t="shared" si="48"/>
        <v>Pass</v>
      </c>
      <c r="I1075" s="17">
        <v>0.2</v>
      </c>
      <c r="J1075" s="17" t="s">
        <v>2489</v>
      </c>
      <c r="K1075" s="17">
        <v>0</v>
      </c>
      <c r="L1075" s="17">
        <v>1</v>
      </c>
      <c r="M1075" s="18">
        <f>Raw_LIMS_Export!K1075</f>
        <v>45946</v>
      </c>
      <c r="N1075" s="19" t="s">
        <v>2926</v>
      </c>
    </row>
    <row r="1076" spans="1:14" x14ac:dyDescent="0.35">
      <c r="A1076" s="16" t="s">
        <v>1078</v>
      </c>
      <c r="B1076" s="17" t="s">
        <v>2379</v>
      </c>
      <c r="C1076" s="17" t="s">
        <v>2461</v>
      </c>
      <c r="D1076" s="17" t="str">
        <f>_xlfn.XLOOKUP(Raw_LIMS_Export!E1076,'mapping Site table'!$B$4:$B$14,'mapping Site table'!$C$4:$C$14,Raw_LIMS_Export!E1076)</f>
        <v>Budapest</v>
      </c>
      <c r="E1076" s="17" t="s">
        <v>2480</v>
      </c>
      <c r="F1076" s="17">
        <f t="shared" si="49"/>
        <v>1</v>
      </c>
      <c r="G1076" s="17" t="str">
        <f t="shared" si="50"/>
        <v>Pass</v>
      </c>
      <c r="H1076" s="17" t="str">
        <f t="shared" si="48"/>
        <v>Pass</v>
      </c>
      <c r="I1076" s="17">
        <v>0.95</v>
      </c>
      <c r="J1076" s="17" t="s">
        <v>2487</v>
      </c>
      <c r="K1076" s="17">
        <v>0.88</v>
      </c>
      <c r="L1076" s="17">
        <v>0.97</v>
      </c>
      <c r="M1076" s="18">
        <f>Raw_LIMS_Export!K1076</f>
        <v>45342</v>
      </c>
      <c r="N1076" s="19" t="s">
        <v>2927</v>
      </c>
    </row>
    <row r="1077" spans="1:14" x14ac:dyDescent="0.35">
      <c r="A1077" s="16" t="s">
        <v>1079</v>
      </c>
      <c r="B1077" s="17" t="s">
        <v>2268</v>
      </c>
      <c r="C1077" s="17" t="s">
        <v>2459</v>
      </c>
      <c r="D1077" s="17" t="str">
        <f>_xlfn.XLOOKUP(Raw_LIMS_Export!E1077,'mapping Site table'!$B$4:$B$14,'mapping Site table'!$C$4:$C$14,Raw_LIMS_Export!E1077)</f>
        <v>East Hanover</v>
      </c>
      <c r="E1077" s="17" t="s">
        <v>2481</v>
      </c>
      <c r="F1077" s="17">
        <f t="shared" si="49"/>
        <v>1</v>
      </c>
      <c r="G1077" s="17" t="str">
        <f t="shared" si="50"/>
        <v>Pass</v>
      </c>
      <c r="H1077" s="17" t="str">
        <f t="shared" si="48"/>
        <v>Fail</v>
      </c>
      <c r="I1077" s="17">
        <v>249.17</v>
      </c>
      <c r="J1077" s="17" t="s">
        <v>2488</v>
      </c>
      <c r="K1077" s="17">
        <v>150</v>
      </c>
      <c r="L1077" s="17">
        <v>400</v>
      </c>
      <c r="M1077" s="18">
        <f>Raw_LIMS_Export!K1077</f>
        <v>45367</v>
      </c>
      <c r="N1077" s="19" t="s">
        <v>2926</v>
      </c>
    </row>
    <row r="1078" spans="1:14" x14ac:dyDescent="0.35">
      <c r="A1078" s="16" t="s">
        <v>1080</v>
      </c>
      <c r="B1078" s="17" t="s">
        <v>2399</v>
      </c>
      <c r="C1078" s="17" t="s">
        <v>2459</v>
      </c>
      <c r="D1078" s="17" t="str">
        <f>_xlfn.XLOOKUP(Raw_LIMS_Export!E1078,'mapping Site table'!$B$4:$B$14,'mapping Site table'!$C$4:$C$14,Raw_LIMS_Export!E1078)</f>
        <v>East Hanover</v>
      </c>
      <c r="E1078" s="17" t="s">
        <v>2479</v>
      </c>
      <c r="F1078" s="17">
        <f t="shared" si="49"/>
        <v>1</v>
      </c>
      <c r="G1078" s="17" t="str">
        <f t="shared" si="50"/>
        <v>Pass</v>
      </c>
      <c r="H1078" s="17" t="str">
        <f t="shared" si="48"/>
        <v>Fail</v>
      </c>
      <c r="I1078" s="17">
        <v>57.71</v>
      </c>
      <c r="J1078" s="17" t="s">
        <v>2486</v>
      </c>
      <c r="K1078" s="17">
        <v>0</v>
      </c>
      <c r="L1078" s="17">
        <v>120</v>
      </c>
      <c r="M1078" s="18">
        <f>Raw_LIMS_Export!K1078</f>
        <v>45669</v>
      </c>
      <c r="N1078" s="19" t="s">
        <v>2926</v>
      </c>
    </row>
    <row r="1079" spans="1:14" x14ac:dyDescent="0.35">
      <c r="A1079" s="16" t="s">
        <v>1081</v>
      </c>
      <c r="B1079" s="17" t="s">
        <v>2155</v>
      </c>
      <c r="C1079" s="17" t="s">
        <v>2461</v>
      </c>
      <c r="D1079" s="17" t="str">
        <f>_xlfn.XLOOKUP(Raw_LIMS_Export!E1079,'mapping Site table'!$B$4:$B$14,'mapping Site table'!$C$4:$C$14,Raw_LIMS_Export!E1079)</f>
        <v>Dortmund DE</v>
      </c>
      <c r="E1079" s="17" t="s">
        <v>2482</v>
      </c>
      <c r="F1079" s="17">
        <f t="shared" si="49"/>
        <v>1</v>
      </c>
      <c r="G1079" s="17" t="str">
        <f t="shared" si="50"/>
        <v>Pass</v>
      </c>
      <c r="H1079" s="17" t="str">
        <f t="shared" si="48"/>
        <v>Pass</v>
      </c>
      <c r="I1079" s="17">
        <v>98.89</v>
      </c>
      <c r="J1079" s="17" t="s">
        <v>2489</v>
      </c>
      <c r="K1079" s="17">
        <v>97</v>
      </c>
      <c r="L1079" s="17">
        <v>100</v>
      </c>
      <c r="M1079" s="18">
        <f>Raw_LIMS_Export!K1079</f>
        <v>45358</v>
      </c>
      <c r="N1079" s="19" t="s">
        <v>2928</v>
      </c>
    </row>
    <row r="1080" spans="1:14" x14ac:dyDescent="0.35">
      <c r="A1080" s="16" t="s">
        <v>1082</v>
      </c>
      <c r="B1080" s="17" t="s">
        <v>2394</v>
      </c>
      <c r="C1080" s="17" t="s">
        <v>2460</v>
      </c>
      <c r="D1080" s="17" t="str">
        <f>_xlfn.XLOOKUP(Raw_LIMS_Export!E1080,'mapping Site table'!$B$4:$B$14,'mapping Site table'!$C$4:$C$14,Raw_LIMS_Export!E1080)</f>
        <v>Vernier CH</v>
      </c>
      <c r="E1080" s="17" t="s">
        <v>2483</v>
      </c>
      <c r="F1080" s="17">
        <f t="shared" si="49"/>
        <v>1</v>
      </c>
      <c r="G1080" s="17" t="str">
        <f t="shared" si="50"/>
        <v>Pass</v>
      </c>
      <c r="H1080" s="17" t="str">
        <f t="shared" si="48"/>
        <v>Fail</v>
      </c>
      <c r="I1080" s="17">
        <v>0.53</v>
      </c>
      <c r="J1080" s="17" t="s">
        <v>2489</v>
      </c>
      <c r="K1080" s="17">
        <v>0</v>
      </c>
      <c r="L1080" s="17">
        <v>1</v>
      </c>
      <c r="M1080" s="18">
        <f>Raw_LIMS_Export!K1080</f>
        <v>45499</v>
      </c>
      <c r="N1080" s="19" t="s">
        <v>2926</v>
      </c>
    </row>
    <row r="1081" spans="1:14" x14ac:dyDescent="0.35">
      <c r="A1081" s="16" t="s">
        <v>1083</v>
      </c>
      <c r="B1081" s="17" t="s">
        <v>2018</v>
      </c>
      <c r="C1081" s="17" t="s">
        <v>2460</v>
      </c>
      <c r="D1081" s="17" t="str">
        <f>_xlfn.XLOOKUP(Raw_LIMS_Export!E1081,'mapping Site table'!$B$4:$B$14,'mapping Site table'!$C$4:$C$14,Raw_LIMS_Export!E1081)</f>
        <v>Dortmund DE</v>
      </c>
      <c r="E1081" s="17" t="s">
        <v>2479</v>
      </c>
      <c r="F1081" s="17">
        <f t="shared" si="49"/>
        <v>1</v>
      </c>
      <c r="G1081" s="17" t="str">
        <f t="shared" si="50"/>
        <v>Pass</v>
      </c>
      <c r="H1081" s="17" t="str">
        <f t="shared" si="48"/>
        <v>Fail</v>
      </c>
      <c r="I1081" s="17">
        <v>61.76</v>
      </c>
      <c r="J1081" s="17" t="s">
        <v>2486</v>
      </c>
      <c r="K1081" s="17">
        <v>0</v>
      </c>
      <c r="L1081" s="17">
        <v>120</v>
      </c>
      <c r="M1081" s="18">
        <f>Raw_LIMS_Export!K1081</f>
        <v>45501</v>
      </c>
      <c r="N1081" s="19" t="s">
        <v>2928</v>
      </c>
    </row>
    <row r="1082" spans="1:14" x14ac:dyDescent="0.35">
      <c r="A1082" s="16" t="s">
        <v>1084</v>
      </c>
      <c r="B1082" s="17" t="s">
        <v>2380</v>
      </c>
      <c r="C1082" s="17" t="s">
        <v>2457</v>
      </c>
      <c r="D1082" s="17" t="str">
        <f>_xlfn.XLOOKUP(Raw_LIMS_Export!E1082,'mapping Site table'!$B$4:$B$14,'mapping Site table'!$C$4:$C$14,Raw_LIMS_Export!E1082)</f>
        <v>Dortmund DE</v>
      </c>
      <c r="E1082" s="17" t="s">
        <v>2482</v>
      </c>
      <c r="F1082" s="17">
        <f t="shared" si="49"/>
        <v>1</v>
      </c>
      <c r="G1082" s="17" t="str">
        <f t="shared" si="50"/>
        <v>Pass</v>
      </c>
      <c r="H1082" s="17" t="str">
        <f t="shared" si="48"/>
        <v>Pass</v>
      </c>
      <c r="I1082" s="17">
        <v>98.9</v>
      </c>
      <c r="J1082" s="17" t="s">
        <v>2489</v>
      </c>
      <c r="K1082" s="17">
        <v>97</v>
      </c>
      <c r="L1082" s="17">
        <v>100</v>
      </c>
      <c r="M1082" s="18">
        <f>Raw_LIMS_Export!K1082</f>
        <v>45787</v>
      </c>
      <c r="N1082" s="19" t="s">
        <v>2926</v>
      </c>
    </row>
    <row r="1083" spans="1:14" x14ac:dyDescent="0.35">
      <c r="A1083" s="16" t="s">
        <v>1085</v>
      </c>
      <c r="B1083" s="17" t="s">
        <v>2400</v>
      </c>
      <c r="C1083" s="17" t="s">
        <v>2457</v>
      </c>
      <c r="D1083" s="17" t="str">
        <f>_xlfn.XLOOKUP(Raw_LIMS_Export!E1083,'mapping Site table'!$B$4:$B$14,'mapping Site table'!$C$4:$C$14,Raw_LIMS_Export!E1083)</f>
        <v>Dortmund DE</v>
      </c>
      <c r="E1083" s="17" t="s">
        <v>2485</v>
      </c>
      <c r="F1083" s="17">
        <f t="shared" si="49"/>
        <v>1</v>
      </c>
      <c r="G1083" s="17" t="str">
        <f t="shared" si="50"/>
        <v>Fail</v>
      </c>
      <c r="H1083" s="17" t="str">
        <f t="shared" si="48"/>
        <v>Fail</v>
      </c>
      <c r="I1083" s="17">
        <v>-4.21</v>
      </c>
      <c r="J1083" s="17" t="s">
        <v>2490</v>
      </c>
      <c r="K1083" s="17">
        <v>0</v>
      </c>
      <c r="L1083" s="17">
        <v>100</v>
      </c>
      <c r="M1083" s="18">
        <f>Raw_LIMS_Export!K1083</f>
        <v>45810</v>
      </c>
      <c r="N1083" s="19" t="s">
        <v>2923</v>
      </c>
    </row>
    <row r="1084" spans="1:14" x14ac:dyDescent="0.35">
      <c r="A1084" s="16" t="s">
        <v>1086</v>
      </c>
      <c r="B1084" s="17" t="s">
        <v>2402</v>
      </c>
      <c r="C1084" s="17" t="s">
        <v>2461</v>
      </c>
      <c r="D1084" s="17" t="str">
        <f>_xlfn.XLOOKUP(Raw_LIMS_Export!E1084,'mapping Site table'!$B$4:$B$14,'mapping Site table'!$C$4:$C$14,Raw_LIMS_Export!E1084)</f>
        <v>East Hanover</v>
      </c>
      <c r="E1084" s="17" t="s">
        <v>2482</v>
      </c>
      <c r="F1084" s="17">
        <f t="shared" si="49"/>
        <v>1</v>
      </c>
      <c r="G1084" s="17" t="str">
        <f t="shared" si="50"/>
        <v>Fail</v>
      </c>
      <c r="H1084" s="17" t="str">
        <f t="shared" si="48"/>
        <v>Fail</v>
      </c>
      <c r="I1084" s="17">
        <v>100.32</v>
      </c>
      <c r="J1084" s="17" t="s">
        <v>2489</v>
      </c>
      <c r="K1084" s="17">
        <v>97</v>
      </c>
      <c r="L1084" s="17">
        <v>100</v>
      </c>
      <c r="M1084" s="18">
        <f>Raw_LIMS_Export!K1084</f>
        <v>45479</v>
      </c>
      <c r="N1084" s="19" t="s">
        <v>2927</v>
      </c>
    </row>
    <row r="1085" spans="1:14" x14ac:dyDescent="0.35">
      <c r="A1085" s="16" t="s">
        <v>1087</v>
      </c>
      <c r="B1085" s="17" t="s">
        <v>2440</v>
      </c>
      <c r="C1085" s="17" t="s">
        <v>2460</v>
      </c>
      <c r="D1085" s="17" t="str">
        <f>_xlfn.XLOOKUP(Raw_LIMS_Export!E1085,'mapping Site table'!$B$4:$B$14,'mapping Site table'!$C$4:$C$14,Raw_LIMS_Export!E1085)</f>
        <v>Budapest</v>
      </c>
      <c r="E1085" s="17" t="s">
        <v>2483</v>
      </c>
      <c r="F1085" s="17">
        <f t="shared" si="49"/>
        <v>1</v>
      </c>
      <c r="G1085" s="17" t="str">
        <f t="shared" si="50"/>
        <v>Pass</v>
      </c>
      <c r="H1085" s="17" t="str">
        <f t="shared" si="48"/>
        <v>Pass</v>
      </c>
      <c r="I1085" s="17">
        <v>0.51</v>
      </c>
      <c r="J1085" s="17" t="s">
        <v>2489</v>
      </c>
      <c r="K1085" s="17">
        <v>0</v>
      </c>
      <c r="L1085" s="17">
        <v>1</v>
      </c>
      <c r="M1085" s="18">
        <f>Raw_LIMS_Export!K1085</f>
        <v>45606</v>
      </c>
      <c r="N1085" s="19" t="s">
        <v>2926</v>
      </c>
    </row>
    <row r="1086" spans="1:14" x14ac:dyDescent="0.35">
      <c r="A1086" s="16" t="s">
        <v>1088</v>
      </c>
      <c r="B1086" s="17" t="s">
        <v>2060</v>
      </c>
      <c r="C1086" s="17" t="s">
        <v>2458</v>
      </c>
      <c r="D1086" s="17" t="str">
        <f>_xlfn.XLOOKUP(Raw_LIMS_Export!E1086,'mapping Site table'!$B$4:$B$14,'mapping Site table'!$C$4:$C$14,Raw_LIMS_Export!E1086)</f>
        <v>East Hanover</v>
      </c>
      <c r="E1086" s="17" t="s">
        <v>2485</v>
      </c>
      <c r="F1086" s="17">
        <f t="shared" si="49"/>
        <v>1</v>
      </c>
      <c r="G1086" s="17" t="str">
        <f t="shared" si="50"/>
        <v>Pass</v>
      </c>
      <c r="H1086" s="17" t="str">
        <f t="shared" si="48"/>
        <v>Fail</v>
      </c>
      <c r="I1086" s="17">
        <v>3.22</v>
      </c>
      <c r="J1086" s="17" t="s">
        <v>2490</v>
      </c>
      <c r="K1086" s="17">
        <v>0</v>
      </c>
      <c r="L1086" s="17">
        <v>100</v>
      </c>
      <c r="M1086" s="18">
        <f>Raw_LIMS_Export!K1086</f>
        <v>45751</v>
      </c>
      <c r="N1086" s="19" t="s">
        <v>2929</v>
      </c>
    </row>
    <row r="1087" spans="1:14" x14ac:dyDescent="0.35">
      <c r="A1087" s="16" t="s">
        <v>1089</v>
      </c>
      <c r="B1087" s="17" t="s">
        <v>2076</v>
      </c>
      <c r="C1087" s="17" t="s">
        <v>2458</v>
      </c>
      <c r="D1087" s="17" t="str">
        <f>_xlfn.XLOOKUP(Raw_LIMS_Export!E1087,'mapping Site table'!$B$4:$B$14,'mapping Site table'!$C$4:$C$14,Raw_LIMS_Export!E1087)</f>
        <v>East Hanover</v>
      </c>
      <c r="E1087" s="17" t="s">
        <v>2483</v>
      </c>
      <c r="F1087" s="17">
        <f t="shared" si="49"/>
        <v>1</v>
      </c>
      <c r="G1087" s="17" t="str">
        <f t="shared" si="50"/>
        <v>Pass</v>
      </c>
      <c r="H1087" s="17" t="str">
        <f t="shared" si="48"/>
        <v>Pass</v>
      </c>
      <c r="I1087" s="17">
        <v>0.41</v>
      </c>
      <c r="J1087" s="17" t="s">
        <v>2489</v>
      </c>
      <c r="K1087" s="17">
        <v>0</v>
      </c>
      <c r="L1087" s="17">
        <v>1</v>
      </c>
      <c r="M1087" s="18">
        <f>Raw_LIMS_Export!K1087</f>
        <v>45955</v>
      </c>
      <c r="N1087" s="19" t="s">
        <v>2926</v>
      </c>
    </row>
    <row r="1088" spans="1:14" x14ac:dyDescent="0.35">
      <c r="A1088" s="16" t="s">
        <v>1090</v>
      </c>
      <c r="B1088" s="17" t="s">
        <v>2103</v>
      </c>
      <c r="C1088" s="17" t="s">
        <v>2460</v>
      </c>
      <c r="D1088" s="17" t="str">
        <f>_xlfn.XLOOKUP(Raw_LIMS_Export!E1088,'mapping Site table'!$B$4:$B$14,'mapping Site table'!$C$4:$C$14,Raw_LIMS_Export!E1088)</f>
        <v>Dortmund DE</v>
      </c>
      <c r="E1088" s="17" t="s">
        <v>2485</v>
      </c>
      <c r="F1088" s="17">
        <f t="shared" si="49"/>
        <v>1</v>
      </c>
      <c r="G1088" s="17" t="str">
        <f t="shared" si="50"/>
        <v>Pass</v>
      </c>
      <c r="H1088" s="17" t="str">
        <f t="shared" si="48"/>
        <v>Pass</v>
      </c>
      <c r="I1088" s="17">
        <v>5.35</v>
      </c>
      <c r="J1088" s="17" t="s">
        <v>2490</v>
      </c>
      <c r="K1088" s="17">
        <v>0</v>
      </c>
      <c r="L1088" s="17">
        <v>100</v>
      </c>
      <c r="M1088" s="18">
        <f>Raw_LIMS_Export!K1088</f>
        <v>45573</v>
      </c>
      <c r="N1088" s="19" t="s">
        <v>2930</v>
      </c>
    </row>
    <row r="1089" spans="1:14" x14ac:dyDescent="0.35">
      <c r="A1089" s="16" t="s">
        <v>1091</v>
      </c>
      <c r="B1089" s="17" t="s">
        <v>2364</v>
      </c>
      <c r="C1089" s="17" t="s">
        <v>2461</v>
      </c>
      <c r="D1089" s="17" t="str">
        <f>_xlfn.XLOOKUP(Raw_LIMS_Export!E1089,'mapping Site table'!$B$4:$B$14,'mapping Site table'!$C$4:$C$14,Raw_LIMS_Export!E1089)</f>
        <v>East Hanover</v>
      </c>
      <c r="E1089" s="17" t="s">
        <v>2480</v>
      </c>
      <c r="F1089" s="17">
        <f t="shared" si="49"/>
        <v>1</v>
      </c>
      <c r="G1089" s="17" t="str">
        <f t="shared" si="50"/>
        <v>Pass</v>
      </c>
      <c r="H1089" s="17" t="str">
        <f t="shared" si="48"/>
        <v>Pass</v>
      </c>
      <c r="I1089" s="17">
        <v>0.94</v>
      </c>
      <c r="J1089" s="17" t="s">
        <v>2487</v>
      </c>
      <c r="K1089" s="17">
        <v>0.88</v>
      </c>
      <c r="L1089" s="17">
        <v>0.97</v>
      </c>
      <c r="M1089" s="18">
        <f>Raw_LIMS_Export!K1089</f>
        <v>45885</v>
      </c>
      <c r="N1089" s="19" t="s">
        <v>2930</v>
      </c>
    </row>
    <row r="1090" spans="1:14" x14ac:dyDescent="0.35">
      <c r="A1090" s="16" t="s">
        <v>1092</v>
      </c>
      <c r="B1090" s="17" t="s">
        <v>2322</v>
      </c>
      <c r="C1090" s="17" t="s">
        <v>2461</v>
      </c>
      <c r="D1090" s="17" t="str">
        <f>_xlfn.XLOOKUP(Raw_LIMS_Export!E1090,'mapping Site table'!$B$4:$B$14,'mapping Site table'!$C$4:$C$14,Raw_LIMS_Export!E1090)</f>
        <v>Budapest</v>
      </c>
      <c r="E1090" s="17" t="s">
        <v>2485</v>
      </c>
      <c r="F1090" s="17">
        <f t="shared" si="49"/>
        <v>1</v>
      </c>
      <c r="G1090" s="17" t="str">
        <f t="shared" si="50"/>
        <v>Pass</v>
      </c>
      <c r="H1090" s="17" t="str">
        <f t="shared" ref="H1090:H1153" si="51">IF(COUNTIFS($B$2:$B$2016,B1090,$G$2:$G$2016,"Fail")&gt;0,"Fail",
  IF(COUNTIFS($B$2:$B$2016,B1090,$G$2:$G$2016,"Missing")&gt;0,"Pending",
    "Pass"))</f>
        <v>Pass</v>
      </c>
      <c r="I1090" s="17">
        <v>33.450000000000003</v>
      </c>
      <c r="J1090" s="17" t="s">
        <v>2490</v>
      </c>
      <c r="K1090" s="17">
        <v>0</v>
      </c>
      <c r="L1090" s="17">
        <v>100</v>
      </c>
      <c r="M1090" s="18">
        <f>Raw_LIMS_Export!K1090</f>
        <v>45813</v>
      </c>
      <c r="N1090" s="19" t="s">
        <v>2932</v>
      </c>
    </row>
    <row r="1091" spans="1:14" x14ac:dyDescent="0.35">
      <c r="A1091" s="16" t="s">
        <v>1093</v>
      </c>
      <c r="B1091" s="17" t="s">
        <v>2152</v>
      </c>
      <c r="C1091" s="17" t="s">
        <v>2461</v>
      </c>
      <c r="D1091" s="17" t="str">
        <f>_xlfn.XLOOKUP(Raw_LIMS_Export!E1091,'mapping Site table'!$B$4:$B$14,'mapping Site table'!$C$4:$C$14,Raw_LIMS_Export!E1091)</f>
        <v>Budapest</v>
      </c>
      <c r="E1091" s="17" t="s">
        <v>2481</v>
      </c>
      <c r="F1091" s="17">
        <f t="shared" ref="F1091:F1154" si="52">IF(I1091="",0,1)</f>
        <v>1</v>
      </c>
      <c r="G1091" s="17" t="str">
        <f t="shared" ref="G1091:G1154" si="53">IF(I1091="", "Missing", IF(AND(I1091&gt;=K1091, I1091&lt;=L1091), "Pass", "Fail"))</f>
        <v>Pass</v>
      </c>
      <c r="H1091" s="17" t="str">
        <f t="shared" si="51"/>
        <v>Fail</v>
      </c>
      <c r="I1091" s="17">
        <v>212.29</v>
      </c>
      <c r="J1091" s="17" t="s">
        <v>2488</v>
      </c>
      <c r="K1091" s="17">
        <v>150</v>
      </c>
      <c r="L1091" s="17">
        <v>400</v>
      </c>
      <c r="M1091" s="18">
        <f>Raw_LIMS_Export!K1091</f>
        <v>45958</v>
      </c>
      <c r="N1091" s="19" t="s">
        <v>2932</v>
      </c>
    </row>
    <row r="1092" spans="1:14" x14ac:dyDescent="0.35">
      <c r="A1092" s="16" t="s">
        <v>1094</v>
      </c>
      <c r="B1092" s="17" t="s">
        <v>2308</v>
      </c>
      <c r="C1092" s="17" t="s">
        <v>2457</v>
      </c>
      <c r="D1092" s="17" t="str">
        <f>_xlfn.XLOOKUP(Raw_LIMS_Export!E1092,'mapping Site table'!$B$4:$B$14,'mapping Site table'!$C$4:$C$14,Raw_LIMS_Export!E1092)</f>
        <v>Budapest</v>
      </c>
      <c r="E1092" s="17" t="s">
        <v>2480</v>
      </c>
      <c r="F1092" s="17">
        <f t="shared" si="52"/>
        <v>1</v>
      </c>
      <c r="G1092" s="17" t="str">
        <f t="shared" si="53"/>
        <v>Pass</v>
      </c>
      <c r="H1092" s="17" t="str">
        <f t="shared" si="51"/>
        <v>Pass</v>
      </c>
      <c r="I1092" s="17">
        <v>0.94</v>
      </c>
      <c r="J1092" s="17" t="s">
        <v>2487</v>
      </c>
      <c r="K1092" s="17">
        <v>0.88</v>
      </c>
      <c r="L1092" s="17">
        <v>0.97</v>
      </c>
      <c r="M1092" s="18">
        <f>Raw_LIMS_Export!K1092</f>
        <v>45797</v>
      </c>
      <c r="N1092" s="19" t="s">
        <v>2927</v>
      </c>
    </row>
    <row r="1093" spans="1:14" x14ac:dyDescent="0.35">
      <c r="A1093" s="16" t="s">
        <v>1095</v>
      </c>
      <c r="B1093" s="17" t="s">
        <v>2245</v>
      </c>
      <c r="C1093" s="17" t="s">
        <v>2457</v>
      </c>
      <c r="D1093" s="17" t="str">
        <f>_xlfn.XLOOKUP(Raw_LIMS_Export!E1093,'mapping Site table'!$B$4:$B$14,'mapping Site table'!$C$4:$C$14,Raw_LIMS_Export!E1093)</f>
        <v>Budapest</v>
      </c>
      <c r="E1093" s="17" t="s">
        <v>2485</v>
      </c>
      <c r="F1093" s="17">
        <f t="shared" si="52"/>
        <v>1</v>
      </c>
      <c r="G1093" s="17" t="str">
        <f t="shared" si="53"/>
        <v>Pass</v>
      </c>
      <c r="H1093" s="17" t="str">
        <f t="shared" si="51"/>
        <v>Pass</v>
      </c>
      <c r="I1093" s="17">
        <v>13.89</v>
      </c>
      <c r="J1093" s="17" t="s">
        <v>2490</v>
      </c>
      <c r="K1093" s="17">
        <v>0</v>
      </c>
      <c r="L1093" s="17">
        <v>100</v>
      </c>
      <c r="M1093" s="18">
        <f>Raw_LIMS_Export!K1093</f>
        <v>45441</v>
      </c>
      <c r="N1093" s="19" t="s">
        <v>2928</v>
      </c>
    </row>
    <row r="1094" spans="1:14" x14ac:dyDescent="0.35">
      <c r="A1094" s="16" t="s">
        <v>1096</v>
      </c>
      <c r="B1094" s="17" t="s">
        <v>2395</v>
      </c>
      <c r="C1094" s="17" t="s">
        <v>2457</v>
      </c>
      <c r="D1094" s="17" t="str">
        <f>_xlfn.XLOOKUP(Raw_LIMS_Export!E1094,'mapping Site table'!$B$4:$B$14,'mapping Site table'!$C$4:$C$14,Raw_LIMS_Export!E1094)</f>
        <v>Budapest</v>
      </c>
      <c r="E1094" s="17" t="s">
        <v>2481</v>
      </c>
      <c r="F1094" s="17">
        <f t="shared" si="52"/>
        <v>1</v>
      </c>
      <c r="G1094" s="17" t="str">
        <f t="shared" si="53"/>
        <v>Pass</v>
      </c>
      <c r="H1094" s="17" t="str">
        <f t="shared" si="51"/>
        <v>Pass</v>
      </c>
      <c r="I1094" s="17">
        <v>362.38</v>
      </c>
      <c r="J1094" s="17" t="s">
        <v>2488</v>
      </c>
      <c r="K1094" s="17">
        <v>150</v>
      </c>
      <c r="L1094" s="17">
        <v>400</v>
      </c>
      <c r="M1094" s="18">
        <f>Raw_LIMS_Export!K1094</f>
        <v>45737</v>
      </c>
      <c r="N1094" s="19" t="s">
        <v>2925</v>
      </c>
    </row>
    <row r="1095" spans="1:14" x14ac:dyDescent="0.35">
      <c r="A1095" s="16" t="s">
        <v>1097</v>
      </c>
      <c r="B1095" s="17" t="s">
        <v>2156</v>
      </c>
      <c r="C1095" s="17" t="s">
        <v>2460</v>
      </c>
      <c r="D1095" s="17" t="str">
        <f>_xlfn.XLOOKUP(Raw_LIMS_Export!E1095,'mapping Site table'!$B$4:$B$14,'mapping Site table'!$C$4:$C$14,Raw_LIMS_Export!E1095)</f>
        <v>Vernier CH</v>
      </c>
      <c r="E1095" s="17" t="s">
        <v>2480</v>
      </c>
      <c r="F1095" s="17">
        <f t="shared" si="52"/>
        <v>1</v>
      </c>
      <c r="G1095" s="17" t="str">
        <f t="shared" si="53"/>
        <v>Fail</v>
      </c>
      <c r="H1095" s="17" t="str">
        <f t="shared" si="51"/>
        <v>Fail</v>
      </c>
      <c r="I1095" s="17">
        <v>0.87</v>
      </c>
      <c r="J1095" s="17" t="s">
        <v>2487</v>
      </c>
      <c r="K1095" s="17">
        <v>0.88</v>
      </c>
      <c r="L1095" s="17">
        <v>0.97</v>
      </c>
      <c r="M1095" s="18">
        <f>Raw_LIMS_Export!K1095</f>
        <v>45404</v>
      </c>
      <c r="N1095" s="19" t="s">
        <v>2929</v>
      </c>
    </row>
    <row r="1096" spans="1:14" x14ac:dyDescent="0.35">
      <c r="A1096" s="16" t="s">
        <v>1098</v>
      </c>
      <c r="B1096" s="17" t="s">
        <v>2358</v>
      </c>
      <c r="C1096" s="17" t="s">
        <v>2458</v>
      </c>
      <c r="D1096" s="17" t="str">
        <f>_xlfn.XLOOKUP(Raw_LIMS_Export!E1096,'mapping Site table'!$B$4:$B$14,'mapping Site table'!$C$4:$C$14,Raw_LIMS_Export!E1096)</f>
        <v>Ashford UK</v>
      </c>
      <c r="E1096" s="17" t="s">
        <v>2480</v>
      </c>
      <c r="F1096" s="17">
        <f t="shared" si="52"/>
        <v>0</v>
      </c>
      <c r="G1096" s="17" t="str">
        <f t="shared" si="53"/>
        <v>Missing</v>
      </c>
      <c r="H1096" s="17" t="str">
        <f t="shared" si="51"/>
        <v>Pending</v>
      </c>
      <c r="I1096" s="17"/>
      <c r="J1096" s="17" t="s">
        <v>2487</v>
      </c>
      <c r="K1096" s="17">
        <v>0.88</v>
      </c>
      <c r="L1096" s="17">
        <v>0.97</v>
      </c>
      <c r="M1096" s="18">
        <f>Raw_LIMS_Export!K1096</f>
        <v>45749</v>
      </c>
      <c r="N1096" s="19" t="s">
        <v>2925</v>
      </c>
    </row>
    <row r="1097" spans="1:14" x14ac:dyDescent="0.35">
      <c r="A1097" s="16" t="s">
        <v>1099</v>
      </c>
      <c r="B1097" s="17" t="s">
        <v>2309</v>
      </c>
      <c r="C1097" s="17" t="s">
        <v>2457</v>
      </c>
      <c r="D1097" s="17" t="str">
        <f>_xlfn.XLOOKUP(Raw_LIMS_Export!E1097,'mapping Site table'!$B$4:$B$14,'mapping Site table'!$C$4:$C$14,Raw_LIMS_Export!E1097)</f>
        <v>Budapest</v>
      </c>
      <c r="E1097" s="17" t="s">
        <v>2483</v>
      </c>
      <c r="F1097" s="17">
        <f t="shared" si="52"/>
        <v>1</v>
      </c>
      <c r="G1097" s="17" t="str">
        <f t="shared" si="53"/>
        <v>Pass</v>
      </c>
      <c r="H1097" s="17" t="str">
        <f t="shared" si="51"/>
        <v>Fail</v>
      </c>
      <c r="I1097" s="17">
        <v>0.45</v>
      </c>
      <c r="J1097" s="17" t="s">
        <v>2489</v>
      </c>
      <c r="K1097" s="17">
        <v>0</v>
      </c>
      <c r="L1097" s="17">
        <v>1</v>
      </c>
      <c r="M1097" s="18">
        <f>Raw_LIMS_Export!K1097</f>
        <v>45826</v>
      </c>
      <c r="N1097" s="19" t="s">
        <v>2927</v>
      </c>
    </row>
    <row r="1098" spans="1:14" x14ac:dyDescent="0.35">
      <c r="A1098" s="16" t="s">
        <v>1100</v>
      </c>
      <c r="B1098" s="17" t="s">
        <v>2415</v>
      </c>
      <c r="C1098" s="17" t="s">
        <v>2460</v>
      </c>
      <c r="D1098" s="17" t="str">
        <f>_xlfn.XLOOKUP(Raw_LIMS_Export!E1098,'mapping Site table'!$B$4:$B$14,'mapping Site table'!$C$4:$C$14,Raw_LIMS_Export!E1098)</f>
        <v>Vernier CH</v>
      </c>
      <c r="E1098" s="17" t="s">
        <v>2484</v>
      </c>
      <c r="F1098" s="17">
        <f t="shared" si="52"/>
        <v>1</v>
      </c>
      <c r="G1098" s="17" t="str">
        <f t="shared" si="53"/>
        <v>Pass</v>
      </c>
      <c r="H1098" s="17" t="str">
        <f t="shared" si="51"/>
        <v>Pass</v>
      </c>
      <c r="I1098" s="17">
        <v>6.41</v>
      </c>
      <c r="J1098" s="17"/>
      <c r="K1098" s="17">
        <v>6</v>
      </c>
      <c r="L1098" s="17">
        <v>7.5</v>
      </c>
      <c r="M1098" s="18">
        <f>Raw_LIMS_Export!K1098</f>
        <v>45618</v>
      </c>
      <c r="N1098" s="19" t="s">
        <v>2928</v>
      </c>
    </row>
    <row r="1099" spans="1:14" x14ac:dyDescent="0.35">
      <c r="A1099" s="16" t="s">
        <v>1101</v>
      </c>
      <c r="B1099" s="17" t="s">
        <v>2303</v>
      </c>
      <c r="C1099" s="17" t="s">
        <v>2460</v>
      </c>
      <c r="D1099" s="17" t="str">
        <f>_xlfn.XLOOKUP(Raw_LIMS_Export!E1099,'mapping Site table'!$B$4:$B$14,'mapping Site table'!$C$4:$C$14,Raw_LIMS_Export!E1099)</f>
        <v>East Hanover</v>
      </c>
      <c r="E1099" s="17" t="s">
        <v>2479</v>
      </c>
      <c r="F1099" s="17">
        <f t="shared" si="52"/>
        <v>1</v>
      </c>
      <c r="G1099" s="17" t="str">
        <f t="shared" si="53"/>
        <v>Fail</v>
      </c>
      <c r="H1099" s="17" t="str">
        <f t="shared" si="51"/>
        <v>Fail</v>
      </c>
      <c r="I1099" s="17">
        <v>180</v>
      </c>
      <c r="J1099" s="17" t="s">
        <v>2486</v>
      </c>
      <c r="K1099" s="17">
        <v>0</v>
      </c>
      <c r="L1099" s="17">
        <v>120</v>
      </c>
      <c r="M1099" s="18">
        <f>Raw_LIMS_Export!K1099</f>
        <v>45870</v>
      </c>
      <c r="N1099" s="19" t="s">
        <v>2929</v>
      </c>
    </row>
    <row r="1100" spans="1:14" x14ac:dyDescent="0.35">
      <c r="A1100" s="16" t="s">
        <v>1102</v>
      </c>
      <c r="B1100" s="17" t="s">
        <v>2095</v>
      </c>
      <c r="C1100" s="17" t="s">
        <v>2459</v>
      </c>
      <c r="D1100" s="17" t="str">
        <f>_xlfn.XLOOKUP(Raw_LIMS_Export!E1100,'mapping Site table'!$B$4:$B$14,'mapping Site table'!$C$4:$C$14,Raw_LIMS_Export!E1100)</f>
        <v>Ashford UK</v>
      </c>
      <c r="E1100" s="17" t="s">
        <v>2485</v>
      </c>
      <c r="F1100" s="17">
        <f t="shared" si="52"/>
        <v>1</v>
      </c>
      <c r="G1100" s="17" t="str">
        <f t="shared" si="53"/>
        <v>Pass</v>
      </c>
      <c r="H1100" s="17" t="str">
        <f t="shared" si="51"/>
        <v>Pending</v>
      </c>
      <c r="I1100" s="17">
        <v>40.9</v>
      </c>
      <c r="J1100" s="17" t="s">
        <v>2490</v>
      </c>
      <c r="K1100" s="17">
        <v>0</v>
      </c>
      <c r="L1100" s="17">
        <v>100</v>
      </c>
      <c r="M1100" s="18">
        <f>Raw_LIMS_Export!K1100</f>
        <v>45825</v>
      </c>
      <c r="N1100" s="19" t="s">
        <v>2931</v>
      </c>
    </row>
    <row r="1101" spans="1:14" x14ac:dyDescent="0.35">
      <c r="A1101" s="16" t="s">
        <v>1103</v>
      </c>
      <c r="B1101" s="17" t="s">
        <v>2368</v>
      </c>
      <c r="C1101" s="17" t="s">
        <v>2460</v>
      </c>
      <c r="D1101" s="17" t="str">
        <f>_xlfn.XLOOKUP(Raw_LIMS_Export!E1101,'mapping Site table'!$B$4:$B$14,'mapping Site table'!$C$4:$C$14,Raw_LIMS_Export!E1101)</f>
        <v>Dortmund DE</v>
      </c>
      <c r="E1101" s="17" t="s">
        <v>2480</v>
      </c>
      <c r="F1101" s="17">
        <f t="shared" si="52"/>
        <v>0</v>
      </c>
      <c r="G1101" s="17" t="str">
        <f t="shared" si="53"/>
        <v>Missing</v>
      </c>
      <c r="H1101" s="17" t="str">
        <f t="shared" si="51"/>
        <v>Pending</v>
      </c>
      <c r="I1101" s="17"/>
      <c r="J1101" s="17" t="s">
        <v>2487</v>
      </c>
      <c r="K1101" s="17">
        <v>0.88</v>
      </c>
      <c r="L1101" s="17">
        <v>0.97</v>
      </c>
      <c r="M1101" s="18">
        <f>Raw_LIMS_Export!K1101</f>
        <v>45555</v>
      </c>
      <c r="N1101" s="19" t="s">
        <v>2932</v>
      </c>
    </row>
    <row r="1102" spans="1:14" x14ac:dyDescent="0.35">
      <c r="A1102" s="16" t="s">
        <v>1104</v>
      </c>
      <c r="B1102" s="17" t="s">
        <v>2299</v>
      </c>
      <c r="C1102" s="17" t="s">
        <v>2459</v>
      </c>
      <c r="D1102" s="17" t="str">
        <f>_xlfn.XLOOKUP(Raw_LIMS_Export!E1102,'mapping Site table'!$B$4:$B$14,'mapping Site table'!$C$4:$C$14,Raw_LIMS_Export!E1102)</f>
        <v>Ashford UK</v>
      </c>
      <c r="E1102" s="17" t="s">
        <v>2480</v>
      </c>
      <c r="F1102" s="17">
        <f t="shared" si="52"/>
        <v>1</v>
      </c>
      <c r="G1102" s="17" t="str">
        <f t="shared" si="53"/>
        <v>Pass</v>
      </c>
      <c r="H1102" s="17" t="str">
        <f t="shared" si="51"/>
        <v>Fail</v>
      </c>
      <c r="I1102" s="17">
        <v>0.91</v>
      </c>
      <c r="J1102" s="17" t="s">
        <v>2487</v>
      </c>
      <c r="K1102" s="17">
        <v>0.88</v>
      </c>
      <c r="L1102" s="17">
        <v>0.97</v>
      </c>
      <c r="M1102" s="18">
        <f>Raw_LIMS_Export!K1102</f>
        <v>45508</v>
      </c>
      <c r="N1102" s="19" t="s">
        <v>2931</v>
      </c>
    </row>
    <row r="1103" spans="1:14" x14ac:dyDescent="0.35">
      <c r="A1103" s="16" t="s">
        <v>1105</v>
      </c>
      <c r="B1103" s="17" t="s">
        <v>2216</v>
      </c>
      <c r="C1103" s="17" t="s">
        <v>2458</v>
      </c>
      <c r="D1103" s="17" t="str">
        <f>_xlfn.XLOOKUP(Raw_LIMS_Export!E1103,'mapping Site table'!$B$4:$B$14,'mapping Site table'!$C$4:$C$14,Raw_LIMS_Export!E1103)</f>
        <v>Dortmund DE</v>
      </c>
      <c r="E1103" s="17" t="s">
        <v>2479</v>
      </c>
      <c r="F1103" s="17">
        <f t="shared" si="52"/>
        <v>1</v>
      </c>
      <c r="G1103" s="17" t="str">
        <f t="shared" si="53"/>
        <v>Pass</v>
      </c>
      <c r="H1103" s="17" t="str">
        <f t="shared" si="51"/>
        <v>Pass</v>
      </c>
      <c r="I1103" s="17">
        <v>38.69</v>
      </c>
      <c r="J1103" s="17" t="s">
        <v>2486</v>
      </c>
      <c r="K1103" s="17">
        <v>0</v>
      </c>
      <c r="L1103" s="17">
        <v>120</v>
      </c>
      <c r="M1103" s="18">
        <f>Raw_LIMS_Export!K1103</f>
        <v>45873</v>
      </c>
      <c r="N1103" s="19" t="s">
        <v>2929</v>
      </c>
    </row>
    <row r="1104" spans="1:14" x14ac:dyDescent="0.35">
      <c r="A1104" s="16" t="s">
        <v>1106</v>
      </c>
      <c r="B1104" s="17" t="s">
        <v>2319</v>
      </c>
      <c r="C1104" s="17" t="s">
        <v>2458</v>
      </c>
      <c r="D1104" s="17" t="str">
        <f>_xlfn.XLOOKUP(Raw_LIMS_Export!E1104,'mapping Site table'!$B$4:$B$14,'mapping Site table'!$C$4:$C$14,Raw_LIMS_Export!E1104)</f>
        <v>Dortmund DE</v>
      </c>
      <c r="E1104" s="17" t="s">
        <v>2484</v>
      </c>
      <c r="F1104" s="17">
        <f t="shared" si="52"/>
        <v>1</v>
      </c>
      <c r="G1104" s="17" t="str">
        <f t="shared" si="53"/>
        <v>Pass</v>
      </c>
      <c r="H1104" s="17" t="str">
        <f t="shared" si="51"/>
        <v>Pass</v>
      </c>
      <c r="I1104" s="17">
        <v>6.24</v>
      </c>
      <c r="J1104" s="17"/>
      <c r="K1104" s="17">
        <v>6</v>
      </c>
      <c r="L1104" s="17">
        <v>7.5</v>
      </c>
      <c r="M1104" s="18">
        <f>Raw_LIMS_Export!K1104</f>
        <v>45477</v>
      </c>
      <c r="N1104" s="19" t="s">
        <v>2928</v>
      </c>
    </row>
    <row r="1105" spans="1:14" x14ac:dyDescent="0.35">
      <c r="A1105" s="16" t="s">
        <v>1107</v>
      </c>
      <c r="B1105" s="17" t="s">
        <v>2445</v>
      </c>
      <c r="C1105" s="17" t="s">
        <v>2461</v>
      </c>
      <c r="D1105" s="17" t="str">
        <f>_xlfn.XLOOKUP(Raw_LIMS_Export!E1105,'mapping Site table'!$B$4:$B$14,'mapping Site table'!$C$4:$C$14,Raw_LIMS_Export!E1105)</f>
        <v>East Hanover</v>
      </c>
      <c r="E1105" s="17" t="s">
        <v>2483</v>
      </c>
      <c r="F1105" s="17">
        <f t="shared" si="52"/>
        <v>1</v>
      </c>
      <c r="G1105" s="17" t="str">
        <f t="shared" si="53"/>
        <v>Pass</v>
      </c>
      <c r="H1105" s="17" t="str">
        <f t="shared" si="51"/>
        <v>Pass</v>
      </c>
      <c r="I1105" s="17">
        <v>0.24</v>
      </c>
      <c r="J1105" s="17" t="s">
        <v>2489</v>
      </c>
      <c r="K1105" s="17">
        <v>0</v>
      </c>
      <c r="L1105" s="17">
        <v>1</v>
      </c>
      <c r="M1105" s="18">
        <f>Raw_LIMS_Export!K1105</f>
        <v>45725</v>
      </c>
      <c r="N1105" s="19" t="s">
        <v>2925</v>
      </c>
    </row>
    <row r="1106" spans="1:14" x14ac:dyDescent="0.35">
      <c r="A1106" s="16" t="s">
        <v>1108</v>
      </c>
      <c r="B1106" s="17" t="s">
        <v>2342</v>
      </c>
      <c r="C1106" s="17" t="s">
        <v>2458</v>
      </c>
      <c r="D1106" s="17" t="str">
        <f>_xlfn.XLOOKUP(Raw_LIMS_Export!E1106,'mapping Site table'!$B$4:$B$14,'mapping Site table'!$C$4:$C$14,Raw_LIMS_Export!E1106)</f>
        <v>East Hanover</v>
      </c>
      <c r="E1106" s="17" t="s">
        <v>2479</v>
      </c>
      <c r="F1106" s="17">
        <f t="shared" si="52"/>
        <v>1</v>
      </c>
      <c r="G1106" s="17" t="str">
        <f t="shared" si="53"/>
        <v>Pass</v>
      </c>
      <c r="H1106" s="17" t="str">
        <f t="shared" si="51"/>
        <v>Pass</v>
      </c>
      <c r="I1106" s="17">
        <v>54.21</v>
      </c>
      <c r="J1106" s="17" t="s">
        <v>2486</v>
      </c>
      <c r="K1106" s="17">
        <v>0</v>
      </c>
      <c r="L1106" s="17">
        <v>120</v>
      </c>
      <c r="M1106" s="18">
        <f>Raw_LIMS_Export!K1106</f>
        <v>45686</v>
      </c>
      <c r="N1106" s="19" t="s">
        <v>2926</v>
      </c>
    </row>
    <row r="1107" spans="1:14" x14ac:dyDescent="0.35">
      <c r="A1107" s="16" t="s">
        <v>1109</v>
      </c>
      <c r="B1107" s="17" t="s">
        <v>2326</v>
      </c>
      <c r="C1107" s="17" t="s">
        <v>2459</v>
      </c>
      <c r="D1107" s="17" t="str">
        <f>_xlfn.XLOOKUP(Raw_LIMS_Export!E1107,'mapping Site table'!$B$4:$B$14,'mapping Site table'!$C$4:$C$14,Raw_LIMS_Export!E1107)</f>
        <v>Ashford UK</v>
      </c>
      <c r="E1107" s="17" t="s">
        <v>2479</v>
      </c>
      <c r="F1107" s="17">
        <f t="shared" si="52"/>
        <v>1</v>
      </c>
      <c r="G1107" s="17" t="str">
        <f t="shared" si="53"/>
        <v>Pass</v>
      </c>
      <c r="H1107" s="17" t="str">
        <f t="shared" si="51"/>
        <v>Pass</v>
      </c>
      <c r="I1107" s="17">
        <v>72.66</v>
      </c>
      <c r="J1107" s="17" t="s">
        <v>2486</v>
      </c>
      <c r="K1107" s="17">
        <v>0</v>
      </c>
      <c r="L1107" s="17">
        <v>120</v>
      </c>
      <c r="M1107" s="18">
        <f>Raw_LIMS_Export!K1107</f>
        <v>45676</v>
      </c>
      <c r="N1107" s="19" t="s">
        <v>2929</v>
      </c>
    </row>
    <row r="1108" spans="1:14" x14ac:dyDescent="0.35">
      <c r="A1108" s="16" t="s">
        <v>1110</v>
      </c>
      <c r="B1108" s="17" t="s">
        <v>2356</v>
      </c>
      <c r="C1108" s="17" t="s">
        <v>2458</v>
      </c>
      <c r="D1108" s="17" t="str">
        <f>_xlfn.XLOOKUP(Raw_LIMS_Export!E1108,'mapping Site table'!$B$4:$B$14,'mapping Site table'!$C$4:$C$14,Raw_LIMS_Export!E1108)</f>
        <v>East Hanover</v>
      </c>
      <c r="E1108" s="17" t="s">
        <v>2482</v>
      </c>
      <c r="F1108" s="17">
        <f t="shared" si="52"/>
        <v>1</v>
      </c>
      <c r="G1108" s="17" t="str">
        <f t="shared" si="53"/>
        <v>Pass</v>
      </c>
      <c r="H1108" s="17" t="str">
        <f t="shared" si="51"/>
        <v>Pass</v>
      </c>
      <c r="I1108" s="17">
        <v>98.04</v>
      </c>
      <c r="J1108" s="17" t="s">
        <v>2489</v>
      </c>
      <c r="K1108" s="17">
        <v>97</v>
      </c>
      <c r="L1108" s="17">
        <v>100</v>
      </c>
      <c r="M1108" s="18">
        <f>Raw_LIMS_Export!K1108</f>
        <v>45765</v>
      </c>
      <c r="N1108" s="19" t="s">
        <v>2930</v>
      </c>
    </row>
    <row r="1109" spans="1:14" x14ac:dyDescent="0.35">
      <c r="A1109" s="16" t="s">
        <v>1111</v>
      </c>
      <c r="B1109" s="17" t="s">
        <v>2267</v>
      </c>
      <c r="C1109" s="17" t="s">
        <v>2460</v>
      </c>
      <c r="D1109" s="17" t="str">
        <f>_xlfn.XLOOKUP(Raw_LIMS_Export!E1109,'mapping Site table'!$B$4:$B$14,'mapping Site table'!$C$4:$C$14,Raw_LIMS_Export!E1109)</f>
        <v>East Hanover</v>
      </c>
      <c r="E1109" s="17" t="s">
        <v>2482</v>
      </c>
      <c r="F1109" s="17">
        <f t="shared" si="52"/>
        <v>1</v>
      </c>
      <c r="G1109" s="17" t="str">
        <f t="shared" si="53"/>
        <v>Pass</v>
      </c>
      <c r="H1109" s="17" t="str">
        <f t="shared" si="51"/>
        <v>Pass</v>
      </c>
      <c r="I1109" s="17">
        <v>98.56</v>
      </c>
      <c r="J1109" s="17" t="s">
        <v>2489</v>
      </c>
      <c r="K1109" s="17">
        <v>97</v>
      </c>
      <c r="L1109" s="17">
        <v>100</v>
      </c>
      <c r="M1109" s="18">
        <f>Raw_LIMS_Export!K1109</f>
        <v>45995</v>
      </c>
      <c r="N1109" s="19" t="s">
        <v>2930</v>
      </c>
    </row>
    <row r="1110" spans="1:14" x14ac:dyDescent="0.35">
      <c r="A1110" s="16" t="s">
        <v>1112</v>
      </c>
      <c r="B1110" s="17" t="s">
        <v>2032</v>
      </c>
      <c r="C1110" s="17" t="s">
        <v>2460</v>
      </c>
      <c r="D1110" s="17" t="str">
        <f>_xlfn.XLOOKUP(Raw_LIMS_Export!E1110,'mapping Site table'!$B$4:$B$14,'mapping Site table'!$C$4:$C$14,Raw_LIMS_Export!E1110)</f>
        <v>Ashford UK</v>
      </c>
      <c r="E1110" s="17" t="s">
        <v>2480</v>
      </c>
      <c r="F1110" s="17">
        <f t="shared" si="52"/>
        <v>1</v>
      </c>
      <c r="G1110" s="17" t="str">
        <f t="shared" si="53"/>
        <v>Fail</v>
      </c>
      <c r="H1110" s="17" t="str">
        <f t="shared" si="51"/>
        <v>Fail</v>
      </c>
      <c r="I1110" s="17">
        <v>1.06</v>
      </c>
      <c r="J1110" s="17" t="s">
        <v>2487</v>
      </c>
      <c r="K1110" s="17">
        <v>0.88</v>
      </c>
      <c r="L1110" s="17">
        <v>0.97</v>
      </c>
      <c r="M1110" s="18">
        <f>Raw_LIMS_Export!K1110</f>
        <v>45409</v>
      </c>
      <c r="N1110" s="19" t="s">
        <v>2929</v>
      </c>
    </row>
    <row r="1111" spans="1:14" x14ac:dyDescent="0.35">
      <c r="A1111" s="16" t="s">
        <v>1113</v>
      </c>
      <c r="B1111" s="17" t="s">
        <v>2268</v>
      </c>
      <c r="C1111" s="17" t="s">
        <v>2459</v>
      </c>
      <c r="D1111" s="17" t="str">
        <f>_xlfn.XLOOKUP(Raw_LIMS_Export!E1111,'mapping Site table'!$B$4:$B$14,'mapping Site table'!$C$4:$C$14,Raw_LIMS_Export!E1111)</f>
        <v>East Hanover</v>
      </c>
      <c r="E1111" s="17" t="s">
        <v>2485</v>
      </c>
      <c r="F1111" s="17">
        <f t="shared" si="52"/>
        <v>1</v>
      </c>
      <c r="G1111" s="17" t="str">
        <f t="shared" si="53"/>
        <v>Fail</v>
      </c>
      <c r="H1111" s="17" t="str">
        <f t="shared" si="51"/>
        <v>Fail</v>
      </c>
      <c r="I1111" s="17">
        <v>-9.24</v>
      </c>
      <c r="J1111" s="17" t="s">
        <v>2490</v>
      </c>
      <c r="K1111" s="17">
        <v>0</v>
      </c>
      <c r="L1111" s="17">
        <v>100</v>
      </c>
      <c r="M1111" s="18">
        <f>Raw_LIMS_Export!K1111</f>
        <v>45367</v>
      </c>
      <c r="N1111" s="19" t="s">
        <v>2929</v>
      </c>
    </row>
    <row r="1112" spans="1:14" x14ac:dyDescent="0.35">
      <c r="A1112" s="16" t="s">
        <v>1114</v>
      </c>
      <c r="B1112" s="17" t="s">
        <v>2446</v>
      </c>
      <c r="C1112" s="17" t="s">
        <v>2459</v>
      </c>
      <c r="D1112" s="17" t="str">
        <f>_xlfn.XLOOKUP(Raw_LIMS_Export!E1112,'mapping Site table'!$B$4:$B$14,'mapping Site table'!$C$4:$C$14,Raw_LIMS_Export!E1112)</f>
        <v>Vernier CH</v>
      </c>
      <c r="E1112" s="17" t="s">
        <v>2484</v>
      </c>
      <c r="F1112" s="17">
        <f t="shared" si="52"/>
        <v>1</v>
      </c>
      <c r="G1112" s="17" t="str">
        <f t="shared" si="53"/>
        <v>Pass</v>
      </c>
      <c r="H1112" s="17" t="str">
        <f t="shared" si="51"/>
        <v>Pass</v>
      </c>
      <c r="I1112" s="17">
        <v>6.71</v>
      </c>
      <c r="J1112" s="17"/>
      <c r="K1112" s="17">
        <v>6</v>
      </c>
      <c r="L1112" s="17">
        <v>7.5</v>
      </c>
      <c r="M1112" s="18">
        <f>Raw_LIMS_Export!K1112</f>
        <v>46021</v>
      </c>
      <c r="N1112" s="19" t="s">
        <v>2927</v>
      </c>
    </row>
    <row r="1113" spans="1:14" x14ac:dyDescent="0.35">
      <c r="A1113" s="16" t="s">
        <v>1115</v>
      </c>
      <c r="B1113" s="17" t="s">
        <v>2362</v>
      </c>
      <c r="C1113" s="17" t="s">
        <v>2457</v>
      </c>
      <c r="D1113" s="17" t="str">
        <f>_xlfn.XLOOKUP(Raw_LIMS_Export!E1113,'mapping Site table'!$B$4:$B$14,'mapping Site table'!$C$4:$C$14,Raw_LIMS_Export!E1113)</f>
        <v>Dortmund DE</v>
      </c>
      <c r="E1113" s="17" t="s">
        <v>2481</v>
      </c>
      <c r="F1113" s="17">
        <f t="shared" si="52"/>
        <v>1</v>
      </c>
      <c r="G1113" s="17" t="str">
        <f t="shared" si="53"/>
        <v>Pass</v>
      </c>
      <c r="H1113" s="17" t="str">
        <f t="shared" si="51"/>
        <v>Pass</v>
      </c>
      <c r="I1113" s="17">
        <v>237.27</v>
      </c>
      <c r="J1113" s="17" t="s">
        <v>2488</v>
      </c>
      <c r="K1113" s="17">
        <v>150</v>
      </c>
      <c r="L1113" s="17">
        <v>400</v>
      </c>
      <c r="M1113" s="18">
        <f>Raw_LIMS_Export!K1113</f>
        <v>45320</v>
      </c>
      <c r="N1113" s="19" t="s">
        <v>2929</v>
      </c>
    </row>
    <row r="1114" spans="1:14" x14ac:dyDescent="0.35">
      <c r="A1114" s="16" t="s">
        <v>1116</v>
      </c>
      <c r="B1114" s="17" t="s">
        <v>2125</v>
      </c>
      <c r="C1114" s="17" t="s">
        <v>2460</v>
      </c>
      <c r="D1114" s="17" t="str">
        <f>_xlfn.XLOOKUP(Raw_LIMS_Export!E1114,'mapping Site table'!$B$4:$B$14,'mapping Site table'!$C$4:$C$14,Raw_LIMS_Export!E1114)</f>
        <v>Budapest</v>
      </c>
      <c r="E1114" s="17" t="s">
        <v>2484</v>
      </c>
      <c r="F1114" s="17">
        <f t="shared" si="52"/>
        <v>1</v>
      </c>
      <c r="G1114" s="17" t="str">
        <f t="shared" si="53"/>
        <v>Pass</v>
      </c>
      <c r="H1114" s="17" t="str">
        <f t="shared" si="51"/>
        <v>Pass</v>
      </c>
      <c r="I1114" s="17">
        <v>6.06</v>
      </c>
      <c r="J1114" s="17"/>
      <c r="K1114" s="17">
        <v>6</v>
      </c>
      <c r="L1114" s="17">
        <v>7.5</v>
      </c>
      <c r="M1114" s="18">
        <f>Raw_LIMS_Export!K1114</f>
        <v>45544</v>
      </c>
      <c r="N1114" s="19" t="s">
        <v>2929</v>
      </c>
    </row>
    <row r="1115" spans="1:14" x14ac:dyDescent="0.35">
      <c r="A1115" s="16" t="s">
        <v>1117</v>
      </c>
      <c r="B1115" s="17" t="s">
        <v>2238</v>
      </c>
      <c r="C1115" s="17" t="s">
        <v>2460</v>
      </c>
      <c r="D1115" s="17" t="str">
        <f>_xlfn.XLOOKUP(Raw_LIMS_Export!E1115,'mapping Site table'!$B$4:$B$14,'mapping Site table'!$C$4:$C$14,Raw_LIMS_Export!E1115)</f>
        <v>Budapest</v>
      </c>
      <c r="E1115" s="17" t="s">
        <v>2485</v>
      </c>
      <c r="F1115" s="17">
        <f t="shared" si="52"/>
        <v>1</v>
      </c>
      <c r="G1115" s="17" t="str">
        <f t="shared" si="53"/>
        <v>Pass</v>
      </c>
      <c r="H1115" s="17" t="str">
        <f t="shared" si="51"/>
        <v>Pass</v>
      </c>
      <c r="I1115" s="17">
        <v>4.42</v>
      </c>
      <c r="J1115" s="17" t="s">
        <v>2490</v>
      </c>
      <c r="K1115" s="17">
        <v>0</v>
      </c>
      <c r="L1115" s="17">
        <v>100</v>
      </c>
      <c r="M1115" s="18">
        <f>Raw_LIMS_Export!K1115</f>
        <v>45698</v>
      </c>
      <c r="N1115" s="19" t="s">
        <v>2927</v>
      </c>
    </row>
    <row r="1116" spans="1:14" x14ac:dyDescent="0.35">
      <c r="A1116" s="16" t="s">
        <v>1118</v>
      </c>
      <c r="B1116" s="17" t="s">
        <v>2444</v>
      </c>
      <c r="C1116" s="17" t="s">
        <v>2459</v>
      </c>
      <c r="D1116" s="17" t="str">
        <f>_xlfn.XLOOKUP(Raw_LIMS_Export!E1116,'mapping Site table'!$B$4:$B$14,'mapping Site table'!$C$4:$C$14,Raw_LIMS_Export!E1116)</f>
        <v>Budapest</v>
      </c>
      <c r="E1116" s="17" t="s">
        <v>2482</v>
      </c>
      <c r="F1116" s="17">
        <f t="shared" si="52"/>
        <v>1</v>
      </c>
      <c r="G1116" s="17" t="str">
        <f t="shared" si="53"/>
        <v>Pass</v>
      </c>
      <c r="H1116" s="17" t="str">
        <f t="shared" si="51"/>
        <v>Pass</v>
      </c>
      <c r="I1116" s="17">
        <v>98.04</v>
      </c>
      <c r="J1116" s="17" t="s">
        <v>2489</v>
      </c>
      <c r="K1116" s="17">
        <v>97</v>
      </c>
      <c r="L1116" s="17">
        <v>100</v>
      </c>
      <c r="M1116" s="18">
        <f>Raw_LIMS_Export!K1116</f>
        <v>45946</v>
      </c>
      <c r="N1116" s="19" t="s">
        <v>2923</v>
      </c>
    </row>
    <row r="1117" spans="1:14" x14ac:dyDescent="0.35">
      <c r="A1117" s="16" t="s">
        <v>1119</v>
      </c>
      <c r="B1117" s="17" t="s">
        <v>2397</v>
      </c>
      <c r="C1117" s="17" t="s">
        <v>2459</v>
      </c>
      <c r="D1117" s="17" t="str">
        <f>_xlfn.XLOOKUP(Raw_LIMS_Export!E1117,'mapping Site table'!$B$4:$B$14,'mapping Site table'!$C$4:$C$14,Raw_LIMS_Export!E1117)</f>
        <v>Budapest</v>
      </c>
      <c r="E1117" s="17" t="s">
        <v>2483</v>
      </c>
      <c r="F1117" s="17">
        <f t="shared" si="52"/>
        <v>1</v>
      </c>
      <c r="G1117" s="17" t="str">
        <f t="shared" si="53"/>
        <v>Pass</v>
      </c>
      <c r="H1117" s="17" t="str">
        <f t="shared" si="51"/>
        <v>Pass</v>
      </c>
      <c r="I1117" s="17">
        <v>0.55000000000000004</v>
      </c>
      <c r="J1117" s="17" t="s">
        <v>2489</v>
      </c>
      <c r="K1117" s="17">
        <v>0</v>
      </c>
      <c r="L1117" s="17">
        <v>1</v>
      </c>
      <c r="M1117" s="18">
        <f>Raw_LIMS_Export!K1117</f>
        <v>45436</v>
      </c>
      <c r="N1117" s="19" t="s">
        <v>2925</v>
      </c>
    </row>
    <row r="1118" spans="1:14" x14ac:dyDescent="0.35">
      <c r="A1118" s="16" t="s">
        <v>1120</v>
      </c>
      <c r="B1118" s="17" t="s">
        <v>2368</v>
      </c>
      <c r="C1118" s="17" t="s">
        <v>2460</v>
      </c>
      <c r="D1118" s="17" t="str">
        <f>_xlfn.XLOOKUP(Raw_LIMS_Export!E1118,'mapping Site table'!$B$4:$B$14,'mapping Site table'!$C$4:$C$14,Raw_LIMS_Export!E1118)</f>
        <v>Dortmund DE</v>
      </c>
      <c r="E1118" s="17" t="s">
        <v>2479</v>
      </c>
      <c r="F1118" s="17">
        <f t="shared" si="52"/>
        <v>1</v>
      </c>
      <c r="G1118" s="17" t="str">
        <f t="shared" si="53"/>
        <v>Pass</v>
      </c>
      <c r="H1118" s="17" t="str">
        <f t="shared" si="51"/>
        <v>Pending</v>
      </c>
      <c r="I1118" s="17">
        <v>69.989999999999995</v>
      </c>
      <c r="J1118" s="17" t="s">
        <v>2486</v>
      </c>
      <c r="K1118" s="17">
        <v>0</v>
      </c>
      <c r="L1118" s="17">
        <v>120</v>
      </c>
      <c r="M1118" s="18">
        <f>Raw_LIMS_Export!K1118</f>
        <v>45555</v>
      </c>
      <c r="N1118" s="19" t="s">
        <v>2923</v>
      </c>
    </row>
    <row r="1119" spans="1:14" x14ac:dyDescent="0.35">
      <c r="A1119" s="16" t="s">
        <v>1121</v>
      </c>
      <c r="B1119" s="17" t="s">
        <v>2312</v>
      </c>
      <c r="C1119" s="17" t="s">
        <v>2461</v>
      </c>
      <c r="D1119" s="17" t="str">
        <f>_xlfn.XLOOKUP(Raw_LIMS_Export!E1119,'mapping Site table'!$B$4:$B$14,'mapping Site table'!$C$4:$C$14,Raw_LIMS_Export!E1119)</f>
        <v>Ashford UK</v>
      </c>
      <c r="E1119" s="17" t="s">
        <v>2480</v>
      </c>
      <c r="F1119" s="17">
        <f t="shared" si="52"/>
        <v>1</v>
      </c>
      <c r="G1119" s="17" t="str">
        <f t="shared" si="53"/>
        <v>Pass</v>
      </c>
      <c r="H1119" s="17" t="str">
        <f t="shared" si="51"/>
        <v>Pass</v>
      </c>
      <c r="I1119" s="17">
        <v>0.94</v>
      </c>
      <c r="J1119" s="17" t="s">
        <v>2487</v>
      </c>
      <c r="K1119" s="17">
        <v>0.88</v>
      </c>
      <c r="L1119" s="17">
        <v>0.97</v>
      </c>
      <c r="M1119" s="18">
        <f>Raw_LIMS_Export!K1119</f>
        <v>45344</v>
      </c>
      <c r="N1119" s="19" t="s">
        <v>2926</v>
      </c>
    </row>
    <row r="1120" spans="1:14" x14ac:dyDescent="0.35">
      <c r="A1120" s="16" t="s">
        <v>1122</v>
      </c>
      <c r="B1120" s="17" t="s">
        <v>2248</v>
      </c>
      <c r="C1120" s="17" t="s">
        <v>2460</v>
      </c>
      <c r="D1120" s="17" t="str">
        <f>_xlfn.XLOOKUP(Raw_LIMS_Export!E1120,'mapping Site table'!$B$4:$B$14,'mapping Site table'!$C$4:$C$14,Raw_LIMS_Export!E1120)</f>
        <v>Dortmund DE</v>
      </c>
      <c r="E1120" s="17" t="s">
        <v>2479</v>
      </c>
      <c r="F1120" s="17">
        <f t="shared" si="52"/>
        <v>1</v>
      </c>
      <c r="G1120" s="17" t="str">
        <f t="shared" si="53"/>
        <v>Pass</v>
      </c>
      <c r="H1120" s="17" t="str">
        <f t="shared" si="51"/>
        <v>Pass</v>
      </c>
      <c r="I1120" s="17">
        <v>56.82</v>
      </c>
      <c r="J1120" s="17" t="s">
        <v>2486</v>
      </c>
      <c r="K1120" s="17">
        <v>0</v>
      </c>
      <c r="L1120" s="17">
        <v>120</v>
      </c>
      <c r="M1120" s="18">
        <f>Raw_LIMS_Export!K1120</f>
        <v>45956</v>
      </c>
      <c r="N1120" s="19" t="s">
        <v>2931</v>
      </c>
    </row>
    <row r="1121" spans="1:14" x14ac:dyDescent="0.35">
      <c r="A1121" s="16" t="s">
        <v>1123</v>
      </c>
      <c r="B1121" s="17" t="s">
        <v>2301</v>
      </c>
      <c r="C1121" s="17" t="s">
        <v>2460</v>
      </c>
      <c r="D1121" s="17" t="str">
        <f>_xlfn.XLOOKUP(Raw_LIMS_Export!E1121,'mapping Site table'!$B$4:$B$14,'mapping Site table'!$C$4:$C$14,Raw_LIMS_Export!E1121)</f>
        <v>Vernier CH</v>
      </c>
      <c r="E1121" s="17" t="s">
        <v>2479</v>
      </c>
      <c r="F1121" s="17">
        <f t="shared" si="52"/>
        <v>1</v>
      </c>
      <c r="G1121" s="17" t="str">
        <f t="shared" si="53"/>
        <v>Pass</v>
      </c>
      <c r="H1121" s="17" t="str">
        <f t="shared" si="51"/>
        <v>Pass</v>
      </c>
      <c r="I1121" s="17">
        <v>57.42</v>
      </c>
      <c r="J1121" s="17" t="s">
        <v>2486</v>
      </c>
      <c r="K1121" s="17">
        <v>0</v>
      </c>
      <c r="L1121" s="17">
        <v>120</v>
      </c>
      <c r="M1121" s="18">
        <f>Raw_LIMS_Export!K1121</f>
        <v>45595</v>
      </c>
      <c r="N1121" s="19" t="s">
        <v>2931</v>
      </c>
    </row>
    <row r="1122" spans="1:14" x14ac:dyDescent="0.35">
      <c r="A1122" s="16" t="s">
        <v>1124</v>
      </c>
      <c r="B1122" s="17" t="s">
        <v>2391</v>
      </c>
      <c r="C1122" s="17" t="s">
        <v>2458</v>
      </c>
      <c r="D1122" s="17" t="str">
        <f>_xlfn.XLOOKUP(Raw_LIMS_Export!E1122,'mapping Site table'!$B$4:$B$14,'mapping Site table'!$C$4:$C$14,Raw_LIMS_Export!E1122)</f>
        <v>Ashford UK</v>
      </c>
      <c r="E1122" s="17" t="s">
        <v>2482</v>
      </c>
      <c r="F1122" s="17">
        <f t="shared" si="52"/>
        <v>1</v>
      </c>
      <c r="G1122" s="17" t="str">
        <f t="shared" si="53"/>
        <v>Pass</v>
      </c>
      <c r="H1122" s="17" t="str">
        <f t="shared" si="51"/>
        <v>Pass</v>
      </c>
      <c r="I1122" s="17">
        <v>98.5</v>
      </c>
      <c r="J1122" s="17" t="s">
        <v>2489</v>
      </c>
      <c r="K1122" s="17">
        <v>97</v>
      </c>
      <c r="L1122" s="17">
        <v>100</v>
      </c>
      <c r="M1122" s="18">
        <f>Raw_LIMS_Export!K1122</f>
        <v>45743</v>
      </c>
      <c r="N1122" s="19" t="s">
        <v>2932</v>
      </c>
    </row>
    <row r="1123" spans="1:14" x14ac:dyDescent="0.35">
      <c r="A1123" s="16" t="s">
        <v>1125</v>
      </c>
      <c r="B1123" s="17" t="s">
        <v>2102</v>
      </c>
      <c r="C1123" s="17" t="s">
        <v>2461</v>
      </c>
      <c r="D1123" s="17" t="str">
        <f>_xlfn.XLOOKUP(Raw_LIMS_Export!E1123,'mapping Site table'!$B$4:$B$14,'mapping Site table'!$C$4:$C$14,Raw_LIMS_Export!E1123)</f>
        <v>Vernier CH</v>
      </c>
      <c r="E1123" s="17" t="s">
        <v>2479</v>
      </c>
      <c r="F1123" s="17">
        <f t="shared" si="52"/>
        <v>1</v>
      </c>
      <c r="G1123" s="17" t="str">
        <f t="shared" si="53"/>
        <v>Pass</v>
      </c>
      <c r="H1123" s="17" t="str">
        <f t="shared" si="51"/>
        <v>Pass</v>
      </c>
      <c r="I1123" s="17">
        <v>39.4</v>
      </c>
      <c r="J1123" s="17" t="s">
        <v>2486</v>
      </c>
      <c r="K1123" s="17">
        <v>0</v>
      </c>
      <c r="L1123" s="17">
        <v>120</v>
      </c>
      <c r="M1123" s="18">
        <f>Raw_LIMS_Export!K1123</f>
        <v>45959</v>
      </c>
      <c r="N1123" s="19" t="s">
        <v>2926</v>
      </c>
    </row>
    <row r="1124" spans="1:14" x14ac:dyDescent="0.35">
      <c r="A1124" s="16" t="s">
        <v>1126</v>
      </c>
      <c r="B1124" s="17" t="s">
        <v>2447</v>
      </c>
      <c r="C1124" s="17" t="s">
        <v>2457</v>
      </c>
      <c r="D1124" s="17" t="str">
        <f>_xlfn.XLOOKUP(Raw_LIMS_Export!E1124,'mapping Site table'!$B$4:$B$14,'mapping Site table'!$C$4:$C$14,Raw_LIMS_Export!E1124)</f>
        <v>Dortmund DE</v>
      </c>
      <c r="E1124" s="17" t="s">
        <v>2483</v>
      </c>
      <c r="F1124" s="17">
        <f t="shared" si="52"/>
        <v>1</v>
      </c>
      <c r="G1124" s="17" t="str">
        <f t="shared" si="53"/>
        <v>Pass</v>
      </c>
      <c r="H1124" s="17" t="str">
        <f t="shared" si="51"/>
        <v>Pass</v>
      </c>
      <c r="I1124" s="17">
        <v>0.27</v>
      </c>
      <c r="J1124" s="17" t="s">
        <v>2489</v>
      </c>
      <c r="K1124" s="17">
        <v>0</v>
      </c>
      <c r="L1124" s="17">
        <v>1</v>
      </c>
      <c r="M1124" s="18">
        <f>Raw_LIMS_Export!K1124</f>
        <v>45888</v>
      </c>
      <c r="N1124" s="19" t="s">
        <v>2926</v>
      </c>
    </row>
    <row r="1125" spans="1:14" x14ac:dyDescent="0.35">
      <c r="A1125" s="16" t="s">
        <v>1127</v>
      </c>
      <c r="B1125" s="17" t="s">
        <v>2098</v>
      </c>
      <c r="C1125" s="17" t="s">
        <v>2460</v>
      </c>
      <c r="D1125" s="17" t="str">
        <f>_xlfn.XLOOKUP(Raw_LIMS_Export!E1125,'mapping Site table'!$B$4:$B$14,'mapping Site table'!$C$4:$C$14,Raw_LIMS_Export!E1125)</f>
        <v>East Hanover</v>
      </c>
      <c r="E1125" s="17" t="s">
        <v>2482</v>
      </c>
      <c r="F1125" s="17">
        <f t="shared" si="52"/>
        <v>1</v>
      </c>
      <c r="G1125" s="17" t="str">
        <f t="shared" si="53"/>
        <v>Pass</v>
      </c>
      <c r="H1125" s="17" t="str">
        <f t="shared" si="51"/>
        <v>Pass</v>
      </c>
      <c r="I1125" s="17">
        <v>98.5</v>
      </c>
      <c r="J1125" s="17" t="s">
        <v>2489</v>
      </c>
      <c r="K1125" s="17">
        <v>97</v>
      </c>
      <c r="L1125" s="17">
        <v>100</v>
      </c>
      <c r="M1125" s="18">
        <f>Raw_LIMS_Export!K1125</f>
        <v>45460</v>
      </c>
      <c r="N1125" s="19" t="s">
        <v>2925</v>
      </c>
    </row>
    <row r="1126" spans="1:14" x14ac:dyDescent="0.35">
      <c r="A1126" s="16" t="s">
        <v>1128</v>
      </c>
      <c r="B1126" s="17" t="s">
        <v>2330</v>
      </c>
      <c r="C1126" s="17" t="s">
        <v>2461</v>
      </c>
      <c r="D1126" s="17" t="str">
        <f>_xlfn.XLOOKUP(Raw_LIMS_Export!E1126,'mapping Site table'!$B$4:$B$14,'mapping Site table'!$C$4:$C$14,Raw_LIMS_Export!E1126)</f>
        <v>East Hanover</v>
      </c>
      <c r="E1126" s="17" t="s">
        <v>2480</v>
      </c>
      <c r="F1126" s="17">
        <f t="shared" si="52"/>
        <v>1</v>
      </c>
      <c r="G1126" s="17" t="str">
        <f t="shared" si="53"/>
        <v>Pass</v>
      </c>
      <c r="H1126" s="17" t="str">
        <f t="shared" si="51"/>
        <v>Fail</v>
      </c>
      <c r="I1126" s="17">
        <v>0.9</v>
      </c>
      <c r="J1126" s="17" t="s">
        <v>2487</v>
      </c>
      <c r="K1126" s="17">
        <v>0.88</v>
      </c>
      <c r="L1126" s="17">
        <v>0.97</v>
      </c>
      <c r="M1126" s="18">
        <f>Raw_LIMS_Export!K1126</f>
        <v>45600</v>
      </c>
      <c r="N1126" s="19" t="s">
        <v>2925</v>
      </c>
    </row>
    <row r="1127" spans="1:14" x14ac:dyDescent="0.35">
      <c r="A1127" s="16" t="s">
        <v>1129</v>
      </c>
      <c r="B1127" s="17" t="s">
        <v>2093</v>
      </c>
      <c r="C1127" s="17" t="s">
        <v>2459</v>
      </c>
      <c r="D1127" s="17" t="str">
        <f>_xlfn.XLOOKUP(Raw_LIMS_Export!E1127,'mapping Site table'!$B$4:$B$14,'mapping Site table'!$C$4:$C$14,Raw_LIMS_Export!E1127)</f>
        <v>East Hanover</v>
      </c>
      <c r="E1127" s="17" t="s">
        <v>2485</v>
      </c>
      <c r="F1127" s="17">
        <f t="shared" si="52"/>
        <v>1</v>
      </c>
      <c r="G1127" s="17" t="str">
        <f t="shared" si="53"/>
        <v>Pass</v>
      </c>
      <c r="H1127" s="17" t="str">
        <f t="shared" si="51"/>
        <v>Fail</v>
      </c>
      <c r="I1127" s="17">
        <v>16.16</v>
      </c>
      <c r="J1127" s="17" t="s">
        <v>2490</v>
      </c>
      <c r="K1127" s="17">
        <v>0</v>
      </c>
      <c r="L1127" s="17">
        <v>100</v>
      </c>
      <c r="M1127" s="18">
        <f>Raw_LIMS_Export!K1127</f>
        <v>45542</v>
      </c>
      <c r="N1127" s="19" t="s">
        <v>2931</v>
      </c>
    </row>
    <row r="1128" spans="1:14" x14ac:dyDescent="0.35">
      <c r="A1128" s="16" t="s">
        <v>1130</v>
      </c>
      <c r="B1128" s="17" t="s">
        <v>2038</v>
      </c>
      <c r="C1128" s="17" t="s">
        <v>2457</v>
      </c>
      <c r="D1128" s="17" t="str">
        <f>_xlfn.XLOOKUP(Raw_LIMS_Export!E1128,'mapping Site table'!$B$4:$B$14,'mapping Site table'!$C$4:$C$14,Raw_LIMS_Export!E1128)</f>
        <v>East Hanover</v>
      </c>
      <c r="E1128" s="17" t="s">
        <v>2481</v>
      </c>
      <c r="F1128" s="17">
        <f t="shared" si="52"/>
        <v>1</v>
      </c>
      <c r="G1128" s="17" t="str">
        <f t="shared" si="53"/>
        <v>Pass</v>
      </c>
      <c r="H1128" s="17" t="str">
        <f t="shared" si="51"/>
        <v>Pass</v>
      </c>
      <c r="I1128" s="17">
        <v>228.52</v>
      </c>
      <c r="J1128" s="17" t="s">
        <v>2488</v>
      </c>
      <c r="K1128" s="17">
        <v>150</v>
      </c>
      <c r="L1128" s="17">
        <v>400</v>
      </c>
      <c r="M1128" s="18">
        <f>Raw_LIMS_Export!K1128</f>
        <v>45374</v>
      </c>
      <c r="N1128" s="19" t="s">
        <v>2931</v>
      </c>
    </row>
    <row r="1129" spans="1:14" x14ac:dyDescent="0.35">
      <c r="A1129" s="16" t="s">
        <v>1131</v>
      </c>
      <c r="B1129" s="17" t="s">
        <v>2440</v>
      </c>
      <c r="C1129" s="17" t="s">
        <v>2460</v>
      </c>
      <c r="D1129" s="17" t="str">
        <f>_xlfn.XLOOKUP(Raw_LIMS_Export!E1129,'mapping Site table'!$B$4:$B$14,'mapping Site table'!$C$4:$C$14,Raw_LIMS_Export!E1129)</f>
        <v>Budapest</v>
      </c>
      <c r="E1129" s="17" t="s">
        <v>2480</v>
      </c>
      <c r="F1129" s="17">
        <f t="shared" si="52"/>
        <v>1</v>
      </c>
      <c r="G1129" s="17" t="str">
        <f t="shared" si="53"/>
        <v>Pass</v>
      </c>
      <c r="H1129" s="17" t="str">
        <f t="shared" si="51"/>
        <v>Pass</v>
      </c>
      <c r="I1129" s="17">
        <v>0.89</v>
      </c>
      <c r="J1129" s="17" t="s">
        <v>2487</v>
      </c>
      <c r="K1129" s="17">
        <v>0.88</v>
      </c>
      <c r="L1129" s="17">
        <v>0.97</v>
      </c>
      <c r="M1129" s="18">
        <f>Raw_LIMS_Export!K1129</f>
        <v>45606</v>
      </c>
      <c r="N1129" s="19" t="s">
        <v>2923</v>
      </c>
    </row>
    <row r="1130" spans="1:14" x14ac:dyDescent="0.35">
      <c r="A1130" s="16" t="s">
        <v>1132</v>
      </c>
      <c r="B1130" s="17" t="s">
        <v>2024</v>
      </c>
      <c r="C1130" s="17" t="s">
        <v>2457</v>
      </c>
      <c r="D1130" s="17" t="str">
        <f>_xlfn.XLOOKUP(Raw_LIMS_Export!E1130,'mapping Site table'!$B$4:$B$14,'mapping Site table'!$C$4:$C$14,Raw_LIMS_Export!E1130)</f>
        <v>Vernier CH</v>
      </c>
      <c r="E1130" s="17" t="s">
        <v>2484</v>
      </c>
      <c r="F1130" s="17">
        <f t="shared" si="52"/>
        <v>1</v>
      </c>
      <c r="G1130" s="17" t="str">
        <f t="shared" si="53"/>
        <v>Pass</v>
      </c>
      <c r="H1130" s="17" t="str">
        <f t="shared" si="51"/>
        <v>Fail</v>
      </c>
      <c r="I1130" s="17">
        <v>6.48</v>
      </c>
      <c r="J1130" s="17"/>
      <c r="K1130" s="17">
        <v>6</v>
      </c>
      <c r="L1130" s="17">
        <v>7.5</v>
      </c>
      <c r="M1130" s="18">
        <f>Raw_LIMS_Export!K1130</f>
        <v>45529</v>
      </c>
      <c r="N1130" s="19" t="s">
        <v>2931</v>
      </c>
    </row>
    <row r="1131" spans="1:14" x14ac:dyDescent="0.35">
      <c r="A1131" s="16" t="s">
        <v>1133</v>
      </c>
      <c r="B1131" s="17" t="s">
        <v>2170</v>
      </c>
      <c r="C1131" s="17" t="s">
        <v>2459</v>
      </c>
      <c r="D1131" s="17" t="str">
        <f>_xlfn.XLOOKUP(Raw_LIMS_Export!E1131,'mapping Site table'!$B$4:$B$14,'mapping Site table'!$C$4:$C$14,Raw_LIMS_Export!E1131)</f>
        <v>Budapest</v>
      </c>
      <c r="E1131" s="17" t="s">
        <v>2485</v>
      </c>
      <c r="F1131" s="17">
        <f t="shared" si="52"/>
        <v>1</v>
      </c>
      <c r="G1131" s="17" t="str">
        <f t="shared" si="53"/>
        <v>Fail</v>
      </c>
      <c r="H1131" s="17" t="str">
        <f t="shared" si="51"/>
        <v>Fail</v>
      </c>
      <c r="I1131" s="17">
        <v>-13.49</v>
      </c>
      <c r="J1131" s="17" t="s">
        <v>2490</v>
      </c>
      <c r="K1131" s="17">
        <v>0</v>
      </c>
      <c r="L1131" s="17">
        <v>100</v>
      </c>
      <c r="M1131" s="18">
        <f>Raw_LIMS_Export!K1131</f>
        <v>45737</v>
      </c>
      <c r="N1131" s="19" t="s">
        <v>2931</v>
      </c>
    </row>
    <row r="1132" spans="1:14" x14ac:dyDescent="0.35">
      <c r="A1132" s="16" t="s">
        <v>1134</v>
      </c>
      <c r="B1132" s="17" t="s">
        <v>2430</v>
      </c>
      <c r="C1132" s="17" t="s">
        <v>2458</v>
      </c>
      <c r="D1132" s="17" t="str">
        <f>_xlfn.XLOOKUP(Raw_LIMS_Export!E1132,'mapping Site table'!$B$4:$B$14,'mapping Site table'!$C$4:$C$14,Raw_LIMS_Export!E1132)</f>
        <v>Budapest</v>
      </c>
      <c r="E1132" s="17" t="s">
        <v>2479</v>
      </c>
      <c r="F1132" s="17">
        <f t="shared" si="52"/>
        <v>1</v>
      </c>
      <c r="G1132" s="17" t="str">
        <f t="shared" si="53"/>
        <v>Pass</v>
      </c>
      <c r="H1132" s="17" t="str">
        <f t="shared" si="51"/>
        <v>Fail</v>
      </c>
      <c r="I1132" s="17">
        <v>82.71</v>
      </c>
      <c r="J1132" s="17" t="s">
        <v>2486</v>
      </c>
      <c r="K1132" s="17">
        <v>0</v>
      </c>
      <c r="L1132" s="17">
        <v>120</v>
      </c>
      <c r="M1132" s="18">
        <f>Raw_LIMS_Export!K1132</f>
        <v>45714</v>
      </c>
      <c r="N1132" s="19" t="s">
        <v>2923</v>
      </c>
    </row>
    <row r="1133" spans="1:14" x14ac:dyDescent="0.35">
      <c r="A1133" s="16" t="s">
        <v>1135</v>
      </c>
      <c r="B1133" s="17" t="s">
        <v>2247</v>
      </c>
      <c r="C1133" s="17" t="s">
        <v>2461</v>
      </c>
      <c r="D1133" s="17" t="str">
        <f>_xlfn.XLOOKUP(Raw_LIMS_Export!E1133,'mapping Site table'!$B$4:$B$14,'mapping Site table'!$C$4:$C$14,Raw_LIMS_Export!E1133)</f>
        <v>Ashford UK</v>
      </c>
      <c r="E1133" s="17" t="s">
        <v>2483</v>
      </c>
      <c r="F1133" s="17">
        <f t="shared" si="52"/>
        <v>1</v>
      </c>
      <c r="G1133" s="17" t="str">
        <f t="shared" si="53"/>
        <v>Pass</v>
      </c>
      <c r="H1133" s="17" t="str">
        <f t="shared" si="51"/>
        <v>Fail</v>
      </c>
      <c r="I1133" s="17">
        <v>0.28000000000000003</v>
      </c>
      <c r="J1133" s="17" t="s">
        <v>2489</v>
      </c>
      <c r="K1133" s="17">
        <v>0</v>
      </c>
      <c r="L1133" s="17">
        <v>1</v>
      </c>
      <c r="M1133" s="18">
        <f>Raw_LIMS_Export!K1133</f>
        <v>45307</v>
      </c>
      <c r="N1133" s="19" t="s">
        <v>2924</v>
      </c>
    </row>
    <row r="1134" spans="1:14" x14ac:dyDescent="0.35">
      <c r="A1134" s="16" t="s">
        <v>1136</v>
      </c>
      <c r="B1134" s="17" t="s">
        <v>2385</v>
      </c>
      <c r="C1134" s="17" t="s">
        <v>2457</v>
      </c>
      <c r="D1134" s="17" t="str">
        <f>_xlfn.XLOOKUP(Raw_LIMS_Export!E1134,'mapping Site table'!$B$4:$B$14,'mapping Site table'!$C$4:$C$14,Raw_LIMS_Export!E1134)</f>
        <v>East Hanover</v>
      </c>
      <c r="E1134" s="17" t="s">
        <v>2480</v>
      </c>
      <c r="F1134" s="17">
        <f t="shared" si="52"/>
        <v>1</v>
      </c>
      <c r="G1134" s="17" t="str">
        <f t="shared" si="53"/>
        <v>Pass</v>
      </c>
      <c r="H1134" s="17" t="str">
        <f t="shared" si="51"/>
        <v>Pass</v>
      </c>
      <c r="I1134" s="17">
        <v>0.91</v>
      </c>
      <c r="J1134" s="17" t="s">
        <v>2487</v>
      </c>
      <c r="K1134" s="17">
        <v>0.88</v>
      </c>
      <c r="L1134" s="17">
        <v>0.97</v>
      </c>
      <c r="M1134" s="18">
        <f>Raw_LIMS_Export!K1134</f>
        <v>45790</v>
      </c>
      <c r="N1134" s="19" t="s">
        <v>2931</v>
      </c>
    </row>
    <row r="1135" spans="1:14" x14ac:dyDescent="0.35">
      <c r="A1135" s="16" t="s">
        <v>1137</v>
      </c>
      <c r="B1135" s="17" t="s">
        <v>2035</v>
      </c>
      <c r="C1135" s="17" t="s">
        <v>2461</v>
      </c>
      <c r="D1135" s="17" t="str">
        <f>_xlfn.XLOOKUP(Raw_LIMS_Export!E1135,'mapping Site table'!$B$4:$B$14,'mapping Site table'!$C$4:$C$14,Raw_LIMS_Export!E1135)</f>
        <v>Ashford UK</v>
      </c>
      <c r="E1135" s="17" t="s">
        <v>2481</v>
      </c>
      <c r="F1135" s="17">
        <f t="shared" si="52"/>
        <v>1</v>
      </c>
      <c r="G1135" s="17" t="str">
        <f t="shared" si="53"/>
        <v>Pass</v>
      </c>
      <c r="H1135" s="17" t="str">
        <f t="shared" si="51"/>
        <v>Pending</v>
      </c>
      <c r="I1135" s="17">
        <v>269.06</v>
      </c>
      <c r="J1135" s="17" t="s">
        <v>2488</v>
      </c>
      <c r="K1135" s="17">
        <v>150</v>
      </c>
      <c r="L1135" s="17">
        <v>400</v>
      </c>
      <c r="M1135" s="18">
        <f>Raw_LIMS_Export!K1135</f>
        <v>45853</v>
      </c>
      <c r="N1135" s="19" t="s">
        <v>2930</v>
      </c>
    </row>
    <row r="1136" spans="1:14" x14ac:dyDescent="0.35">
      <c r="A1136" s="16" t="s">
        <v>1138</v>
      </c>
      <c r="B1136" s="17" t="s">
        <v>2124</v>
      </c>
      <c r="C1136" s="17" t="s">
        <v>2457</v>
      </c>
      <c r="D1136" s="17" t="str">
        <f>_xlfn.XLOOKUP(Raw_LIMS_Export!E1136,'mapping Site table'!$B$4:$B$14,'mapping Site table'!$C$4:$C$14,Raw_LIMS_Export!E1136)</f>
        <v>Dortmund DE</v>
      </c>
      <c r="E1136" s="17" t="s">
        <v>2480</v>
      </c>
      <c r="F1136" s="17">
        <f t="shared" si="52"/>
        <v>1</v>
      </c>
      <c r="G1136" s="17" t="str">
        <f t="shared" si="53"/>
        <v>Pass</v>
      </c>
      <c r="H1136" s="17" t="str">
        <f t="shared" si="51"/>
        <v>Pass</v>
      </c>
      <c r="I1136" s="17">
        <v>0.93</v>
      </c>
      <c r="J1136" s="17" t="s">
        <v>2487</v>
      </c>
      <c r="K1136" s="17">
        <v>0.88</v>
      </c>
      <c r="L1136" s="17">
        <v>0.97</v>
      </c>
      <c r="M1136" s="18">
        <f>Raw_LIMS_Export!K1136</f>
        <v>45733</v>
      </c>
      <c r="N1136" s="19" t="s">
        <v>2925</v>
      </c>
    </row>
    <row r="1137" spans="1:14" x14ac:dyDescent="0.35">
      <c r="A1137" s="16" t="s">
        <v>1139</v>
      </c>
      <c r="B1137" s="17" t="s">
        <v>2441</v>
      </c>
      <c r="C1137" s="17" t="s">
        <v>2461</v>
      </c>
      <c r="D1137" s="17" t="str">
        <f>_xlfn.XLOOKUP(Raw_LIMS_Export!E1137,'mapping Site table'!$B$4:$B$14,'mapping Site table'!$C$4:$C$14,Raw_LIMS_Export!E1137)</f>
        <v>East Hanover</v>
      </c>
      <c r="E1137" s="17" t="s">
        <v>2482</v>
      </c>
      <c r="F1137" s="17">
        <f t="shared" si="52"/>
        <v>1</v>
      </c>
      <c r="G1137" s="17" t="str">
        <f t="shared" si="53"/>
        <v>Pass</v>
      </c>
      <c r="H1137" s="17" t="str">
        <f t="shared" si="51"/>
        <v>Pass</v>
      </c>
      <c r="I1137" s="17">
        <v>98.62</v>
      </c>
      <c r="J1137" s="17" t="s">
        <v>2489</v>
      </c>
      <c r="K1137" s="17">
        <v>97</v>
      </c>
      <c r="L1137" s="17">
        <v>100</v>
      </c>
      <c r="M1137" s="18">
        <f>Raw_LIMS_Export!K1137</f>
        <v>45870</v>
      </c>
      <c r="N1137" s="19" t="s">
        <v>2931</v>
      </c>
    </row>
    <row r="1138" spans="1:14" x14ac:dyDescent="0.35">
      <c r="A1138" s="16" t="s">
        <v>1140</v>
      </c>
      <c r="B1138" s="17" t="s">
        <v>2205</v>
      </c>
      <c r="C1138" s="17" t="s">
        <v>2457</v>
      </c>
      <c r="D1138" s="17" t="str">
        <f>_xlfn.XLOOKUP(Raw_LIMS_Export!E1138,'mapping Site table'!$B$4:$B$14,'mapping Site table'!$C$4:$C$14,Raw_LIMS_Export!E1138)</f>
        <v>Vernier CH</v>
      </c>
      <c r="E1138" s="17" t="s">
        <v>2484</v>
      </c>
      <c r="F1138" s="17">
        <f t="shared" si="52"/>
        <v>1</v>
      </c>
      <c r="G1138" s="17" t="str">
        <f t="shared" si="53"/>
        <v>Pass</v>
      </c>
      <c r="H1138" s="17" t="str">
        <f t="shared" si="51"/>
        <v>Pass</v>
      </c>
      <c r="I1138" s="17">
        <v>7.43</v>
      </c>
      <c r="J1138" s="17"/>
      <c r="K1138" s="17">
        <v>6</v>
      </c>
      <c r="L1138" s="17">
        <v>7.5</v>
      </c>
      <c r="M1138" s="18">
        <f>Raw_LIMS_Export!K1138</f>
        <v>45661</v>
      </c>
      <c r="N1138" s="19" t="s">
        <v>2927</v>
      </c>
    </row>
    <row r="1139" spans="1:14" x14ac:dyDescent="0.35">
      <c r="A1139" s="16" t="s">
        <v>1141</v>
      </c>
      <c r="B1139" s="17" t="s">
        <v>2122</v>
      </c>
      <c r="C1139" s="17" t="s">
        <v>2457</v>
      </c>
      <c r="D1139" s="17" t="str">
        <f>_xlfn.XLOOKUP(Raw_LIMS_Export!E1139,'mapping Site table'!$B$4:$B$14,'mapping Site table'!$C$4:$C$14,Raw_LIMS_Export!E1139)</f>
        <v>East Hanover</v>
      </c>
      <c r="E1139" s="17" t="s">
        <v>2479</v>
      </c>
      <c r="F1139" s="17">
        <f t="shared" si="52"/>
        <v>1</v>
      </c>
      <c r="G1139" s="17" t="str">
        <f t="shared" si="53"/>
        <v>Fail</v>
      </c>
      <c r="H1139" s="17" t="str">
        <f t="shared" si="51"/>
        <v>Fail</v>
      </c>
      <c r="I1139" s="17">
        <v>-60</v>
      </c>
      <c r="J1139" s="17" t="s">
        <v>2486</v>
      </c>
      <c r="K1139" s="17">
        <v>0</v>
      </c>
      <c r="L1139" s="17">
        <v>120</v>
      </c>
      <c r="M1139" s="18">
        <f>Raw_LIMS_Export!K1139</f>
        <v>45671</v>
      </c>
      <c r="N1139" s="19" t="s">
        <v>2927</v>
      </c>
    </row>
    <row r="1140" spans="1:14" x14ac:dyDescent="0.35">
      <c r="A1140" s="16" t="s">
        <v>1142</v>
      </c>
      <c r="B1140" s="17" t="s">
        <v>2448</v>
      </c>
      <c r="C1140" s="17" t="s">
        <v>2461</v>
      </c>
      <c r="D1140" s="17" t="str">
        <f>_xlfn.XLOOKUP(Raw_LIMS_Export!E1140,'mapping Site table'!$B$4:$B$14,'mapping Site table'!$C$4:$C$14,Raw_LIMS_Export!E1140)</f>
        <v>Ashford UK</v>
      </c>
      <c r="E1140" s="17" t="s">
        <v>2484</v>
      </c>
      <c r="F1140" s="17">
        <f t="shared" si="52"/>
        <v>1</v>
      </c>
      <c r="G1140" s="17" t="str">
        <f t="shared" si="53"/>
        <v>Pass</v>
      </c>
      <c r="H1140" s="17" t="str">
        <f t="shared" si="51"/>
        <v>Fail</v>
      </c>
      <c r="I1140" s="17">
        <v>6.85</v>
      </c>
      <c r="J1140" s="17"/>
      <c r="K1140" s="17">
        <v>6</v>
      </c>
      <c r="L1140" s="17">
        <v>7.5</v>
      </c>
      <c r="M1140" s="18">
        <f>Raw_LIMS_Export!K1140</f>
        <v>45882</v>
      </c>
      <c r="N1140" s="19" t="s">
        <v>2923</v>
      </c>
    </row>
    <row r="1141" spans="1:14" x14ac:dyDescent="0.35">
      <c r="A1141" s="16" t="s">
        <v>1143</v>
      </c>
      <c r="B1141" s="17" t="s">
        <v>2355</v>
      </c>
      <c r="C1141" s="17" t="s">
        <v>2457</v>
      </c>
      <c r="D1141" s="17" t="str">
        <f>_xlfn.XLOOKUP(Raw_LIMS_Export!E1141,'mapping Site table'!$B$4:$B$14,'mapping Site table'!$C$4:$C$14,Raw_LIMS_Export!E1141)</f>
        <v>Budapest</v>
      </c>
      <c r="E1141" s="17" t="s">
        <v>2484</v>
      </c>
      <c r="F1141" s="17">
        <f t="shared" si="52"/>
        <v>1</v>
      </c>
      <c r="G1141" s="17" t="str">
        <f t="shared" si="53"/>
        <v>Pass</v>
      </c>
      <c r="H1141" s="17" t="str">
        <f t="shared" si="51"/>
        <v>Fail</v>
      </c>
      <c r="I1141" s="17">
        <v>6.24</v>
      </c>
      <c r="J1141" s="17"/>
      <c r="K1141" s="17">
        <v>6</v>
      </c>
      <c r="L1141" s="17">
        <v>7.5</v>
      </c>
      <c r="M1141" s="18">
        <f>Raw_LIMS_Export!K1141</f>
        <v>45598</v>
      </c>
      <c r="N1141" s="19" t="s">
        <v>2932</v>
      </c>
    </row>
    <row r="1142" spans="1:14" x14ac:dyDescent="0.35">
      <c r="A1142" s="16" t="s">
        <v>1144</v>
      </c>
      <c r="B1142" s="17" t="s">
        <v>2346</v>
      </c>
      <c r="C1142" s="17" t="s">
        <v>2457</v>
      </c>
      <c r="D1142" s="17" t="str">
        <f>_xlfn.XLOOKUP(Raw_LIMS_Export!E1142,'mapping Site table'!$B$4:$B$14,'mapping Site table'!$C$4:$C$14,Raw_LIMS_Export!E1142)</f>
        <v>Vernier CH</v>
      </c>
      <c r="E1142" s="17" t="s">
        <v>2479</v>
      </c>
      <c r="F1142" s="17">
        <f t="shared" si="52"/>
        <v>1</v>
      </c>
      <c r="G1142" s="17" t="str">
        <f t="shared" si="53"/>
        <v>Pass</v>
      </c>
      <c r="H1142" s="17" t="str">
        <f t="shared" si="51"/>
        <v>Pass</v>
      </c>
      <c r="I1142" s="17">
        <v>56.84</v>
      </c>
      <c r="J1142" s="17" t="s">
        <v>2486</v>
      </c>
      <c r="K1142" s="17">
        <v>0</v>
      </c>
      <c r="L1142" s="17">
        <v>120</v>
      </c>
      <c r="M1142" s="18">
        <f>Raw_LIMS_Export!K1142</f>
        <v>45318</v>
      </c>
      <c r="N1142" s="19" t="s">
        <v>2931</v>
      </c>
    </row>
    <row r="1143" spans="1:14" x14ac:dyDescent="0.35">
      <c r="A1143" s="16" t="s">
        <v>1145</v>
      </c>
      <c r="B1143" s="17" t="s">
        <v>2303</v>
      </c>
      <c r="C1143" s="17" t="s">
        <v>2460</v>
      </c>
      <c r="D1143" s="17" t="str">
        <f>_xlfn.XLOOKUP(Raw_LIMS_Export!E1143,'mapping Site table'!$B$4:$B$14,'mapping Site table'!$C$4:$C$14,Raw_LIMS_Export!E1143)</f>
        <v>East Hanover</v>
      </c>
      <c r="E1143" s="17" t="s">
        <v>2481</v>
      </c>
      <c r="F1143" s="17">
        <f t="shared" si="52"/>
        <v>1</v>
      </c>
      <c r="G1143" s="17" t="str">
        <f t="shared" si="53"/>
        <v>Fail</v>
      </c>
      <c r="H1143" s="17" t="str">
        <f t="shared" si="51"/>
        <v>Fail</v>
      </c>
      <c r="I1143" s="17">
        <v>30</v>
      </c>
      <c r="J1143" s="17" t="s">
        <v>2488</v>
      </c>
      <c r="K1143" s="17">
        <v>150</v>
      </c>
      <c r="L1143" s="17">
        <v>400</v>
      </c>
      <c r="M1143" s="18">
        <f>Raw_LIMS_Export!K1143</f>
        <v>45870</v>
      </c>
      <c r="N1143" s="19" t="s">
        <v>2926</v>
      </c>
    </row>
    <row r="1144" spans="1:14" x14ac:dyDescent="0.35">
      <c r="A1144" s="16" t="s">
        <v>1146</v>
      </c>
      <c r="B1144" s="17" t="s">
        <v>2361</v>
      </c>
      <c r="C1144" s="17" t="s">
        <v>2461</v>
      </c>
      <c r="D1144" s="17" t="str">
        <f>_xlfn.XLOOKUP(Raw_LIMS_Export!E1144,'mapping Site table'!$B$4:$B$14,'mapping Site table'!$C$4:$C$14,Raw_LIMS_Export!E1144)</f>
        <v>Budapest</v>
      </c>
      <c r="E1144" s="17" t="s">
        <v>2481</v>
      </c>
      <c r="F1144" s="17">
        <f t="shared" si="52"/>
        <v>1</v>
      </c>
      <c r="G1144" s="17" t="str">
        <f t="shared" si="53"/>
        <v>Pass</v>
      </c>
      <c r="H1144" s="17" t="str">
        <f t="shared" si="51"/>
        <v>Pass</v>
      </c>
      <c r="I1144" s="17">
        <v>239.14</v>
      </c>
      <c r="J1144" s="17" t="s">
        <v>2488</v>
      </c>
      <c r="K1144" s="17">
        <v>150</v>
      </c>
      <c r="L1144" s="17">
        <v>400</v>
      </c>
      <c r="M1144" s="18">
        <f>Raw_LIMS_Export!K1144</f>
        <v>45779</v>
      </c>
      <c r="N1144" s="19" t="s">
        <v>2928</v>
      </c>
    </row>
    <row r="1145" spans="1:14" x14ac:dyDescent="0.35">
      <c r="A1145" s="16" t="s">
        <v>1147</v>
      </c>
      <c r="B1145" s="17" t="s">
        <v>2315</v>
      </c>
      <c r="C1145" s="17" t="s">
        <v>2460</v>
      </c>
      <c r="D1145" s="17" t="str">
        <f>_xlfn.XLOOKUP(Raw_LIMS_Export!E1145,'mapping Site table'!$B$4:$B$14,'mapping Site table'!$C$4:$C$14,Raw_LIMS_Export!E1145)</f>
        <v>Vernier CH</v>
      </c>
      <c r="E1145" s="17" t="s">
        <v>2480</v>
      </c>
      <c r="F1145" s="17">
        <f t="shared" si="52"/>
        <v>1</v>
      </c>
      <c r="G1145" s="17" t="str">
        <f t="shared" si="53"/>
        <v>Pass</v>
      </c>
      <c r="H1145" s="17" t="str">
        <f t="shared" si="51"/>
        <v>Pass</v>
      </c>
      <c r="I1145" s="17">
        <v>0.9</v>
      </c>
      <c r="J1145" s="17" t="s">
        <v>2487</v>
      </c>
      <c r="K1145" s="17">
        <v>0.88</v>
      </c>
      <c r="L1145" s="17">
        <v>0.97</v>
      </c>
      <c r="M1145" s="18">
        <f>Raw_LIMS_Export!K1145</f>
        <v>46011</v>
      </c>
      <c r="N1145" s="19" t="s">
        <v>2927</v>
      </c>
    </row>
    <row r="1146" spans="1:14" x14ac:dyDescent="0.35">
      <c r="A1146" s="16" t="s">
        <v>1148</v>
      </c>
      <c r="B1146" s="17" t="s">
        <v>2225</v>
      </c>
      <c r="C1146" s="17" t="s">
        <v>2458</v>
      </c>
      <c r="D1146" s="17" t="str">
        <f>_xlfn.XLOOKUP(Raw_LIMS_Export!E1146,'mapping Site table'!$B$4:$B$14,'mapping Site table'!$C$4:$C$14,Raw_LIMS_Export!E1146)</f>
        <v>Vernier CH</v>
      </c>
      <c r="E1146" s="17" t="s">
        <v>2485</v>
      </c>
      <c r="F1146" s="17">
        <f t="shared" si="52"/>
        <v>1</v>
      </c>
      <c r="G1146" s="17" t="str">
        <f t="shared" si="53"/>
        <v>Fail</v>
      </c>
      <c r="H1146" s="17" t="str">
        <f t="shared" si="51"/>
        <v>Fail</v>
      </c>
      <c r="I1146" s="17">
        <v>-10.68</v>
      </c>
      <c r="J1146" s="17" t="s">
        <v>2490</v>
      </c>
      <c r="K1146" s="17">
        <v>0</v>
      </c>
      <c r="L1146" s="17">
        <v>100</v>
      </c>
      <c r="M1146" s="18">
        <f>Raw_LIMS_Export!K1146</f>
        <v>45516</v>
      </c>
      <c r="N1146" s="19" t="s">
        <v>2928</v>
      </c>
    </row>
    <row r="1147" spans="1:14" x14ac:dyDescent="0.35">
      <c r="A1147" s="16" t="s">
        <v>1149</v>
      </c>
      <c r="B1147" s="17" t="s">
        <v>2232</v>
      </c>
      <c r="C1147" s="17" t="s">
        <v>2460</v>
      </c>
      <c r="D1147" s="17" t="str">
        <f>_xlfn.XLOOKUP(Raw_LIMS_Export!E1147,'mapping Site table'!$B$4:$B$14,'mapping Site table'!$C$4:$C$14,Raw_LIMS_Export!E1147)</f>
        <v>Ashford UK</v>
      </c>
      <c r="E1147" s="17" t="s">
        <v>2483</v>
      </c>
      <c r="F1147" s="17">
        <f t="shared" si="52"/>
        <v>1</v>
      </c>
      <c r="G1147" s="17" t="str">
        <f t="shared" si="53"/>
        <v>Pass</v>
      </c>
      <c r="H1147" s="17" t="str">
        <f t="shared" si="51"/>
        <v>Pass</v>
      </c>
      <c r="I1147" s="17">
        <v>0.34</v>
      </c>
      <c r="J1147" s="17" t="s">
        <v>2489</v>
      </c>
      <c r="K1147" s="17">
        <v>0</v>
      </c>
      <c r="L1147" s="17">
        <v>1</v>
      </c>
      <c r="M1147" s="18">
        <f>Raw_LIMS_Export!K1147</f>
        <v>45553</v>
      </c>
      <c r="N1147" s="19" t="s">
        <v>2932</v>
      </c>
    </row>
    <row r="1148" spans="1:14" x14ac:dyDescent="0.35">
      <c r="A1148" s="16" t="s">
        <v>1150</v>
      </c>
      <c r="B1148" s="17" t="s">
        <v>2382</v>
      </c>
      <c r="C1148" s="17" t="s">
        <v>2459</v>
      </c>
      <c r="D1148" s="17" t="str">
        <f>_xlfn.XLOOKUP(Raw_LIMS_Export!E1148,'mapping Site table'!$B$4:$B$14,'mapping Site table'!$C$4:$C$14,Raw_LIMS_Export!E1148)</f>
        <v>East Hanover</v>
      </c>
      <c r="E1148" s="17" t="s">
        <v>2480</v>
      </c>
      <c r="F1148" s="17">
        <f t="shared" si="52"/>
        <v>1</v>
      </c>
      <c r="G1148" s="17" t="str">
        <f t="shared" si="53"/>
        <v>Pass</v>
      </c>
      <c r="H1148" s="17" t="str">
        <f t="shared" si="51"/>
        <v>Pass</v>
      </c>
      <c r="I1148" s="17">
        <v>0.95</v>
      </c>
      <c r="J1148" s="17" t="s">
        <v>2487</v>
      </c>
      <c r="K1148" s="17">
        <v>0.88</v>
      </c>
      <c r="L1148" s="17">
        <v>0.97</v>
      </c>
      <c r="M1148" s="18">
        <f>Raw_LIMS_Export!K1148</f>
        <v>45831</v>
      </c>
      <c r="N1148" s="19" t="s">
        <v>2924</v>
      </c>
    </row>
    <row r="1149" spans="1:14" x14ac:dyDescent="0.35">
      <c r="A1149" s="16" t="s">
        <v>1151</v>
      </c>
      <c r="B1149" s="17" t="s">
        <v>2162</v>
      </c>
      <c r="C1149" s="17" t="s">
        <v>2459</v>
      </c>
      <c r="D1149" s="17" t="str">
        <f>_xlfn.XLOOKUP(Raw_LIMS_Export!E1149,'mapping Site table'!$B$4:$B$14,'mapping Site table'!$C$4:$C$14,Raw_LIMS_Export!E1149)</f>
        <v>East Hanover</v>
      </c>
      <c r="E1149" s="17" t="s">
        <v>2484</v>
      </c>
      <c r="F1149" s="17">
        <f t="shared" si="52"/>
        <v>1</v>
      </c>
      <c r="G1149" s="17" t="str">
        <f t="shared" si="53"/>
        <v>Pass</v>
      </c>
      <c r="H1149" s="17" t="str">
        <f t="shared" si="51"/>
        <v>Pass</v>
      </c>
      <c r="I1149" s="17">
        <v>7.35</v>
      </c>
      <c r="J1149" s="17"/>
      <c r="K1149" s="17">
        <v>6</v>
      </c>
      <c r="L1149" s="17">
        <v>7.5</v>
      </c>
      <c r="M1149" s="18">
        <f>Raw_LIMS_Export!K1149</f>
        <v>45940</v>
      </c>
      <c r="N1149" s="19" t="s">
        <v>2932</v>
      </c>
    </row>
    <row r="1150" spans="1:14" x14ac:dyDescent="0.35">
      <c r="A1150" s="16" t="s">
        <v>1152</v>
      </c>
      <c r="B1150" s="17" t="s">
        <v>2274</v>
      </c>
      <c r="C1150" s="17" t="s">
        <v>2458</v>
      </c>
      <c r="D1150" s="17" t="str">
        <f>_xlfn.XLOOKUP(Raw_LIMS_Export!E1150,'mapping Site table'!$B$4:$B$14,'mapping Site table'!$C$4:$C$14,Raw_LIMS_Export!E1150)</f>
        <v>East Hanover</v>
      </c>
      <c r="E1150" s="17" t="s">
        <v>2484</v>
      </c>
      <c r="F1150" s="17">
        <f t="shared" si="52"/>
        <v>1</v>
      </c>
      <c r="G1150" s="17" t="str">
        <f t="shared" si="53"/>
        <v>Pass</v>
      </c>
      <c r="H1150" s="17" t="str">
        <f t="shared" si="51"/>
        <v>Pass</v>
      </c>
      <c r="I1150" s="17">
        <v>7.39</v>
      </c>
      <c r="J1150" s="17"/>
      <c r="K1150" s="17">
        <v>6</v>
      </c>
      <c r="L1150" s="17">
        <v>7.5</v>
      </c>
      <c r="M1150" s="18">
        <f>Raw_LIMS_Export!K1150</f>
        <v>45910</v>
      </c>
      <c r="N1150" s="19" t="s">
        <v>2930</v>
      </c>
    </row>
    <row r="1151" spans="1:14" x14ac:dyDescent="0.35">
      <c r="A1151" s="16" t="s">
        <v>1153</v>
      </c>
      <c r="B1151" s="17" t="s">
        <v>2252</v>
      </c>
      <c r="C1151" s="17" t="s">
        <v>2461</v>
      </c>
      <c r="D1151" s="17" t="str">
        <f>_xlfn.XLOOKUP(Raw_LIMS_Export!E1151,'mapping Site table'!$B$4:$B$14,'mapping Site table'!$C$4:$C$14,Raw_LIMS_Export!E1151)</f>
        <v>Budapest</v>
      </c>
      <c r="E1151" s="17" t="s">
        <v>2479</v>
      </c>
      <c r="F1151" s="17">
        <f t="shared" si="52"/>
        <v>1</v>
      </c>
      <c r="G1151" s="17" t="str">
        <f t="shared" si="53"/>
        <v>Pass</v>
      </c>
      <c r="H1151" s="17" t="str">
        <f t="shared" si="51"/>
        <v>Pass</v>
      </c>
      <c r="I1151" s="17">
        <v>63.29</v>
      </c>
      <c r="J1151" s="17" t="s">
        <v>2486</v>
      </c>
      <c r="K1151" s="17">
        <v>0</v>
      </c>
      <c r="L1151" s="17">
        <v>120</v>
      </c>
      <c r="M1151" s="18">
        <f>Raw_LIMS_Export!K1151</f>
        <v>45344</v>
      </c>
      <c r="N1151" s="19" t="s">
        <v>2923</v>
      </c>
    </row>
    <row r="1152" spans="1:14" x14ac:dyDescent="0.35">
      <c r="A1152" s="16" t="s">
        <v>1154</v>
      </c>
      <c r="B1152" s="17" t="s">
        <v>2214</v>
      </c>
      <c r="C1152" s="17" t="s">
        <v>2457</v>
      </c>
      <c r="D1152" s="17" t="str">
        <f>_xlfn.XLOOKUP(Raw_LIMS_Export!E1152,'mapping Site table'!$B$4:$B$14,'mapping Site table'!$C$4:$C$14,Raw_LIMS_Export!E1152)</f>
        <v>Ashford UK</v>
      </c>
      <c r="E1152" s="17" t="s">
        <v>2485</v>
      </c>
      <c r="F1152" s="17">
        <f t="shared" si="52"/>
        <v>1</v>
      </c>
      <c r="G1152" s="17" t="str">
        <f t="shared" si="53"/>
        <v>Pass</v>
      </c>
      <c r="H1152" s="17" t="str">
        <f t="shared" si="51"/>
        <v>Pass</v>
      </c>
      <c r="I1152" s="17">
        <v>24.1</v>
      </c>
      <c r="J1152" s="17" t="s">
        <v>2490</v>
      </c>
      <c r="K1152" s="17">
        <v>0</v>
      </c>
      <c r="L1152" s="17">
        <v>100</v>
      </c>
      <c r="M1152" s="18">
        <f>Raw_LIMS_Export!K1152</f>
        <v>45791</v>
      </c>
      <c r="N1152" s="19" t="s">
        <v>2927</v>
      </c>
    </row>
    <row r="1153" spans="1:14" x14ac:dyDescent="0.35">
      <c r="A1153" s="16" t="s">
        <v>1155</v>
      </c>
      <c r="B1153" s="17" t="s">
        <v>2051</v>
      </c>
      <c r="C1153" s="17" t="s">
        <v>2461</v>
      </c>
      <c r="D1153" s="17" t="str">
        <f>_xlfn.XLOOKUP(Raw_LIMS_Export!E1153,'mapping Site table'!$B$4:$B$14,'mapping Site table'!$C$4:$C$14,Raw_LIMS_Export!E1153)</f>
        <v>Dortmund DE</v>
      </c>
      <c r="E1153" s="17" t="s">
        <v>2485</v>
      </c>
      <c r="F1153" s="17">
        <f t="shared" si="52"/>
        <v>1</v>
      </c>
      <c r="G1153" s="17" t="str">
        <f t="shared" si="53"/>
        <v>Pass</v>
      </c>
      <c r="H1153" s="17" t="str">
        <f t="shared" si="51"/>
        <v>Fail</v>
      </c>
      <c r="I1153" s="17">
        <v>32.19</v>
      </c>
      <c r="J1153" s="17" t="s">
        <v>2490</v>
      </c>
      <c r="K1153" s="17">
        <v>0</v>
      </c>
      <c r="L1153" s="17">
        <v>100</v>
      </c>
      <c r="M1153" s="18">
        <f>Raw_LIMS_Export!K1153</f>
        <v>45564</v>
      </c>
      <c r="N1153" s="19" t="s">
        <v>2930</v>
      </c>
    </row>
    <row r="1154" spans="1:14" x14ac:dyDescent="0.35">
      <c r="A1154" s="16" t="s">
        <v>1156</v>
      </c>
      <c r="B1154" s="17" t="s">
        <v>2126</v>
      </c>
      <c r="C1154" s="17" t="s">
        <v>2461</v>
      </c>
      <c r="D1154" s="17" t="str">
        <f>_xlfn.XLOOKUP(Raw_LIMS_Export!E1154,'mapping Site table'!$B$4:$B$14,'mapping Site table'!$C$4:$C$14,Raw_LIMS_Export!E1154)</f>
        <v>East Hanover</v>
      </c>
      <c r="E1154" s="17" t="s">
        <v>2480</v>
      </c>
      <c r="F1154" s="17">
        <f t="shared" si="52"/>
        <v>1</v>
      </c>
      <c r="G1154" s="17" t="str">
        <f t="shared" si="53"/>
        <v>Pass</v>
      </c>
      <c r="H1154" s="17" t="str">
        <f t="shared" ref="H1154:H1217" si="54">IF(COUNTIFS($B$2:$B$2016,B1154,$G$2:$G$2016,"Fail")&gt;0,"Fail",
  IF(COUNTIFS($B$2:$B$2016,B1154,$G$2:$G$2016,"Missing")&gt;0,"Pending",
    "Pass"))</f>
        <v>Pass</v>
      </c>
      <c r="I1154" s="17">
        <v>0.9</v>
      </c>
      <c r="J1154" s="17" t="s">
        <v>2487</v>
      </c>
      <c r="K1154" s="17">
        <v>0.88</v>
      </c>
      <c r="L1154" s="17">
        <v>0.97</v>
      </c>
      <c r="M1154" s="18">
        <f>Raw_LIMS_Export!K1154</f>
        <v>45366</v>
      </c>
      <c r="N1154" s="19" t="s">
        <v>2923</v>
      </c>
    </row>
    <row r="1155" spans="1:14" x14ac:dyDescent="0.35">
      <c r="A1155" s="16" t="s">
        <v>1157</v>
      </c>
      <c r="B1155" s="17" t="s">
        <v>2183</v>
      </c>
      <c r="C1155" s="17" t="s">
        <v>2457</v>
      </c>
      <c r="D1155" s="17" t="str">
        <f>_xlfn.XLOOKUP(Raw_LIMS_Export!E1155,'mapping Site table'!$B$4:$B$14,'mapping Site table'!$C$4:$C$14,Raw_LIMS_Export!E1155)</f>
        <v>East Hanover</v>
      </c>
      <c r="E1155" s="17" t="s">
        <v>2481</v>
      </c>
      <c r="F1155" s="17">
        <f t="shared" ref="F1155:F1218" si="55">IF(I1155="",0,1)</f>
        <v>1</v>
      </c>
      <c r="G1155" s="17" t="str">
        <f t="shared" ref="G1155:G1218" si="56">IF(I1155="", "Missing", IF(AND(I1155&gt;=K1155, I1155&lt;=L1155), "Pass", "Fail"))</f>
        <v>Pass</v>
      </c>
      <c r="H1155" s="17" t="str">
        <f t="shared" si="54"/>
        <v>Pass</v>
      </c>
      <c r="I1155" s="17">
        <v>240.69</v>
      </c>
      <c r="J1155" s="17" t="s">
        <v>2488</v>
      </c>
      <c r="K1155" s="17">
        <v>150</v>
      </c>
      <c r="L1155" s="17">
        <v>400</v>
      </c>
      <c r="M1155" s="18">
        <f>Raw_LIMS_Export!K1155</f>
        <v>45810</v>
      </c>
      <c r="N1155" s="19" t="s">
        <v>2926</v>
      </c>
    </row>
    <row r="1156" spans="1:14" x14ac:dyDescent="0.35">
      <c r="A1156" s="16" t="s">
        <v>1158</v>
      </c>
      <c r="B1156" s="17" t="s">
        <v>2071</v>
      </c>
      <c r="C1156" s="17" t="s">
        <v>2457</v>
      </c>
      <c r="D1156" s="17" t="str">
        <f>_xlfn.XLOOKUP(Raw_LIMS_Export!E1156,'mapping Site table'!$B$4:$B$14,'mapping Site table'!$C$4:$C$14,Raw_LIMS_Export!E1156)</f>
        <v>Vernier CH</v>
      </c>
      <c r="E1156" s="17" t="s">
        <v>2481</v>
      </c>
      <c r="F1156" s="17">
        <f t="shared" si="55"/>
        <v>1</v>
      </c>
      <c r="G1156" s="17" t="str">
        <f t="shared" si="56"/>
        <v>Pass</v>
      </c>
      <c r="H1156" s="17" t="str">
        <f t="shared" si="54"/>
        <v>Fail</v>
      </c>
      <c r="I1156" s="17">
        <v>255.93</v>
      </c>
      <c r="J1156" s="17" t="s">
        <v>2488</v>
      </c>
      <c r="K1156" s="17">
        <v>150</v>
      </c>
      <c r="L1156" s="17">
        <v>400</v>
      </c>
      <c r="M1156" s="18">
        <f>Raw_LIMS_Export!K1156</f>
        <v>45864</v>
      </c>
      <c r="N1156" s="19" t="s">
        <v>2928</v>
      </c>
    </row>
    <row r="1157" spans="1:14" x14ac:dyDescent="0.35">
      <c r="A1157" s="16" t="s">
        <v>1159</v>
      </c>
      <c r="B1157" s="17" t="s">
        <v>2047</v>
      </c>
      <c r="C1157" s="17" t="s">
        <v>2460</v>
      </c>
      <c r="D1157" s="17" t="str">
        <f>_xlfn.XLOOKUP(Raw_LIMS_Export!E1157,'mapping Site table'!$B$4:$B$14,'mapping Site table'!$C$4:$C$14,Raw_LIMS_Export!E1157)</f>
        <v>Budapest</v>
      </c>
      <c r="E1157" s="17" t="s">
        <v>2484</v>
      </c>
      <c r="F1157" s="17">
        <f t="shared" si="55"/>
        <v>1</v>
      </c>
      <c r="G1157" s="17" t="str">
        <f t="shared" si="56"/>
        <v>Pass</v>
      </c>
      <c r="H1157" s="17" t="str">
        <f t="shared" si="54"/>
        <v>Pass</v>
      </c>
      <c r="I1157" s="17">
        <v>6.9</v>
      </c>
      <c r="J1157" s="17"/>
      <c r="K1157" s="17">
        <v>6</v>
      </c>
      <c r="L1157" s="17">
        <v>7.5</v>
      </c>
      <c r="M1157" s="18">
        <f>Raw_LIMS_Export!K1157</f>
        <v>45543</v>
      </c>
      <c r="N1157" s="19" t="s">
        <v>2925</v>
      </c>
    </row>
    <row r="1158" spans="1:14" x14ac:dyDescent="0.35">
      <c r="A1158" s="16" t="s">
        <v>1160</v>
      </c>
      <c r="B1158" s="17" t="s">
        <v>2192</v>
      </c>
      <c r="C1158" s="17" t="s">
        <v>2457</v>
      </c>
      <c r="D1158" s="17" t="str">
        <f>_xlfn.XLOOKUP(Raw_LIMS_Export!E1158,'mapping Site table'!$B$4:$B$14,'mapping Site table'!$C$4:$C$14,Raw_LIMS_Export!E1158)</f>
        <v>Dortmund DE</v>
      </c>
      <c r="E1158" s="17" t="s">
        <v>2483</v>
      </c>
      <c r="F1158" s="17">
        <f t="shared" si="55"/>
        <v>1</v>
      </c>
      <c r="G1158" s="17" t="str">
        <f t="shared" si="56"/>
        <v>Pass</v>
      </c>
      <c r="H1158" s="17" t="str">
        <f t="shared" si="54"/>
        <v>Pass</v>
      </c>
      <c r="I1158" s="17">
        <v>0.41</v>
      </c>
      <c r="J1158" s="17" t="s">
        <v>2489</v>
      </c>
      <c r="K1158" s="17">
        <v>0</v>
      </c>
      <c r="L1158" s="17">
        <v>1</v>
      </c>
      <c r="M1158" s="18">
        <f>Raw_LIMS_Export!K1158</f>
        <v>45661</v>
      </c>
      <c r="N1158" s="19" t="s">
        <v>2931</v>
      </c>
    </row>
    <row r="1159" spans="1:14" x14ac:dyDescent="0.35">
      <c r="A1159" s="16" t="s">
        <v>1161</v>
      </c>
      <c r="B1159" s="17" t="s">
        <v>2417</v>
      </c>
      <c r="C1159" s="17" t="s">
        <v>2459</v>
      </c>
      <c r="D1159" s="17" t="str">
        <f>_xlfn.XLOOKUP(Raw_LIMS_Export!E1159,'mapping Site table'!$B$4:$B$14,'mapping Site table'!$C$4:$C$14,Raw_LIMS_Export!E1159)</f>
        <v>Ashford UK</v>
      </c>
      <c r="E1159" s="17" t="s">
        <v>2483</v>
      </c>
      <c r="F1159" s="17">
        <f t="shared" si="55"/>
        <v>1</v>
      </c>
      <c r="G1159" s="17" t="str">
        <f t="shared" si="56"/>
        <v>Pass</v>
      </c>
      <c r="H1159" s="17" t="str">
        <f t="shared" si="54"/>
        <v>Fail</v>
      </c>
      <c r="I1159" s="17">
        <v>0.52</v>
      </c>
      <c r="J1159" s="17" t="s">
        <v>2489</v>
      </c>
      <c r="K1159" s="17">
        <v>0</v>
      </c>
      <c r="L1159" s="17">
        <v>1</v>
      </c>
      <c r="M1159" s="18">
        <f>Raw_LIMS_Export!K1159</f>
        <v>45969</v>
      </c>
      <c r="N1159" s="19" t="s">
        <v>2931</v>
      </c>
    </row>
    <row r="1160" spans="1:14" x14ac:dyDescent="0.35">
      <c r="A1160" s="16" t="s">
        <v>1162</v>
      </c>
      <c r="B1160" s="17" t="s">
        <v>2431</v>
      </c>
      <c r="C1160" s="17" t="s">
        <v>2460</v>
      </c>
      <c r="D1160" s="17" t="str">
        <f>_xlfn.XLOOKUP(Raw_LIMS_Export!E1160,'mapping Site table'!$B$4:$B$14,'mapping Site table'!$C$4:$C$14,Raw_LIMS_Export!E1160)</f>
        <v>Ashford UK</v>
      </c>
      <c r="E1160" s="17" t="s">
        <v>2480</v>
      </c>
      <c r="F1160" s="17">
        <f t="shared" si="55"/>
        <v>1</v>
      </c>
      <c r="G1160" s="17" t="str">
        <f t="shared" si="56"/>
        <v>Pass</v>
      </c>
      <c r="H1160" s="17" t="str">
        <f t="shared" si="54"/>
        <v>Pass</v>
      </c>
      <c r="I1160" s="17">
        <v>0.89</v>
      </c>
      <c r="J1160" s="17" t="s">
        <v>2487</v>
      </c>
      <c r="K1160" s="17">
        <v>0.88</v>
      </c>
      <c r="L1160" s="17">
        <v>0.97</v>
      </c>
      <c r="M1160" s="18">
        <f>Raw_LIMS_Export!K1160</f>
        <v>45462</v>
      </c>
      <c r="N1160" s="19" t="s">
        <v>2932</v>
      </c>
    </row>
    <row r="1161" spans="1:14" x14ac:dyDescent="0.35">
      <c r="A1161" s="16" t="s">
        <v>1163</v>
      </c>
      <c r="B1161" s="17" t="s">
        <v>2283</v>
      </c>
      <c r="C1161" s="17" t="s">
        <v>2461</v>
      </c>
      <c r="D1161" s="17" t="str">
        <f>_xlfn.XLOOKUP(Raw_LIMS_Export!E1161,'mapping Site table'!$B$4:$B$14,'mapping Site table'!$C$4:$C$14,Raw_LIMS_Export!E1161)</f>
        <v>Vernier CH</v>
      </c>
      <c r="E1161" s="17" t="s">
        <v>2482</v>
      </c>
      <c r="F1161" s="17">
        <f t="shared" si="55"/>
        <v>1</v>
      </c>
      <c r="G1161" s="17" t="str">
        <f t="shared" si="56"/>
        <v>Pass</v>
      </c>
      <c r="H1161" s="17" t="str">
        <f t="shared" si="54"/>
        <v>Pending</v>
      </c>
      <c r="I1161" s="17">
        <v>98.88</v>
      </c>
      <c r="J1161" s="17" t="s">
        <v>2489</v>
      </c>
      <c r="K1161" s="17">
        <v>97</v>
      </c>
      <c r="L1161" s="17">
        <v>100</v>
      </c>
      <c r="M1161" s="18">
        <f>Raw_LIMS_Export!K1161</f>
        <v>45487</v>
      </c>
      <c r="N1161" s="19" t="s">
        <v>2930</v>
      </c>
    </row>
    <row r="1162" spans="1:14" x14ac:dyDescent="0.35">
      <c r="A1162" s="16" t="s">
        <v>1164</v>
      </c>
      <c r="B1162" s="17" t="s">
        <v>2065</v>
      </c>
      <c r="C1162" s="17" t="s">
        <v>2459</v>
      </c>
      <c r="D1162" s="17" t="str">
        <f>_xlfn.XLOOKUP(Raw_LIMS_Export!E1162,'mapping Site table'!$B$4:$B$14,'mapping Site table'!$C$4:$C$14,Raw_LIMS_Export!E1162)</f>
        <v>East Hanover</v>
      </c>
      <c r="E1162" s="17" t="s">
        <v>2479</v>
      </c>
      <c r="F1162" s="17">
        <f t="shared" si="55"/>
        <v>1</v>
      </c>
      <c r="G1162" s="17" t="str">
        <f t="shared" si="56"/>
        <v>Pass</v>
      </c>
      <c r="H1162" s="17" t="str">
        <f t="shared" si="54"/>
        <v>Pass</v>
      </c>
      <c r="I1162" s="17">
        <v>48.34</v>
      </c>
      <c r="J1162" s="17" t="s">
        <v>2486</v>
      </c>
      <c r="K1162" s="17">
        <v>0</v>
      </c>
      <c r="L1162" s="17">
        <v>120</v>
      </c>
      <c r="M1162" s="18">
        <f>Raw_LIMS_Export!K1162</f>
        <v>45950</v>
      </c>
      <c r="N1162" s="19" t="s">
        <v>2932</v>
      </c>
    </row>
    <row r="1163" spans="1:14" x14ac:dyDescent="0.35">
      <c r="A1163" s="16" t="s">
        <v>1165</v>
      </c>
      <c r="B1163" s="17" t="s">
        <v>2216</v>
      </c>
      <c r="C1163" s="17" t="s">
        <v>2458</v>
      </c>
      <c r="D1163" s="17" t="str">
        <f>_xlfn.XLOOKUP(Raw_LIMS_Export!E1163,'mapping Site table'!$B$4:$B$14,'mapping Site table'!$C$4:$C$14,Raw_LIMS_Export!E1163)</f>
        <v>Dortmund DE</v>
      </c>
      <c r="E1163" s="17" t="s">
        <v>2480</v>
      </c>
      <c r="F1163" s="17">
        <f t="shared" si="55"/>
        <v>1</v>
      </c>
      <c r="G1163" s="17" t="str">
        <f t="shared" si="56"/>
        <v>Pass</v>
      </c>
      <c r="H1163" s="17" t="str">
        <f t="shared" si="54"/>
        <v>Pass</v>
      </c>
      <c r="I1163" s="17">
        <v>0.88</v>
      </c>
      <c r="J1163" s="17" t="s">
        <v>2487</v>
      </c>
      <c r="K1163" s="17">
        <v>0.88</v>
      </c>
      <c r="L1163" s="17">
        <v>0.97</v>
      </c>
      <c r="M1163" s="18">
        <f>Raw_LIMS_Export!K1163</f>
        <v>45873</v>
      </c>
      <c r="N1163" s="19" t="s">
        <v>2925</v>
      </c>
    </row>
    <row r="1164" spans="1:14" x14ac:dyDescent="0.35">
      <c r="A1164" s="16" t="s">
        <v>1166</v>
      </c>
      <c r="B1164" s="17" t="s">
        <v>2205</v>
      </c>
      <c r="C1164" s="17" t="s">
        <v>2457</v>
      </c>
      <c r="D1164" s="17" t="str">
        <f>_xlfn.XLOOKUP(Raw_LIMS_Export!E1164,'mapping Site table'!$B$4:$B$14,'mapping Site table'!$C$4:$C$14,Raw_LIMS_Export!E1164)</f>
        <v>Vernier CH</v>
      </c>
      <c r="E1164" s="17" t="s">
        <v>2481</v>
      </c>
      <c r="F1164" s="17">
        <f t="shared" si="55"/>
        <v>1</v>
      </c>
      <c r="G1164" s="17" t="str">
        <f t="shared" si="56"/>
        <v>Pass</v>
      </c>
      <c r="H1164" s="17" t="str">
        <f t="shared" si="54"/>
        <v>Pass</v>
      </c>
      <c r="I1164" s="17">
        <v>203.91</v>
      </c>
      <c r="J1164" s="17" t="s">
        <v>2488</v>
      </c>
      <c r="K1164" s="17">
        <v>150</v>
      </c>
      <c r="L1164" s="17">
        <v>400</v>
      </c>
      <c r="M1164" s="18">
        <f>Raw_LIMS_Export!K1164</f>
        <v>45661</v>
      </c>
      <c r="N1164" s="19" t="s">
        <v>2925</v>
      </c>
    </row>
    <row r="1165" spans="1:14" x14ac:dyDescent="0.35">
      <c r="A1165" s="16" t="s">
        <v>1167</v>
      </c>
      <c r="B1165" s="17" t="s">
        <v>2214</v>
      </c>
      <c r="C1165" s="17" t="s">
        <v>2457</v>
      </c>
      <c r="D1165" s="17" t="str">
        <f>_xlfn.XLOOKUP(Raw_LIMS_Export!E1165,'mapping Site table'!$B$4:$B$14,'mapping Site table'!$C$4:$C$14,Raw_LIMS_Export!E1165)</f>
        <v>Ashford UK</v>
      </c>
      <c r="E1165" s="17" t="s">
        <v>2484</v>
      </c>
      <c r="F1165" s="17">
        <f t="shared" si="55"/>
        <v>1</v>
      </c>
      <c r="G1165" s="17" t="str">
        <f t="shared" si="56"/>
        <v>Pass</v>
      </c>
      <c r="H1165" s="17" t="str">
        <f t="shared" si="54"/>
        <v>Pass</v>
      </c>
      <c r="I1165" s="17">
        <v>6.19</v>
      </c>
      <c r="J1165" s="17"/>
      <c r="K1165" s="17">
        <v>6</v>
      </c>
      <c r="L1165" s="17">
        <v>7.5</v>
      </c>
      <c r="M1165" s="18">
        <f>Raw_LIMS_Export!K1165</f>
        <v>45791</v>
      </c>
      <c r="N1165" s="19" t="s">
        <v>2929</v>
      </c>
    </row>
    <row r="1166" spans="1:14" x14ac:dyDescent="0.35">
      <c r="A1166" s="16" t="s">
        <v>1168</v>
      </c>
      <c r="B1166" s="17" t="s">
        <v>2093</v>
      </c>
      <c r="C1166" s="17" t="s">
        <v>2459</v>
      </c>
      <c r="D1166" s="17" t="str">
        <f>_xlfn.XLOOKUP(Raw_LIMS_Export!E1166,'mapping Site table'!$B$4:$B$14,'mapping Site table'!$C$4:$C$14,Raw_LIMS_Export!E1166)</f>
        <v>East Hanover</v>
      </c>
      <c r="E1166" s="17" t="s">
        <v>2483</v>
      </c>
      <c r="F1166" s="17">
        <f t="shared" si="55"/>
        <v>1</v>
      </c>
      <c r="G1166" s="17" t="str">
        <f t="shared" si="56"/>
        <v>Fail</v>
      </c>
      <c r="H1166" s="17" t="str">
        <f t="shared" si="54"/>
        <v>Fail</v>
      </c>
      <c r="I1166" s="17">
        <v>-0.45</v>
      </c>
      <c r="J1166" s="17" t="s">
        <v>2489</v>
      </c>
      <c r="K1166" s="17">
        <v>0</v>
      </c>
      <c r="L1166" s="17">
        <v>1</v>
      </c>
      <c r="M1166" s="18">
        <f>Raw_LIMS_Export!K1166</f>
        <v>45542</v>
      </c>
      <c r="N1166" s="19" t="s">
        <v>2925</v>
      </c>
    </row>
    <row r="1167" spans="1:14" x14ac:dyDescent="0.35">
      <c r="A1167" s="16" t="s">
        <v>1169</v>
      </c>
      <c r="B1167" s="17" t="s">
        <v>2362</v>
      </c>
      <c r="C1167" s="17" t="s">
        <v>2457</v>
      </c>
      <c r="D1167" s="17" t="str">
        <f>_xlfn.XLOOKUP(Raw_LIMS_Export!E1167,'mapping Site table'!$B$4:$B$14,'mapping Site table'!$C$4:$C$14,Raw_LIMS_Export!E1167)</f>
        <v>Dortmund DE</v>
      </c>
      <c r="E1167" s="17" t="s">
        <v>2480</v>
      </c>
      <c r="F1167" s="17">
        <f t="shared" si="55"/>
        <v>1</v>
      </c>
      <c r="G1167" s="17" t="str">
        <f t="shared" si="56"/>
        <v>Pass</v>
      </c>
      <c r="H1167" s="17" t="str">
        <f t="shared" si="54"/>
        <v>Pass</v>
      </c>
      <c r="I1167" s="17">
        <v>0.95</v>
      </c>
      <c r="J1167" s="17" t="s">
        <v>2487</v>
      </c>
      <c r="K1167" s="17">
        <v>0.88</v>
      </c>
      <c r="L1167" s="17">
        <v>0.97</v>
      </c>
      <c r="M1167" s="18">
        <f>Raw_LIMS_Export!K1167</f>
        <v>45320</v>
      </c>
      <c r="N1167" s="19" t="s">
        <v>2928</v>
      </c>
    </row>
    <row r="1168" spans="1:14" x14ac:dyDescent="0.35">
      <c r="A1168" s="16" t="s">
        <v>1170</v>
      </c>
      <c r="B1168" s="17" t="s">
        <v>2249</v>
      </c>
      <c r="C1168" s="17" t="s">
        <v>2461</v>
      </c>
      <c r="D1168" s="17" t="str">
        <f>_xlfn.XLOOKUP(Raw_LIMS_Export!E1168,'mapping Site table'!$B$4:$B$14,'mapping Site table'!$C$4:$C$14,Raw_LIMS_Export!E1168)</f>
        <v>Vernier CH</v>
      </c>
      <c r="E1168" s="17" t="s">
        <v>2479</v>
      </c>
      <c r="F1168" s="17">
        <f t="shared" si="55"/>
        <v>1</v>
      </c>
      <c r="G1168" s="17" t="str">
        <f t="shared" si="56"/>
        <v>Pass</v>
      </c>
      <c r="H1168" s="17" t="str">
        <f t="shared" si="54"/>
        <v>Fail</v>
      </c>
      <c r="I1168" s="17">
        <v>32.72</v>
      </c>
      <c r="J1168" s="17" t="s">
        <v>2486</v>
      </c>
      <c r="K1168" s="17">
        <v>0</v>
      </c>
      <c r="L1168" s="17">
        <v>120</v>
      </c>
      <c r="M1168" s="18">
        <f>Raw_LIMS_Export!K1168</f>
        <v>45987</v>
      </c>
      <c r="N1168" s="19" t="s">
        <v>2931</v>
      </c>
    </row>
    <row r="1169" spans="1:14" x14ac:dyDescent="0.35">
      <c r="A1169" s="16" t="s">
        <v>1171</v>
      </c>
      <c r="B1169" s="17" t="s">
        <v>2268</v>
      </c>
      <c r="C1169" s="17" t="s">
        <v>2459</v>
      </c>
      <c r="D1169" s="17" t="str">
        <f>_xlfn.XLOOKUP(Raw_LIMS_Export!E1169,'mapping Site table'!$B$4:$B$14,'mapping Site table'!$C$4:$C$14,Raw_LIMS_Export!E1169)</f>
        <v>East Hanover</v>
      </c>
      <c r="E1169" s="17" t="s">
        <v>2482</v>
      </c>
      <c r="F1169" s="17">
        <f t="shared" si="55"/>
        <v>1</v>
      </c>
      <c r="G1169" s="17" t="str">
        <f t="shared" si="56"/>
        <v>Pass</v>
      </c>
      <c r="H1169" s="17" t="str">
        <f t="shared" si="54"/>
        <v>Fail</v>
      </c>
      <c r="I1169" s="17">
        <v>98.12</v>
      </c>
      <c r="J1169" s="17" t="s">
        <v>2489</v>
      </c>
      <c r="K1169" s="17">
        <v>97</v>
      </c>
      <c r="L1169" s="17">
        <v>100</v>
      </c>
      <c r="M1169" s="18">
        <f>Raw_LIMS_Export!K1169</f>
        <v>45367</v>
      </c>
      <c r="N1169" s="19" t="s">
        <v>2931</v>
      </c>
    </row>
    <row r="1170" spans="1:14" x14ac:dyDescent="0.35">
      <c r="A1170" s="16" t="s">
        <v>1172</v>
      </c>
      <c r="B1170" s="17" t="s">
        <v>2262</v>
      </c>
      <c r="C1170" s="17" t="s">
        <v>2459</v>
      </c>
      <c r="D1170" s="17" t="str">
        <f>_xlfn.XLOOKUP(Raw_LIMS_Export!E1170,'mapping Site table'!$B$4:$B$14,'mapping Site table'!$C$4:$C$14,Raw_LIMS_Export!E1170)</f>
        <v>Vernier CH</v>
      </c>
      <c r="E1170" s="17" t="s">
        <v>2481</v>
      </c>
      <c r="F1170" s="17">
        <f t="shared" si="55"/>
        <v>1</v>
      </c>
      <c r="G1170" s="17" t="str">
        <f t="shared" si="56"/>
        <v>Fail</v>
      </c>
      <c r="H1170" s="17" t="str">
        <f t="shared" si="54"/>
        <v>Fail</v>
      </c>
      <c r="I1170" s="17">
        <v>30</v>
      </c>
      <c r="J1170" s="17" t="s">
        <v>2488</v>
      </c>
      <c r="K1170" s="17">
        <v>150</v>
      </c>
      <c r="L1170" s="17">
        <v>400</v>
      </c>
      <c r="M1170" s="18">
        <f>Raw_LIMS_Export!K1170</f>
        <v>45659</v>
      </c>
      <c r="N1170" s="19" t="s">
        <v>2932</v>
      </c>
    </row>
    <row r="1171" spans="1:14" x14ac:dyDescent="0.35">
      <c r="A1171" s="16" t="s">
        <v>1173</v>
      </c>
      <c r="B1171" s="17" t="s">
        <v>2426</v>
      </c>
      <c r="C1171" s="17" t="s">
        <v>2461</v>
      </c>
      <c r="D1171" s="17" t="str">
        <f>_xlfn.XLOOKUP(Raw_LIMS_Export!E1171,'mapping Site table'!$B$4:$B$14,'mapping Site table'!$C$4:$C$14,Raw_LIMS_Export!E1171)</f>
        <v>Dortmund DE</v>
      </c>
      <c r="E1171" s="17" t="s">
        <v>2480</v>
      </c>
      <c r="F1171" s="17">
        <f t="shared" si="55"/>
        <v>1</v>
      </c>
      <c r="G1171" s="17" t="str">
        <f t="shared" si="56"/>
        <v>Pass</v>
      </c>
      <c r="H1171" s="17" t="str">
        <f t="shared" si="54"/>
        <v>Pass</v>
      </c>
      <c r="I1171" s="17">
        <v>0.94</v>
      </c>
      <c r="J1171" s="17" t="s">
        <v>2487</v>
      </c>
      <c r="K1171" s="17">
        <v>0.88</v>
      </c>
      <c r="L1171" s="17">
        <v>0.97</v>
      </c>
      <c r="M1171" s="18">
        <f>Raw_LIMS_Export!K1171</f>
        <v>45834</v>
      </c>
      <c r="N1171" s="19" t="s">
        <v>2931</v>
      </c>
    </row>
    <row r="1172" spans="1:14" x14ac:dyDescent="0.35">
      <c r="A1172" s="16" t="s">
        <v>1174</v>
      </c>
      <c r="B1172" s="17" t="s">
        <v>2147</v>
      </c>
      <c r="C1172" s="17" t="s">
        <v>2458</v>
      </c>
      <c r="D1172" s="17" t="str">
        <f>_xlfn.XLOOKUP(Raw_LIMS_Export!E1172,'mapping Site table'!$B$4:$B$14,'mapping Site table'!$C$4:$C$14,Raw_LIMS_Export!E1172)</f>
        <v>Vernier CH</v>
      </c>
      <c r="E1172" s="17" t="s">
        <v>2484</v>
      </c>
      <c r="F1172" s="17">
        <f t="shared" si="55"/>
        <v>1</v>
      </c>
      <c r="G1172" s="17" t="str">
        <f t="shared" si="56"/>
        <v>Pass</v>
      </c>
      <c r="H1172" s="17" t="str">
        <f t="shared" si="54"/>
        <v>Pending</v>
      </c>
      <c r="I1172" s="17">
        <v>6.26</v>
      </c>
      <c r="J1172" s="17"/>
      <c r="K1172" s="17">
        <v>6</v>
      </c>
      <c r="L1172" s="17">
        <v>7.5</v>
      </c>
      <c r="M1172" s="18">
        <f>Raw_LIMS_Export!K1172</f>
        <v>45371</v>
      </c>
      <c r="N1172" s="19" t="s">
        <v>2925</v>
      </c>
    </row>
    <row r="1173" spans="1:14" x14ac:dyDescent="0.35">
      <c r="A1173" s="16" t="s">
        <v>1175</v>
      </c>
      <c r="B1173" s="17" t="s">
        <v>2158</v>
      </c>
      <c r="C1173" s="17" t="s">
        <v>2459</v>
      </c>
      <c r="D1173" s="17" t="str">
        <f>_xlfn.XLOOKUP(Raw_LIMS_Export!E1173,'mapping Site table'!$B$4:$B$14,'mapping Site table'!$C$4:$C$14,Raw_LIMS_Export!E1173)</f>
        <v>East Hanover</v>
      </c>
      <c r="E1173" s="17" t="s">
        <v>2483</v>
      </c>
      <c r="F1173" s="17">
        <f t="shared" si="55"/>
        <v>1</v>
      </c>
      <c r="G1173" s="17" t="str">
        <f t="shared" si="56"/>
        <v>Pass</v>
      </c>
      <c r="H1173" s="17" t="str">
        <f t="shared" si="54"/>
        <v>Pass</v>
      </c>
      <c r="I1173" s="17">
        <v>0.32</v>
      </c>
      <c r="J1173" s="17" t="s">
        <v>2489</v>
      </c>
      <c r="K1173" s="17">
        <v>0</v>
      </c>
      <c r="L1173" s="17">
        <v>1</v>
      </c>
      <c r="M1173" s="18">
        <f>Raw_LIMS_Export!K1173</f>
        <v>45374</v>
      </c>
      <c r="N1173" s="19" t="s">
        <v>2927</v>
      </c>
    </row>
    <row r="1174" spans="1:14" x14ac:dyDescent="0.35">
      <c r="A1174" s="16" t="s">
        <v>1176</v>
      </c>
      <c r="B1174" s="17" t="s">
        <v>2233</v>
      </c>
      <c r="C1174" s="17" t="s">
        <v>2459</v>
      </c>
      <c r="D1174" s="17" t="str">
        <f>_xlfn.XLOOKUP(Raw_LIMS_Export!E1174,'mapping Site table'!$B$4:$B$14,'mapping Site table'!$C$4:$C$14,Raw_LIMS_Export!E1174)</f>
        <v>Budapest</v>
      </c>
      <c r="E1174" s="17" t="s">
        <v>2484</v>
      </c>
      <c r="F1174" s="17">
        <f t="shared" si="55"/>
        <v>1</v>
      </c>
      <c r="G1174" s="17" t="str">
        <f t="shared" si="56"/>
        <v>Fail</v>
      </c>
      <c r="H1174" s="17" t="str">
        <f t="shared" si="54"/>
        <v>Fail</v>
      </c>
      <c r="I1174" s="17">
        <v>8.6999999999999993</v>
      </c>
      <c r="J1174" s="17"/>
      <c r="K1174" s="17">
        <v>6</v>
      </c>
      <c r="L1174" s="17">
        <v>7.5</v>
      </c>
      <c r="M1174" s="18">
        <f>Raw_LIMS_Export!K1174</f>
        <v>45854</v>
      </c>
      <c r="N1174" s="19" t="s">
        <v>2924</v>
      </c>
    </row>
    <row r="1175" spans="1:14" x14ac:dyDescent="0.35">
      <c r="A1175" s="16" t="s">
        <v>1177</v>
      </c>
      <c r="B1175" s="17" t="s">
        <v>2420</v>
      </c>
      <c r="C1175" s="17" t="s">
        <v>2460</v>
      </c>
      <c r="D1175" s="17" t="str">
        <f>_xlfn.XLOOKUP(Raw_LIMS_Export!E1175,'mapping Site table'!$B$4:$B$14,'mapping Site table'!$C$4:$C$14,Raw_LIMS_Export!E1175)</f>
        <v>Dortmund DE</v>
      </c>
      <c r="E1175" s="17" t="s">
        <v>2485</v>
      </c>
      <c r="F1175" s="17">
        <f t="shared" si="55"/>
        <v>1</v>
      </c>
      <c r="G1175" s="17" t="str">
        <f t="shared" si="56"/>
        <v>Fail</v>
      </c>
      <c r="H1175" s="17" t="str">
        <f t="shared" si="54"/>
        <v>Fail</v>
      </c>
      <c r="I1175" s="17">
        <v>-13.48</v>
      </c>
      <c r="J1175" s="17" t="s">
        <v>2490</v>
      </c>
      <c r="K1175" s="17">
        <v>0</v>
      </c>
      <c r="L1175" s="17">
        <v>100</v>
      </c>
      <c r="M1175" s="18">
        <f>Raw_LIMS_Export!K1175</f>
        <v>45962</v>
      </c>
      <c r="N1175" s="19" t="s">
        <v>2926</v>
      </c>
    </row>
    <row r="1176" spans="1:14" x14ac:dyDescent="0.35">
      <c r="A1176" s="16" t="s">
        <v>1178</v>
      </c>
      <c r="B1176" s="17" t="s">
        <v>2028</v>
      </c>
      <c r="C1176" s="17" t="s">
        <v>2459</v>
      </c>
      <c r="D1176" s="17" t="str">
        <f>_xlfn.XLOOKUP(Raw_LIMS_Export!E1176,'mapping Site table'!$B$4:$B$14,'mapping Site table'!$C$4:$C$14,Raw_LIMS_Export!E1176)</f>
        <v>Dortmund DE</v>
      </c>
      <c r="E1176" s="17" t="s">
        <v>2482</v>
      </c>
      <c r="F1176" s="17">
        <f t="shared" si="55"/>
        <v>1</v>
      </c>
      <c r="G1176" s="17" t="str">
        <f t="shared" si="56"/>
        <v>Pass</v>
      </c>
      <c r="H1176" s="17" t="str">
        <f t="shared" si="54"/>
        <v>Pass</v>
      </c>
      <c r="I1176" s="17">
        <v>98.12</v>
      </c>
      <c r="J1176" s="17" t="s">
        <v>2489</v>
      </c>
      <c r="K1176" s="17">
        <v>97</v>
      </c>
      <c r="L1176" s="17">
        <v>100</v>
      </c>
      <c r="M1176" s="18">
        <f>Raw_LIMS_Export!K1176</f>
        <v>45654</v>
      </c>
      <c r="N1176" s="19" t="s">
        <v>2923</v>
      </c>
    </row>
    <row r="1177" spans="1:14" x14ac:dyDescent="0.35">
      <c r="A1177" s="16" t="s">
        <v>1179</v>
      </c>
      <c r="B1177" s="17" t="s">
        <v>2137</v>
      </c>
      <c r="C1177" s="17" t="s">
        <v>2460</v>
      </c>
      <c r="D1177" s="17" t="str">
        <f>_xlfn.XLOOKUP(Raw_LIMS_Export!E1177,'mapping Site table'!$B$4:$B$14,'mapping Site table'!$C$4:$C$14,Raw_LIMS_Export!E1177)</f>
        <v>Ashford UK</v>
      </c>
      <c r="E1177" s="17" t="s">
        <v>2480</v>
      </c>
      <c r="F1177" s="17">
        <f t="shared" si="55"/>
        <v>1</v>
      </c>
      <c r="G1177" s="17" t="str">
        <f t="shared" si="56"/>
        <v>Pass</v>
      </c>
      <c r="H1177" s="17" t="str">
        <f t="shared" si="54"/>
        <v>Pass</v>
      </c>
      <c r="I1177" s="17">
        <v>0.97</v>
      </c>
      <c r="J1177" s="17" t="s">
        <v>2487</v>
      </c>
      <c r="K1177" s="17">
        <v>0.88</v>
      </c>
      <c r="L1177" s="17">
        <v>0.97</v>
      </c>
      <c r="M1177" s="18">
        <f>Raw_LIMS_Export!K1177</f>
        <v>45661</v>
      </c>
      <c r="N1177" s="19" t="s">
        <v>2923</v>
      </c>
    </row>
    <row r="1178" spans="1:14" x14ac:dyDescent="0.35">
      <c r="A1178" s="16" t="s">
        <v>1180</v>
      </c>
      <c r="B1178" s="17" t="s">
        <v>2409</v>
      </c>
      <c r="C1178" s="17" t="s">
        <v>2459</v>
      </c>
      <c r="D1178" s="17" t="str">
        <f>_xlfn.XLOOKUP(Raw_LIMS_Export!E1178,'mapping Site table'!$B$4:$B$14,'mapping Site table'!$C$4:$C$14,Raw_LIMS_Export!E1178)</f>
        <v>East Hanover</v>
      </c>
      <c r="E1178" s="17" t="s">
        <v>2480</v>
      </c>
      <c r="F1178" s="17">
        <f t="shared" si="55"/>
        <v>1</v>
      </c>
      <c r="G1178" s="17" t="str">
        <f t="shared" si="56"/>
        <v>Pass</v>
      </c>
      <c r="H1178" s="17" t="str">
        <f t="shared" si="54"/>
        <v>Pass</v>
      </c>
      <c r="I1178" s="17">
        <v>0.91</v>
      </c>
      <c r="J1178" s="17" t="s">
        <v>2487</v>
      </c>
      <c r="K1178" s="17">
        <v>0.88</v>
      </c>
      <c r="L1178" s="17">
        <v>0.97</v>
      </c>
      <c r="M1178" s="18">
        <f>Raw_LIMS_Export!K1178</f>
        <v>45416</v>
      </c>
      <c r="N1178" s="19" t="s">
        <v>2931</v>
      </c>
    </row>
    <row r="1179" spans="1:14" x14ac:dyDescent="0.35">
      <c r="A1179" s="16" t="s">
        <v>1181</v>
      </c>
      <c r="B1179" s="17" t="s">
        <v>2383</v>
      </c>
      <c r="C1179" s="17" t="s">
        <v>2458</v>
      </c>
      <c r="D1179" s="17" t="str">
        <f>_xlfn.XLOOKUP(Raw_LIMS_Export!E1179,'mapping Site table'!$B$4:$B$14,'mapping Site table'!$C$4:$C$14,Raw_LIMS_Export!E1179)</f>
        <v>Budapest</v>
      </c>
      <c r="E1179" s="17" t="s">
        <v>2485</v>
      </c>
      <c r="F1179" s="17">
        <f t="shared" si="55"/>
        <v>1</v>
      </c>
      <c r="G1179" s="17" t="str">
        <f t="shared" si="56"/>
        <v>Pass</v>
      </c>
      <c r="H1179" s="17" t="str">
        <f t="shared" si="54"/>
        <v>Pass</v>
      </c>
      <c r="I1179" s="17">
        <v>20.079999999999998</v>
      </c>
      <c r="J1179" s="17" t="s">
        <v>2490</v>
      </c>
      <c r="K1179" s="17">
        <v>0</v>
      </c>
      <c r="L1179" s="17">
        <v>100</v>
      </c>
      <c r="M1179" s="18">
        <f>Raw_LIMS_Export!K1179</f>
        <v>45347</v>
      </c>
      <c r="N1179" s="19" t="s">
        <v>2928</v>
      </c>
    </row>
    <row r="1180" spans="1:14" x14ac:dyDescent="0.35">
      <c r="A1180" s="16" t="s">
        <v>1182</v>
      </c>
      <c r="B1180" s="17" t="s">
        <v>2257</v>
      </c>
      <c r="C1180" s="17" t="s">
        <v>2457</v>
      </c>
      <c r="D1180" s="17" t="str">
        <f>_xlfn.XLOOKUP(Raw_LIMS_Export!E1180,'mapping Site table'!$B$4:$B$14,'mapping Site table'!$C$4:$C$14,Raw_LIMS_Export!E1180)</f>
        <v>Dortmund DE</v>
      </c>
      <c r="E1180" s="17" t="s">
        <v>2485</v>
      </c>
      <c r="F1180" s="17">
        <f t="shared" si="55"/>
        <v>1</v>
      </c>
      <c r="G1180" s="17" t="str">
        <f t="shared" si="56"/>
        <v>Fail</v>
      </c>
      <c r="H1180" s="17" t="str">
        <f t="shared" si="54"/>
        <v>Fail</v>
      </c>
      <c r="I1180" s="17">
        <v>-0.8</v>
      </c>
      <c r="J1180" s="17" t="s">
        <v>2490</v>
      </c>
      <c r="K1180" s="17">
        <v>0</v>
      </c>
      <c r="L1180" s="17">
        <v>100</v>
      </c>
      <c r="M1180" s="18">
        <f>Raw_LIMS_Export!K1180</f>
        <v>45635</v>
      </c>
      <c r="N1180" s="19" t="s">
        <v>2925</v>
      </c>
    </row>
    <row r="1181" spans="1:14" x14ac:dyDescent="0.35">
      <c r="A1181" s="16" t="s">
        <v>1183</v>
      </c>
      <c r="B1181" s="17" t="s">
        <v>2290</v>
      </c>
      <c r="C1181" s="17" t="s">
        <v>2461</v>
      </c>
      <c r="D1181" s="17" t="str">
        <f>_xlfn.XLOOKUP(Raw_LIMS_Export!E1181,'mapping Site table'!$B$4:$B$14,'mapping Site table'!$C$4:$C$14,Raw_LIMS_Export!E1181)</f>
        <v>Dortmund DE</v>
      </c>
      <c r="E1181" s="17" t="s">
        <v>2482</v>
      </c>
      <c r="F1181" s="17">
        <f t="shared" si="55"/>
        <v>1</v>
      </c>
      <c r="G1181" s="17" t="str">
        <f t="shared" si="56"/>
        <v>Pass</v>
      </c>
      <c r="H1181" s="17" t="str">
        <f t="shared" si="54"/>
        <v>Pass</v>
      </c>
      <c r="I1181" s="17">
        <v>98.73</v>
      </c>
      <c r="J1181" s="17" t="s">
        <v>2489</v>
      </c>
      <c r="K1181" s="17">
        <v>97</v>
      </c>
      <c r="L1181" s="17">
        <v>100</v>
      </c>
      <c r="M1181" s="18">
        <f>Raw_LIMS_Export!K1181</f>
        <v>45864</v>
      </c>
      <c r="N1181" s="19" t="s">
        <v>2926</v>
      </c>
    </row>
    <row r="1182" spans="1:14" x14ac:dyDescent="0.35">
      <c r="A1182" s="16" t="s">
        <v>1184</v>
      </c>
      <c r="B1182" s="17" t="s">
        <v>2412</v>
      </c>
      <c r="C1182" s="17" t="s">
        <v>2461</v>
      </c>
      <c r="D1182" s="17" t="str">
        <f>_xlfn.XLOOKUP(Raw_LIMS_Export!E1182,'mapping Site table'!$B$4:$B$14,'mapping Site table'!$C$4:$C$14,Raw_LIMS_Export!E1182)</f>
        <v>Vernier CH</v>
      </c>
      <c r="E1182" s="17" t="s">
        <v>2483</v>
      </c>
      <c r="F1182" s="17">
        <f t="shared" si="55"/>
        <v>1</v>
      </c>
      <c r="G1182" s="17" t="str">
        <f t="shared" si="56"/>
        <v>Pass</v>
      </c>
      <c r="H1182" s="17" t="str">
        <f t="shared" si="54"/>
        <v>Pass</v>
      </c>
      <c r="I1182" s="17">
        <v>0.51</v>
      </c>
      <c r="J1182" s="17" t="s">
        <v>2489</v>
      </c>
      <c r="K1182" s="17">
        <v>0</v>
      </c>
      <c r="L1182" s="17">
        <v>1</v>
      </c>
      <c r="M1182" s="18">
        <f>Raw_LIMS_Export!K1182</f>
        <v>45937</v>
      </c>
      <c r="N1182" s="19" t="s">
        <v>2927</v>
      </c>
    </row>
    <row r="1183" spans="1:14" x14ac:dyDescent="0.35">
      <c r="A1183" s="16" t="s">
        <v>1185</v>
      </c>
      <c r="B1183" s="17" t="s">
        <v>2310</v>
      </c>
      <c r="C1183" s="17" t="s">
        <v>2461</v>
      </c>
      <c r="D1183" s="17" t="str">
        <f>_xlfn.XLOOKUP(Raw_LIMS_Export!E1183,'mapping Site table'!$B$4:$B$14,'mapping Site table'!$C$4:$C$14,Raw_LIMS_Export!E1183)</f>
        <v>East Hanover</v>
      </c>
      <c r="E1183" s="17" t="s">
        <v>2483</v>
      </c>
      <c r="F1183" s="17">
        <f t="shared" si="55"/>
        <v>1</v>
      </c>
      <c r="G1183" s="17" t="str">
        <f t="shared" si="56"/>
        <v>Pass</v>
      </c>
      <c r="H1183" s="17" t="str">
        <f t="shared" si="54"/>
        <v>Pending</v>
      </c>
      <c r="I1183" s="17">
        <v>0.13</v>
      </c>
      <c r="J1183" s="17" t="s">
        <v>2489</v>
      </c>
      <c r="K1183" s="17">
        <v>0</v>
      </c>
      <c r="L1183" s="17">
        <v>1</v>
      </c>
      <c r="M1183" s="18">
        <f>Raw_LIMS_Export!K1183</f>
        <v>45390</v>
      </c>
      <c r="N1183" s="19" t="s">
        <v>2927</v>
      </c>
    </row>
    <row r="1184" spans="1:14" x14ac:dyDescent="0.35">
      <c r="A1184" s="16" t="s">
        <v>1186</v>
      </c>
      <c r="B1184" s="17" t="s">
        <v>2381</v>
      </c>
      <c r="C1184" s="17" t="s">
        <v>2457</v>
      </c>
      <c r="D1184" s="17" t="str">
        <f>_xlfn.XLOOKUP(Raw_LIMS_Export!E1184,'mapping Site table'!$B$4:$B$14,'mapping Site table'!$C$4:$C$14,Raw_LIMS_Export!E1184)</f>
        <v>Vernier CH</v>
      </c>
      <c r="E1184" s="17" t="s">
        <v>2480</v>
      </c>
      <c r="F1184" s="17">
        <f t="shared" si="55"/>
        <v>1</v>
      </c>
      <c r="G1184" s="17" t="str">
        <f t="shared" si="56"/>
        <v>Pass</v>
      </c>
      <c r="H1184" s="17" t="str">
        <f t="shared" si="54"/>
        <v>Pass</v>
      </c>
      <c r="I1184" s="17">
        <v>0.94</v>
      </c>
      <c r="J1184" s="17" t="s">
        <v>2487</v>
      </c>
      <c r="K1184" s="17">
        <v>0.88</v>
      </c>
      <c r="L1184" s="17">
        <v>0.97</v>
      </c>
      <c r="M1184" s="18">
        <f>Raw_LIMS_Export!K1184</f>
        <v>45355</v>
      </c>
      <c r="N1184" s="19" t="s">
        <v>2924</v>
      </c>
    </row>
    <row r="1185" spans="1:14" x14ac:dyDescent="0.35">
      <c r="A1185" s="16" t="s">
        <v>1187</v>
      </c>
      <c r="B1185" s="17" t="s">
        <v>2093</v>
      </c>
      <c r="C1185" s="17" t="s">
        <v>2459</v>
      </c>
      <c r="D1185" s="17" t="str">
        <f>_xlfn.XLOOKUP(Raw_LIMS_Export!E1185,'mapping Site table'!$B$4:$B$14,'mapping Site table'!$C$4:$C$14,Raw_LIMS_Export!E1185)</f>
        <v>East Hanover</v>
      </c>
      <c r="E1185" s="17" t="s">
        <v>2480</v>
      </c>
      <c r="F1185" s="17">
        <f t="shared" si="55"/>
        <v>1</v>
      </c>
      <c r="G1185" s="17" t="str">
        <f t="shared" si="56"/>
        <v>Pass</v>
      </c>
      <c r="H1185" s="17" t="str">
        <f t="shared" si="54"/>
        <v>Fail</v>
      </c>
      <c r="I1185" s="17">
        <v>0.96</v>
      </c>
      <c r="J1185" s="17" t="s">
        <v>2487</v>
      </c>
      <c r="K1185" s="17">
        <v>0.88</v>
      </c>
      <c r="L1185" s="17">
        <v>0.97</v>
      </c>
      <c r="M1185" s="18">
        <f>Raw_LIMS_Export!K1185</f>
        <v>45542</v>
      </c>
      <c r="N1185" s="19" t="s">
        <v>2932</v>
      </c>
    </row>
    <row r="1186" spans="1:14" x14ac:dyDescent="0.35">
      <c r="A1186" s="16" t="s">
        <v>1188</v>
      </c>
      <c r="B1186" s="17" t="s">
        <v>2162</v>
      </c>
      <c r="C1186" s="17" t="s">
        <v>2459</v>
      </c>
      <c r="D1186" s="17" t="str">
        <f>_xlfn.XLOOKUP(Raw_LIMS_Export!E1186,'mapping Site table'!$B$4:$B$14,'mapping Site table'!$C$4:$C$14,Raw_LIMS_Export!E1186)</f>
        <v>East Hanover</v>
      </c>
      <c r="E1186" s="17" t="s">
        <v>2479</v>
      </c>
      <c r="F1186" s="17">
        <f t="shared" si="55"/>
        <v>1</v>
      </c>
      <c r="G1186" s="17" t="str">
        <f t="shared" si="56"/>
        <v>Pass</v>
      </c>
      <c r="H1186" s="17" t="str">
        <f t="shared" si="54"/>
        <v>Pass</v>
      </c>
      <c r="I1186" s="17">
        <v>37.39</v>
      </c>
      <c r="J1186" s="17" t="s">
        <v>2486</v>
      </c>
      <c r="K1186" s="17">
        <v>0</v>
      </c>
      <c r="L1186" s="17">
        <v>120</v>
      </c>
      <c r="M1186" s="18">
        <f>Raw_LIMS_Export!K1186</f>
        <v>45940</v>
      </c>
      <c r="N1186" s="19" t="s">
        <v>2924</v>
      </c>
    </row>
    <row r="1187" spans="1:14" x14ac:dyDescent="0.35">
      <c r="A1187" s="16" t="s">
        <v>1189</v>
      </c>
      <c r="B1187" s="17" t="s">
        <v>2116</v>
      </c>
      <c r="C1187" s="17" t="s">
        <v>2461</v>
      </c>
      <c r="D1187" s="17" t="str">
        <f>_xlfn.XLOOKUP(Raw_LIMS_Export!E1187,'mapping Site table'!$B$4:$B$14,'mapping Site table'!$C$4:$C$14,Raw_LIMS_Export!E1187)</f>
        <v>Dortmund DE</v>
      </c>
      <c r="E1187" s="17" t="s">
        <v>2484</v>
      </c>
      <c r="F1187" s="17">
        <f t="shared" si="55"/>
        <v>1</v>
      </c>
      <c r="G1187" s="17" t="str">
        <f t="shared" si="56"/>
        <v>Pass</v>
      </c>
      <c r="H1187" s="17" t="str">
        <f t="shared" si="54"/>
        <v>Pass</v>
      </c>
      <c r="I1187" s="17">
        <v>7.27</v>
      </c>
      <c r="J1187" s="17"/>
      <c r="K1187" s="17">
        <v>6</v>
      </c>
      <c r="L1187" s="17">
        <v>7.5</v>
      </c>
      <c r="M1187" s="18">
        <f>Raw_LIMS_Export!K1187</f>
        <v>45376</v>
      </c>
      <c r="N1187" s="19" t="s">
        <v>2928</v>
      </c>
    </row>
    <row r="1188" spans="1:14" x14ac:dyDescent="0.35">
      <c r="A1188" s="16" t="s">
        <v>1190</v>
      </c>
      <c r="B1188" s="17" t="s">
        <v>2344</v>
      </c>
      <c r="C1188" s="17" t="s">
        <v>2461</v>
      </c>
      <c r="D1188" s="17" t="str">
        <f>_xlfn.XLOOKUP(Raw_LIMS_Export!E1188,'mapping Site table'!$B$4:$B$14,'mapping Site table'!$C$4:$C$14,Raw_LIMS_Export!E1188)</f>
        <v>Vernier CH</v>
      </c>
      <c r="E1188" s="17" t="s">
        <v>2483</v>
      </c>
      <c r="F1188" s="17">
        <f t="shared" si="55"/>
        <v>1</v>
      </c>
      <c r="G1188" s="17" t="str">
        <f t="shared" si="56"/>
        <v>Pass</v>
      </c>
      <c r="H1188" s="17" t="str">
        <f t="shared" si="54"/>
        <v>Pending</v>
      </c>
      <c r="I1188" s="17">
        <v>0.39</v>
      </c>
      <c r="J1188" s="17" t="s">
        <v>2489</v>
      </c>
      <c r="K1188" s="17">
        <v>0</v>
      </c>
      <c r="L1188" s="17">
        <v>1</v>
      </c>
      <c r="M1188" s="18">
        <f>Raw_LIMS_Export!K1188</f>
        <v>45458</v>
      </c>
      <c r="N1188" s="19" t="s">
        <v>2925</v>
      </c>
    </row>
    <row r="1189" spans="1:14" x14ac:dyDescent="0.35">
      <c r="A1189" s="16" t="s">
        <v>1191</v>
      </c>
      <c r="B1189" s="17" t="s">
        <v>2059</v>
      </c>
      <c r="C1189" s="17" t="s">
        <v>2459</v>
      </c>
      <c r="D1189" s="17" t="str">
        <f>_xlfn.XLOOKUP(Raw_LIMS_Export!E1189,'mapping Site table'!$B$4:$B$14,'mapping Site table'!$C$4:$C$14,Raw_LIMS_Export!E1189)</f>
        <v>Vernier CH</v>
      </c>
      <c r="E1189" s="17" t="s">
        <v>2479</v>
      </c>
      <c r="F1189" s="17">
        <f t="shared" si="55"/>
        <v>1</v>
      </c>
      <c r="G1189" s="17" t="str">
        <f t="shared" si="56"/>
        <v>Pass</v>
      </c>
      <c r="H1189" s="17" t="str">
        <f t="shared" si="54"/>
        <v>Fail</v>
      </c>
      <c r="I1189" s="17">
        <v>54.37</v>
      </c>
      <c r="J1189" s="17" t="s">
        <v>2486</v>
      </c>
      <c r="K1189" s="17">
        <v>0</v>
      </c>
      <c r="L1189" s="17">
        <v>120</v>
      </c>
      <c r="M1189" s="18">
        <f>Raw_LIMS_Export!K1189</f>
        <v>45743</v>
      </c>
      <c r="N1189" s="19" t="s">
        <v>2924</v>
      </c>
    </row>
    <row r="1190" spans="1:14" x14ac:dyDescent="0.35">
      <c r="A1190" s="16" t="s">
        <v>1192</v>
      </c>
      <c r="B1190" s="17" t="s">
        <v>2438</v>
      </c>
      <c r="C1190" s="17" t="s">
        <v>2457</v>
      </c>
      <c r="D1190" s="17" t="str">
        <f>_xlfn.XLOOKUP(Raw_LIMS_Export!E1190,'mapping Site table'!$B$4:$B$14,'mapping Site table'!$C$4:$C$14,Raw_LIMS_Export!E1190)</f>
        <v>Dortmund DE</v>
      </c>
      <c r="E1190" s="17" t="s">
        <v>2485</v>
      </c>
      <c r="F1190" s="17">
        <f t="shared" si="55"/>
        <v>1</v>
      </c>
      <c r="G1190" s="17" t="str">
        <f t="shared" si="56"/>
        <v>Pass</v>
      </c>
      <c r="H1190" s="17" t="str">
        <f t="shared" si="54"/>
        <v>Pass</v>
      </c>
      <c r="I1190" s="17">
        <v>31.23</v>
      </c>
      <c r="J1190" s="17" t="s">
        <v>2490</v>
      </c>
      <c r="K1190" s="17">
        <v>0</v>
      </c>
      <c r="L1190" s="17">
        <v>100</v>
      </c>
      <c r="M1190" s="18">
        <f>Raw_LIMS_Export!K1190</f>
        <v>45681</v>
      </c>
      <c r="N1190" s="19" t="s">
        <v>2929</v>
      </c>
    </row>
    <row r="1191" spans="1:14" x14ac:dyDescent="0.35">
      <c r="A1191" s="16" t="s">
        <v>1193</v>
      </c>
      <c r="B1191" s="17" t="s">
        <v>2271</v>
      </c>
      <c r="C1191" s="17" t="s">
        <v>2459</v>
      </c>
      <c r="D1191" s="17" t="str">
        <f>_xlfn.XLOOKUP(Raw_LIMS_Export!E1191,'mapping Site table'!$B$4:$B$14,'mapping Site table'!$C$4:$C$14,Raw_LIMS_Export!E1191)</f>
        <v>Budapest</v>
      </c>
      <c r="E1191" s="17" t="s">
        <v>2481</v>
      </c>
      <c r="F1191" s="17">
        <f t="shared" si="55"/>
        <v>1</v>
      </c>
      <c r="G1191" s="17" t="str">
        <f t="shared" si="56"/>
        <v>Pass</v>
      </c>
      <c r="H1191" s="17" t="str">
        <f t="shared" si="54"/>
        <v>Pass</v>
      </c>
      <c r="I1191" s="17">
        <v>264.08</v>
      </c>
      <c r="J1191" s="17" t="s">
        <v>2488</v>
      </c>
      <c r="K1191" s="17">
        <v>150</v>
      </c>
      <c r="L1191" s="17">
        <v>400</v>
      </c>
      <c r="M1191" s="18">
        <f>Raw_LIMS_Export!K1191</f>
        <v>45583</v>
      </c>
      <c r="N1191" s="19" t="s">
        <v>2930</v>
      </c>
    </row>
    <row r="1192" spans="1:14" x14ac:dyDescent="0.35">
      <c r="A1192" s="16" t="s">
        <v>1194</v>
      </c>
      <c r="B1192" s="17" t="s">
        <v>2248</v>
      </c>
      <c r="C1192" s="17" t="s">
        <v>2460</v>
      </c>
      <c r="D1192" s="17" t="str">
        <f>_xlfn.XLOOKUP(Raw_LIMS_Export!E1192,'mapping Site table'!$B$4:$B$14,'mapping Site table'!$C$4:$C$14,Raw_LIMS_Export!E1192)</f>
        <v>Dortmund DE</v>
      </c>
      <c r="E1192" s="17" t="s">
        <v>2485</v>
      </c>
      <c r="F1192" s="17">
        <f t="shared" si="55"/>
        <v>1</v>
      </c>
      <c r="G1192" s="17" t="str">
        <f t="shared" si="56"/>
        <v>Pass</v>
      </c>
      <c r="H1192" s="17" t="str">
        <f t="shared" si="54"/>
        <v>Pass</v>
      </c>
      <c r="I1192" s="17">
        <v>12.65</v>
      </c>
      <c r="J1192" s="17" t="s">
        <v>2490</v>
      </c>
      <c r="K1192" s="17">
        <v>0</v>
      </c>
      <c r="L1192" s="17">
        <v>100</v>
      </c>
      <c r="M1192" s="18">
        <f>Raw_LIMS_Export!K1192</f>
        <v>45956</v>
      </c>
      <c r="N1192" s="19" t="s">
        <v>2923</v>
      </c>
    </row>
    <row r="1193" spans="1:14" x14ac:dyDescent="0.35">
      <c r="A1193" s="16" t="s">
        <v>1195</v>
      </c>
      <c r="B1193" s="17" t="s">
        <v>2276</v>
      </c>
      <c r="C1193" s="17" t="s">
        <v>2457</v>
      </c>
      <c r="D1193" s="17" t="str">
        <f>_xlfn.XLOOKUP(Raw_LIMS_Export!E1193,'mapping Site table'!$B$4:$B$14,'mapping Site table'!$C$4:$C$14,Raw_LIMS_Export!E1193)</f>
        <v>Budapest</v>
      </c>
      <c r="E1193" s="17" t="s">
        <v>2482</v>
      </c>
      <c r="F1193" s="17">
        <f t="shared" si="55"/>
        <v>1</v>
      </c>
      <c r="G1193" s="17" t="str">
        <f t="shared" si="56"/>
        <v>Pass</v>
      </c>
      <c r="H1193" s="17" t="str">
        <f t="shared" si="54"/>
        <v>Pass</v>
      </c>
      <c r="I1193" s="17">
        <v>98.57</v>
      </c>
      <c r="J1193" s="17" t="s">
        <v>2489</v>
      </c>
      <c r="K1193" s="17">
        <v>97</v>
      </c>
      <c r="L1193" s="17">
        <v>100</v>
      </c>
      <c r="M1193" s="18">
        <f>Raw_LIMS_Export!K1193</f>
        <v>45685</v>
      </c>
      <c r="N1193" s="19" t="s">
        <v>2931</v>
      </c>
    </row>
    <row r="1194" spans="1:14" x14ac:dyDescent="0.35">
      <c r="A1194" s="16" t="s">
        <v>1196</v>
      </c>
      <c r="B1194" s="17" t="s">
        <v>2095</v>
      </c>
      <c r="C1194" s="17" t="s">
        <v>2459</v>
      </c>
      <c r="D1194" s="17" t="str">
        <f>_xlfn.XLOOKUP(Raw_LIMS_Export!E1194,'mapping Site table'!$B$4:$B$14,'mapping Site table'!$C$4:$C$14,Raw_LIMS_Export!E1194)</f>
        <v>Ashford UK</v>
      </c>
      <c r="E1194" s="17" t="s">
        <v>2483</v>
      </c>
      <c r="F1194" s="17">
        <f t="shared" si="55"/>
        <v>1</v>
      </c>
      <c r="G1194" s="17" t="str">
        <f t="shared" si="56"/>
        <v>Pass</v>
      </c>
      <c r="H1194" s="17" t="str">
        <f t="shared" si="54"/>
        <v>Pending</v>
      </c>
      <c r="I1194" s="17">
        <v>0.53</v>
      </c>
      <c r="J1194" s="17" t="s">
        <v>2489</v>
      </c>
      <c r="K1194" s="17">
        <v>0</v>
      </c>
      <c r="L1194" s="17">
        <v>1</v>
      </c>
      <c r="M1194" s="18">
        <f>Raw_LIMS_Export!K1194</f>
        <v>45825</v>
      </c>
      <c r="N1194" s="19" t="s">
        <v>2925</v>
      </c>
    </row>
    <row r="1195" spans="1:14" x14ac:dyDescent="0.35">
      <c r="A1195" s="16" t="s">
        <v>1197</v>
      </c>
      <c r="B1195" s="17" t="s">
        <v>2442</v>
      </c>
      <c r="C1195" s="17" t="s">
        <v>2458</v>
      </c>
      <c r="D1195" s="17" t="str">
        <f>_xlfn.XLOOKUP(Raw_LIMS_Export!E1195,'mapping Site table'!$B$4:$B$14,'mapping Site table'!$C$4:$C$14,Raw_LIMS_Export!E1195)</f>
        <v>Vernier CH</v>
      </c>
      <c r="E1195" s="17" t="s">
        <v>2483</v>
      </c>
      <c r="F1195" s="17">
        <f t="shared" si="55"/>
        <v>1</v>
      </c>
      <c r="G1195" s="17" t="str">
        <f t="shared" si="56"/>
        <v>Pass</v>
      </c>
      <c r="H1195" s="17" t="str">
        <f t="shared" si="54"/>
        <v>Fail</v>
      </c>
      <c r="I1195" s="17">
        <v>0.35</v>
      </c>
      <c r="J1195" s="17" t="s">
        <v>2489</v>
      </c>
      <c r="K1195" s="17">
        <v>0</v>
      </c>
      <c r="L1195" s="17">
        <v>1</v>
      </c>
      <c r="M1195" s="18">
        <f>Raw_LIMS_Export!K1195</f>
        <v>45385</v>
      </c>
      <c r="N1195" s="19" t="s">
        <v>2929</v>
      </c>
    </row>
    <row r="1196" spans="1:14" x14ac:dyDescent="0.35">
      <c r="A1196" s="16" t="s">
        <v>1198</v>
      </c>
      <c r="B1196" s="17" t="s">
        <v>2156</v>
      </c>
      <c r="C1196" s="17" t="s">
        <v>2460</v>
      </c>
      <c r="D1196" s="17" t="str">
        <f>_xlfn.XLOOKUP(Raw_LIMS_Export!E1196,'mapping Site table'!$B$4:$B$14,'mapping Site table'!$C$4:$C$14,Raw_LIMS_Export!E1196)</f>
        <v>Vernier CH</v>
      </c>
      <c r="E1196" s="17" t="s">
        <v>2481</v>
      </c>
      <c r="F1196" s="17">
        <f t="shared" si="55"/>
        <v>1</v>
      </c>
      <c r="G1196" s="17" t="str">
        <f t="shared" si="56"/>
        <v>Pass</v>
      </c>
      <c r="H1196" s="17" t="str">
        <f t="shared" si="54"/>
        <v>Fail</v>
      </c>
      <c r="I1196" s="17">
        <v>264.24</v>
      </c>
      <c r="J1196" s="17" t="s">
        <v>2488</v>
      </c>
      <c r="K1196" s="17">
        <v>150</v>
      </c>
      <c r="L1196" s="17">
        <v>400</v>
      </c>
      <c r="M1196" s="18">
        <f>Raw_LIMS_Export!K1196</f>
        <v>45404</v>
      </c>
      <c r="N1196" s="19" t="s">
        <v>2930</v>
      </c>
    </row>
    <row r="1197" spans="1:14" x14ac:dyDescent="0.35">
      <c r="A1197" s="16" t="s">
        <v>1199</v>
      </c>
      <c r="B1197" s="17" t="s">
        <v>2181</v>
      </c>
      <c r="C1197" s="17" t="s">
        <v>2459</v>
      </c>
      <c r="D1197" s="17" t="str">
        <f>_xlfn.XLOOKUP(Raw_LIMS_Export!E1197,'mapping Site table'!$B$4:$B$14,'mapping Site table'!$C$4:$C$14,Raw_LIMS_Export!E1197)</f>
        <v>Vernier CH</v>
      </c>
      <c r="E1197" s="17" t="s">
        <v>2482</v>
      </c>
      <c r="F1197" s="17">
        <f t="shared" si="55"/>
        <v>1</v>
      </c>
      <c r="G1197" s="17" t="str">
        <f t="shared" si="56"/>
        <v>Pass</v>
      </c>
      <c r="H1197" s="17" t="str">
        <f t="shared" si="54"/>
        <v>Fail</v>
      </c>
      <c r="I1197" s="17">
        <v>97.64</v>
      </c>
      <c r="J1197" s="17" t="s">
        <v>2489</v>
      </c>
      <c r="K1197" s="17">
        <v>97</v>
      </c>
      <c r="L1197" s="17">
        <v>100</v>
      </c>
      <c r="M1197" s="18">
        <f>Raw_LIMS_Export!K1197</f>
        <v>45500</v>
      </c>
      <c r="N1197" s="19" t="s">
        <v>2928</v>
      </c>
    </row>
    <row r="1198" spans="1:14" x14ac:dyDescent="0.35">
      <c r="A1198" s="16" t="s">
        <v>1200</v>
      </c>
      <c r="B1198" s="17" t="s">
        <v>2105</v>
      </c>
      <c r="C1198" s="17" t="s">
        <v>2457</v>
      </c>
      <c r="D1198" s="17" t="str">
        <f>_xlfn.XLOOKUP(Raw_LIMS_Export!E1198,'mapping Site table'!$B$4:$B$14,'mapping Site table'!$C$4:$C$14,Raw_LIMS_Export!E1198)</f>
        <v>Ashford UK</v>
      </c>
      <c r="E1198" s="17" t="s">
        <v>2481</v>
      </c>
      <c r="F1198" s="17">
        <f t="shared" si="55"/>
        <v>1</v>
      </c>
      <c r="G1198" s="17" t="str">
        <f t="shared" si="56"/>
        <v>Pass</v>
      </c>
      <c r="H1198" s="17" t="str">
        <f t="shared" si="54"/>
        <v>Pass</v>
      </c>
      <c r="I1198" s="17">
        <v>302.99</v>
      </c>
      <c r="J1198" s="17" t="s">
        <v>2488</v>
      </c>
      <c r="K1198" s="17">
        <v>150</v>
      </c>
      <c r="L1198" s="17">
        <v>400</v>
      </c>
      <c r="M1198" s="18">
        <f>Raw_LIMS_Export!K1198</f>
        <v>45358</v>
      </c>
      <c r="N1198" s="19" t="s">
        <v>2932</v>
      </c>
    </row>
    <row r="1199" spans="1:14" x14ac:dyDescent="0.35">
      <c r="A1199" s="16" t="s">
        <v>1201</v>
      </c>
      <c r="B1199" s="17" t="s">
        <v>2318</v>
      </c>
      <c r="C1199" s="17" t="s">
        <v>2461</v>
      </c>
      <c r="D1199" s="17" t="str">
        <f>_xlfn.XLOOKUP(Raw_LIMS_Export!E1199,'mapping Site table'!$B$4:$B$14,'mapping Site table'!$C$4:$C$14,Raw_LIMS_Export!E1199)</f>
        <v>Budapest</v>
      </c>
      <c r="E1199" s="17" t="s">
        <v>2483</v>
      </c>
      <c r="F1199" s="17">
        <f t="shared" si="55"/>
        <v>1</v>
      </c>
      <c r="G1199" s="17" t="str">
        <f t="shared" si="56"/>
        <v>Pass</v>
      </c>
      <c r="H1199" s="17" t="str">
        <f t="shared" si="54"/>
        <v>Pass</v>
      </c>
      <c r="I1199" s="17">
        <v>0.25</v>
      </c>
      <c r="J1199" s="17" t="s">
        <v>2489</v>
      </c>
      <c r="K1199" s="17">
        <v>0</v>
      </c>
      <c r="L1199" s="17">
        <v>1</v>
      </c>
      <c r="M1199" s="18">
        <f>Raw_LIMS_Export!K1199</f>
        <v>45458</v>
      </c>
      <c r="N1199" s="19" t="s">
        <v>2926</v>
      </c>
    </row>
    <row r="1200" spans="1:14" x14ac:dyDescent="0.35">
      <c r="A1200" s="16" t="s">
        <v>1202</v>
      </c>
      <c r="B1200" s="17" t="s">
        <v>2449</v>
      </c>
      <c r="C1200" s="17" t="s">
        <v>2460</v>
      </c>
      <c r="D1200" s="17" t="str">
        <f>_xlfn.XLOOKUP(Raw_LIMS_Export!E1200,'mapping Site table'!$B$4:$B$14,'mapping Site table'!$C$4:$C$14,Raw_LIMS_Export!E1200)</f>
        <v>Budapest</v>
      </c>
      <c r="E1200" s="17" t="s">
        <v>2481</v>
      </c>
      <c r="F1200" s="17">
        <f t="shared" si="55"/>
        <v>1</v>
      </c>
      <c r="G1200" s="17" t="str">
        <f t="shared" si="56"/>
        <v>Pass</v>
      </c>
      <c r="H1200" s="17" t="str">
        <f t="shared" si="54"/>
        <v>Pass</v>
      </c>
      <c r="I1200" s="17">
        <v>246.16</v>
      </c>
      <c r="J1200" s="17" t="s">
        <v>2488</v>
      </c>
      <c r="K1200" s="17">
        <v>150</v>
      </c>
      <c r="L1200" s="17">
        <v>400</v>
      </c>
      <c r="M1200" s="18">
        <f>Raw_LIMS_Export!K1200</f>
        <v>45526</v>
      </c>
      <c r="N1200" s="19" t="s">
        <v>2932</v>
      </c>
    </row>
    <row r="1201" spans="1:14" x14ac:dyDescent="0.35">
      <c r="A1201" s="16" t="s">
        <v>1203</v>
      </c>
      <c r="B1201" s="17" t="s">
        <v>2298</v>
      </c>
      <c r="C1201" s="17" t="s">
        <v>2458</v>
      </c>
      <c r="D1201" s="17" t="str">
        <f>_xlfn.XLOOKUP(Raw_LIMS_Export!E1201,'mapping Site table'!$B$4:$B$14,'mapping Site table'!$C$4:$C$14,Raw_LIMS_Export!E1201)</f>
        <v>Dortmund DE</v>
      </c>
      <c r="E1201" s="17" t="s">
        <v>2484</v>
      </c>
      <c r="F1201" s="17">
        <f t="shared" si="55"/>
        <v>1</v>
      </c>
      <c r="G1201" s="17" t="str">
        <f t="shared" si="56"/>
        <v>Pass</v>
      </c>
      <c r="H1201" s="17" t="str">
        <f t="shared" si="54"/>
        <v>Fail</v>
      </c>
      <c r="I1201" s="17">
        <v>6.49</v>
      </c>
      <c r="J1201" s="17"/>
      <c r="K1201" s="17">
        <v>6</v>
      </c>
      <c r="L1201" s="17">
        <v>7.5</v>
      </c>
      <c r="M1201" s="18">
        <f>Raw_LIMS_Export!K1201</f>
        <v>45323</v>
      </c>
      <c r="N1201" s="19" t="s">
        <v>2925</v>
      </c>
    </row>
    <row r="1202" spans="1:14" x14ac:dyDescent="0.35">
      <c r="A1202" s="16" t="s">
        <v>1204</v>
      </c>
      <c r="B1202" s="17" t="s">
        <v>2121</v>
      </c>
      <c r="C1202" s="17" t="s">
        <v>2457</v>
      </c>
      <c r="D1202" s="17" t="str">
        <f>_xlfn.XLOOKUP(Raw_LIMS_Export!E1202,'mapping Site table'!$B$4:$B$14,'mapping Site table'!$C$4:$C$14,Raw_LIMS_Export!E1202)</f>
        <v>East Hanover</v>
      </c>
      <c r="E1202" s="17" t="s">
        <v>2480</v>
      </c>
      <c r="F1202" s="17">
        <f t="shared" si="55"/>
        <v>1</v>
      </c>
      <c r="G1202" s="17" t="str">
        <f t="shared" si="56"/>
        <v>Fail</v>
      </c>
      <c r="H1202" s="17" t="str">
        <f t="shared" si="54"/>
        <v>Fail</v>
      </c>
      <c r="I1202" s="17">
        <v>0.82</v>
      </c>
      <c r="J1202" s="17" t="s">
        <v>2487</v>
      </c>
      <c r="K1202" s="17">
        <v>0.88</v>
      </c>
      <c r="L1202" s="17">
        <v>0.97</v>
      </c>
      <c r="M1202" s="18">
        <f>Raw_LIMS_Export!K1202</f>
        <v>45690</v>
      </c>
      <c r="N1202" s="19" t="s">
        <v>2924</v>
      </c>
    </row>
    <row r="1203" spans="1:14" x14ac:dyDescent="0.35">
      <c r="A1203" s="16" t="s">
        <v>1205</v>
      </c>
      <c r="B1203" s="17" t="s">
        <v>2072</v>
      </c>
      <c r="C1203" s="17" t="s">
        <v>2460</v>
      </c>
      <c r="D1203" s="17" t="str">
        <f>_xlfn.XLOOKUP(Raw_LIMS_Export!E1203,'mapping Site table'!$B$4:$B$14,'mapping Site table'!$C$4:$C$14,Raw_LIMS_Export!E1203)</f>
        <v>Dortmund DE</v>
      </c>
      <c r="E1203" s="17" t="s">
        <v>2483</v>
      </c>
      <c r="F1203" s="17">
        <f t="shared" si="55"/>
        <v>1</v>
      </c>
      <c r="G1203" s="17" t="str">
        <f t="shared" si="56"/>
        <v>Pass</v>
      </c>
      <c r="H1203" s="17" t="str">
        <f t="shared" si="54"/>
        <v>Pass</v>
      </c>
      <c r="I1203" s="17">
        <v>0.41</v>
      </c>
      <c r="J1203" s="17" t="s">
        <v>2489</v>
      </c>
      <c r="K1203" s="17">
        <v>0</v>
      </c>
      <c r="L1203" s="17">
        <v>1</v>
      </c>
      <c r="M1203" s="18">
        <f>Raw_LIMS_Export!K1203</f>
        <v>45544</v>
      </c>
      <c r="N1203" s="19" t="s">
        <v>2932</v>
      </c>
    </row>
    <row r="1204" spans="1:14" x14ac:dyDescent="0.35">
      <c r="A1204" s="16" t="s">
        <v>1206</v>
      </c>
      <c r="B1204" s="17" t="s">
        <v>2392</v>
      </c>
      <c r="C1204" s="17" t="s">
        <v>2461</v>
      </c>
      <c r="D1204" s="17" t="str">
        <f>_xlfn.XLOOKUP(Raw_LIMS_Export!E1204,'mapping Site table'!$B$4:$B$14,'mapping Site table'!$C$4:$C$14,Raw_LIMS_Export!E1204)</f>
        <v>Ashford UK</v>
      </c>
      <c r="E1204" s="17" t="s">
        <v>2483</v>
      </c>
      <c r="F1204" s="17">
        <f t="shared" si="55"/>
        <v>1</v>
      </c>
      <c r="G1204" s="17" t="str">
        <f t="shared" si="56"/>
        <v>Pass</v>
      </c>
      <c r="H1204" s="17" t="str">
        <f t="shared" si="54"/>
        <v>Pass</v>
      </c>
      <c r="I1204" s="17">
        <v>0.53</v>
      </c>
      <c r="J1204" s="17" t="s">
        <v>2489</v>
      </c>
      <c r="K1204" s="17">
        <v>0</v>
      </c>
      <c r="L1204" s="17">
        <v>1</v>
      </c>
      <c r="M1204" s="18">
        <f>Raw_LIMS_Export!K1204</f>
        <v>45923</v>
      </c>
      <c r="N1204" s="19" t="s">
        <v>2931</v>
      </c>
    </row>
    <row r="1205" spans="1:14" x14ac:dyDescent="0.35">
      <c r="A1205" s="16" t="s">
        <v>1207</v>
      </c>
      <c r="B1205" s="17" t="s">
        <v>2327</v>
      </c>
      <c r="C1205" s="17" t="s">
        <v>2458</v>
      </c>
      <c r="D1205" s="17" t="str">
        <f>_xlfn.XLOOKUP(Raw_LIMS_Export!E1205,'mapping Site table'!$B$4:$B$14,'mapping Site table'!$C$4:$C$14,Raw_LIMS_Export!E1205)</f>
        <v>Budapest</v>
      </c>
      <c r="E1205" s="17" t="s">
        <v>2484</v>
      </c>
      <c r="F1205" s="17">
        <f t="shared" si="55"/>
        <v>1</v>
      </c>
      <c r="G1205" s="17" t="str">
        <f t="shared" si="56"/>
        <v>Pass</v>
      </c>
      <c r="H1205" s="17" t="str">
        <f t="shared" si="54"/>
        <v>Pass</v>
      </c>
      <c r="I1205" s="17">
        <v>6.95</v>
      </c>
      <c r="J1205" s="17"/>
      <c r="K1205" s="17">
        <v>6</v>
      </c>
      <c r="L1205" s="17">
        <v>7.5</v>
      </c>
      <c r="M1205" s="18">
        <f>Raw_LIMS_Export!K1205</f>
        <v>45699</v>
      </c>
      <c r="N1205" s="19" t="s">
        <v>2931</v>
      </c>
    </row>
    <row r="1206" spans="1:14" x14ac:dyDescent="0.35">
      <c r="A1206" s="16" t="s">
        <v>1208</v>
      </c>
      <c r="B1206" s="17" t="s">
        <v>2295</v>
      </c>
      <c r="C1206" s="17" t="s">
        <v>2459</v>
      </c>
      <c r="D1206" s="17" t="str">
        <f>_xlfn.XLOOKUP(Raw_LIMS_Export!E1206,'mapping Site table'!$B$4:$B$14,'mapping Site table'!$C$4:$C$14,Raw_LIMS_Export!E1206)</f>
        <v>Vernier CH</v>
      </c>
      <c r="E1206" s="17" t="s">
        <v>2480</v>
      </c>
      <c r="F1206" s="17">
        <f t="shared" si="55"/>
        <v>1</v>
      </c>
      <c r="G1206" s="17" t="str">
        <f t="shared" si="56"/>
        <v>Pass</v>
      </c>
      <c r="H1206" s="17" t="str">
        <f t="shared" si="54"/>
        <v>Pass</v>
      </c>
      <c r="I1206" s="17">
        <v>0.94</v>
      </c>
      <c r="J1206" s="17" t="s">
        <v>2487</v>
      </c>
      <c r="K1206" s="17">
        <v>0.88</v>
      </c>
      <c r="L1206" s="17">
        <v>0.97</v>
      </c>
      <c r="M1206" s="18">
        <f>Raw_LIMS_Export!K1206</f>
        <v>45977</v>
      </c>
      <c r="N1206" s="19" t="s">
        <v>2928</v>
      </c>
    </row>
    <row r="1207" spans="1:14" x14ac:dyDescent="0.35">
      <c r="A1207" s="16" t="s">
        <v>1209</v>
      </c>
      <c r="B1207" s="17" t="s">
        <v>2341</v>
      </c>
      <c r="C1207" s="17" t="s">
        <v>2459</v>
      </c>
      <c r="D1207" s="17" t="str">
        <f>_xlfn.XLOOKUP(Raw_LIMS_Export!E1207,'mapping Site table'!$B$4:$B$14,'mapping Site table'!$C$4:$C$14,Raw_LIMS_Export!E1207)</f>
        <v>East Hanover</v>
      </c>
      <c r="E1207" s="17" t="s">
        <v>2479</v>
      </c>
      <c r="F1207" s="17">
        <f t="shared" si="55"/>
        <v>1</v>
      </c>
      <c r="G1207" s="17" t="str">
        <f t="shared" si="56"/>
        <v>Pass</v>
      </c>
      <c r="H1207" s="17" t="str">
        <f t="shared" si="54"/>
        <v>Fail</v>
      </c>
      <c r="I1207" s="17">
        <v>33.590000000000003</v>
      </c>
      <c r="J1207" s="17" t="s">
        <v>2486</v>
      </c>
      <c r="K1207" s="17">
        <v>0</v>
      </c>
      <c r="L1207" s="17">
        <v>120</v>
      </c>
      <c r="M1207" s="18">
        <f>Raw_LIMS_Export!K1207</f>
        <v>45812</v>
      </c>
      <c r="N1207" s="19" t="s">
        <v>2927</v>
      </c>
    </row>
    <row r="1208" spans="1:14" x14ac:dyDescent="0.35">
      <c r="A1208" s="16" t="s">
        <v>1210</v>
      </c>
      <c r="B1208" s="17" t="s">
        <v>2218</v>
      </c>
      <c r="C1208" s="17" t="s">
        <v>2457</v>
      </c>
      <c r="D1208" s="17" t="str">
        <f>_xlfn.XLOOKUP(Raw_LIMS_Export!E1208,'mapping Site table'!$B$4:$B$14,'mapping Site table'!$C$4:$C$14,Raw_LIMS_Export!E1208)</f>
        <v>Dortmund DE</v>
      </c>
      <c r="E1208" s="17" t="s">
        <v>2481</v>
      </c>
      <c r="F1208" s="17">
        <f t="shared" si="55"/>
        <v>1</v>
      </c>
      <c r="G1208" s="17" t="str">
        <f t="shared" si="56"/>
        <v>Pass</v>
      </c>
      <c r="H1208" s="17" t="str">
        <f t="shared" si="54"/>
        <v>Fail</v>
      </c>
      <c r="I1208" s="17">
        <v>212.79</v>
      </c>
      <c r="J1208" s="17" t="s">
        <v>2488</v>
      </c>
      <c r="K1208" s="17">
        <v>150</v>
      </c>
      <c r="L1208" s="17">
        <v>400</v>
      </c>
      <c r="M1208" s="18">
        <f>Raw_LIMS_Export!K1208</f>
        <v>45621</v>
      </c>
      <c r="N1208" s="19" t="s">
        <v>2927</v>
      </c>
    </row>
    <row r="1209" spans="1:14" x14ac:dyDescent="0.35">
      <c r="A1209" s="16" t="s">
        <v>1211</v>
      </c>
      <c r="B1209" s="17" t="s">
        <v>2351</v>
      </c>
      <c r="C1209" s="17" t="s">
        <v>2459</v>
      </c>
      <c r="D1209" s="17" t="str">
        <f>_xlfn.XLOOKUP(Raw_LIMS_Export!E1209,'mapping Site table'!$B$4:$B$14,'mapping Site table'!$C$4:$C$14,Raw_LIMS_Export!E1209)</f>
        <v>Vernier CH</v>
      </c>
      <c r="E1209" s="17" t="s">
        <v>2479</v>
      </c>
      <c r="F1209" s="17">
        <f t="shared" si="55"/>
        <v>1</v>
      </c>
      <c r="G1209" s="17" t="str">
        <f t="shared" si="56"/>
        <v>Pass</v>
      </c>
      <c r="H1209" s="17" t="str">
        <f t="shared" si="54"/>
        <v>Pass</v>
      </c>
      <c r="I1209" s="17">
        <v>78.48</v>
      </c>
      <c r="J1209" s="17" t="s">
        <v>2486</v>
      </c>
      <c r="K1209" s="17">
        <v>0</v>
      </c>
      <c r="L1209" s="17">
        <v>120</v>
      </c>
      <c r="M1209" s="18">
        <f>Raw_LIMS_Export!K1209</f>
        <v>45984</v>
      </c>
      <c r="N1209" s="19" t="s">
        <v>2923</v>
      </c>
    </row>
    <row r="1210" spans="1:14" x14ac:dyDescent="0.35">
      <c r="A1210" s="16" t="s">
        <v>1212</v>
      </c>
      <c r="B1210" s="17" t="s">
        <v>2089</v>
      </c>
      <c r="C1210" s="17" t="s">
        <v>2460</v>
      </c>
      <c r="D1210" s="17" t="str">
        <f>_xlfn.XLOOKUP(Raw_LIMS_Export!E1210,'mapping Site table'!$B$4:$B$14,'mapping Site table'!$C$4:$C$14,Raw_LIMS_Export!E1210)</f>
        <v>Budapest</v>
      </c>
      <c r="E1210" s="17" t="s">
        <v>2485</v>
      </c>
      <c r="F1210" s="17">
        <f t="shared" si="55"/>
        <v>1</v>
      </c>
      <c r="G1210" s="17" t="str">
        <f t="shared" si="56"/>
        <v>Pass</v>
      </c>
      <c r="H1210" s="17" t="str">
        <f t="shared" si="54"/>
        <v>Pass</v>
      </c>
      <c r="I1210" s="17">
        <v>12.43</v>
      </c>
      <c r="J1210" s="17" t="s">
        <v>2490</v>
      </c>
      <c r="K1210" s="17">
        <v>0</v>
      </c>
      <c r="L1210" s="17">
        <v>100</v>
      </c>
      <c r="M1210" s="18">
        <f>Raw_LIMS_Export!K1210</f>
        <v>45789</v>
      </c>
      <c r="N1210" s="19" t="s">
        <v>2930</v>
      </c>
    </row>
    <row r="1211" spans="1:14" x14ac:dyDescent="0.35">
      <c r="A1211" s="16" t="s">
        <v>1213</v>
      </c>
      <c r="B1211" s="17" t="s">
        <v>2156</v>
      </c>
      <c r="C1211" s="17" t="s">
        <v>2460</v>
      </c>
      <c r="D1211" s="17" t="str">
        <f>_xlfn.XLOOKUP(Raw_LIMS_Export!E1211,'mapping Site table'!$B$4:$B$14,'mapping Site table'!$C$4:$C$14,Raw_LIMS_Export!E1211)</f>
        <v>Vernier CH</v>
      </c>
      <c r="E1211" s="17" t="s">
        <v>2483</v>
      </c>
      <c r="F1211" s="17">
        <f t="shared" si="55"/>
        <v>1</v>
      </c>
      <c r="G1211" s="17" t="str">
        <f t="shared" si="56"/>
        <v>Pass</v>
      </c>
      <c r="H1211" s="17" t="str">
        <f t="shared" si="54"/>
        <v>Fail</v>
      </c>
      <c r="I1211" s="17">
        <v>0.42</v>
      </c>
      <c r="J1211" s="17" t="s">
        <v>2489</v>
      </c>
      <c r="K1211" s="17">
        <v>0</v>
      </c>
      <c r="L1211" s="17">
        <v>1</v>
      </c>
      <c r="M1211" s="18">
        <f>Raw_LIMS_Export!K1211</f>
        <v>45404</v>
      </c>
      <c r="N1211" s="19" t="s">
        <v>2924</v>
      </c>
    </row>
    <row r="1212" spans="1:14" x14ac:dyDescent="0.35">
      <c r="A1212" s="16" t="s">
        <v>1214</v>
      </c>
      <c r="B1212" s="17" t="s">
        <v>2185</v>
      </c>
      <c r="C1212" s="17" t="s">
        <v>2461</v>
      </c>
      <c r="D1212" s="17" t="str">
        <f>_xlfn.XLOOKUP(Raw_LIMS_Export!E1212,'mapping Site table'!$B$4:$B$14,'mapping Site table'!$C$4:$C$14,Raw_LIMS_Export!E1212)</f>
        <v>East Hanover</v>
      </c>
      <c r="E1212" s="17" t="s">
        <v>2481</v>
      </c>
      <c r="F1212" s="17">
        <f t="shared" si="55"/>
        <v>1</v>
      </c>
      <c r="G1212" s="17" t="str">
        <f t="shared" si="56"/>
        <v>Pass</v>
      </c>
      <c r="H1212" s="17" t="str">
        <f t="shared" si="54"/>
        <v>Pass</v>
      </c>
      <c r="I1212" s="17">
        <v>217.76</v>
      </c>
      <c r="J1212" s="17" t="s">
        <v>2488</v>
      </c>
      <c r="K1212" s="17">
        <v>150</v>
      </c>
      <c r="L1212" s="17">
        <v>400</v>
      </c>
      <c r="M1212" s="18">
        <f>Raw_LIMS_Export!K1212</f>
        <v>45830</v>
      </c>
      <c r="N1212" s="19" t="s">
        <v>2924</v>
      </c>
    </row>
    <row r="1213" spans="1:14" x14ac:dyDescent="0.35">
      <c r="A1213" s="16" t="s">
        <v>1215</v>
      </c>
      <c r="B1213" s="17" t="s">
        <v>2406</v>
      </c>
      <c r="C1213" s="17" t="s">
        <v>2459</v>
      </c>
      <c r="D1213" s="17" t="str">
        <f>_xlfn.XLOOKUP(Raw_LIMS_Export!E1213,'mapping Site table'!$B$4:$B$14,'mapping Site table'!$C$4:$C$14,Raw_LIMS_Export!E1213)</f>
        <v>Vernier CH</v>
      </c>
      <c r="E1213" s="17" t="s">
        <v>2485</v>
      </c>
      <c r="F1213" s="17">
        <f t="shared" si="55"/>
        <v>1</v>
      </c>
      <c r="G1213" s="17" t="str">
        <f t="shared" si="56"/>
        <v>Pass</v>
      </c>
      <c r="H1213" s="17" t="str">
        <f t="shared" si="54"/>
        <v>Pass</v>
      </c>
      <c r="I1213" s="17">
        <v>15.67</v>
      </c>
      <c r="J1213" s="17" t="s">
        <v>2490</v>
      </c>
      <c r="K1213" s="17">
        <v>0</v>
      </c>
      <c r="L1213" s="17">
        <v>100</v>
      </c>
      <c r="M1213" s="18">
        <f>Raw_LIMS_Export!K1213</f>
        <v>45345</v>
      </c>
      <c r="N1213" s="19" t="s">
        <v>2927</v>
      </c>
    </row>
    <row r="1214" spans="1:14" x14ac:dyDescent="0.35">
      <c r="A1214" s="16" t="s">
        <v>1216</v>
      </c>
      <c r="B1214" s="17" t="s">
        <v>2225</v>
      </c>
      <c r="C1214" s="17" t="s">
        <v>2458</v>
      </c>
      <c r="D1214" s="17" t="str">
        <f>_xlfn.XLOOKUP(Raw_LIMS_Export!E1214,'mapping Site table'!$B$4:$B$14,'mapping Site table'!$C$4:$C$14,Raw_LIMS_Export!E1214)</f>
        <v>Vernier CH</v>
      </c>
      <c r="E1214" s="17" t="s">
        <v>2480</v>
      </c>
      <c r="F1214" s="17">
        <f t="shared" si="55"/>
        <v>1</v>
      </c>
      <c r="G1214" s="17" t="str">
        <f t="shared" si="56"/>
        <v>Pass</v>
      </c>
      <c r="H1214" s="17" t="str">
        <f t="shared" si="54"/>
        <v>Fail</v>
      </c>
      <c r="I1214" s="17">
        <v>0.94</v>
      </c>
      <c r="J1214" s="17" t="s">
        <v>2487</v>
      </c>
      <c r="K1214" s="17">
        <v>0.88</v>
      </c>
      <c r="L1214" s="17">
        <v>0.97</v>
      </c>
      <c r="M1214" s="18">
        <f>Raw_LIMS_Export!K1214</f>
        <v>45516</v>
      </c>
      <c r="N1214" s="19" t="s">
        <v>2932</v>
      </c>
    </row>
    <row r="1215" spans="1:14" x14ac:dyDescent="0.35">
      <c r="A1215" s="16" t="s">
        <v>1217</v>
      </c>
      <c r="B1215" s="17" t="s">
        <v>2026</v>
      </c>
      <c r="C1215" s="17" t="s">
        <v>2461</v>
      </c>
      <c r="D1215" s="17" t="str">
        <f>_xlfn.XLOOKUP(Raw_LIMS_Export!E1215,'mapping Site table'!$B$4:$B$14,'mapping Site table'!$C$4:$C$14,Raw_LIMS_Export!E1215)</f>
        <v>Vernier CH</v>
      </c>
      <c r="E1215" s="17" t="s">
        <v>2481</v>
      </c>
      <c r="F1215" s="17">
        <f t="shared" si="55"/>
        <v>1</v>
      </c>
      <c r="G1215" s="17" t="str">
        <f t="shared" si="56"/>
        <v>Fail</v>
      </c>
      <c r="H1215" s="17" t="str">
        <f t="shared" si="54"/>
        <v>Fail</v>
      </c>
      <c r="I1215" s="17">
        <v>520</v>
      </c>
      <c r="J1215" s="17" t="s">
        <v>2488</v>
      </c>
      <c r="K1215" s="17">
        <v>150</v>
      </c>
      <c r="L1215" s="17">
        <v>400</v>
      </c>
      <c r="M1215" s="18">
        <f>Raw_LIMS_Export!K1215</f>
        <v>45294</v>
      </c>
      <c r="N1215" s="19" t="s">
        <v>2924</v>
      </c>
    </row>
    <row r="1216" spans="1:14" x14ac:dyDescent="0.35">
      <c r="A1216" s="16" t="s">
        <v>1218</v>
      </c>
      <c r="B1216" s="17" t="s">
        <v>2341</v>
      </c>
      <c r="C1216" s="17" t="s">
        <v>2459</v>
      </c>
      <c r="D1216" s="17" t="str">
        <f>_xlfn.XLOOKUP(Raw_LIMS_Export!E1216,'mapping Site table'!$B$4:$B$14,'mapping Site table'!$C$4:$C$14,Raw_LIMS_Export!E1216)</f>
        <v>East Hanover</v>
      </c>
      <c r="E1216" s="17" t="s">
        <v>2485</v>
      </c>
      <c r="F1216" s="17">
        <f t="shared" si="55"/>
        <v>1</v>
      </c>
      <c r="G1216" s="17" t="str">
        <f t="shared" si="56"/>
        <v>Fail</v>
      </c>
      <c r="H1216" s="17" t="str">
        <f t="shared" si="54"/>
        <v>Fail</v>
      </c>
      <c r="I1216" s="17">
        <v>-2.33</v>
      </c>
      <c r="J1216" s="17" t="s">
        <v>2490</v>
      </c>
      <c r="K1216" s="17">
        <v>0</v>
      </c>
      <c r="L1216" s="17">
        <v>100</v>
      </c>
      <c r="M1216" s="18">
        <f>Raw_LIMS_Export!K1216</f>
        <v>45812</v>
      </c>
      <c r="N1216" s="19" t="s">
        <v>2930</v>
      </c>
    </row>
    <row r="1217" spans="1:14" x14ac:dyDescent="0.35">
      <c r="A1217" s="16" t="s">
        <v>1219</v>
      </c>
      <c r="B1217" s="17" t="s">
        <v>2315</v>
      </c>
      <c r="C1217" s="17" t="s">
        <v>2460</v>
      </c>
      <c r="D1217" s="17" t="str">
        <f>_xlfn.XLOOKUP(Raw_LIMS_Export!E1217,'mapping Site table'!$B$4:$B$14,'mapping Site table'!$C$4:$C$14,Raw_LIMS_Export!E1217)</f>
        <v>Vernier CH</v>
      </c>
      <c r="E1217" s="17" t="s">
        <v>2484</v>
      </c>
      <c r="F1217" s="17">
        <f t="shared" si="55"/>
        <v>1</v>
      </c>
      <c r="G1217" s="17" t="str">
        <f t="shared" si="56"/>
        <v>Pass</v>
      </c>
      <c r="H1217" s="17" t="str">
        <f t="shared" si="54"/>
        <v>Pass</v>
      </c>
      <c r="I1217" s="17">
        <v>7.24</v>
      </c>
      <c r="J1217" s="17"/>
      <c r="K1217" s="17">
        <v>6</v>
      </c>
      <c r="L1217" s="17">
        <v>7.5</v>
      </c>
      <c r="M1217" s="18">
        <f>Raw_LIMS_Export!K1217</f>
        <v>46011</v>
      </c>
      <c r="N1217" s="19" t="s">
        <v>2932</v>
      </c>
    </row>
    <row r="1218" spans="1:14" x14ac:dyDescent="0.35">
      <c r="A1218" s="16" t="s">
        <v>1220</v>
      </c>
      <c r="B1218" s="17" t="s">
        <v>2065</v>
      </c>
      <c r="C1218" s="17" t="s">
        <v>2459</v>
      </c>
      <c r="D1218" s="17" t="str">
        <f>_xlfn.XLOOKUP(Raw_LIMS_Export!E1218,'mapping Site table'!$B$4:$B$14,'mapping Site table'!$C$4:$C$14,Raw_LIMS_Export!E1218)</f>
        <v>East Hanover</v>
      </c>
      <c r="E1218" s="17" t="s">
        <v>2480</v>
      </c>
      <c r="F1218" s="17">
        <f t="shared" si="55"/>
        <v>1</v>
      </c>
      <c r="G1218" s="17" t="str">
        <f t="shared" si="56"/>
        <v>Pass</v>
      </c>
      <c r="H1218" s="17" t="str">
        <f t="shared" ref="H1218:H1281" si="57">IF(COUNTIFS($B$2:$B$2016,B1218,$G$2:$G$2016,"Fail")&gt;0,"Fail",
  IF(COUNTIFS($B$2:$B$2016,B1218,$G$2:$G$2016,"Missing")&gt;0,"Pending",
    "Pass"))</f>
        <v>Pass</v>
      </c>
      <c r="I1218" s="17">
        <v>0.96</v>
      </c>
      <c r="J1218" s="17" t="s">
        <v>2487</v>
      </c>
      <c r="K1218" s="17">
        <v>0.88</v>
      </c>
      <c r="L1218" s="17">
        <v>0.97</v>
      </c>
      <c r="M1218" s="18">
        <f>Raw_LIMS_Export!K1218</f>
        <v>45950</v>
      </c>
      <c r="N1218" s="19" t="s">
        <v>2923</v>
      </c>
    </row>
    <row r="1219" spans="1:14" x14ac:dyDescent="0.35">
      <c r="A1219" s="16" t="s">
        <v>1221</v>
      </c>
      <c r="B1219" s="17" t="s">
        <v>2450</v>
      </c>
      <c r="C1219" s="17" t="s">
        <v>2458</v>
      </c>
      <c r="D1219" s="17" t="str">
        <f>_xlfn.XLOOKUP(Raw_LIMS_Export!E1219,'mapping Site table'!$B$4:$B$14,'mapping Site table'!$C$4:$C$14,Raw_LIMS_Export!E1219)</f>
        <v>Budapest</v>
      </c>
      <c r="E1219" s="17" t="s">
        <v>2482</v>
      </c>
      <c r="F1219" s="17">
        <f t="shared" ref="F1219:F1282" si="58">IF(I1219="",0,1)</f>
        <v>1</v>
      </c>
      <c r="G1219" s="17" t="str">
        <f t="shared" ref="G1219:G1282" si="59">IF(I1219="", "Missing", IF(AND(I1219&gt;=K1219, I1219&lt;=L1219), "Pass", "Fail"))</f>
        <v>Pass</v>
      </c>
      <c r="H1219" s="17" t="str">
        <f t="shared" si="57"/>
        <v>Pass</v>
      </c>
      <c r="I1219" s="17">
        <v>98.53</v>
      </c>
      <c r="J1219" s="17" t="s">
        <v>2489</v>
      </c>
      <c r="K1219" s="17">
        <v>97</v>
      </c>
      <c r="L1219" s="17">
        <v>100</v>
      </c>
      <c r="M1219" s="18">
        <f>Raw_LIMS_Export!K1219</f>
        <v>45352</v>
      </c>
      <c r="N1219" s="19" t="s">
        <v>2927</v>
      </c>
    </row>
    <row r="1220" spans="1:14" x14ac:dyDescent="0.35">
      <c r="A1220" s="16" t="s">
        <v>1222</v>
      </c>
      <c r="B1220" s="17" t="s">
        <v>2317</v>
      </c>
      <c r="C1220" s="17" t="s">
        <v>2457</v>
      </c>
      <c r="D1220" s="17" t="str">
        <f>_xlfn.XLOOKUP(Raw_LIMS_Export!E1220,'mapping Site table'!$B$4:$B$14,'mapping Site table'!$C$4:$C$14,Raw_LIMS_Export!E1220)</f>
        <v>East Hanover</v>
      </c>
      <c r="E1220" s="17" t="s">
        <v>2479</v>
      </c>
      <c r="F1220" s="17">
        <f t="shared" si="58"/>
        <v>1</v>
      </c>
      <c r="G1220" s="17" t="str">
        <f t="shared" si="59"/>
        <v>Pass</v>
      </c>
      <c r="H1220" s="17" t="str">
        <f t="shared" si="57"/>
        <v>Fail</v>
      </c>
      <c r="I1220" s="17">
        <v>45.89</v>
      </c>
      <c r="J1220" s="17" t="s">
        <v>2486</v>
      </c>
      <c r="K1220" s="17">
        <v>0</v>
      </c>
      <c r="L1220" s="17">
        <v>120</v>
      </c>
      <c r="M1220" s="18">
        <f>Raw_LIMS_Export!K1220</f>
        <v>45786</v>
      </c>
      <c r="N1220" s="19" t="s">
        <v>2925</v>
      </c>
    </row>
    <row r="1221" spans="1:14" x14ac:dyDescent="0.35">
      <c r="A1221" s="16" t="s">
        <v>1223</v>
      </c>
      <c r="B1221" s="17" t="s">
        <v>2074</v>
      </c>
      <c r="C1221" s="17" t="s">
        <v>2457</v>
      </c>
      <c r="D1221" s="17" t="str">
        <f>_xlfn.XLOOKUP(Raw_LIMS_Export!E1221,'mapping Site table'!$B$4:$B$14,'mapping Site table'!$C$4:$C$14,Raw_LIMS_Export!E1221)</f>
        <v>Ashford UK</v>
      </c>
      <c r="E1221" s="17" t="s">
        <v>2479</v>
      </c>
      <c r="F1221" s="17">
        <f t="shared" si="58"/>
        <v>1</v>
      </c>
      <c r="G1221" s="17" t="str">
        <f t="shared" si="59"/>
        <v>Pass</v>
      </c>
      <c r="H1221" s="17" t="str">
        <f t="shared" si="57"/>
        <v>Pass</v>
      </c>
      <c r="I1221" s="17">
        <v>59.63</v>
      </c>
      <c r="J1221" s="17" t="s">
        <v>2486</v>
      </c>
      <c r="K1221" s="17">
        <v>0</v>
      </c>
      <c r="L1221" s="17">
        <v>120</v>
      </c>
      <c r="M1221" s="18">
        <f>Raw_LIMS_Export!K1221</f>
        <v>45416</v>
      </c>
      <c r="N1221" s="19" t="s">
        <v>2931</v>
      </c>
    </row>
    <row r="1222" spans="1:14" x14ac:dyDescent="0.35">
      <c r="A1222" s="16" t="s">
        <v>1224</v>
      </c>
      <c r="B1222" s="17" t="s">
        <v>2133</v>
      </c>
      <c r="C1222" s="17" t="s">
        <v>2457</v>
      </c>
      <c r="D1222" s="17" t="str">
        <f>_xlfn.XLOOKUP(Raw_LIMS_Export!E1222,'mapping Site table'!$B$4:$B$14,'mapping Site table'!$C$4:$C$14,Raw_LIMS_Export!E1222)</f>
        <v>Vernier CH</v>
      </c>
      <c r="E1222" s="17" t="s">
        <v>2485</v>
      </c>
      <c r="F1222" s="17">
        <f t="shared" si="58"/>
        <v>1</v>
      </c>
      <c r="G1222" s="17" t="str">
        <f t="shared" si="59"/>
        <v>Pass</v>
      </c>
      <c r="H1222" s="17" t="str">
        <f t="shared" si="57"/>
        <v>Pass</v>
      </c>
      <c r="I1222" s="17">
        <v>20.5</v>
      </c>
      <c r="J1222" s="17" t="s">
        <v>2490</v>
      </c>
      <c r="K1222" s="17">
        <v>0</v>
      </c>
      <c r="L1222" s="17">
        <v>100</v>
      </c>
      <c r="M1222" s="18">
        <f>Raw_LIMS_Export!K1222</f>
        <v>45805</v>
      </c>
      <c r="N1222" s="19" t="s">
        <v>2931</v>
      </c>
    </row>
    <row r="1223" spans="1:14" x14ac:dyDescent="0.35">
      <c r="A1223" s="16" t="s">
        <v>1225</v>
      </c>
      <c r="B1223" s="17" t="s">
        <v>2399</v>
      </c>
      <c r="C1223" s="17" t="s">
        <v>2459</v>
      </c>
      <c r="D1223" s="17" t="str">
        <f>_xlfn.XLOOKUP(Raw_LIMS_Export!E1223,'mapping Site table'!$B$4:$B$14,'mapping Site table'!$C$4:$C$14,Raw_LIMS_Export!E1223)</f>
        <v>East Hanover</v>
      </c>
      <c r="E1223" s="17" t="s">
        <v>2480</v>
      </c>
      <c r="F1223" s="17">
        <f t="shared" si="58"/>
        <v>1</v>
      </c>
      <c r="G1223" s="17" t="str">
        <f t="shared" si="59"/>
        <v>Pass</v>
      </c>
      <c r="H1223" s="17" t="str">
        <f t="shared" si="57"/>
        <v>Fail</v>
      </c>
      <c r="I1223" s="17">
        <v>0.91</v>
      </c>
      <c r="J1223" s="17" t="s">
        <v>2487</v>
      </c>
      <c r="K1223" s="17">
        <v>0.88</v>
      </c>
      <c r="L1223" s="17">
        <v>0.97</v>
      </c>
      <c r="M1223" s="18">
        <f>Raw_LIMS_Export!K1223</f>
        <v>45669</v>
      </c>
      <c r="N1223" s="19" t="s">
        <v>2925</v>
      </c>
    </row>
    <row r="1224" spans="1:14" x14ac:dyDescent="0.35">
      <c r="A1224" s="16" t="s">
        <v>1226</v>
      </c>
      <c r="B1224" s="17" t="s">
        <v>2407</v>
      </c>
      <c r="C1224" s="17" t="s">
        <v>2461</v>
      </c>
      <c r="D1224" s="17" t="str">
        <f>_xlfn.XLOOKUP(Raw_LIMS_Export!E1224,'mapping Site table'!$B$4:$B$14,'mapping Site table'!$C$4:$C$14,Raw_LIMS_Export!E1224)</f>
        <v>East Hanover</v>
      </c>
      <c r="E1224" s="17" t="s">
        <v>2482</v>
      </c>
      <c r="F1224" s="17">
        <f t="shared" si="58"/>
        <v>1</v>
      </c>
      <c r="G1224" s="17" t="str">
        <f t="shared" si="59"/>
        <v>Pass</v>
      </c>
      <c r="H1224" s="17" t="str">
        <f t="shared" si="57"/>
        <v>Pass</v>
      </c>
      <c r="I1224" s="17">
        <v>98.19</v>
      </c>
      <c r="J1224" s="17" t="s">
        <v>2489</v>
      </c>
      <c r="K1224" s="17">
        <v>97</v>
      </c>
      <c r="L1224" s="17">
        <v>100</v>
      </c>
      <c r="M1224" s="18">
        <f>Raw_LIMS_Export!K1224</f>
        <v>45527</v>
      </c>
      <c r="N1224" s="19" t="s">
        <v>2928</v>
      </c>
    </row>
    <row r="1225" spans="1:14" x14ac:dyDescent="0.35">
      <c r="A1225" s="16" t="s">
        <v>1227</v>
      </c>
      <c r="B1225" s="17" t="s">
        <v>2058</v>
      </c>
      <c r="C1225" s="17" t="s">
        <v>2460</v>
      </c>
      <c r="D1225" s="17" t="str">
        <f>_xlfn.XLOOKUP(Raw_LIMS_Export!E1225,'mapping Site table'!$B$4:$B$14,'mapping Site table'!$C$4:$C$14,Raw_LIMS_Export!E1225)</f>
        <v>Budapest</v>
      </c>
      <c r="E1225" s="17" t="s">
        <v>2479</v>
      </c>
      <c r="F1225" s="17">
        <f t="shared" si="58"/>
        <v>1</v>
      </c>
      <c r="G1225" s="17" t="str">
        <f t="shared" si="59"/>
        <v>Pass</v>
      </c>
      <c r="H1225" s="17" t="str">
        <f t="shared" si="57"/>
        <v>Pass</v>
      </c>
      <c r="I1225" s="17">
        <v>54.57</v>
      </c>
      <c r="J1225" s="17" t="s">
        <v>2486</v>
      </c>
      <c r="K1225" s="17">
        <v>0</v>
      </c>
      <c r="L1225" s="17">
        <v>120</v>
      </c>
      <c r="M1225" s="18">
        <f>Raw_LIMS_Export!K1225</f>
        <v>45695</v>
      </c>
      <c r="N1225" s="19" t="s">
        <v>2927</v>
      </c>
    </row>
    <row r="1226" spans="1:14" x14ac:dyDescent="0.35">
      <c r="A1226" s="16" t="s">
        <v>1228</v>
      </c>
      <c r="B1226" s="17" t="s">
        <v>2442</v>
      </c>
      <c r="C1226" s="17" t="s">
        <v>2458</v>
      </c>
      <c r="D1226" s="17" t="str">
        <f>_xlfn.XLOOKUP(Raw_LIMS_Export!E1226,'mapping Site table'!$B$4:$B$14,'mapping Site table'!$C$4:$C$14,Raw_LIMS_Export!E1226)</f>
        <v>Vernier CH</v>
      </c>
      <c r="E1226" s="17" t="s">
        <v>2480</v>
      </c>
      <c r="F1226" s="17">
        <f t="shared" si="58"/>
        <v>1</v>
      </c>
      <c r="G1226" s="17" t="str">
        <f t="shared" si="59"/>
        <v>Pass</v>
      </c>
      <c r="H1226" s="17" t="str">
        <f t="shared" si="57"/>
        <v>Fail</v>
      </c>
      <c r="I1226" s="17">
        <v>0.95</v>
      </c>
      <c r="J1226" s="17" t="s">
        <v>2487</v>
      </c>
      <c r="K1226" s="17">
        <v>0.88</v>
      </c>
      <c r="L1226" s="17">
        <v>0.97</v>
      </c>
      <c r="M1226" s="18">
        <f>Raw_LIMS_Export!K1226</f>
        <v>45385</v>
      </c>
      <c r="N1226" s="19" t="s">
        <v>2925</v>
      </c>
    </row>
    <row r="1227" spans="1:14" x14ac:dyDescent="0.35">
      <c r="A1227" s="16" t="s">
        <v>1229</v>
      </c>
      <c r="B1227" s="17" t="s">
        <v>2428</v>
      </c>
      <c r="C1227" s="17" t="s">
        <v>2458</v>
      </c>
      <c r="D1227" s="17" t="str">
        <f>_xlfn.XLOOKUP(Raw_LIMS_Export!E1227,'mapping Site table'!$B$4:$B$14,'mapping Site table'!$C$4:$C$14,Raw_LIMS_Export!E1227)</f>
        <v>Vernier CH</v>
      </c>
      <c r="E1227" s="17" t="s">
        <v>2485</v>
      </c>
      <c r="F1227" s="17">
        <f t="shared" si="58"/>
        <v>1</v>
      </c>
      <c r="G1227" s="17" t="str">
        <f t="shared" si="59"/>
        <v>Fail</v>
      </c>
      <c r="H1227" s="17" t="str">
        <f t="shared" si="57"/>
        <v>Fail</v>
      </c>
      <c r="I1227" s="17">
        <v>-1.0900000000000001</v>
      </c>
      <c r="J1227" s="17" t="s">
        <v>2490</v>
      </c>
      <c r="K1227" s="17">
        <v>0</v>
      </c>
      <c r="L1227" s="17">
        <v>100</v>
      </c>
      <c r="M1227" s="18">
        <f>Raw_LIMS_Export!K1227</f>
        <v>45343</v>
      </c>
      <c r="N1227" s="19" t="s">
        <v>2924</v>
      </c>
    </row>
    <row r="1228" spans="1:14" x14ac:dyDescent="0.35">
      <c r="A1228" s="16" t="s">
        <v>1230</v>
      </c>
      <c r="B1228" s="17" t="s">
        <v>2321</v>
      </c>
      <c r="C1228" s="17" t="s">
        <v>2457</v>
      </c>
      <c r="D1228" s="17" t="str">
        <f>_xlfn.XLOOKUP(Raw_LIMS_Export!E1228,'mapping Site table'!$B$4:$B$14,'mapping Site table'!$C$4:$C$14,Raw_LIMS_Export!E1228)</f>
        <v>Budapest</v>
      </c>
      <c r="E1228" s="17" t="s">
        <v>2485</v>
      </c>
      <c r="F1228" s="17">
        <f t="shared" si="58"/>
        <v>1</v>
      </c>
      <c r="G1228" s="17" t="str">
        <f t="shared" si="59"/>
        <v>Pass</v>
      </c>
      <c r="H1228" s="17" t="str">
        <f t="shared" si="57"/>
        <v>Pass</v>
      </c>
      <c r="I1228" s="17">
        <v>39.770000000000003</v>
      </c>
      <c r="J1228" s="17" t="s">
        <v>2490</v>
      </c>
      <c r="K1228" s="17">
        <v>0</v>
      </c>
      <c r="L1228" s="17">
        <v>100</v>
      </c>
      <c r="M1228" s="18">
        <f>Raw_LIMS_Export!K1228</f>
        <v>45491</v>
      </c>
      <c r="N1228" s="19" t="s">
        <v>2925</v>
      </c>
    </row>
    <row r="1229" spans="1:14" x14ac:dyDescent="0.35">
      <c r="A1229" s="16" t="s">
        <v>1231</v>
      </c>
      <c r="B1229" s="17" t="s">
        <v>2397</v>
      </c>
      <c r="C1229" s="17" t="s">
        <v>2459</v>
      </c>
      <c r="D1229" s="17" t="str">
        <f>_xlfn.XLOOKUP(Raw_LIMS_Export!E1229,'mapping Site table'!$B$4:$B$14,'mapping Site table'!$C$4:$C$14,Raw_LIMS_Export!E1229)</f>
        <v>Budapest</v>
      </c>
      <c r="E1229" s="17" t="s">
        <v>2481</v>
      </c>
      <c r="F1229" s="17">
        <f t="shared" si="58"/>
        <v>1</v>
      </c>
      <c r="G1229" s="17" t="str">
        <f t="shared" si="59"/>
        <v>Pass</v>
      </c>
      <c r="H1229" s="17" t="str">
        <f t="shared" si="57"/>
        <v>Pass</v>
      </c>
      <c r="I1229" s="17">
        <v>248.56</v>
      </c>
      <c r="J1229" s="17" t="s">
        <v>2488</v>
      </c>
      <c r="K1229" s="17">
        <v>150</v>
      </c>
      <c r="L1229" s="17">
        <v>400</v>
      </c>
      <c r="M1229" s="18">
        <f>Raw_LIMS_Export!K1229</f>
        <v>45436</v>
      </c>
      <c r="N1229" s="19" t="s">
        <v>2926</v>
      </c>
    </row>
    <row r="1230" spans="1:14" x14ac:dyDescent="0.35">
      <c r="A1230" s="16" t="s">
        <v>1232</v>
      </c>
      <c r="B1230" s="17" t="s">
        <v>2157</v>
      </c>
      <c r="C1230" s="17" t="s">
        <v>2458</v>
      </c>
      <c r="D1230" s="17" t="str">
        <f>_xlfn.XLOOKUP(Raw_LIMS_Export!E1230,'mapping Site table'!$B$4:$B$14,'mapping Site table'!$C$4:$C$14,Raw_LIMS_Export!E1230)</f>
        <v>Budapest</v>
      </c>
      <c r="E1230" s="17" t="s">
        <v>2483</v>
      </c>
      <c r="F1230" s="17">
        <f t="shared" si="58"/>
        <v>1</v>
      </c>
      <c r="G1230" s="17" t="str">
        <f t="shared" si="59"/>
        <v>Pass</v>
      </c>
      <c r="H1230" s="17" t="str">
        <f t="shared" si="57"/>
        <v>Fail</v>
      </c>
      <c r="I1230" s="17">
        <v>0.18</v>
      </c>
      <c r="J1230" s="17" t="s">
        <v>2489</v>
      </c>
      <c r="K1230" s="17">
        <v>0</v>
      </c>
      <c r="L1230" s="17">
        <v>1</v>
      </c>
      <c r="M1230" s="18">
        <f>Raw_LIMS_Export!K1230</f>
        <v>45595</v>
      </c>
      <c r="N1230" s="19" t="s">
        <v>2929</v>
      </c>
    </row>
    <row r="1231" spans="1:14" x14ac:dyDescent="0.35">
      <c r="A1231" s="16" t="s">
        <v>1233</v>
      </c>
      <c r="B1231" s="17" t="s">
        <v>2298</v>
      </c>
      <c r="C1231" s="17" t="s">
        <v>2458</v>
      </c>
      <c r="D1231" s="17" t="str">
        <f>_xlfn.XLOOKUP(Raw_LIMS_Export!E1231,'mapping Site table'!$B$4:$B$14,'mapping Site table'!$C$4:$C$14,Raw_LIMS_Export!E1231)</f>
        <v>Dortmund DE</v>
      </c>
      <c r="E1231" s="17" t="s">
        <v>2483</v>
      </c>
      <c r="F1231" s="17">
        <f t="shared" si="58"/>
        <v>1</v>
      </c>
      <c r="G1231" s="17" t="str">
        <f t="shared" si="59"/>
        <v>Pass</v>
      </c>
      <c r="H1231" s="17" t="str">
        <f t="shared" si="57"/>
        <v>Fail</v>
      </c>
      <c r="I1231" s="17">
        <v>0.46</v>
      </c>
      <c r="J1231" s="17" t="s">
        <v>2489</v>
      </c>
      <c r="K1231" s="17">
        <v>0</v>
      </c>
      <c r="L1231" s="17">
        <v>1</v>
      </c>
      <c r="M1231" s="18">
        <f>Raw_LIMS_Export!K1231</f>
        <v>45323</v>
      </c>
      <c r="N1231" s="19" t="s">
        <v>2926</v>
      </c>
    </row>
    <row r="1232" spans="1:14" x14ac:dyDescent="0.35">
      <c r="A1232" s="16" t="s">
        <v>1234</v>
      </c>
      <c r="B1232" s="17" t="s">
        <v>2348</v>
      </c>
      <c r="C1232" s="17" t="s">
        <v>2459</v>
      </c>
      <c r="D1232" s="17" t="str">
        <f>_xlfn.XLOOKUP(Raw_LIMS_Export!E1232,'mapping Site table'!$B$4:$B$14,'mapping Site table'!$C$4:$C$14,Raw_LIMS_Export!E1232)</f>
        <v>Ashford UK</v>
      </c>
      <c r="E1232" s="17" t="s">
        <v>2479</v>
      </c>
      <c r="F1232" s="17">
        <f t="shared" si="58"/>
        <v>1</v>
      </c>
      <c r="G1232" s="17" t="str">
        <f t="shared" si="59"/>
        <v>Fail</v>
      </c>
      <c r="H1232" s="17" t="str">
        <f t="shared" si="57"/>
        <v>Fail</v>
      </c>
      <c r="I1232" s="17">
        <v>-60</v>
      </c>
      <c r="J1232" s="17" t="s">
        <v>2486</v>
      </c>
      <c r="K1232" s="17">
        <v>0</v>
      </c>
      <c r="L1232" s="17">
        <v>120</v>
      </c>
      <c r="M1232" s="18">
        <f>Raw_LIMS_Export!K1232</f>
        <v>45461</v>
      </c>
      <c r="N1232" s="19" t="s">
        <v>2924</v>
      </c>
    </row>
    <row r="1233" spans="1:14" x14ac:dyDescent="0.35">
      <c r="A1233" s="16" t="s">
        <v>1235</v>
      </c>
      <c r="B1233" s="17" t="s">
        <v>2281</v>
      </c>
      <c r="C1233" s="17" t="s">
        <v>2458</v>
      </c>
      <c r="D1233" s="17" t="str">
        <f>_xlfn.XLOOKUP(Raw_LIMS_Export!E1233,'mapping Site table'!$B$4:$B$14,'mapping Site table'!$C$4:$C$14,Raw_LIMS_Export!E1233)</f>
        <v>East Hanover</v>
      </c>
      <c r="E1233" s="17" t="s">
        <v>2479</v>
      </c>
      <c r="F1233" s="17">
        <f t="shared" si="58"/>
        <v>1</v>
      </c>
      <c r="G1233" s="17" t="str">
        <f t="shared" si="59"/>
        <v>Pass</v>
      </c>
      <c r="H1233" s="17" t="str">
        <f t="shared" si="57"/>
        <v>Pass</v>
      </c>
      <c r="I1233" s="17">
        <v>64.819999999999993</v>
      </c>
      <c r="J1233" s="17" t="s">
        <v>2486</v>
      </c>
      <c r="K1233" s="17">
        <v>0</v>
      </c>
      <c r="L1233" s="17">
        <v>120</v>
      </c>
      <c r="M1233" s="18">
        <f>Raw_LIMS_Export!K1233</f>
        <v>45759</v>
      </c>
      <c r="N1233" s="19" t="s">
        <v>2924</v>
      </c>
    </row>
    <row r="1234" spans="1:14" x14ac:dyDescent="0.35">
      <c r="A1234" s="16" t="s">
        <v>1236</v>
      </c>
      <c r="B1234" s="17" t="s">
        <v>2040</v>
      </c>
      <c r="C1234" s="17" t="s">
        <v>2460</v>
      </c>
      <c r="D1234" s="17" t="str">
        <f>_xlfn.XLOOKUP(Raw_LIMS_Export!E1234,'mapping Site table'!$B$4:$B$14,'mapping Site table'!$C$4:$C$14,Raw_LIMS_Export!E1234)</f>
        <v>Dortmund DE</v>
      </c>
      <c r="E1234" s="17" t="s">
        <v>2482</v>
      </c>
      <c r="F1234" s="17">
        <f t="shared" si="58"/>
        <v>1</v>
      </c>
      <c r="G1234" s="17" t="str">
        <f t="shared" si="59"/>
        <v>Pass</v>
      </c>
      <c r="H1234" s="17" t="str">
        <f t="shared" si="57"/>
        <v>Fail</v>
      </c>
      <c r="I1234" s="17">
        <v>99.34</v>
      </c>
      <c r="J1234" s="17" t="s">
        <v>2489</v>
      </c>
      <c r="K1234" s="17">
        <v>97</v>
      </c>
      <c r="L1234" s="17">
        <v>100</v>
      </c>
      <c r="M1234" s="18">
        <f>Raw_LIMS_Export!K1234</f>
        <v>45386</v>
      </c>
      <c r="N1234" s="19" t="s">
        <v>2929</v>
      </c>
    </row>
    <row r="1235" spans="1:14" x14ac:dyDescent="0.35">
      <c r="A1235" s="16" t="s">
        <v>1237</v>
      </c>
      <c r="B1235" s="17" t="s">
        <v>2199</v>
      </c>
      <c r="C1235" s="17" t="s">
        <v>2460</v>
      </c>
      <c r="D1235" s="17" t="str">
        <f>_xlfn.XLOOKUP(Raw_LIMS_Export!E1235,'mapping Site table'!$B$4:$B$14,'mapping Site table'!$C$4:$C$14,Raw_LIMS_Export!E1235)</f>
        <v>Ashford UK</v>
      </c>
      <c r="E1235" s="17" t="s">
        <v>2481</v>
      </c>
      <c r="F1235" s="17">
        <f t="shared" si="58"/>
        <v>1</v>
      </c>
      <c r="G1235" s="17" t="str">
        <f t="shared" si="59"/>
        <v>Pass</v>
      </c>
      <c r="H1235" s="17" t="str">
        <f t="shared" si="57"/>
        <v>Pass</v>
      </c>
      <c r="I1235" s="17">
        <v>260.73</v>
      </c>
      <c r="J1235" s="17" t="s">
        <v>2488</v>
      </c>
      <c r="K1235" s="17">
        <v>150</v>
      </c>
      <c r="L1235" s="17">
        <v>400</v>
      </c>
      <c r="M1235" s="18">
        <f>Raw_LIMS_Export!K1235</f>
        <v>45413</v>
      </c>
      <c r="N1235" s="19" t="s">
        <v>2929</v>
      </c>
    </row>
    <row r="1236" spans="1:14" x14ac:dyDescent="0.35">
      <c r="A1236" s="16" t="s">
        <v>1238</v>
      </c>
      <c r="B1236" s="17" t="s">
        <v>2321</v>
      </c>
      <c r="C1236" s="17" t="s">
        <v>2457</v>
      </c>
      <c r="D1236" s="17" t="str">
        <f>_xlfn.XLOOKUP(Raw_LIMS_Export!E1236,'mapping Site table'!$B$4:$B$14,'mapping Site table'!$C$4:$C$14,Raw_LIMS_Export!E1236)</f>
        <v>Budapest</v>
      </c>
      <c r="E1236" s="17" t="s">
        <v>2479</v>
      </c>
      <c r="F1236" s="17">
        <f t="shared" si="58"/>
        <v>1</v>
      </c>
      <c r="G1236" s="17" t="str">
        <f t="shared" si="59"/>
        <v>Pass</v>
      </c>
      <c r="H1236" s="17" t="str">
        <f t="shared" si="57"/>
        <v>Pass</v>
      </c>
      <c r="I1236" s="17">
        <v>9.76</v>
      </c>
      <c r="J1236" s="17" t="s">
        <v>2486</v>
      </c>
      <c r="K1236" s="17">
        <v>0</v>
      </c>
      <c r="L1236" s="17">
        <v>120</v>
      </c>
      <c r="M1236" s="18">
        <f>Raw_LIMS_Export!K1236</f>
        <v>45491</v>
      </c>
      <c r="N1236" s="19" t="s">
        <v>2923</v>
      </c>
    </row>
    <row r="1237" spans="1:14" x14ac:dyDescent="0.35">
      <c r="A1237" s="16" t="s">
        <v>1239</v>
      </c>
      <c r="B1237" s="17" t="s">
        <v>2365</v>
      </c>
      <c r="C1237" s="17" t="s">
        <v>2459</v>
      </c>
      <c r="D1237" s="17" t="str">
        <f>_xlfn.XLOOKUP(Raw_LIMS_Export!E1237,'mapping Site table'!$B$4:$B$14,'mapping Site table'!$C$4:$C$14,Raw_LIMS_Export!E1237)</f>
        <v>Budapest</v>
      </c>
      <c r="E1237" s="17" t="s">
        <v>2480</v>
      </c>
      <c r="F1237" s="17">
        <f t="shared" si="58"/>
        <v>1</v>
      </c>
      <c r="G1237" s="17" t="str">
        <f t="shared" si="59"/>
        <v>Pass</v>
      </c>
      <c r="H1237" s="17" t="str">
        <f t="shared" si="57"/>
        <v>Pass</v>
      </c>
      <c r="I1237" s="17">
        <v>0.91</v>
      </c>
      <c r="J1237" s="17" t="s">
        <v>2487</v>
      </c>
      <c r="K1237" s="17">
        <v>0.88</v>
      </c>
      <c r="L1237" s="17">
        <v>0.97</v>
      </c>
      <c r="M1237" s="18">
        <f>Raw_LIMS_Export!K1237</f>
        <v>45344</v>
      </c>
      <c r="N1237" s="19" t="s">
        <v>2927</v>
      </c>
    </row>
    <row r="1238" spans="1:14" x14ac:dyDescent="0.35">
      <c r="A1238" s="16" t="s">
        <v>1240</v>
      </c>
      <c r="B1238" s="17" t="s">
        <v>2378</v>
      </c>
      <c r="C1238" s="17" t="s">
        <v>2457</v>
      </c>
      <c r="D1238" s="17" t="str">
        <f>_xlfn.XLOOKUP(Raw_LIMS_Export!E1238,'mapping Site table'!$B$4:$B$14,'mapping Site table'!$C$4:$C$14,Raw_LIMS_Export!E1238)</f>
        <v>East Hanover</v>
      </c>
      <c r="E1238" s="17" t="s">
        <v>2481</v>
      </c>
      <c r="F1238" s="17">
        <f t="shared" si="58"/>
        <v>1</v>
      </c>
      <c r="G1238" s="17" t="str">
        <f t="shared" si="59"/>
        <v>Pass</v>
      </c>
      <c r="H1238" s="17" t="str">
        <f t="shared" si="57"/>
        <v>Pass</v>
      </c>
      <c r="I1238" s="17">
        <v>241.79</v>
      </c>
      <c r="J1238" s="17" t="s">
        <v>2488</v>
      </c>
      <c r="K1238" s="17">
        <v>150</v>
      </c>
      <c r="L1238" s="17">
        <v>400</v>
      </c>
      <c r="M1238" s="18">
        <f>Raw_LIMS_Export!K1238</f>
        <v>45394</v>
      </c>
      <c r="N1238" s="19" t="s">
        <v>2931</v>
      </c>
    </row>
    <row r="1239" spans="1:14" x14ac:dyDescent="0.35">
      <c r="A1239" s="16" t="s">
        <v>1241</v>
      </c>
      <c r="B1239" s="17" t="s">
        <v>2403</v>
      </c>
      <c r="C1239" s="17" t="s">
        <v>2460</v>
      </c>
      <c r="D1239" s="17" t="str">
        <f>_xlfn.XLOOKUP(Raw_LIMS_Export!E1239,'mapping Site table'!$B$4:$B$14,'mapping Site table'!$C$4:$C$14,Raw_LIMS_Export!E1239)</f>
        <v>East Hanover</v>
      </c>
      <c r="E1239" s="17" t="s">
        <v>2482</v>
      </c>
      <c r="F1239" s="17">
        <f t="shared" si="58"/>
        <v>1</v>
      </c>
      <c r="G1239" s="17" t="str">
        <f t="shared" si="59"/>
        <v>Pass</v>
      </c>
      <c r="H1239" s="17" t="str">
        <f t="shared" si="57"/>
        <v>Pass</v>
      </c>
      <c r="I1239" s="17">
        <v>98.56</v>
      </c>
      <c r="J1239" s="17" t="s">
        <v>2489</v>
      </c>
      <c r="K1239" s="17">
        <v>97</v>
      </c>
      <c r="L1239" s="17">
        <v>100</v>
      </c>
      <c r="M1239" s="18">
        <f>Raw_LIMS_Export!K1239</f>
        <v>45567</v>
      </c>
      <c r="N1239" s="19" t="s">
        <v>2929</v>
      </c>
    </row>
    <row r="1240" spans="1:14" x14ac:dyDescent="0.35">
      <c r="A1240" s="16" t="s">
        <v>1242</v>
      </c>
      <c r="B1240" s="17" t="s">
        <v>2142</v>
      </c>
      <c r="C1240" s="17" t="s">
        <v>2458</v>
      </c>
      <c r="D1240" s="17" t="str">
        <f>_xlfn.XLOOKUP(Raw_LIMS_Export!E1240,'mapping Site table'!$B$4:$B$14,'mapping Site table'!$C$4:$C$14,Raw_LIMS_Export!E1240)</f>
        <v>East Hanover</v>
      </c>
      <c r="E1240" s="17" t="s">
        <v>2479</v>
      </c>
      <c r="F1240" s="17">
        <f t="shared" si="58"/>
        <v>1</v>
      </c>
      <c r="G1240" s="17" t="str">
        <f t="shared" si="59"/>
        <v>Pass</v>
      </c>
      <c r="H1240" s="17" t="str">
        <f t="shared" si="57"/>
        <v>Fail</v>
      </c>
      <c r="I1240" s="17">
        <v>44.37</v>
      </c>
      <c r="J1240" s="17" t="s">
        <v>2486</v>
      </c>
      <c r="K1240" s="17">
        <v>0</v>
      </c>
      <c r="L1240" s="17">
        <v>120</v>
      </c>
      <c r="M1240" s="18">
        <f>Raw_LIMS_Export!K1240</f>
        <v>45942</v>
      </c>
      <c r="N1240" s="19" t="s">
        <v>2926</v>
      </c>
    </row>
    <row r="1241" spans="1:14" x14ac:dyDescent="0.35">
      <c r="A1241" s="16" t="s">
        <v>1243</v>
      </c>
      <c r="B1241" s="17" t="s">
        <v>2347</v>
      </c>
      <c r="C1241" s="17" t="s">
        <v>2460</v>
      </c>
      <c r="D1241" s="17" t="str">
        <f>_xlfn.XLOOKUP(Raw_LIMS_Export!E1241,'mapping Site table'!$B$4:$B$14,'mapping Site table'!$C$4:$C$14,Raw_LIMS_Export!E1241)</f>
        <v>Dortmund DE</v>
      </c>
      <c r="E1241" s="17" t="s">
        <v>2485</v>
      </c>
      <c r="F1241" s="17">
        <f t="shared" si="58"/>
        <v>1</v>
      </c>
      <c r="G1241" s="17" t="str">
        <f t="shared" si="59"/>
        <v>Pass</v>
      </c>
      <c r="H1241" s="17" t="str">
        <f t="shared" si="57"/>
        <v>Pass</v>
      </c>
      <c r="I1241" s="17">
        <v>25.28</v>
      </c>
      <c r="J1241" s="17" t="s">
        <v>2490</v>
      </c>
      <c r="K1241" s="17">
        <v>0</v>
      </c>
      <c r="L1241" s="17">
        <v>100</v>
      </c>
      <c r="M1241" s="18">
        <f>Raw_LIMS_Export!K1241</f>
        <v>45401</v>
      </c>
      <c r="N1241" s="19" t="s">
        <v>2924</v>
      </c>
    </row>
    <row r="1242" spans="1:14" x14ac:dyDescent="0.35">
      <c r="A1242" s="16" t="s">
        <v>1244</v>
      </c>
      <c r="B1242" s="17" t="s">
        <v>2369</v>
      </c>
      <c r="C1242" s="17" t="s">
        <v>2458</v>
      </c>
      <c r="D1242" s="17" t="str">
        <f>_xlfn.XLOOKUP(Raw_LIMS_Export!E1242,'mapping Site table'!$B$4:$B$14,'mapping Site table'!$C$4:$C$14,Raw_LIMS_Export!E1242)</f>
        <v>Ashford UK</v>
      </c>
      <c r="E1242" s="17" t="s">
        <v>2483</v>
      </c>
      <c r="F1242" s="17">
        <f t="shared" si="58"/>
        <v>1</v>
      </c>
      <c r="G1242" s="17" t="str">
        <f t="shared" si="59"/>
        <v>Pass</v>
      </c>
      <c r="H1242" s="17" t="str">
        <f t="shared" si="57"/>
        <v>Pass</v>
      </c>
      <c r="I1242" s="17">
        <v>0.33</v>
      </c>
      <c r="J1242" s="17" t="s">
        <v>2489</v>
      </c>
      <c r="K1242" s="17">
        <v>0</v>
      </c>
      <c r="L1242" s="17">
        <v>1</v>
      </c>
      <c r="M1242" s="18">
        <f>Raw_LIMS_Export!K1242</f>
        <v>46003</v>
      </c>
      <c r="N1242" s="19" t="s">
        <v>2924</v>
      </c>
    </row>
    <row r="1243" spans="1:14" x14ac:dyDescent="0.35">
      <c r="A1243" s="16" t="s">
        <v>1245</v>
      </c>
      <c r="B1243" s="17" t="s">
        <v>2198</v>
      </c>
      <c r="C1243" s="17" t="s">
        <v>2459</v>
      </c>
      <c r="D1243" s="17" t="str">
        <f>_xlfn.XLOOKUP(Raw_LIMS_Export!E1243,'mapping Site table'!$B$4:$B$14,'mapping Site table'!$C$4:$C$14,Raw_LIMS_Export!E1243)</f>
        <v>East Hanover</v>
      </c>
      <c r="E1243" s="17" t="s">
        <v>2480</v>
      </c>
      <c r="F1243" s="17">
        <f t="shared" si="58"/>
        <v>1</v>
      </c>
      <c r="G1243" s="17" t="str">
        <f t="shared" si="59"/>
        <v>Pass</v>
      </c>
      <c r="H1243" s="17" t="str">
        <f t="shared" si="57"/>
        <v>Pass</v>
      </c>
      <c r="I1243" s="17">
        <v>0.92</v>
      </c>
      <c r="J1243" s="17" t="s">
        <v>2487</v>
      </c>
      <c r="K1243" s="17">
        <v>0.88</v>
      </c>
      <c r="L1243" s="17">
        <v>0.97</v>
      </c>
      <c r="M1243" s="18">
        <f>Raw_LIMS_Export!K1243</f>
        <v>45704</v>
      </c>
      <c r="N1243" s="19" t="s">
        <v>2925</v>
      </c>
    </row>
    <row r="1244" spans="1:14" x14ac:dyDescent="0.35">
      <c r="A1244" s="16" t="s">
        <v>1246</v>
      </c>
      <c r="B1244" s="17" t="s">
        <v>2095</v>
      </c>
      <c r="C1244" s="17" t="s">
        <v>2459</v>
      </c>
      <c r="D1244" s="17" t="str">
        <f>_xlfn.XLOOKUP(Raw_LIMS_Export!E1244,'mapping Site table'!$B$4:$B$14,'mapping Site table'!$C$4:$C$14,Raw_LIMS_Export!E1244)</f>
        <v>Ashford UK</v>
      </c>
      <c r="E1244" s="17" t="s">
        <v>2479</v>
      </c>
      <c r="F1244" s="17">
        <f t="shared" si="58"/>
        <v>0</v>
      </c>
      <c r="G1244" s="17" t="str">
        <f t="shared" si="59"/>
        <v>Missing</v>
      </c>
      <c r="H1244" s="17" t="str">
        <f t="shared" si="57"/>
        <v>Pending</v>
      </c>
      <c r="I1244" s="17"/>
      <c r="J1244" s="17" t="s">
        <v>2486</v>
      </c>
      <c r="K1244" s="17">
        <v>0</v>
      </c>
      <c r="L1244" s="17">
        <v>120</v>
      </c>
      <c r="M1244" s="18">
        <f>Raw_LIMS_Export!K1244</f>
        <v>45825</v>
      </c>
      <c r="N1244" s="19" t="s">
        <v>2925</v>
      </c>
    </row>
    <row r="1245" spans="1:14" x14ac:dyDescent="0.35">
      <c r="A1245" s="16" t="s">
        <v>1247</v>
      </c>
      <c r="B1245" s="17" t="s">
        <v>2450</v>
      </c>
      <c r="C1245" s="17" t="s">
        <v>2458</v>
      </c>
      <c r="D1245" s="17" t="str">
        <f>_xlfn.XLOOKUP(Raw_LIMS_Export!E1245,'mapping Site table'!$B$4:$B$14,'mapping Site table'!$C$4:$C$14,Raw_LIMS_Export!E1245)</f>
        <v>Budapest</v>
      </c>
      <c r="E1245" s="17" t="s">
        <v>2480</v>
      </c>
      <c r="F1245" s="17">
        <f t="shared" si="58"/>
        <v>1</v>
      </c>
      <c r="G1245" s="17" t="str">
        <f t="shared" si="59"/>
        <v>Pass</v>
      </c>
      <c r="H1245" s="17" t="str">
        <f t="shared" si="57"/>
        <v>Pass</v>
      </c>
      <c r="I1245" s="17">
        <v>0.9</v>
      </c>
      <c r="J1245" s="17" t="s">
        <v>2487</v>
      </c>
      <c r="K1245" s="17">
        <v>0.88</v>
      </c>
      <c r="L1245" s="17">
        <v>0.97</v>
      </c>
      <c r="M1245" s="18">
        <f>Raw_LIMS_Export!K1245</f>
        <v>45352</v>
      </c>
      <c r="N1245" s="19" t="s">
        <v>2930</v>
      </c>
    </row>
    <row r="1246" spans="1:14" x14ac:dyDescent="0.35">
      <c r="A1246" s="16" t="s">
        <v>1248</v>
      </c>
      <c r="B1246" s="17" t="s">
        <v>2416</v>
      </c>
      <c r="C1246" s="17" t="s">
        <v>2458</v>
      </c>
      <c r="D1246" s="17" t="str">
        <f>_xlfn.XLOOKUP(Raw_LIMS_Export!E1246,'mapping Site table'!$B$4:$B$14,'mapping Site table'!$C$4:$C$14,Raw_LIMS_Export!E1246)</f>
        <v>East Hanover</v>
      </c>
      <c r="E1246" s="17" t="s">
        <v>2480</v>
      </c>
      <c r="F1246" s="17">
        <f t="shared" si="58"/>
        <v>1</v>
      </c>
      <c r="G1246" s="17" t="str">
        <f t="shared" si="59"/>
        <v>Pass</v>
      </c>
      <c r="H1246" s="17" t="str">
        <f t="shared" si="57"/>
        <v>Fail</v>
      </c>
      <c r="I1246" s="17">
        <v>0.88</v>
      </c>
      <c r="J1246" s="17" t="s">
        <v>2487</v>
      </c>
      <c r="K1246" s="17">
        <v>0.88</v>
      </c>
      <c r="L1246" s="17">
        <v>0.97</v>
      </c>
      <c r="M1246" s="18">
        <f>Raw_LIMS_Export!K1246</f>
        <v>46003</v>
      </c>
      <c r="N1246" s="19" t="s">
        <v>2930</v>
      </c>
    </row>
    <row r="1247" spans="1:14" x14ac:dyDescent="0.35">
      <c r="A1247" s="16" t="s">
        <v>1249</v>
      </c>
      <c r="B1247" s="17" t="s">
        <v>2144</v>
      </c>
      <c r="C1247" s="17" t="s">
        <v>2461</v>
      </c>
      <c r="D1247" s="17" t="str">
        <f>_xlfn.XLOOKUP(Raw_LIMS_Export!E1247,'mapping Site table'!$B$4:$B$14,'mapping Site table'!$C$4:$C$14,Raw_LIMS_Export!E1247)</f>
        <v>East Hanover</v>
      </c>
      <c r="E1247" s="17" t="s">
        <v>2482</v>
      </c>
      <c r="F1247" s="17">
        <f t="shared" si="58"/>
        <v>1</v>
      </c>
      <c r="G1247" s="17" t="str">
        <f t="shared" si="59"/>
        <v>Pass</v>
      </c>
      <c r="H1247" s="17" t="str">
        <f t="shared" si="57"/>
        <v>Fail</v>
      </c>
      <c r="I1247" s="17">
        <v>98.8</v>
      </c>
      <c r="J1247" s="17" t="s">
        <v>2489</v>
      </c>
      <c r="K1247" s="17">
        <v>97</v>
      </c>
      <c r="L1247" s="17">
        <v>100</v>
      </c>
      <c r="M1247" s="18">
        <f>Raw_LIMS_Export!K1247</f>
        <v>45635</v>
      </c>
      <c r="N1247" s="19" t="s">
        <v>2924</v>
      </c>
    </row>
    <row r="1248" spans="1:14" x14ac:dyDescent="0.35">
      <c r="A1248" s="16" t="s">
        <v>1250</v>
      </c>
      <c r="B1248" s="17" t="s">
        <v>2428</v>
      </c>
      <c r="C1248" s="17" t="s">
        <v>2458</v>
      </c>
      <c r="D1248" s="17" t="str">
        <f>_xlfn.XLOOKUP(Raw_LIMS_Export!E1248,'mapping Site table'!$B$4:$B$14,'mapping Site table'!$C$4:$C$14,Raw_LIMS_Export!E1248)</f>
        <v>Vernier CH</v>
      </c>
      <c r="E1248" s="17" t="s">
        <v>2481</v>
      </c>
      <c r="F1248" s="17">
        <f t="shared" si="58"/>
        <v>1</v>
      </c>
      <c r="G1248" s="17" t="str">
        <f t="shared" si="59"/>
        <v>Pass</v>
      </c>
      <c r="H1248" s="17" t="str">
        <f t="shared" si="57"/>
        <v>Fail</v>
      </c>
      <c r="I1248" s="17">
        <v>273.81</v>
      </c>
      <c r="J1248" s="17" t="s">
        <v>2488</v>
      </c>
      <c r="K1248" s="17">
        <v>150</v>
      </c>
      <c r="L1248" s="17">
        <v>400</v>
      </c>
      <c r="M1248" s="18">
        <f>Raw_LIMS_Export!K1248</f>
        <v>45343</v>
      </c>
      <c r="N1248" s="19" t="s">
        <v>2931</v>
      </c>
    </row>
    <row r="1249" spans="1:14" x14ac:dyDescent="0.35">
      <c r="A1249" s="16" t="s">
        <v>1251</v>
      </c>
      <c r="B1249" s="17" t="s">
        <v>2446</v>
      </c>
      <c r="C1249" s="17" t="s">
        <v>2459</v>
      </c>
      <c r="D1249" s="17" t="str">
        <f>_xlfn.XLOOKUP(Raw_LIMS_Export!E1249,'mapping Site table'!$B$4:$B$14,'mapping Site table'!$C$4:$C$14,Raw_LIMS_Export!E1249)</f>
        <v>Vernier CH</v>
      </c>
      <c r="E1249" s="17" t="s">
        <v>2483</v>
      </c>
      <c r="F1249" s="17">
        <f t="shared" si="58"/>
        <v>1</v>
      </c>
      <c r="G1249" s="17" t="str">
        <f t="shared" si="59"/>
        <v>Pass</v>
      </c>
      <c r="H1249" s="17" t="str">
        <f t="shared" si="57"/>
        <v>Pass</v>
      </c>
      <c r="I1249" s="17">
        <v>0.56999999999999995</v>
      </c>
      <c r="J1249" s="17" t="s">
        <v>2489</v>
      </c>
      <c r="K1249" s="17">
        <v>0</v>
      </c>
      <c r="L1249" s="17">
        <v>1</v>
      </c>
      <c r="M1249" s="18">
        <f>Raw_LIMS_Export!K1249</f>
        <v>46021</v>
      </c>
      <c r="N1249" s="19" t="s">
        <v>2923</v>
      </c>
    </row>
    <row r="1250" spans="1:14" x14ac:dyDescent="0.35">
      <c r="A1250" s="16" t="s">
        <v>1252</v>
      </c>
      <c r="B1250" s="17" t="s">
        <v>2151</v>
      </c>
      <c r="C1250" s="17" t="s">
        <v>2458</v>
      </c>
      <c r="D1250" s="17" t="str">
        <f>_xlfn.XLOOKUP(Raw_LIMS_Export!E1250,'mapping Site table'!$B$4:$B$14,'mapping Site table'!$C$4:$C$14,Raw_LIMS_Export!E1250)</f>
        <v>East Hanover</v>
      </c>
      <c r="E1250" s="17" t="s">
        <v>2480</v>
      </c>
      <c r="F1250" s="17">
        <f t="shared" si="58"/>
        <v>1</v>
      </c>
      <c r="G1250" s="17" t="str">
        <f t="shared" si="59"/>
        <v>Pass</v>
      </c>
      <c r="H1250" s="17" t="str">
        <f t="shared" si="57"/>
        <v>Fail</v>
      </c>
      <c r="I1250" s="17">
        <v>0.95</v>
      </c>
      <c r="J1250" s="17" t="s">
        <v>2487</v>
      </c>
      <c r="K1250" s="17">
        <v>0.88</v>
      </c>
      <c r="L1250" s="17">
        <v>0.97</v>
      </c>
      <c r="M1250" s="18">
        <f>Raw_LIMS_Export!K1250</f>
        <v>45334</v>
      </c>
      <c r="N1250" s="19" t="s">
        <v>2929</v>
      </c>
    </row>
    <row r="1251" spans="1:14" x14ac:dyDescent="0.35">
      <c r="A1251" s="16" t="s">
        <v>1253</v>
      </c>
      <c r="B1251" s="17" t="s">
        <v>2021</v>
      </c>
      <c r="C1251" s="17" t="s">
        <v>2457</v>
      </c>
      <c r="D1251" s="17" t="str">
        <f>_xlfn.XLOOKUP(Raw_LIMS_Export!E1251,'mapping Site table'!$B$4:$B$14,'mapping Site table'!$C$4:$C$14,Raw_LIMS_Export!E1251)</f>
        <v>East Hanover</v>
      </c>
      <c r="E1251" s="17" t="s">
        <v>2479</v>
      </c>
      <c r="F1251" s="17">
        <f t="shared" si="58"/>
        <v>1</v>
      </c>
      <c r="G1251" s="17" t="str">
        <f t="shared" si="59"/>
        <v>Pass</v>
      </c>
      <c r="H1251" s="17" t="str">
        <f t="shared" si="57"/>
        <v>Fail</v>
      </c>
      <c r="I1251" s="17">
        <v>20.09</v>
      </c>
      <c r="J1251" s="17" t="s">
        <v>2486</v>
      </c>
      <c r="K1251" s="17">
        <v>0</v>
      </c>
      <c r="L1251" s="17">
        <v>120</v>
      </c>
      <c r="M1251" s="18">
        <f>Raw_LIMS_Export!K1251</f>
        <v>45577</v>
      </c>
      <c r="N1251" s="19" t="s">
        <v>2924</v>
      </c>
    </row>
    <row r="1252" spans="1:14" x14ac:dyDescent="0.35">
      <c r="A1252" s="16" t="s">
        <v>1254</v>
      </c>
      <c r="B1252" s="17" t="s">
        <v>2329</v>
      </c>
      <c r="C1252" s="17" t="s">
        <v>2459</v>
      </c>
      <c r="D1252" s="17" t="str">
        <f>_xlfn.XLOOKUP(Raw_LIMS_Export!E1252,'mapping Site table'!$B$4:$B$14,'mapping Site table'!$C$4:$C$14,Raw_LIMS_Export!E1252)</f>
        <v>Dortmund DE</v>
      </c>
      <c r="E1252" s="17" t="s">
        <v>2483</v>
      </c>
      <c r="F1252" s="17">
        <f t="shared" si="58"/>
        <v>1</v>
      </c>
      <c r="G1252" s="17" t="str">
        <f t="shared" si="59"/>
        <v>Pass</v>
      </c>
      <c r="H1252" s="17" t="str">
        <f t="shared" si="57"/>
        <v>Pass</v>
      </c>
      <c r="I1252" s="17">
        <v>0.41</v>
      </c>
      <c r="J1252" s="17" t="s">
        <v>2489</v>
      </c>
      <c r="K1252" s="17">
        <v>0</v>
      </c>
      <c r="L1252" s="17">
        <v>1</v>
      </c>
      <c r="M1252" s="18">
        <f>Raw_LIMS_Export!K1252</f>
        <v>45849</v>
      </c>
      <c r="N1252" s="19" t="s">
        <v>2924</v>
      </c>
    </row>
    <row r="1253" spans="1:14" x14ac:dyDescent="0.35">
      <c r="A1253" s="16" t="s">
        <v>1255</v>
      </c>
      <c r="B1253" s="17" t="s">
        <v>2430</v>
      </c>
      <c r="C1253" s="17" t="s">
        <v>2458</v>
      </c>
      <c r="D1253" s="17" t="str">
        <f>_xlfn.XLOOKUP(Raw_LIMS_Export!E1253,'mapping Site table'!$B$4:$B$14,'mapping Site table'!$C$4:$C$14,Raw_LIMS_Export!E1253)</f>
        <v>Budapest</v>
      </c>
      <c r="E1253" s="17" t="s">
        <v>2483</v>
      </c>
      <c r="F1253" s="17">
        <f t="shared" si="58"/>
        <v>1</v>
      </c>
      <c r="G1253" s="17" t="str">
        <f t="shared" si="59"/>
        <v>Pass</v>
      </c>
      <c r="H1253" s="17" t="str">
        <f t="shared" si="57"/>
        <v>Fail</v>
      </c>
      <c r="I1253" s="17">
        <v>0.32</v>
      </c>
      <c r="J1253" s="17" t="s">
        <v>2489</v>
      </c>
      <c r="K1253" s="17">
        <v>0</v>
      </c>
      <c r="L1253" s="17">
        <v>1</v>
      </c>
      <c r="M1253" s="18">
        <f>Raw_LIMS_Export!K1253</f>
        <v>45714</v>
      </c>
      <c r="N1253" s="19" t="s">
        <v>2931</v>
      </c>
    </row>
    <row r="1254" spans="1:14" x14ac:dyDescent="0.35">
      <c r="A1254" s="16" t="s">
        <v>1256</v>
      </c>
      <c r="B1254" s="17" t="s">
        <v>2094</v>
      </c>
      <c r="C1254" s="17" t="s">
        <v>2460</v>
      </c>
      <c r="D1254" s="17" t="str">
        <f>_xlfn.XLOOKUP(Raw_LIMS_Export!E1254,'mapping Site table'!$B$4:$B$14,'mapping Site table'!$C$4:$C$14,Raw_LIMS_Export!E1254)</f>
        <v>Ashford UK</v>
      </c>
      <c r="E1254" s="17" t="s">
        <v>2479</v>
      </c>
      <c r="F1254" s="17">
        <f t="shared" si="58"/>
        <v>1</v>
      </c>
      <c r="G1254" s="17" t="str">
        <f t="shared" si="59"/>
        <v>Pass</v>
      </c>
      <c r="H1254" s="17" t="str">
        <f t="shared" si="57"/>
        <v>Fail</v>
      </c>
      <c r="I1254" s="17">
        <v>50.23</v>
      </c>
      <c r="J1254" s="17" t="s">
        <v>2486</v>
      </c>
      <c r="K1254" s="17">
        <v>0</v>
      </c>
      <c r="L1254" s="17">
        <v>120</v>
      </c>
      <c r="M1254" s="18">
        <f>Raw_LIMS_Export!K1254</f>
        <v>45316</v>
      </c>
      <c r="N1254" s="19" t="s">
        <v>2928</v>
      </c>
    </row>
    <row r="1255" spans="1:14" x14ac:dyDescent="0.35">
      <c r="A1255" s="16" t="s">
        <v>1257</v>
      </c>
      <c r="B1255" s="17" t="s">
        <v>2340</v>
      </c>
      <c r="C1255" s="17" t="s">
        <v>2460</v>
      </c>
      <c r="D1255" s="17" t="str">
        <f>_xlfn.XLOOKUP(Raw_LIMS_Export!E1255,'mapping Site table'!$B$4:$B$14,'mapping Site table'!$C$4:$C$14,Raw_LIMS_Export!E1255)</f>
        <v>Vernier CH</v>
      </c>
      <c r="E1255" s="17" t="s">
        <v>2484</v>
      </c>
      <c r="F1255" s="17">
        <f t="shared" si="58"/>
        <v>1</v>
      </c>
      <c r="G1255" s="17" t="str">
        <f t="shared" si="59"/>
        <v>Pass</v>
      </c>
      <c r="H1255" s="17" t="str">
        <f t="shared" si="57"/>
        <v>Pass</v>
      </c>
      <c r="I1255" s="17">
        <v>6.25</v>
      </c>
      <c r="J1255" s="17"/>
      <c r="K1255" s="17">
        <v>6</v>
      </c>
      <c r="L1255" s="17">
        <v>7.5</v>
      </c>
      <c r="M1255" s="18">
        <f>Raw_LIMS_Export!K1255</f>
        <v>45890</v>
      </c>
      <c r="N1255" s="19" t="s">
        <v>2929</v>
      </c>
    </row>
    <row r="1256" spans="1:14" x14ac:dyDescent="0.35">
      <c r="A1256" s="16" t="s">
        <v>1258</v>
      </c>
      <c r="B1256" s="17" t="s">
        <v>2259</v>
      </c>
      <c r="C1256" s="17" t="s">
        <v>2457</v>
      </c>
      <c r="D1256" s="17" t="str">
        <f>_xlfn.XLOOKUP(Raw_LIMS_Export!E1256,'mapping Site table'!$B$4:$B$14,'mapping Site table'!$C$4:$C$14,Raw_LIMS_Export!E1256)</f>
        <v>Vernier CH</v>
      </c>
      <c r="E1256" s="17" t="s">
        <v>2482</v>
      </c>
      <c r="F1256" s="17">
        <f t="shared" si="58"/>
        <v>1</v>
      </c>
      <c r="G1256" s="17" t="str">
        <f t="shared" si="59"/>
        <v>Fail</v>
      </c>
      <c r="H1256" s="17" t="str">
        <f t="shared" si="57"/>
        <v>Fail</v>
      </c>
      <c r="I1256" s="17">
        <v>96.78</v>
      </c>
      <c r="J1256" s="17" t="s">
        <v>2489</v>
      </c>
      <c r="K1256" s="17">
        <v>97</v>
      </c>
      <c r="L1256" s="17">
        <v>100</v>
      </c>
      <c r="M1256" s="18">
        <f>Raw_LIMS_Export!K1256</f>
        <v>45863</v>
      </c>
      <c r="N1256" s="19" t="s">
        <v>2931</v>
      </c>
    </row>
    <row r="1257" spans="1:14" x14ac:dyDescent="0.35">
      <c r="A1257" s="16" t="s">
        <v>1259</v>
      </c>
      <c r="B1257" s="17" t="s">
        <v>2081</v>
      </c>
      <c r="C1257" s="17" t="s">
        <v>2458</v>
      </c>
      <c r="D1257" s="17" t="str">
        <f>_xlfn.XLOOKUP(Raw_LIMS_Export!E1257,'mapping Site table'!$B$4:$B$14,'mapping Site table'!$C$4:$C$14,Raw_LIMS_Export!E1257)</f>
        <v>Dortmund DE</v>
      </c>
      <c r="E1257" s="17" t="s">
        <v>2484</v>
      </c>
      <c r="F1257" s="17">
        <f t="shared" si="58"/>
        <v>1</v>
      </c>
      <c r="G1257" s="17" t="str">
        <f t="shared" si="59"/>
        <v>Pass</v>
      </c>
      <c r="H1257" s="17" t="str">
        <f t="shared" si="57"/>
        <v>Pass</v>
      </c>
      <c r="I1257" s="17">
        <v>6.51</v>
      </c>
      <c r="J1257" s="17"/>
      <c r="K1257" s="17">
        <v>6</v>
      </c>
      <c r="L1257" s="17">
        <v>7.5</v>
      </c>
      <c r="M1257" s="18">
        <f>Raw_LIMS_Export!K1257</f>
        <v>45610</v>
      </c>
      <c r="N1257" s="19" t="s">
        <v>2930</v>
      </c>
    </row>
    <row r="1258" spans="1:14" x14ac:dyDescent="0.35">
      <c r="A1258" s="16" t="s">
        <v>1260</v>
      </c>
      <c r="B1258" s="17" t="s">
        <v>2383</v>
      </c>
      <c r="C1258" s="17" t="s">
        <v>2458</v>
      </c>
      <c r="D1258" s="17" t="str">
        <f>_xlfn.XLOOKUP(Raw_LIMS_Export!E1258,'mapping Site table'!$B$4:$B$14,'mapping Site table'!$C$4:$C$14,Raw_LIMS_Export!E1258)</f>
        <v>Budapest</v>
      </c>
      <c r="E1258" s="17" t="s">
        <v>2483</v>
      </c>
      <c r="F1258" s="17">
        <f t="shared" si="58"/>
        <v>1</v>
      </c>
      <c r="G1258" s="17" t="str">
        <f t="shared" si="59"/>
        <v>Pass</v>
      </c>
      <c r="H1258" s="17" t="str">
        <f t="shared" si="57"/>
        <v>Pass</v>
      </c>
      <c r="I1258" s="17">
        <v>0.39</v>
      </c>
      <c r="J1258" s="17" t="s">
        <v>2489</v>
      </c>
      <c r="K1258" s="17">
        <v>0</v>
      </c>
      <c r="L1258" s="17">
        <v>1</v>
      </c>
      <c r="M1258" s="18">
        <f>Raw_LIMS_Export!K1258</f>
        <v>45347</v>
      </c>
      <c r="N1258" s="19" t="s">
        <v>2927</v>
      </c>
    </row>
    <row r="1259" spans="1:14" x14ac:dyDescent="0.35">
      <c r="A1259" s="16" t="s">
        <v>1261</v>
      </c>
      <c r="B1259" s="17" t="s">
        <v>2388</v>
      </c>
      <c r="C1259" s="17" t="s">
        <v>2457</v>
      </c>
      <c r="D1259" s="17" t="str">
        <f>_xlfn.XLOOKUP(Raw_LIMS_Export!E1259,'mapping Site table'!$B$4:$B$14,'mapping Site table'!$C$4:$C$14,Raw_LIMS_Export!E1259)</f>
        <v>East Hanover</v>
      </c>
      <c r="E1259" s="17" t="s">
        <v>2480</v>
      </c>
      <c r="F1259" s="17">
        <f t="shared" si="58"/>
        <v>1</v>
      </c>
      <c r="G1259" s="17" t="str">
        <f t="shared" si="59"/>
        <v>Fail</v>
      </c>
      <c r="H1259" s="17" t="str">
        <f t="shared" si="57"/>
        <v>Fail</v>
      </c>
      <c r="I1259" s="17">
        <v>0.84</v>
      </c>
      <c r="J1259" s="17" t="s">
        <v>2487</v>
      </c>
      <c r="K1259" s="17">
        <v>0.88</v>
      </c>
      <c r="L1259" s="17">
        <v>0.97</v>
      </c>
      <c r="M1259" s="18">
        <f>Raw_LIMS_Export!K1259</f>
        <v>45336</v>
      </c>
      <c r="N1259" s="19" t="s">
        <v>2930</v>
      </c>
    </row>
    <row r="1260" spans="1:14" x14ac:dyDescent="0.35">
      <c r="A1260" s="16" t="s">
        <v>1262</v>
      </c>
      <c r="B1260" s="17" t="s">
        <v>2329</v>
      </c>
      <c r="C1260" s="17" t="s">
        <v>2459</v>
      </c>
      <c r="D1260" s="17" t="str">
        <f>_xlfn.XLOOKUP(Raw_LIMS_Export!E1260,'mapping Site table'!$B$4:$B$14,'mapping Site table'!$C$4:$C$14,Raw_LIMS_Export!E1260)</f>
        <v>Dortmund DE</v>
      </c>
      <c r="E1260" s="17" t="s">
        <v>2481</v>
      </c>
      <c r="F1260" s="17">
        <f t="shared" si="58"/>
        <v>1</v>
      </c>
      <c r="G1260" s="17" t="str">
        <f t="shared" si="59"/>
        <v>Pass</v>
      </c>
      <c r="H1260" s="17" t="str">
        <f t="shared" si="57"/>
        <v>Pass</v>
      </c>
      <c r="I1260" s="17">
        <v>309.26</v>
      </c>
      <c r="J1260" s="17" t="s">
        <v>2488</v>
      </c>
      <c r="K1260" s="17">
        <v>150</v>
      </c>
      <c r="L1260" s="17">
        <v>400</v>
      </c>
      <c r="M1260" s="18">
        <f>Raw_LIMS_Export!K1260</f>
        <v>45849</v>
      </c>
      <c r="N1260" s="19" t="s">
        <v>2929</v>
      </c>
    </row>
    <row r="1261" spans="1:14" x14ac:dyDescent="0.35">
      <c r="A1261" s="16" t="s">
        <v>1263</v>
      </c>
      <c r="B1261" s="17" t="s">
        <v>2244</v>
      </c>
      <c r="C1261" s="17" t="s">
        <v>2458</v>
      </c>
      <c r="D1261" s="17" t="str">
        <f>_xlfn.XLOOKUP(Raw_LIMS_Export!E1261,'mapping Site table'!$B$4:$B$14,'mapping Site table'!$C$4:$C$14,Raw_LIMS_Export!E1261)</f>
        <v>East Hanover</v>
      </c>
      <c r="E1261" s="17" t="s">
        <v>2481</v>
      </c>
      <c r="F1261" s="17">
        <f t="shared" si="58"/>
        <v>1</v>
      </c>
      <c r="G1261" s="17" t="str">
        <f t="shared" si="59"/>
        <v>Pass</v>
      </c>
      <c r="H1261" s="17" t="str">
        <f t="shared" si="57"/>
        <v>Pass</v>
      </c>
      <c r="I1261" s="17">
        <v>216.19</v>
      </c>
      <c r="J1261" s="17" t="s">
        <v>2488</v>
      </c>
      <c r="K1261" s="17">
        <v>150</v>
      </c>
      <c r="L1261" s="17">
        <v>400</v>
      </c>
      <c r="M1261" s="18">
        <f>Raw_LIMS_Export!K1261</f>
        <v>45821</v>
      </c>
      <c r="N1261" s="19" t="s">
        <v>2926</v>
      </c>
    </row>
    <row r="1262" spans="1:14" x14ac:dyDescent="0.35">
      <c r="A1262" s="16" t="s">
        <v>1264</v>
      </c>
      <c r="B1262" s="17" t="s">
        <v>2204</v>
      </c>
      <c r="C1262" s="17" t="s">
        <v>2460</v>
      </c>
      <c r="D1262" s="17" t="str">
        <f>_xlfn.XLOOKUP(Raw_LIMS_Export!E1262,'mapping Site table'!$B$4:$B$14,'mapping Site table'!$C$4:$C$14,Raw_LIMS_Export!E1262)</f>
        <v>Vernier CH</v>
      </c>
      <c r="E1262" s="17" t="s">
        <v>2483</v>
      </c>
      <c r="F1262" s="17">
        <f t="shared" si="58"/>
        <v>1</v>
      </c>
      <c r="G1262" s="17" t="str">
        <f t="shared" si="59"/>
        <v>Pass</v>
      </c>
      <c r="H1262" s="17" t="str">
        <f t="shared" si="57"/>
        <v>Fail</v>
      </c>
      <c r="I1262" s="17">
        <v>0.35</v>
      </c>
      <c r="J1262" s="17" t="s">
        <v>2489</v>
      </c>
      <c r="K1262" s="17">
        <v>0</v>
      </c>
      <c r="L1262" s="17">
        <v>1</v>
      </c>
      <c r="M1262" s="18">
        <f>Raw_LIMS_Export!K1262</f>
        <v>45445</v>
      </c>
      <c r="N1262" s="19" t="s">
        <v>2929</v>
      </c>
    </row>
    <row r="1263" spans="1:14" x14ac:dyDescent="0.35">
      <c r="A1263" s="16" t="s">
        <v>1265</v>
      </c>
      <c r="B1263" s="17" t="s">
        <v>2124</v>
      </c>
      <c r="C1263" s="17" t="s">
        <v>2457</v>
      </c>
      <c r="D1263" s="17" t="str">
        <f>_xlfn.XLOOKUP(Raw_LIMS_Export!E1263,'mapping Site table'!$B$4:$B$14,'mapping Site table'!$C$4:$C$14,Raw_LIMS_Export!E1263)</f>
        <v>Dortmund DE</v>
      </c>
      <c r="E1263" s="17" t="s">
        <v>2481</v>
      </c>
      <c r="F1263" s="17">
        <f t="shared" si="58"/>
        <v>1</v>
      </c>
      <c r="G1263" s="17" t="str">
        <f t="shared" si="59"/>
        <v>Pass</v>
      </c>
      <c r="H1263" s="17" t="str">
        <f t="shared" si="57"/>
        <v>Pass</v>
      </c>
      <c r="I1263" s="17">
        <v>314.48</v>
      </c>
      <c r="J1263" s="17" t="s">
        <v>2488</v>
      </c>
      <c r="K1263" s="17">
        <v>150</v>
      </c>
      <c r="L1263" s="17">
        <v>400</v>
      </c>
      <c r="M1263" s="18">
        <f>Raw_LIMS_Export!K1263</f>
        <v>45733</v>
      </c>
      <c r="N1263" s="19" t="s">
        <v>2928</v>
      </c>
    </row>
    <row r="1264" spans="1:14" x14ac:dyDescent="0.35">
      <c r="A1264" s="16" t="s">
        <v>1266</v>
      </c>
      <c r="B1264" s="17" t="s">
        <v>2127</v>
      </c>
      <c r="C1264" s="17" t="s">
        <v>2459</v>
      </c>
      <c r="D1264" s="17" t="str">
        <f>_xlfn.XLOOKUP(Raw_LIMS_Export!E1264,'mapping Site table'!$B$4:$B$14,'mapping Site table'!$C$4:$C$14,Raw_LIMS_Export!E1264)</f>
        <v>Vernier CH</v>
      </c>
      <c r="E1264" s="17" t="s">
        <v>2480</v>
      </c>
      <c r="F1264" s="17">
        <f t="shared" si="58"/>
        <v>1</v>
      </c>
      <c r="G1264" s="17" t="str">
        <f t="shared" si="59"/>
        <v>Pass</v>
      </c>
      <c r="H1264" s="17" t="str">
        <f t="shared" si="57"/>
        <v>Pass</v>
      </c>
      <c r="I1264" s="17">
        <v>0.9</v>
      </c>
      <c r="J1264" s="17" t="s">
        <v>2487</v>
      </c>
      <c r="K1264" s="17">
        <v>0.88</v>
      </c>
      <c r="L1264" s="17">
        <v>0.97</v>
      </c>
      <c r="M1264" s="18">
        <f>Raw_LIMS_Export!K1264</f>
        <v>45788</v>
      </c>
      <c r="N1264" s="19" t="s">
        <v>2925</v>
      </c>
    </row>
    <row r="1265" spans="1:14" x14ac:dyDescent="0.35">
      <c r="A1265" s="16" t="s">
        <v>1267</v>
      </c>
      <c r="B1265" s="17" t="s">
        <v>2185</v>
      </c>
      <c r="C1265" s="17" t="s">
        <v>2461</v>
      </c>
      <c r="D1265" s="17" t="str">
        <f>_xlfn.XLOOKUP(Raw_LIMS_Export!E1265,'mapping Site table'!$B$4:$B$14,'mapping Site table'!$C$4:$C$14,Raw_LIMS_Export!E1265)</f>
        <v>East Hanover</v>
      </c>
      <c r="E1265" s="17" t="s">
        <v>2480</v>
      </c>
      <c r="F1265" s="17">
        <f t="shared" si="58"/>
        <v>1</v>
      </c>
      <c r="G1265" s="17" t="str">
        <f t="shared" si="59"/>
        <v>Pass</v>
      </c>
      <c r="H1265" s="17" t="str">
        <f t="shared" si="57"/>
        <v>Pass</v>
      </c>
      <c r="I1265" s="17">
        <v>0.91</v>
      </c>
      <c r="J1265" s="17" t="s">
        <v>2487</v>
      </c>
      <c r="K1265" s="17">
        <v>0.88</v>
      </c>
      <c r="L1265" s="17">
        <v>0.97</v>
      </c>
      <c r="M1265" s="18">
        <f>Raw_LIMS_Export!K1265</f>
        <v>45830</v>
      </c>
      <c r="N1265" s="19" t="s">
        <v>2926</v>
      </c>
    </row>
    <row r="1266" spans="1:14" x14ac:dyDescent="0.35">
      <c r="A1266" s="16" t="s">
        <v>1268</v>
      </c>
      <c r="B1266" s="17" t="s">
        <v>2352</v>
      </c>
      <c r="C1266" s="17" t="s">
        <v>2457</v>
      </c>
      <c r="D1266" s="17" t="str">
        <f>_xlfn.XLOOKUP(Raw_LIMS_Export!E1266,'mapping Site table'!$B$4:$B$14,'mapping Site table'!$C$4:$C$14,Raw_LIMS_Export!E1266)</f>
        <v>Dortmund DE</v>
      </c>
      <c r="E1266" s="17" t="s">
        <v>2481</v>
      </c>
      <c r="F1266" s="17">
        <f t="shared" si="58"/>
        <v>1</v>
      </c>
      <c r="G1266" s="17" t="str">
        <f t="shared" si="59"/>
        <v>Pass</v>
      </c>
      <c r="H1266" s="17" t="str">
        <f t="shared" si="57"/>
        <v>Fail</v>
      </c>
      <c r="I1266" s="17">
        <v>182.3</v>
      </c>
      <c r="J1266" s="17" t="s">
        <v>2488</v>
      </c>
      <c r="K1266" s="17">
        <v>150</v>
      </c>
      <c r="L1266" s="17">
        <v>400</v>
      </c>
      <c r="M1266" s="18">
        <f>Raw_LIMS_Export!K1266</f>
        <v>45416</v>
      </c>
      <c r="N1266" s="19" t="s">
        <v>2929</v>
      </c>
    </row>
    <row r="1267" spans="1:14" x14ac:dyDescent="0.35">
      <c r="A1267" s="16" t="s">
        <v>1269</v>
      </c>
      <c r="B1267" s="17" t="s">
        <v>2451</v>
      </c>
      <c r="C1267" s="17" t="s">
        <v>2459</v>
      </c>
      <c r="D1267" s="17" t="str">
        <f>_xlfn.XLOOKUP(Raw_LIMS_Export!E1267,'mapping Site table'!$B$4:$B$14,'mapping Site table'!$C$4:$C$14,Raw_LIMS_Export!E1267)</f>
        <v>Budapest</v>
      </c>
      <c r="E1267" s="17" t="s">
        <v>2482</v>
      </c>
      <c r="F1267" s="17">
        <f t="shared" si="58"/>
        <v>1</v>
      </c>
      <c r="G1267" s="17" t="str">
        <f t="shared" si="59"/>
        <v>Pass</v>
      </c>
      <c r="H1267" s="17" t="str">
        <f t="shared" si="57"/>
        <v>Fail</v>
      </c>
      <c r="I1267" s="17">
        <v>98.96</v>
      </c>
      <c r="J1267" s="17" t="s">
        <v>2489</v>
      </c>
      <c r="K1267" s="17">
        <v>97</v>
      </c>
      <c r="L1267" s="17">
        <v>100</v>
      </c>
      <c r="M1267" s="18">
        <f>Raw_LIMS_Export!K1267</f>
        <v>45735</v>
      </c>
      <c r="N1267" s="19" t="s">
        <v>2929</v>
      </c>
    </row>
    <row r="1268" spans="1:14" x14ac:dyDescent="0.35">
      <c r="A1268" s="16" t="s">
        <v>1270</v>
      </c>
      <c r="B1268" s="17" t="s">
        <v>2287</v>
      </c>
      <c r="C1268" s="17" t="s">
        <v>2460</v>
      </c>
      <c r="D1268" s="17" t="str">
        <f>_xlfn.XLOOKUP(Raw_LIMS_Export!E1268,'mapping Site table'!$B$4:$B$14,'mapping Site table'!$C$4:$C$14,Raw_LIMS_Export!E1268)</f>
        <v>Vernier CH</v>
      </c>
      <c r="E1268" s="17" t="s">
        <v>2483</v>
      </c>
      <c r="F1268" s="17">
        <f t="shared" si="58"/>
        <v>1</v>
      </c>
      <c r="G1268" s="17" t="str">
        <f t="shared" si="59"/>
        <v>Pass</v>
      </c>
      <c r="H1268" s="17" t="str">
        <f t="shared" si="57"/>
        <v>Fail</v>
      </c>
      <c r="I1268" s="17">
        <v>0.31</v>
      </c>
      <c r="J1268" s="17" t="s">
        <v>2489</v>
      </c>
      <c r="K1268" s="17">
        <v>0</v>
      </c>
      <c r="L1268" s="17">
        <v>1</v>
      </c>
      <c r="M1268" s="18">
        <f>Raw_LIMS_Export!K1268</f>
        <v>45448</v>
      </c>
      <c r="N1268" s="19" t="s">
        <v>2925</v>
      </c>
    </row>
    <row r="1269" spans="1:14" x14ac:dyDescent="0.35">
      <c r="A1269" s="16" t="s">
        <v>1271</v>
      </c>
      <c r="B1269" s="17" t="s">
        <v>2198</v>
      </c>
      <c r="C1269" s="17" t="s">
        <v>2459</v>
      </c>
      <c r="D1269" s="17" t="str">
        <f>_xlfn.XLOOKUP(Raw_LIMS_Export!E1269,'mapping Site table'!$B$4:$B$14,'mapping Site table'!$C$4:$C$14,Raw_LIMS_Export!E1269)</f>
        <v>East Hanover</v>
      </c>
      <c r="E1269" s="17" t="s">
        <v>2479</v>
      </c>
      <c r="F1269" s="17">
        <f t="shared" si="58"/>
        <v>1</v>
      </c>
      <c r="G1269" s="17" t="str">
        <f t="shared" si="59"/>
        <v>Pass</v>
      </c>
      <c r="H1269" s="17" t="str">
        <f t="shared" si="57"/>
        <v>Pass</v>
      </c>
      <c r="I1269" s="17">
        <v>51.97</v>
      </c>
      <c r="J1269" s="17" t="s">
        <v>2486</v>
      </c>
      <c r="K1269" s="17">
        <v>0</v>
      </c>
      <c r="L1269" s="17">
        <v>120</v>
      </c>
      <c r="M1269" s="18">
        <f>Raw_LIMS_Export!K1269</f>
        <v>45704</v>
      </c>
      <c r="N1269" s="19" t="s">
        <v>2928</v>
      </c>
    </row>
    <row r="1270" spans="1:14" x14ac:dyDescent="0.35">
      <c r="A1270" s="16" t="s">
        <v>1272</v>
      </c>
      <c r="B1270" s="17" t="s">
        <v>2436</v>
      </c>
      <c r="C1270" s="17" t="s">
        <v>2461</v>
      </c>
      <c r="D1270" s="17" t="str">
        <f>_xlfn.XLOOKUP(Raw_LIMS_Export!E1270,'mapping Site table'!$B$4:$B$14,'mapping Site table'!$C$4:$C$14,Raw_LIMS_Export!E1270)</f>
        <v>Ashford UK</v>
      </c>
      <c r="E1270" s="17" t="s">
        <v>2480</v>
      </c>
      <c r="F1270" s="17">
        <f t="shared" si="58"/>
        <v>1</v>
      </c>
      <c r="G1270" s="17" t="str">
        <f t="shared" si="59"/>
        <v>Fail</v>
      </c>
      <c r="H1270" s="17" t="str">
        <f t="shared" si="57"/>
        <v>Fail</v>
      </c>
      <c r="I1270" s="17">
        <v>0.87</v>
      </c>
      <c r="J1270" s="17" t="s">
        <v>2487</v>
      </c>
      <c r="K1270" s="17">
        <v>0.88</v>
      </c>
      <c r="L1270" s="17">
        <v>0.97</v>
      </c>
      <c r="M1270" s="18">
        <f>Raw_LIMS_Export!K1270</f>
        <v>45332</v>
      </c>
      <c r="N1270" s="19" t="s">
        <v>2932</v>
      </c>
    </row>
    <row r="1271" spans="1:14" x14ac:dyDescent="0.35">
      <c r="A1271" s="16" t="s">
        <v>1273</v>
      </c>
      <c r="B1271" s="17" t="s">
        <v>2222</v>
      </c>
      <c r="C1271" s="17" t="s">
        <v>2459</v>
      </c>
      <c r="D1271" s="17" t="str">
        <f>_xlfn.XLOOKUP(Raw_LIMS_Export!E1271,'mapping Site table'!$B$4:$B$14,'mapping Site table'!$C$4:$C$14,Raw_LIMS_Export!E1271)</f>
        <v>Ashford UK</v>
      </c>
      <c r="E1271" s="17" t="s">
        <v>2485</v>
      </c>
      <c r="F1271" s="17">
        <f t="shared" si="58"/>
        <v>1</v>
      </c>
      <c r="G1271" s="17" t="str">
        <f t="shared" si="59"/>
        <v>Pass</v>
      </c>
      <c r="H1271" s="17" t="str">
        <f t="shared" si="57"/>
        <v>Pass</v>
      </c>
      <c r="I1271" s="17">
        <v>29.13</v>
      </c>
      <c r="J1271" s="17" t="s">
        <v>2490</v>
      </c>
      <c r="K1271" s="17">
        <v>0</v>
      </c>
      <c r="L1271" s="17">
        <v>100</v>
      </c>
      <c r="M1271" s="18">
        <f>Raw_LIMS_Export!K1271</f>
        <v>45317</v>
      </c>
      <c r="N1271" s="19" t="s">
        <v>2923</v>
      </c>
    </row>
    <row r="1272" spans="1:14" x14ac:dyDescent="0.35">
      <c r="A1272" s="16" t="s">
        <v>1274</v>
      </c>
      <c r="B1272" s="17" t="s">
        <v>2359</v>
      </c>
      <c r="C1272" s="17" t="s">
        <v>2458</v>
      </c>
      <c r="D1272" s="17" t="str">
        <f>_xlfn.XLOOKUP(Raw_LIMS_Export!E1272,'mapping Site table'!$B$4:$B$14,'mapping Site table'!$C$4:$C$14,Raw_LIMS_Export!E1272)</f>
        <v>East Hanover</v>
      </c>
      <c r="E1272" s="17" t="s">
        <v>2482</v>
      </c>
      <c r="F1272" s="17">
        <f t="shared" si="58"/>
        <v>1</v>
      </c>
      <c r="G1272" s="17" t="str">
        <f t="shared" si="59"/>
        <v>Pass</v>
      </c>
      <c r="H1272" s="17" t="str">
        <f t="shared" si="57"/>
        <v>Pass</v>
      </c>
      <c r="I1272" s="17">
        <v>98.7</v>
      </c>
      <c r="J1272" s="17" t="s">
        <v>2489</v>
      </c>
      <c r="K1272" s="17">
        <v>97</v>
      </c>
      <c r="L1272" s="17">
        <v>100</v>
      </c>
      <c r="M1272" s="18">
        <f>Raw_LIMS_Export!K1272</f>
        <v>45574</v>
      </c>
      <c r="N1272" s="19" t="s">
        <v>2923</v>
      </c>
    </row>
    <row r="1273" spans="1:14" x14ac:dyDescent="0.35">
      <c r="A1273" s="16" t="s">
        <v>1275</v>
      </c>
      <c r="B1273" s="17" t="s">
        <v>2393</v>
      </c>
      <c r="C1273" s="17" t="s">
        <v>2460</v>
      </c>
      <c r="D1273" s="17" t="str">
        <f>_xlfn.XLOOKUP(Raw_LIMS_Export!E1273,'mapping Site table'!$B$4:$B$14,'mapping Site table'!$C$4:$C$14,Raw_LIMS_Export!E1273)</f>
        <v>Vernier CH</v>
      </c>
      <c r="E1273" s="17" t="s">
        <v>2482</v>
      </c>
      <c r="F1273" s="17">
        <f t="shared" si="58"/>
        <v>1</v>
      </c>
      <c r="G1273" s="17" t="str">
        <f t="shared" si="59"/>
        <v>Pass</v>
      </c>
      <c r="H1273" s="17" t="str">
        <f t="shared" si="57"/>
        <v>Pass</v>
      </c>
      <c r="I1273" s="17">
        <v>98.02</v>
      </c>
      <c r="J1273" s="17" t="s">
        <v>2489</v>
      </c>
      <c r="K1273" s="17">
        <v>97</v>
      </c>
      <c r="L1273" s="17">
        <v>100</v>
      </c>
      <c r="M1273" s="18">
        <f>Raw_LIMS_Export!K1273</f>
        <v>45942</v>
      </c>
      <c r="N1273" s="19" t="s">
        <v>2924</v>
      </c>
    </row>
    <row r="1274" spans="1:14" x14ac:dyDescent="0.35">
      <c r="A1274" s="16" t="s">
        <v>1276</v>
      </c>
      <c r="B1274" s="17" t="s">
        <v>2303</v>
      </c>
      <c r="C1274" s="17" t="s">
        <v>2460</v>
      </c>
      <c r="D1274" s="17" t="str">
        <f>_xlfn.XLOOKUP(Raw_LIMS_Export!E1274,'mapping Site table'!$B$4:$B$14,'mapping Site table'!$C$4:$C$14,Raw_LIMS_Export!E1274)</f>
        <v>East Hanover</v>
      </c>
      <c r="E1274" s="17" t="s">
        <v>2483</v>
      </c>
      <c r="F1274" s="17">
        <f t="shared" si="58"/>
        <v>1</v>
      </c>
      <c r="G1274" s="17" t="str">
        <f t="shared" si="59"/>
        <v>Fail</v>
      </c>
      <c r="H1274" s="17" t="str">
        <f t="shared" si="57"/>
        <v>Fail</v>
      </c>
      <c r="I1274" s="17">
        <v>1.45</v>
      </c>
      <c r="J1274" s="17" t="s">
        <v>2489</v>
      </c>
      <c r="K1274" s="17">
        <v>0</v>
      </c>
      <c r="L1274" s="17">
        <v>1</v>
      </c>
      <c r="M1274" s="18">
        <f>Raw_LIMS_Export!K1274</f>
        <v>45870</v>
      </c>
      <c r="N1274" s="19" t="s">
        <v>2931</v>
      </c>
    </row>
    <row r="1275" spans="1:14" x14ac:dyDescent="0.35">
      <c r="A1275" s="16" t="s">
        <v>1277</v>
      </c>
      <c r="B1275" s="17" t="s">
        <v>2166</v>
      </c>
      <c r="C1275" s="17" t="s">
        <v>2459</v>
      </c>
      <c r="D1275" s="17" t="str">
        <f>_xlfn.XLOOKUP(Raw_LIMS_Export!E1275,'mapping Site table'!$B$4:$B$14,'mapping Site table'!$C$4:$C$14,Raw_LIMS_Export!E1275)</f>
        <v>Dortmund DE</v>
      </c>
      <c r="E1275" s="17" t="s">
        <v>2484</v>
      </c>
      <c r="F1275" s="17">
        <f t="shared" si="58"/>
        <v>1</v>
      </c>
      <c r="G1275" s="17" t="str">
        <f t="shared" si="59"/>
        <v>Pass</v>
      </c>
      <c r="H1275" s="17" t="str">
        <f t="shared" si="57"/>
        <v>Pass</v>
      </c>
      <c r="I1275" s="17">
        <v>6.4</v>
      </c>
      <c r="J1275" s="17"/>
      <c r="K1275" s="17">
        <v>6</v>
      </c>
      <c r="L1275" s="17">
        <v>7.5</v>
      </c>
      <c r="M1275" s="18">
        <f>Raw_LIMS_Export!K1275</f>
        <v>45970</v>
      </c>
      <c r="N1275" s="19" t="s">
        <v>2930</v>
      </c>
    </row>
    <row r="1276" spans="1:14" x14ac:dyDescent="0.35">
      <c r="A1276" s="16" t="s">
        <v>1278</v>
      </c>
      <c r="B1276" s="17" t="s">
        <v>2275</v>
      </c>
      <c r="C1276" s="17" t="s">
        <v>2458</v>
      </c>
      <c r="D1276" s="17" t="str">
        <f>_xlfn.XLOOKUP(Raw_LIMS_Export!E1276,'mapping Site table'!$B$4:$B$14,'mapping Site table'!$C$4:$C$14,Raw_LIMS_Export!E1276)</f>
        <v>Vernier CH</v>
      </c>
      <c r="E1276" s="17" t="s">
        <v>2483</v>
      </c>
      <c r="F1276" s="17">
        <f t="shared" si="58"/>
        <v>1</v>
      </c>
      <c r="G1276" s="17" t="str">
        <f t="shared" si="59"/>
        <v>Pass</v>
      </c>
      <c r="H1276" s="17" t="str">
        <f t="shared" si="57"/>
        <v>Pass</v>
      </c>
      <c r="I1276" s="17">
        <v>0.12</v>
      </c>
      <c r="J1276" s="17" t="s">
        <v>2489</v>
      </c>
      <c r="K1276" s="17">
        <v>0</v>
      </c>
      <c r="L1276" s="17">
        <v>1</v>
      </c>
      <c r="M1276" s="18">
        <f>Raw_LIMS_Export!K1276</f>
        <v>45513</v>
      </c>
      <c r="N1276" s="19" t="s">
        <v>2931</v>
      </c>
    </row>
    <row r="1277" spans="1:14" x14ac:dyDescent="0.35">
      <c r="A1277" s="16" t="s">
        <v>1279</v>
      </c>
      <c r="B1277" s="17" t="s">
        <v>2244</v>
      </c>
      <c r="C1277" s="17" t="s">
        <v>2458</v>
      </c>
      <c r="D1277" s="17" t="str">
        <f>_xlfn.XLOOKUP(Raw_LIMS_Export!E1277,'mapping Site table'!$B$4:$B$14,'mapping Site table'!$C$4:$C$14,Raw_LIMS_Export!E1277)</f>
        <v>East Hanover</v>
      </c>
      <c r="E1277" s="17" t="s">
        <v>2484</v>
      </c>
      <c r="F1277" s="17">
        <f t="shared" si="58"/>
        <v>1</v>
      </c>
      <c r="G1277" s="17" t="str">
        <f t="shared" si="59"/>
        <v>Pass</v>
      </c>
      <c r="H1277" s="17" t="str">
        <f t="shared" si="57"/>
        <v>Pass</v>
      </c>
      <c r="I1277" s="17">
        <v>7.16</v>
      </c>
      <c r="J1277" s="17"/>
      <c r="K1277" s="17">
        <v>6</v>
      </c>
      <c r="L1277" s="17">
        <v>7.5</v>
      </c>
      <c r="M1277" s="18">
        <f>Raw_LIMS_Export!K1277</f>
        <v>45821</v>
      </c>
      <c r="N1277" s="19" t="s">
        <v>2926</v>
      </c>
    </row>
    <row r="1278" spans="1:14" x14ac:dyDescent="0.35">
      <c r="A1278" s="16" t="s">
        <v>1280</v>
      </c>
      <c r="B1278" s="17" t="s">
        <v>2040</v>
      </c>
      <c r="C1278" s="17" t="s">
        <v>2460</v>
      </c>
      <c r="D1278" s="17" t="str">
        <f>_xlfn.XLOOKUP(Raw_LIMS_Export!E1278,'mapping Site table'!$B$4:$B$14,'mapping Site table'!$C$4:$C$14,Raw_LIMS_Export!E1278)</f>
        <v>Dortmund DE</v>
      </c>
      <c r="E1278" s="17" t="s">
        <v>2485</v>
      </c>
      <c r="F1278" s="17">
        <f t="shared" si="58"/>
        <v>1</v>
      </c>
      <c r="G1278" s="17" t="str">
        <f t="shared" si="59"/>
        <v>Fail</v>
      </c>
      <c r="H1278" s="17" t="str">
        <f t="shared" si="57"/>
        <v>Fail</v>
      </c>
      <c r="I1278" s="17">
        <v>-11.41</v>
      </c>
      <c r="J1278" s="17" t="s">
        <v>2490</v>
      </c>
      <c r="K1278" s="17">
        <v>0</v>
      </c>
      <c r="L1278" s="17">
        <v>100</v>
      </c>
      <c r="M1278" s="18">
        <f>Raw_LIMS_Export!K1278</f>
        <v>45386</v>
      </c>
      <c r="N1278" s="19" t="s">
        <v>2923</v>
      </c>
    </row>
    <row r="1279" spans="1:14" x14ac:dyDescent="0.35">
      <c r="A1279" s="16" t="s">
        <v>1281</v>
      </c>
      <c r="B1279" s="17" t="s">
        <v>2259</v>
      </c>
      <c r="C1279" s="17" t="s">
        <v>2457</v>
      </c>
      <c r="D1279" s="17" t="str">
        <f>_xlfn.XLOOKUP(Raw_LIMS_Export!E1279,'mapping Site table'!$B$4:$B$14,'mapping Site table'!$C$4:$C$14,Raw_LIMS_Export!E1279)</f>
        <v>Vernier CH</v>
      </c>
      <c r="E1279" s="17" t="s">
        <v>2479</v>
      </c>
      <c r="F1279" s="17">
        <f t="shared" si="58"/>
        <v>1</v>
      </c>
      <c r="G1279" s="17" t="str">
        <f t="shared" si="59"/>
        <v>Pass</v>
      </c>
      <c r="H1279" s="17" t="str">
        <f t="shared" si="57"/>
        <v>Fail</v>
      </c>
      <c r="I1279" s="17">
        <v>24.36</v>
      </c>
      <c r="J1279" s="17" t="s">
        <v>2486</v>
      </c>
      <c r="K1279" s="17">
        <v>0</v>
      </c>
      <c r="L1279" s="17">
        <v>120</v>
      </c>
      <c r="M1279" s="18">
        <f>Raw_LIMS_Export!K1279</f>
        <v>45863</v>
      </c>
      <c r="N1279" s="19" t="s">
        <v>2928</v>
      </c>
    </row>
    <row r="1280" spans="1:14" x14ac:dyDescent="0.35">
      <c r="A1280" s="16" t="s">
        <v>1282</v>
      </c>
      <c r="B1280" s="17" t="s">
        <v>2265</v>
      </c>
      <c r="C1280" s="17" t="s">
        <v>2460</v>
      </c>
      <c r="D1280" s="17" t="str">
        <f>_xlfn.XLOOKUP(Raw_LIMS_Export!E1280,'mapping Site table'!$B$4:$B$14,'mapping Site table'!$C$4:$C$14,Raw_LIMS_Export!E1280)</f>
        <v>Budapest</v>
      </c>
      <c r="E1280" s="17" t="s">
        <v>2481</v>
      </c>
      <c r="F1280" s="17">
        <f t="shared" si="58"/>
        <v>1</v>
      </c>
      <c r="G1280" s="17" t="str">
        <f t="shared" si="59"/>
        <v>Pass</v>
      </c>
      <c r="H1280" s="17" t="str">
        <f t="shared" si="57"/>
        <v>Pass</v>
      </c>
      <c r="I1280" s="17">
        <v>182.71</v>
      </c>
      <c r="J1280" s="17" t="s">
        <v>2488</v>
      </c>
      <c r="K1280" s="17">
        <v>150</v>
      </c>
      <c r="L1280" s="17">
        <v>400</v>
      </c>
      <c r="M1280" s="18">
        <f>Raw_LIMS_Export!K1280</f>
        <v>45521</v>
      </c>
      <c r="N1280" s="19" t="s">
        <v>2930</v>
      </c>
    </row>
    <row r="1281" spans="1:14" x14ac:dyDescent="0.35">
      <c r="A1281" s="16" t="s">
        <v>1283</v>
      </c>
      <c r="B1281" s="17" t="s">
        <v>2310</v>
      </c>
      <c r="C1281" s="17" t="s">
        <v>2461</v>
      </c>
      <c r="D1281" s="17" t="str">
        <f>_xlfn.XLOOKUP(Raw_LIMS_Export!E1281,'mapping Site table'!$B$4:$B$14,'mapping Site table'!$C$4:$C$14,Raw_LIMS_Export!E1281)</f>
        <v>East Hanover</v>
      </c>
      <c r="E1281" s="17" t="s">
        <v>2480</v>
      </c>
      <c r="F1281" s="17">
        <f t="shared" si="58"/>
        <v>1</v>
      </c>
      <c r="G1281" s="17" t="str">
        <f t="shared" si="59"/>
        <v>Pass</v>
      </c>
      <c r="H1281" s="17" t="str">
        <f t="shared" si="57"/>
        <v>Pending</v>
      </c>
      <c r="I1281" s="17">
        <v>0.95</v>
      </c>
      <c r="J1281" s="17" t="s">
        <v>2487</v>
      </c>
      <c r="K1281" s="17">
        <v>0.88</v>
      </c>
      <c r="L1281" s="17">
        <v>0.97</v>
      </c>
      <c r="M1281" s="18">
        <f>Raw_LIMS_Export!K1281</f>
        <v>45390</v>
      </c>
      <c r="N1281" s="19" t="s">
        <v>2926</v>
      </c>
    </row>
    <row r="1282" spans="1:14" x14ac:dyDescent="0.35">
      <c r="A1282" s="16" t="s">
        <v>1284</v>
      </c>
      <c r="B1282" s="17" t="s">
        <v>2053</v>
      </c>
      <c r="C1282" s="17" t="s">
        <v>2460</v>
      </c>
      <c r="D1282" s="17" t="str">
        <f>_xlfn.XLOOKUP(Raw_LIMS_Export!E1282,'mapping Site table'!$B$4:$B$14,'mapping Site table'!$C$4:$C$14,Raw_LIMS_Export!E1282)</f>
        <v>East Hanover</v>
      </c>
      <c r="E1282" s="17" t="s">
        <v>2485</v>
      </c>
      <c r="F1282" s="17">
        <f t="shared" si="58"/>
        <v>1</v>
      </c>
      <c r="G1282" s="17" t="str">
        <f t="shared" si="59"/>
        <v>Pass</v>
      </c>
      <c r="H1282" s="17" t="str">
        <f t="shared" ref="H1282:H1345" si="60">IF(COUNTIFS($B$2:$B$2016,B1282,$G$2:$G$2016,"Fail")&gt;0,"Fail",
  IF(COUNTIFS($B$2:$B$2016,B1282,$G$2:$G$2016,"Missing")&gt;0,"Pending",
    "Pass"))</f>
        <v>Pass</v>
      </c>
      <c r="I1282" s="17">
        <v>18.02</v>
      </c>
      <c r="J1282" s="17" t="s">
        <v>2490</v>
      </c>
      <c r="K1282" s="17">
        <v>0</v>
      </c>
      <c r="L1282" s="17">
        <v>100</v>
      </c>
      <c r="M1282" s="18">
        <f>Raw_LIMS_Export!K1282</f>
        <v>45703</v>
      </c>
      <c r="N1282" s="19" t="s">
        <v>2925</v>
      </c>
    </row>
    <row r="1283" spans="1:14" x14ac:dyDescent="0.35">
      <c r="A1283" s="16" t="s">
        <v>1285</v>
      </c>
      <c r="B1283" s="17" t="s">
        <v>2193</v>
      </c>
      <c r="C1283" s="17" t="s">
        <v>2460</v>
      </c>
      <c r="D1283" s="17" t="str">
        <f>_xlfn.XLOOKUP(Raw_LIMS_Export!E1283,'mapping Site table'!$B$4:$B$14,'mapping Site table'!$C$4:$C$14,Raw_LIMS_Export!E1283)</f>
        <v>Ashford UK</v>
      </c>
      <c r="E1283" s="17" t="s">
        <v>2482</v>
      </c>
      <c r="F1283" s="17">
        <f t="shared" ref="F1283:F1346" si="61">IF(I1283="",0,1)</f>
        <v>1</v>
      </c>
      <c r="G1283" s="17" t="str">
        <f t="shared" ref="G1283:G1346" si="62">IF(I1283="", "Missing", IF(AND(I1283&gt;=K1283, I1283&lt;=L1283), "Pass", "Fail"))</f>
        <v>Pass</v>
      </c>
      <c r="H1283" s="17" t="str">
        <f t="shared" si="60"/>
        <v>Pass</v>
      </c>
      <c r="I1283" s="17">
        <v>98.92</v>
      </c>
      <c r="J1283" s="17" t="s">
        <v>2489</v>
      </c>
      <c r="K1283" s="17">
        <v>97</v>
      </c>
      <c r="L1283" s="17">
        <v>100</v>
      </c>
      <c r="M1283" s="18">
        <f>Raw_LIMS_Export!K1283</f>
        <v>45552</v>
      </c>
      <c r="N1283" s="19" t="s">
        <v>2932</v>
      </c>
    </row>
    <row r="1284" spans="1:14" x14ac:dyDescent="0.35">
      <c r="A1284" s="16" t="s">
        <v>1286</v>
      </c>
      <c r="B1284" s="17" t="s">
        <v>2358</v>
      </c>
      <c r="C1284" s="17" t="s">
        <v>2458</v>
      </c>
      <c r="D1284" s="17" t="str">
        <f>_xlfn.XLOOKUP(Raw_LIMS_Export!E1284,'mapping Site table'!$B$4:$B$14,'mapping Site table'!$C$4:$C$14,Raw_LIMS_Export!E1284)</f>
        <v>Ashford UK</v>
      </c>
      <c r="E1284" s="17" t="s">
        <v>2479</v>
      </c>
      <c r="F1284" s="17">
        <f t="shared" si="61"/>
        <v>1</v>
      </c>
      <c r="G1284" s="17" t="str">
        <f t="shared" si="62"/>
        <v>Pass</v>
      </c>
      <c r="H1284" s="17" t="str">
        <f t="shared" si="60"/>
        <v>Pending</v>
      </c>
      <c r="I1284" s="17">
        <v>69.010000000000005</v>
      </c>
      <c r="J1284" s="17" t="s">
        <v>2486</v>
      </c>
      <c r="K1284" s="17">
        <v>0</v>
      </c>
      <c r="L1284" s="17">
        <v>120</v>
      </c>
      <c r="M1284" s="18">
        <f>Raw_LIMS_Export!K1284</f>
        <v>45749</v>
      </c>
      <c r="N1284" s="19" t="s">
        <v>2925</v>
      </c>
    </row>
    <row r="1285" spans="1:14" x14ac:dyDescent="0.35">
      <c r="A1285" s="16" t="s">
        <v>1287</v>
      </c>
      <c r="B1285" s="17" t="s">
        <v>2016</v>
      </c>
      <c r="C1285" s="17" t="s">
        <v>2458</v>
      </c>
      <c r="D1285" s="17" t="str">
        <f>_xlfn.XLOOKUP(Raw_LIMS_Export!E1285,'mapping Site table'!$B$4:$B$14,'mapping Site table'!$C$4:$C$14,Raw_LIMS_Export!E1285)</f>
        <v>Ashford UK</v>
      </c>
      <c r="E1285" s="17" t="s">
        <v>2483</v>
      </c>
      <c r="F1285" s="17">
        <f t="shared" si="61"/>
        <v>1</v>
      </c>
      <c r="G1285" s="17" t="str">
        <f t="shared" si="62"/>
        <v>Pass</v>
      </c>
      <c r="H1285" s="17" t="str">
        <f t="shared" si="60"/>
        <v>Pass</v>
      </c>
      <c r="I1285" s="17">
        <v>0.38</v>
      </c>
      <c r="J1285" s="17" t="s">
        <v>2489</v>
      </c>
      <c r="K1285" s="17">
        <v>0</v>
      </c>
      <c r="L1285" s="17">
        <v>1</v>
      </c>
      <c r="M1285" s="18">
        <f>Raw_LIMS_Export!K1285</f>
        <v>45446</v>
      </c>
      <c r="N1285" s="19" t="s">
        <v>2931</v>
      </c>
    </row>
    <row r="1286" spans="1:14" x14ac:dyDescent="0.35">
      <c r="A1286" s="16" t="s">
        <v>1288</v>
      </c>
      <c r="B1286" s="17" t="s">
        <v>2236</v>
      </c>
      <c r="C1286" s="17" t="s">
        <v>2457</v>
      </c>
      <c r="D1286" s="17" t="str">
        <f>_xlfn.XLOOKUP(Raw_LIMS_Export!E1286,'mapping Site table'!$B$4:$B$14,'mapping Site table'!$C$4:$C$14,Raw_LIMS_Export!E1286)</f>
        <v>Budapest</v>
      </c>
      <c r="E1286" s="17" t="s">
        <v>2482</v>
      </c>
      <c r="F1286" s="17">
        <f t="shared" si="61"/>
        <v>1</v>
      </c>
      <c r="G1286" s="17" t="str">
        <f t="shared" si="62"/>
        <v>Pass</v>
      </c>
      <c r="H1286" s="17" t="str">
        <f t="shared" si="60"/>
        <v>Pass</v>
      </c>
      <c r="I1286" s="17">
        <v>98.35</v>
      </c>
      <c r="J1286" s="17" t="s">
        <v>2489</v>
      </c>
      <c r="K1286" s="17">
        <v>97</v>
      </c>
      <c r="L1286" s="17">
        <v>100</v>
      </c>
      <c r="M1286" s="18">
        <f>Raw_LIMS_Export!K1286</f>
        <v>45536</v>
      </c>
      <c r="N1286" s="19" t="s">
        <v>2923</v>
      </c>
    </row>
    <row r="1287" spans="1:14" x14ac:dyDescent="0.35">
      <c r="A1287" s="16" t="s">
        <v>1289</v>
      </c>
      <c r="B1287" s="17" t="s">
        <v>2231</v>
      </c>
      <c r="C1287" s="17" t="s">
        <v>2461</v>
      </c>
      <c r="D1287" s="17" t="str">
        <f>_xlfn.XLOOKUP(Raw_LIMS_Export!E1287,'mapping Site table'!$B$4:$B$14,'mapping Site table'!$C$4:$C$14,Raw_LIMS_Export!E1287)</f>
        <v>Budapest</v>
      </c>
      <c r="E1287" s="17" t="s">
        <v>2482</v>
      </c>
      <c r="F1287" s="17">
        <f t="shared" si="61"/>
        <v>1</v>
      </c>
      <c r="G1287" s="17" t="str">
        <f t="shared" si="62"/>
        <v>Pass</v>
      </c>
      <c r="H1287" s="17" t="str">
        <f t="shared" si="60"/>
        <v>Pass</v>
      </c>
      <c r="I1287" s="17">
        <v>97.73</v>
      </c>
      <c r="J1287" s="17" t="s">
        <v>2489</v>
      </c>
      <c r="K1287" s="17">
        <v>97</v>
      </c>
      <c r="L1287" s="17">
        <v>100</v>
      </c>
      <c r="M1287" s="18">
        <f>Raw_LIMS_Export!K1287</f>
        <v>45294</v>
      </c>
      <c r="N1287" s="19" t="s">
        <v>2931</v>
      </c>
    </row>
    <row r="1288" spans="1:14" x14ac:dyDescent="0.35">
      <c r="A1288" s="16" t="s">
        <v>1290</v>
      </c>
      <c r="B1288" s="17" t="s">
        <v>2037</v>
      </c>
      <c r="C1288" s="17" t="s">
        <v>2461</v>
      </c>
      <c r="D1288" s="17" t="str">
        <f>_xlfn.XLOOKUP(Raw_LIMS_Export!E1288,'mapping Site table'!$B$4:$B$14,'mapping Site table'!$C$4:$C$14,Raw_LIMS_Export!E1288)</f>
        <v>Budapest</v>
      </c>
      <c r="E1288" s="17" t="s">
        <v>2483</v>
      </c>
      <c r="F1288" s="17">
        <f t="shared" si="61"/>
        <v>1</v>
      </c>
      <c r="G1288" s="17" t="str">
        <f t="shared" si="62"/>
        <v>Pass</v>
      </c>
      <c r="H1288" s="17" t="str">
        <f t="shared" si="60"/>
        <v>Pass</v>
      </c>
      <c r="I1288" s="17">
        <v>0.28000000000000003</v>
      </c>
      <c r="J1288" s="17" t="s">
        <v>2489</v>
      </c>
      <c r="K1288" s="17">
        <v>0</v>
      </c>
      <c r="L1288" s="17">
        <v>1</v>
      </c>
      <c r="M1288" s="18">
        <f>Raw_LIMS_Export!K1288</f>
        <v>45643</v>
      </c>
      <c r="N1288" s="19" t="s">
        <v>2932</v>
      </c>
    </row>
    <row r="1289" spans="1:14" x14ac:dyDescent="0.35">
      <c r="A1289" s="16" t="s">
        <v>1291</v>
      </c>
      <c r="B1289" s="17" t="s">
        <v>2396</v>
      </c>
      <c r="C1289" s="17" t="s">
        <v>2461</v>
      </c>
      <c r="D1289" s="17" t="str">
        <f>_xlfn.XLOOKUP(Raw_LIMS_Export!E1289,'mapping Site table'!$B$4:$B$14,'mapping Site table'!$C$4:$C$14,Raw_LIMS_Export!E1289)</f>
        <v>Budapest</v>
      </c>
      <c r="E1289" s="17" t="s">
        <v>2480</v>
      </c>
      <c r="F1289" s="17">
        <f t="shared" si="61"/>
        <v>1</v>
      </c>
      <c r="G1289" s="17" t="str">
        <f t="shared" si="62"/>
        <v>Pass</v>
      </c>
      <c r="H1289" s="17" t="str">
        <f t="shared" si="60"/>
        <v>Pass</v>
      </c>
      <c r="I1289" s="17">
        <v>0.94</v>
      </c>
      <c r="J1289" s="17" t="s">
        <v>2487</v>
      </c>
      <c r="K1289" s="17">
        <v>0.88</v>
      </c>
      <c r="L1289" s="17">
        <v>0.97</v>
      </c>
      <c r="M1289" s="18">
        <f>Raw_LIMS_Export!K1289</f>
        <v>45767</v>
      </c>
      <c r="N1289" s="19" t="s">
        <v>2927</v>
      </c>
    </row>
    <row r="1290" spans="1:14" x14ac:dyDescent="0.35">
      <c r="A1290" s="16" t="s">
        <v>1292</v>
      </c>
      <c r="B1290" s="17" t="s">
        <v>2170</v>
      </c>
      <c r="C1290" s="17" t="s">
        <v>2459</v>
      </c>
      <c r="D1290" s="17" t="str">
        <f>_xlfn.XLOOKUP(Raw_LIMS_Export!E1290,'mapping Site table'!$B$4:$B$14,'mapping Site table'!$C$4:$C$14,Raw_LIMS_Export!E1290)</f>
        <v>Budapest</v>
      </c>
      <c r="E1290" s="17" t="s">
        <v>2479</v>
      </c>
      <c r="F1290" s="17">
        <f t="shared" si="61"/>
        <v>1</v>
      </c>
      <c r="G1290" s="17" t="str">
        <f t="shared" si="62"/>
        <v>Pass</v>
      </c>
      <c r="H1290" s="17" t="str">
        <f t="shared" si="60"/>
        <v>Fail</v>
      </c>
      <c r="I1290" s="17">
        <v>51.36</v>
      </c>
      <c r="J1290" s="17" t="s">
        <v>2486</v>
      </c>
      <c r="K1290" s="17">
        <v>0</v>
      </c>
      <c r="L1290" s="17">
        <v>120</v>
      </c>
      <c r="M1290" s="18">
        <f>Raw_LIMS_Export!K1290</f>
        <v>45737</v>
      </c>
      <c r="N1290" s="19" t="s">
        <v>2925</v>
      </c>
    </row>
    <row r="1291" spans="1:14" x14ac:dyDescent="0.35">
      <c r="A1291" s="16" t="s">
        <v>1293</v>
      </c>
      <c r="B1291" s="17" t="s">
        <v>2300</v>
      </c>
      <c r="C1291" s="17" t="s">
        <v>2459</v>
      </c>
      <c r="D1291" s="17" t="str">
        <f>_xlfn.XLOOKUP(Raw_LIMS_Export!E1291,'mapping Site table'!$B$4:$B$14,'mapping Site table'!$C$4:$C$14,Raw_LIMS_Export!E1291)</f>
        <v>Vernier CH</v>
      </c>
      <c r="E1291" s="17" t="s">
        <v>2484</v>
      </c>
      <c r="F1291" s="17">
        <f t="shared" si="61"/>
        <v>1</v>
      </c>
      <c r="G1291" s="17" t="str">
        <f t="shared" si="62"/>
        <v>Pass</v>
      </c>
      <c r="H1291" s="17" t="str">
        <f t="shared" si="60"/>
        <v>Pass</v>
      </c>
      <c r="I1291" s="17">
        <v>6.47</v>
      </c>
      <c r="J1291" s="17"/>
      <c r="K1291" s="17">
        <v>6</v>
      </c>
      <c r="L1291" s="17">
        <v>7.5</v>
      </c>
      <c r="M1291" s="18">
        <f>Raw_LIMS_Export!K1291</f>
        <v>45595</v>
      </c>
      <c r="N1291" s="19" t="s">
        <v>2926</v>
      </c>
    </row>
    <row r="1292" spans="1:14" x14ac:dyDescent="0.35">
      <c r="A1292" s="16" t="s">
        <v>1294</v>
      </c>
      <c r="B1292" s="17" t="s">
        <v>2094</v>
      </c>
      <c r="C1292" s="17" t="s">
        <v>2460</v>
      </c>
      <c r="D1292" s="17" t="str">
        <f>_xlfn.XLOOKUP(Raw_LIMS_Export!E1292,'mapping Site table'!$B$4:$B$14,'mapping Site table'!$C$4:$C$14,Raw_LIMS_Export!E1292)</f>
        <v>Ashford UK</v>
      </c>
      <c r="E1292" s="17" t="s">
        <v>2483</v>
      </c>
      <c r="F1292" s="17">
        <f t="shared" si="61"/>
        <v>1</v>
      </c>
      <c r="G1292" s="17" t="str">
        <f t="shared" si="62"/>
        <v>Pass</v>
      </c>
      <c r="H1292" s="17" t="str">
        <f t="shared" si="60"/>
        <v>Fail</v>
      </c>
      <c r="I1292" s="17">
        <v>0.27</v>
      </c>
      <c r="J1292" s="17" t="s">
        <v>2489</v>
      </c>
      <c r="K1292" s="17">
        <v>0</v>
      </c>
      <c r="L1292" s="17">
        <v>1</v>
      </c>
      <c r="M1292" s="18">
        <f>Raw_LIMS_Export!K1292</f>
        <v>45316</v>
      </c>
      <c r="N1292" s="19" t="s">
        <v>2932</v>
      </c>
    </row>
    <row r="1293" spans="1:14" x14ac:dyDescent="0.35">
      <c r="A1293" s="16" t="s">
        <v>1295</v>
      </c>
      <c r="B1293" s="17" t="s">
        <v>2143</v>
      </c>
      <c r="C1293" s="17" t="s">
        <v>2460</v>
      </c>
      <c r="D1293" s="17" t="str">
        <f>_xlfn.XLOOKUP(Raw_LIMS_Export!E1293,'mapping Site table'!$B$4:$B$14,'mapping Site table'!$C$4:$C$14,Raw_LIMS_Export!E1293)</f>
        <v>Dortmund DE</v>
      </c>
      <c r="E1293" s="17" t="s">
        <v>2484</v>
      </c>
      <c r="F1293" s="17">
        <f t="shared" si="61"/>
        <v>1</v>
      </c>
      <c r="G1293" s="17" t="str">
        <f t="shared" si="62"/>
        <v>Pass</v>
      </c>
      <c r="H1293" s="17" t="str">
        <f t="shared" si="60"/>
        <v>Pass</v>
      </c>
      <c r="I1293" s="17">
        <v>6.76</v>
      </c>
      <c r="J1293" s="17"/>
      <c r="K1293" s="17">
        <v>6</v>
      </c>
      <c r="L1293" s="17">
        <v>7.5</v>
      </c>
      <c r="M1293" s="18">
        <f>Raw_LIMS_Export!K1293</f>
        <v>45540</v>
      </c>
      <c r="N1293" s="19" t="s">
        <v>2927</v>
      </c>
    </row>
    <row r="1294" spans="1:14" x14ac:dyDescent="0.35">
      <c r="A1294" s="16" t="s">
        <v>1296</v>
      </c>
      <c r="B1294" s="17" t="s">
        <v>2173</v>
      </c>
      <c r="C1294" s="17" t="s">
        <v>2460</v>
      </c>
      <c r="D1294" s="17" t="str">
        <f>_xlfn.XLOOKUP(Raw_LIMS_Export!E1294,'mapping Site table'!$B$4:$B$14,'mapping Site table'!$C$4:$C$14,Raw_LIMS_Export!E1294)</f>
        <v>East Hanover</v>
      </c>
      <c r="E1294" s="17" t="s">
        <v>2481</v>
      </c>
      <c r="F1294" s="17">
        <f t="shared" si="61"/>
        <v>1</v>
      </c>
      <c r="G1294" s="17" t="str">
        <f t="shared" si="62"/>
        <v>Pass</v>
      </c>
      <c r="H1294" s="17" t="str">
        <f t="shared" si="60"/>
        <v>Pass</v>
      </c>
      <c r="I1294" s="17">
        <v>323.45</v>
      </c>
      <c r="J1294" s="17" t="s">
        <v>2488</v>
      </c>
      <c r="K1294" s="17">
        <v>150</v>
      </c>
      <c r="L1294" s="17">
        <v>400</v>
      </c>
      <c r="M1294" s="18">
        <f>Raw_LIMS_Export!K1294</f>
        <v>45609</v>
      </c>
      <c r="N1294" s="19" t="s">
        <v>2926</v>
      </c>
    </row>
    <row r="1295" spans="1:14" x14ac:dyDescent="0.35">
      <c r="A1295" s="16" t="s">
        <v>860</v>
      </c>
      <c r="B1295" s="17" t="s">
        <v>2425</v>
      </c>
      <c r="C1295" s="17" t="s">
        <v>2461</v>
      </c>
      <c r="D1295" s="17" t="str">
        <f>_xlfn.XLOOKUP(Raw_LIMS_Export!E1295,'mapping Site table'!$B$4:$B$14,'mapping Site table'!$C$4:$C$14,Raw_LIMS_Export!E1295)</f>
        <v>East Hanover</v>
      </c>
      <c r="E1295" s="17" t="s">
        <v>2480</v>
      </c>
      <c r="F1295" s="17">
        <f t="shared" si="61"/>
        <v>1</v>
      </c>
      <c r="G1295" s="17" t="str">
        <f t="shared" si="62"/>
        <v>Pass</v>
      </c>
      <c r="H1295" s="17" t="str">
        <f t="shared" si="60"/>
        <v>Pass</v>
      </c>
      <c r="I1295" s="17">
        <v>0.92</v>
      </c>
      <c r="J1295" s="17" t="s">
        <v>2487</v>
      </c>
      <c r="K1295" s="17">
        <v>0.88</v>
      </c>
      <c r="L1295" s="17">
        <v>0.97</v>
      </c>
      <c r="M1295" s="18">
        <f>Raw_LIMS_Export!K1295</f>
        <v>45556</v>
      </c>
      <c r="N1295" s="19" t="s">
        <v>2929</v>
      </c>
    </row>
    <row r="1296" spans="1:14" x14ac:dyDescent="0.35">
      <c r="A1296" s="16" t="s">
        <v>1297</v>
      </c>
      <c r="B1296" s="17" t="s">
        <v>2452</v>
      </c>
      <c r="C1296" s="17" t="s">
        <v>2461</v>
      </c>
      <c r="D1296" s="17" t="str">
        <f>_xlfn.XLOOKUP(Raw_LIMS_Export!E1296,'mapping Site table'!$B$4:$B$14,'mapping Site table'!$C$4:$C$14,Raw_LIMS_Export!E1296)</f>
        <v>Dortmund DE</v>
      </c>
      <c r="E1296" s="17" t="s">
        <v>2479</v>
      </c>
      <c r="F1296" s="17">
        <f t="shared" si="61"/>
        <v>1</v>
      </c>
      <c r="G1296" s="17" t="str">
        <f t="shared" si="62"/>
        <v>Pass</v>
      </c>
      <c r="H1296" s="17" t="str">
        <f t="shared" si="60"/>
        <v>Fail</v>
      </c>
      <c r="I1296" s="17">
        <v>35.04</v>
      </c>
      <c r="J1296" s="17" t="s">
        <v>2486</v>
      </c>
      <c r="K1296" s="17">
        <v>0</v>
      </c>
      <c r="L1296" s="17">
        <v>120</v>
      </c>
      <c r="M1296" s="18">
        <f>Raw_LIMS_Export!K1296</f>
        <v>45452</v>
      </c>
      <c r="N1296" s="19" t="s">
        <v>2932</v>
      </c>
    </row>
    <row r="1297" spans="1:14" x14ac:dyDescent="0.35">
      <c r="A1297" s="16" t="s">
        <v>1298</v>
      </c>
      <c r="B1297" s="17" t="s">
        <v>2153</v>
      </c>
      <c r="C1297" s="17" t="s">
        <v>2461</v>
      </c>
      <c r="D1297" s="17" t="str">
        <f>_xlfn.XLOOKUP(Raw_LIMS_Export!E1297,'mapping Site table'!$B$4:$B$14,'mapping Site table'!$C$4:$C$14,Raw_LIMS_Export!E1297)</f>
        <v>Budapest</v>
      </c>
      <c r="E1297" s="17" t="s">
        <v>2482</v>
      </c>
      <c r="F1297" s="17">
        <f t="shared" si="61"/>
        <v>1</v>
      </c>
      <c r="G1297" s="17" t="str">
        <f t="shared" si="62"/>
        <v>Pass</v>
      </c>
      <c r="H1297" s="17" t="str">
        <f t="shared" si="60"/>
        <v>Fail</v>
      </c>
      <c r="I1297" s="17">
        <v>98.39</v>
      </c>
      <c r="J1297" s="17" t="s">
        <v>2489</v>
      </c>
      <c r="K1297" s="17">
        <v>97</v>
      </c>
      <c r="L1297" s="17">
        <v>100</v>
      </c>
      <c r="M1297" s="18">
        <f>Raw_LIMS_Export!K1297</f>
        <v>45445</v>
      </c>
      <c r="N1297" s="19" t="s">
        <v>2926</v>
      </c>
    </row>
    <row r="1298" spans="1:14" x14ac:dyDescent="0.35">
      <c r="A1298" s="16" t="s">
        <v>1299</v>
      </c>
      <c r="B1298" s="17" t="s">
        <v>2448</v>
      </c>
      <c r="C1298" s="17" t="s">
        <v>2461</v>
      </c>
      <c r="D1298" s="17" t="str">
        <f>_xlfn.XLOOKUP(Raw_LIMS_Export!E1298,'mapping Site table'!$B$4:$B$14,'mapping Site table'!$C$4:$C$14,Raw_LIMS_Export!E1298)</f>
        <v>Ashford UK</v>
      </c>
      <c r="E1298" s="17" t="s">
        <v>2479</v>
      </c>
      <c r="F1298" s="17">
        <f t="shared" si="61"/>
        <v>1</v>
      </c>
      <c r="G1298" s="17" t="str">
        <f t="shared" si="62"/>
        <v>Pass</v>
      </c>
      <c r="H1298" s="17" t="str">
        <f t="shared" si="60"/>
        <v>Fail</v>
      </c>
      <c r="I1298" s="17">
        <v>17.45</v>
      </c>
      <c r="J1298" s="17" t="s">
        <v>2486</v>
      </c>
      <c r="K1298" s="17">
        <v>0</v>
      </c>
      <c r="L1298" s="17">
        <v>120</v>
      </c>
      <c r="M1298" s="18">
        <f>Raw_LIMS_Export!K1298</f>
        <v>45882</v>
      </c>
      <c r="N1298" s="19" t="s">
        <v>2927</v>
      </c>
    </row>
    <row r="1299" spans="1:14" x14ac:dyDescent="0.35">
      <c r="A1299" s="16" t="s">
        <v>1300</v>
      </c>
      <c r="B1299" s="17" t="s">
        <v>2380</v>
      </c>
      <c r="C1299" s="17" t="s">
        <v>2457</v>
      </c>
      <c r="D1299" s="17" t="str">
        <f>_xlfn.XLOOKUP(Raw_LIMS_Export!E1299,'mapping Site table'!$B$4:$B$14,'mapping Site table'!$C$4:$C$14,Raw_LIMS_Export!E1299)</f>
        <v>Dortmund DE</v>
      </c>
      <c r="E1299" s="17" t="s">
        <v>2481</v>
      </c>
      <c r="F1299" s="17">
        <f t="shared" si="61"/>
        <v>1</v>
      </c>
      <c r="G1299" s="17" t="str">
        <f t="shared" si="62"/>
        <v>Pass</v>
      </c>
      <c r="H1299" s="17" t="str">
        <f t="shared" si="60"/>
        <v>Pass</v>
      </c>
      <c r="I1299" s="17">
        <v>168.49</v>
      </c>
      <c r="J1299" s="17" t="s">
        <v>2488</v>
      </c>
      <c r="K1299" s="17">
        <v>150</v>
      </c>
      <c r="L1299" s="17">
        <v>400</v>
      </c>
      <c r="M1299" s="18">
        <f>Raw_LIMS_Export!K1299</f>
        <v>45787</v>
      </c>
      <c r="N1299" s="19" t="s">
        <v>2931</v>
      </c>
    </row>
    <row r="1300" spans="1:14" x14ac:dyDescent="0.35">
      <c r="A1300" s="16" t="s">
        <v>1301</v>
      </c>
      <c r="B1300" s="17" t="s">
        <v>2180</v>
      </c>
      <c r="C1300" s="17" t="s">
        <v>2461</v>
      </c>
      <c r="D1300" s="17" t="str">
        <f>_xlfn.XLOOKUP(Raw_LIMS_Export!E1300,'mapping Site table'!$B$4:$B$14,'mapping Site table'!$C$4:$C$14,Raw_LIMS_Export!E1300)</f>
        <v>East Hanover</v>
      </c>
      <c r="E1300" s="17" t="s">
        <v>2484</v>
      </c>
      <c r="F1300" s="17">
        <f t="shared" si="61"/>
        <v>1</v>
      </c>
      <c r="G1300" s="17" t="str">
        <f t="shared" si="62"/>
        <v>Pass</v>
      </c>
      <c r="H1300" s="17" t="str">
        <f t="shared" si="60"/>
        <v>Pass</v>
      </c>
      <c r="I1300" s="17">
        <v>6.39</v>
      </c>
      <c r="J1300" s="17"/>
      <c r="K1300" s="17">
        <v>6</v>
      </c>
      <c r="L1300" s="17">
        <v>7.5</v>
      </c>
      <c r="M1300" s="18">
        <f>Raw_LIMS_Export!K1300</f>
        <v>45649</v>
      </c>
      <c r="N1300" s="19" t="s">
        <v>2928</v>
      </c>
    </row>
    <row r="1301" spans="1:14" x14ac:dyDescent="0.35">
      <c r="A1301" s="16" t="s">
        <v>1302</v>
      </c>
      <c r="B1301" s="17" t="s">
        <v>2180</v>
      </c>
      <c r="C1301" s="17" t="s">
        <v>2461</v>
      </c>
      <c r="D1301" s="17" t="str">
        <f>_xlfn.XLOOKUP(Raw_LIMS_Export!E1301,'mapping Site table'!$B$4:$B$14,'mapping Site table'!$C$4:$C$14,Raw_LIMS_Export!E1301)</f>
        <v>East Hanover</v>
      </c>
      <c r="E1301" s="17" t="s">
        <v>2485</v>
      </c>
      <c r="F1301" s="17">
        <f t="shared" si="61"/>
        <v>1</v>
      </c>
      <c r="G1301" s="17" t="str">
        <f t="shared" si="62"/>
        <v>Pass</v>
      </c>
      <c r="H1301" s="17" t="str">
        <f t="shared" si="60"/>
        <v>Pass</v>
      </c>
      <c r="I1301" s="17">
        <v>5.09</v>
      </c>
      <c r="J1301" s="17" t="s">
        <v>2490</v>
      </c>
      <c r="K1301" s="17">
        <v>0</v>
      </c>
      <c r="L1301" s="17">
        <v>100</v>
      </c>
      <c r="M1301" s="18">
        <f>Raw_LIMS_Export!K1301</f>
        <v>45649</v>
      </c>
      <c r="N1301" s="19" t="s">
        <v>2929</v>
      </c>
    </row>
    <row r="1302" spans="1:14" x14ac:dyDescent="0.35">
      <c r="A1302" s="16" t="s">
        <v>1303</v>
      </c>
      <c r="B1302" s="17" t="s">
        <v>2193</v>
      </c>
      <c r="C1302" s="17" t="s">
        <v>2460</v>
      </c>
      <c r="D1302" s="17" t="str">
        <f>_xlfn.XLOOKUP(Raw_LIMS_Export!E1302,'mapping Site table'!$B$4:$B$14,'mapping Site table'!$C$4:$C$14,Raw_LIMS_Export!E1302)</f>
        <v>Ashford UK</v>
      </c>
      <c r="E1302" s="17" t="s">
        <v>2481</v>
      </c>
      <c r="F1302" s="17">
        <f t="shared" si="61"/>
        <v>1</v>
      </c>
      <c r="G1302" s="17" t="str">
        <f t="shared" si="62"/>
        <v>Pass</v>
      </c>
      <c r="H1302" s="17" t="str">
        <f t="shared" si="60"/>
        <v>Pass</v>
      </c>
      <c r="I1302" s="17">
        <v>280.36</v>
      </c>
      <c r="J1302" s="17" t="s">
        <v>2488</v>
      </c>
      <c r="K1302" s="17">
        <v>150</v>
      </c>
      <c r="L1302" s="17">
        <v>400</v>
      </c>
      <c r="M1302" s="18">
        <f>Raw_LIMS_Export!K1302</f>
        <v>45552</v>
      </c>
      <c r="N1302" s="19" t="s">
        <v>2930</v>
      </c>
    </row>
    <row r="1303" spans="1:14" x14ac:dyDescent="0.35">
      <c r="A1303" s="16" t="s">
        <v>1304</v>
      </c>
      <c r="B1303" s="17" t="s">
        <v>2116</v>
      </c>
      <c r="C1303" s="17" t="s">
        <v>2461</v>
      </c>
      <c r="D1303" s="17" t="str">
        <f>_xlfn.XLOOKUP(Raw_LIMS_Export!E1303,'mapping Site table'!$B$4:$B$14,'mapping Site table'!$C$4:$C$14,Raw_LIMS_Export!E1303)</f>
        <v>Dortmund DE</v>
      </c>
      <c r="E1303" s="17" t="s">
        <v>2482</v>
      </c>
      <c r="F1303" s="17">
        <f t="shared" si="61"/>
        <v>1</v>
      </c>
      <c r="G1303" s="17" t="str">
        <f t="shared" si="62"/>
        <v>Pass</v>
      </c>
      <c r="H1303" s="17" t="str">
        <f t="shared" si="60"/>
        <v>Pass</v>
      </c>
      <c r="I1303" s="17">
        <v>98.75</v>
      </c>
      <c r="J1303" s="17" t="s">
        <v>2489</v>
      </c>
      <c r="K1303" s="17">
        <v>97</v>
      </c>
      <c r="L1303" s="17">
        <v>100</v>
      </c>
      <c r="M1303" s="18">
        <f>Raw_LIMS_Export!K1303</f>
        <v>45376</v>
      </c>
      <c r="N1303" s="19" t="s">
        <v>2930</v>
      </c>
    </row>
    <row r="1304" spans="1:14" x14ac:dyDescent="0.35">
      <c r="A1304" s="16" t="s">
        <v>1305</v>
      </c>
      <c r="B1304" s="17" t="s">
        <v>2047</v>
      </c>
      <c r="C1304" s="17" t="s">
        <v>2460</v>
      </c>
      <c r="D1304" s="17" t="str">
        <f>_xlfn.XLOOKUP(Raw_LIMS_Export!E1304,'mapping Site table'!$B$4:$B$14,'mapping Site table'!$C$4:$C$14,Raw_LIMS_Export!E1304)</f>
        <v>Budapest</v>
      </c>
      <c r="E1304" s="17" t="s">
        <v>2479</v>
      </c>
      <c r="F1304" s="17">
        <f t="shared" si="61"/>
        <v>1</v>
      </c>
      <c r="G1304" s="17" t="str">
        <f t="shared" si="62"/>
        <v>Pass</v>
      </c>
      <c r="H1304" s="17" t="str">
        <f t="shared" si="60"/>
        <v>Pass</v>
      </c>
      <c r="I1304" s="17">
        <v>26.71</v>
      </c>
      <c r="J1304" s="17" t="s">
        <v>2486</v>
      </c>
      <c r="K1304" s="17">
        <v>0</v>
      </c>
      <c r="L1304" s="17">
        <v>120</v>
      </c>
      <c r="M1304" s="18">
        <f>Raw_LIMS_Export!K1304</f>
        <v>45543</v>
      </c>
      <c r="N1304" s="19" t="s">
        <v>2924</v>
      </c>
    </row>
    <row r="1305" spans="1:14" x14ac:dyDescent="0.35">
      <c r="A1305" s="16" t="s">
        <v>1306</v>
      </c>
      <c r="B1305" s="17" t="s">
        <v>2371</v>
      </c>
      <c r="C1305" s="17" t="s">
        <v>2459</v>
      </c>
      <c r="D1305" s="17" t="str">
        <f>_xlfn.XLOOKUP(Raw_LIMS_Export!E1305,'mapping Site table'!$B$4:$B$14,'mapping Site table'!$C$4:$C$14,Raw_LIMS_Export!E1305)</f>
        <v>Dortmund DE</v>
      </c>
      <c r="E1305" s="17" t="s">
        <v>2483</v>
      </c>
      <c r="F1305" s="17">
        <f t="shared" si="61"/>
        <v>1</v>
      </c>
      <c r="G1305" s="17" t="str">
        <f t="shared" si="62"/>
        <v>Pass</v>
      </c>
      <c r="H1305" s="17" t="str">
        <f t="shared" si="60"/>
        <v>Fail</v>
      </c>
      <c r="I1305" s="17">
        <v>0.45</v>
      </c>
      <c r="J1305" s="17" t="s">
        <v>2489</v>
      </c>
      <c r="K1305" s="17">
        <v>0</v>
      </c>
      <c r="L1305" s="17">
        <v>1</v>
      </c>
      <c r="M1305" s="18">
        <f>Raw_LIMS_Export!K1305</f>
        <v>45519</v>
      </c>
      <c r="N1305" s="19" t="s">
        <v>2926</v>
      </c>
    </row>
    <row r="1306" spans="1:14" x14ac:dyDescent="0.35">
      <c r="A1306" s="16" t="s">
        <v>1307</v>
      </c>
      <c r="B1306" s="17" t="s">
        <v>2391</v>
      </c>
      <c r="C1306" s="17" t="s">
        <v>2458</v>
      </c>
      <c r="D1306" s="17" t="str">
        <f>_xlfn.XLOOKUP(Raw_LIMS_Export!E1306,'mapping Site table'!$B$4:$B$14,'mapping Site table'!$C$4:$C$14,Raw_LIMS_Export!E1306)</f>
        <v>Ashford UK</v>
      </c>
      <c r="E1306" s="17" t="s">
        <v>2481</v>
      </c>
      <c r="F1306" s="17">
        <f t="shared" si="61"/>
        <v>1</v>
      </c>
      <c r="G1306" s="17" t="str">
        <f t="shared" si="62"/>
        <v>Pass</v>
      </c>
      <c r="H1306" s="17" t="str">
        <f t="shared" si="60"/>
        <v>Pass</v>
      </c>
      <c r="I1306" s="17">
        <v>285.55</v>
      </c>
      <c r="J1306" s="17" t="s">
        <v>2488</v>
      </c>
      <c r="K1306" s="17">
        <v>150</v>
      </c>
      <c r="L1306" s="17">
        <v>400</v>
      </c>
      <c r="M1306" s="18">
        <f>Raw_LIMS_Export!K1306</f>
        <v>45743</v>
      </c>
      <c r="N1306" s="19" t="s">
        <v>2925</v>
      </c>
    </row>
    <row r="1307" spans="1:14" x14ac:dyDescent="0.35">
      <c r="A1307" s="16" t="s">
        <v>1308</v>
      </c>
      <c r="B1307" s="17" t="s">
        <v>2404</v>
      </c>
      <c r="C1307" s="17" t="s">
        <v>2458</v>
      </c>
      <c r="D1307" s="17" t="str">
        <f>_xlfn.XLOOKUP(Raw_LIMS_Export!E1307,'mapping Site table'!$B$4:$B$14,'mapping Site table'!$C$4:$C$14,Raw_LIMS_Export!E1307)</f>
        <v>Dortmund DE</v>
      </c>
      <c r="E1307" s="17" t="s">
        <v>2483</v>
      </c>
      <c r="F1307" s="17">
        <f t="shared" si="61"/>
        <v>1</v>
      </c>
      <c r="G1307" s="17" t="str">
        <f t="shared" si="62"/>
        <v>Pass</v>
      </c>
      <c r="H1307" s="17" t="str">
        <f t="shared" si="60"/>
        <v>Pass</v>
      </c>
      <c r="I1307" s="17">
        <v>0.5</v>
      </c>
      <c r="J1307" s="17" t="s">
        <v>2489</v>
      </c>
      <c r="K1307" s="17">
        <v>0</v>
      </c>
      <c r="L1307" s="17">
        <v>1</v>
      </c>
      <c r="M1307" s="18">
        <f>Raw_LIMS_Export!K1307</f>
        <v>45368</v>
      </c>
      <c r="N1307" s="19" t="s">
        <v>2932</v>
      </c>
    </row>
    <row r="1308" spans="1:14" x14ac:dyDescent="0.35">
      <c r="A1308" s="16" t="s">
        <v>1309</v>
      </c>
      <c r="B1308" s="17" t="s">
        <v>2206</v>
      </c>
      <c r="C1308" s="17" t="s">
        <v>2458</v>
      </c>
      <c r="D1308" s="17" t="str">
        <f>_xlfn.XLOOKUP(Raw_LIMS_Export!E1308,'mapping Site table'!$B$4:$B$14,'mapping Site table'!$C$4:$C$14,Raw_LIMS_Export!E1308)</f>
        <v>Dortmund DE</v>
      </c>
      <c r="E1308" s="17" t="s">
        <v>2481</v>
      </c>
      <c r="F1308" s="17">
        <f t="shared" si="61"/>
        <v>1</v>
      </c>
      <c r="G1308" s="17" t="str">
        <f t="shared" si="62"/>
        <v>Pass</v>
      </c>
      <c r="H1308" s="17" t="str">
        <f t="shared" si="60"/>
        <v>Pass</v>
      </c>
      <c r="I1308" s="17">
        <v>188</v>
      </c>
      <c r="J1308" s="17" t="s">
        <v>2488</v>
      </c>
      <c r="K1308" s="17">
        <v>150</v>
      </c>
      <c r="L1308" s="17">
        <v>400</v>
      </c>
      <c r="M1308" s="18">
        <f>Raw_LIMS_Export!K1308</f>
        <v>45814</v>
      </c>
      <c r="N1308" s="19" t="s">
        <v>2930</v>
      </c>
    </row>
    <row r="1309" spans="1:14" x14ac:dyDescent="0.35">
      <c r="A1309" s="16" t="s">
        <v>1310</v>
      </c>
      <c r="B1309" s="17" t="s">
        <v>2033</v>
      </c>
      <c r="C1309" s="17" t="s">
        <v>2459</v>
      </c>
      <c r="D1309" s="17" t="str">
        <f>_xlfn.XLOOKUP(Raw_LIMS_Export!E1309,'mapping Site table'!$B$4:$B$14,'mapping Site table'!$C$4:$C$14,Raw_LIMS_Export!E1309)</f>
        <v>East Hanover</v>
      </c>
      <c r="E1309" s="17" t="s">
        <v>2480</v>
      </c>
      <c r="F1309" s="17">
        <f t="shared" si="61"/>
        <v>1</v>
      </c>
      <c r="G1309" s="17" t="str">
        <f t="shared" si="62"/>
        <v>Pass</v>
      </c>
      <c r="H1309" s="17" t="str">
        <f t="shared" si="60"/>
        <v>Fail</v>
      </c>
      <c r="I1309" s="17">
        <v>0.96</v>
      </c>
      <c r="J1309" s="17" t="s">
        <v>2487</v>
      </c>
      <c r="K1309" s="17">
        <v>0.88</v>
      </c>
      <c r="L1309" s="17">
        <v>0.97</v>
      </c>
      <c r="M1309" s="18">
        <f>Raw_LIMS_Export!K1309</f>
        <v>45330</v>
      </c>
      <c r="N1309" s="19" t="s">
        <v>2932</v>
      </c>
    </row>
    <row r="1310" spans="1:14" x14ac:dyDescent="0.35">
      <c r="A1310" s="16" t="s">
        <v>1311</v>
      </c>
      <c r="B1310" s="17" t="s">
        <v>2286</v>
      </c>
      <c r="C1310" s="17" t="s">
        <v>2458</v>
      </c>
      <c r="D1310" s="17" t="str">
        <f>_xlfn.XLOOKUP(Raw_LIMS_Export!E1310,'mapping Site table'!$B$4:$B$14,'mapping Site table'!$C$4:$C$14,Raw_LIMS_Export!E1310)</f>
        <v>Dortmund DE</v>
      </c>
      <c r="E1310" s="17" t="s">
        <v>2480</v>
      </c>
      <c r="F1310" s="17">
        <f t="shared" si="61"/>
        <v>1</v>
      </c>
      <c r="G1310" s="17" t="str">
        <f t="shared" si="62"/>
        <v>Fail</v>
      </c>
      <c r="H1310" s="17" t="str">
        <f t="shared" si="60"/>
        <v>Fail</v>
      </c>
      <c r="I1310" s="17">
        <v>1.06</v>
      </c>
      <c r="J1310" s="17" t="s">
        <v>2487</v>
      </c>
      <c r="K1310" s="17">
        <v>0.88</v>
      </c>
      <c r="L1310" s="17">
        <v>0.97</v>
      </c>
      <c r="M1310" s="18">
        <f>Raw_LIMS_Export!K1310</f>
        <v>45739</v>
      </c>
      <c r="N1310" s="19" t="s">
        <v>2927</v>
      </c>
    </row>
    <row r="1311" spans="1:14" x14ac:dyDescent="0.35">
      <c r="A1311" s="16" t="s">
        <v>1312</v>
      </c>
      <c r="B1311" s="17" t="s">
        <v>2451</v>
      </c>
      <c r="C1311" s="17" t="s">
        <v>2459</v>
      </c>
      <c r="D1311" s="17" t="str">
        <f>_xlfn.XLOOKUP(Raw_LIMS_Export!E1311,'mapping Site table'!$B$4:$B$14,'mapping Site table'!$C$4:$C$14,Raw_LIMS_Export!E1311)</f>
        <v>Budapest</v>
      </c>
      <c r="E1311" s="17" t="s">
        <v>2483</v>
      </c>
      <c r="F1311" s="17">
        <f t="shared" si="61"/>
        <v>1</v>
      </c>
      <c r="G1311" s="17" t="str">
        <f t="shared" si="62"/>
        <v>Pass</v>
      </c>
      <c r="H1311" s="17" t="str">
        <f t="shared" si="60"/>
        <v>Fail</v>
      </c>
      <c r="I1311" s="17">
        <v>0.14000000000000001</v>
      </c>
      <c r="J1311" s="17" t="s">
        <v>2489</v>
      </c>
      <c r="K1311" s="17">
        <v>0</v>
      </c>
      <c r="L1311" s="17">
        <v>1</v>
      </c>
      <c r="M1311" s="18">
        <f>Raw_LIMS_Export!K1311</f>
        <v>45735</v>
      </c>
      <c r="N1311" s="19" t="s">
        <v>2923</v>
      </c>
    </row>
    <row r="1312" spans="1:14" x14ac:dyDescent="0.35">
      <c r="A1312" s="16" t="s">
        <v>1313</v>
      </c>
      <c r="B1312" s="17" t="s">
        <v>2395</v>
      </c>
      <c r="C1312" s="17" t="s">
        <v>2457</v>
      </c>
      <c r="D1312" s="17" t="str">
        <f>_xlfn.XLOOKUP(Raw_LIMS_Export!E1312,'mapping Site table'!$B$4:$B$14,'mapping Site table'!$C$4:$C$14,Raw_LIMS_Export!E1312)</f>
        <v>Budapest</v>
      </c>
      <c r="E1312" s="17" t="s">
        <v>2479</v>
      </c>
      <c r="F1312" s="17">
        <f t="shared" si="61"/>
        <v>1</v>
      </c>
      <c r="G1312" s="17" t="str">
        <f t="shared" si="62"/>
        <v>Pass</v>
      </c>
      <c r="H1312" s="17" t="str">
        <f t="shared" si="60"/>
        <v>Pass</v>
      </c>
      <c r="I1312" s="17">
        <v>25.33</v>
      </c>
      <c r="J1312" s="17" t="s">
        <v>2486</v>
      </c>
      <c r="K1312" s="17">
        <v>0</v>
      </c>
      <c r="L1312" s="17">
        <v>120</v>
      </c>
      <c r="M1312" s="18">
        <f>Raw_LIMS_Export!K1312</f>
        <v>45737</v>
      </c>
      <c r="N1312" s="19" t="s">
        <v>2923</v>
      </c>
    </row>
    <row r="1313" spans="1:14" x14ac:dyDescent="0.35">
      <c r="A1313" s="16" t="s">
        <v>1314</v>
      </c>
      <c r="B1313" s="17" t="s">
        <v>2177</v>
      </c>
      <c r="C1313" s="17" t="s">
        <v>2457</v>
      </c>
      <c r="D1313" s="17" t="str">
        <f>_xlfn.XLOOKUP(Raw_LIMS_Export!E1313,'mapping Site table'!$B$4:$B$14,'mapping Site table'!$C$4:$C$14,Raw_LIMS_Export!E1313)</f>
        <v>Vernier CH</v>
      </c>
      <c r="E1313" s="17" t="s">
        <v>2479</v>
      </c>
      <c r="F1313" s="17">
        <f t="shared" si="61"/>
        <v>1</v>
      </c>
      <c r="G1313" s="17" t="str">
        <f t="shared" si="62"/>
        <v>Pass</v>
      </c>
      <c r="H1313" s="17" t="str">
        <f t="shared" si="60"/>
        <v>Fail</v>
      </c>
      <c r="I1313" s="17">
        <v>30.25</v>
      </c>
      <c r="J1313" s="17" t="s">
        <v>2486</v>
      </c>
      <c r="K1313" s="17">
        <v>0</v>
      </c>
      <c r="L1313" s="17">
        <v>120</v>
      </c>
      <c r="M1313" s="18">
        <f>Raw_LIMS_Export!K1313</f>
        <v>45520</v>
      </c>
      <c r="N1313" s="19" t="s">
        <v>2931</v>
      </c>
    </row>
    <row r="1314" spans="1:14" x14ac:dyDescent="0.35">
      <c r="A1314" s="16" t="s">
        <v>1315</v>
      </c>
      <c r="B1314" s="17" t="s">
        <v>2375</v>
      </c>
      <c r="C1314" s="17" t="s">
        <v>2458</v>
      </c>
      <c r="D1314" s="17" t="str">
        <f>_xlfn.XLOOKUP(Raw_LIMS_Export!E1314,'mapping Site table'!$B$4:$B$14,'mapping Site table'!$C$4:$C$14,Raw_LIMS_Export!E1314)</f>
        <v>Budapest</v>
      </c>
      <c r="E1314" s="17" t="s">
        <v>2485</v>
      </c>
      <c r="F1314" s="17">
        <f t="shared" si="61"/>
        <v>1</v>
      </c>
      <c r="G1314" s="17" t="str">
        <f t="shared" si="62"/>
        <v>Pass</v>
      </c>
      <c r="H1314" s="17" t="str">
        <f t="shared" si="60"/>
        <v>Pass</v>
      </c>
      <c r="I1314" s="17">
        <v>66.86</v>
      </c>
      <c r="J1314" s="17" t="s">
        <v>2490</v>
      </c>
      <c r="K1314" s="17">
        <v>0</v>
      </c>
      <c r="L1314" s="17">
        <v>100</v>
      </c>
      <c r="M1314" s="18">
        <f>Raw_LIMS_Export!K1314</f>
        <v>45427</v>
      </c>
      <c r="N1314" s="19" t="s">
        <v>2932</v>
      </c>
    </row>
    <row r="1315" spans="1:14" x14ac:dyDescent="0.35">
      <c r="A1315" s="16" t="s">
        <v>1316</v>
      </c>
      <c r="B1315" s="17" t="s">
        <v>2210</v>
      </c>
      <c r="C1315" s="17" t="s">
        <v>2457</v>
      </c>
      <c r="D1315" s="17" t="str">
        <f>_xlfn.XLOOKUP(Raw_LIMS_Export!E1315,'mapping Site table'!$B$4:$B$14,'mapping Site table'!$C$4:$C$14,Raw_LIMS_Export!E1315)</f>
        <v>Budapest</v>
      </c>
      <c r="E1315" s="17" t="s">
        <v>2481</v>
      </c>
      <c r="F1315" s="17">
        <f t="shared" si="61"/>
        <v>1</v>
      </c>
      <c r="G1315" s="17" t="str">
        <f t="shared" si="62"/>
        <v>Pass</v>
      </c>
      <c r="H1315" s="17" t="str">
        <f t="shared" si="60"/>
        <v>Pending</v>
      </c>
      <c r="I1315" s="17">
        <v>266.55</v>
      </c>
      <c r="J1315" s="17" t="s">
        <v>2488</v>
      </c>
      <c r="K1315" s="17">
        <v>150</v>
      </c>
      <c r="L1315" s="17">
        <v>400</v>
      </c>
      <c r="M1315" s="18">
        <f>Raw_LIMS_Export!K1315</f>
        <v>45960</v>
      </c>
      <c r="N1315" s="19" t="s">
        <v>2927</v>
      </c>
    </row>
    <row r="1316" spans="1:14" x14ac:dyDescent="0.35">
      <c r="A1316" s="16" t="s">
        <v>1317</v>
      </c>
      <c r="B1316" s="17" t="s">
        <v>2136</v>
      </c>
      <c r="C1316" s="17" t="s">
        <v>2458</v>
      </c>
      <c r="D1316" s="17" t="str">
        <f>_xlfn.XLOOKUP(Raw_LIMS_Export!E1316,'mapping Site table'!$B$4:$B$14,'mapping Site table'!$C$4:$C$14,Raw_LIMS_Export!E1316)</f>
        <v>Dortmund DE</v>
      </c>
      <c r="E1316" s="17" t="s">
        <v>2482</v>
      </c>
      <c r="F1316" s="17">
        <f t="shared" si="61"/>
        <v>1</v>
      </c>
      <c r="G1316" s="17" t="str">
        <f t="shared" si="62"/>
        <v>Pass</v>
      </c>
      <c r="H1316" s="17" t="str">
        <f t="shared" si="60"/>
        <v>Pending</v>
      </c>
      <c r="I1316" s="17">
        <v>97.8</v>
      </c>
      <c r="J1316" s="17" t="s">
        <v>2489</v>
      </c>
      <c r="K1316" s="17">
        <v>97</v>
      </c>
      <c r="L1316" s="17">
        <v>100</v>
      </c>
      <c r="M1316" s="18">
        <f>Raw_LIMS_Export!K1316</f>
        <v>45534</v>
      </c>
      <c r="N1316" s="19" t="s">
        <v>2928</v>
      </c>
    </row>
    <row r="1317" spans="1:14" x14ac:dyDescent="0.35">
      <c r="A1317" s="16" t="s">
        <v>1318</v>
      </c>
      <c r="B1317" s="17" t="s">
        <v>2453</v>
      </c>
      <c r="C1317" s="17" t="s">
        <v>2459</v>
      </c>
      <c r="D1317" s="17" t="str">
        <f>_xlfn.XLOOKUP(Raw_LIMS_Export!E1317,'mapping Site table'!$B$4:$B$14,'mapping Site table'!$C$4:$C$14,Raw_LIMS_Export!E1317)</f>
        <v>Ashford UK</v>
      </c>
      <c r="E1317" s="17" t="s">
        <v>2482</v>
      </c>
      <c r="F1317" s="17">
        <f t="shared" si="61"/>
        <v>1</v>
      </c>
      <c r="G1317" s="17" t="str">
        <f t="shared" si="62"/>
        <v>Pass</v>
      </c>
      <c r="H1317" s="17" t="str">
        <f t="shared" si="60"/>
        <v>Pending</v>
      </c>
      <c r="I1317" s="17">
        <v>98.5</v>
      </c>
      <c r="J1317" s="17" t="s">
        <v>2489</v>
      </c>
      <c r="K1317" s="17">
        <v>97</v>
      </c>
      <c r="L1317" s="17">
        <v>100</v>
      </c>
      <c r="M1317" s="18">
        <f>Raw_LIMS_Export!K1317</f>
        <v>46013</v>
      </c>
      <c r="N1317" s="19" t="s">
        <v>2925</v>
      </c>
    </row>
    <row r="1318" spans="1:14" x14ac:dyDescent="0.35">
      <c r="A1318" s="16" t="s">
        <v>1319</v>
      </c>
      <c r="B1318" s="17" t="s">
        <v>2181</v>
      </c>
      <c r="C1318" s="17" t="s">
        <v>2459</v>
      </c>
      <c r="D1318" s="17" t="str">
        <f>_xlfn.XLOOKUP(Raw_LIMS_Export!E1318,'mapping Site table'!$B$4:$B$14,'mapping Site table'!$C$4:$C$14,Raw_LIMS_Export!E1318)</f>
        <v>Vernier CH</v>
      </c>
      <c r="E1318" s="17" t="s">
        <v>2480</v>
      </c>
      <c r="F1318" s="17">
        <f t="shared" si="61"/>
        <v>1</v>
      </c>
      <c r="G1318" s="17" t="str">
        <f t="shared" si="62"/>
        <v>Pass</v>
      </c>
      <c r="H1318" s="17" t="str">
        <f t="shared" si="60"/>
        <v>Fail</v>
      </c>
      <c r="I1318" s="17">
        <v>0.91</v>
      </c>
      <c r="J1318" s="17" t="s">
        <v>2487</v>
      </c>
      <c r="K1318" s="17">
        <v>0.88</v>
      </c>
      <c r="L1318" s="17">
        <v>0.97</v>
      </c>
      <c r="M1318" s="18">
        <f>Raw_LIMS_Export!K1318</f>
        <v>45500</v>
      </c>
      <c r="N1318" s="19" t="s">
        <v>2925</v>
      </c>
    </row>
    <row r="1319" spans="1:14" x14ac:dyDescent="0.35">
      <c r="A1319" s="16" t="s">
        <v>1320</v>
      </c>
      <c r="B1319" s="17" t="s">
        <v>2324</v>
      </c>
      <c r="C1319" s="17" t="s">
        <v>2459</v>
      </c>
      <c r="D1319" s="17" t="str">
        <f>_xlfn.XLOOKUP(Raw_LIMS_Export!E1319,'mapping Site table'!$B$4:$B$14,'mapping Site table'!$C$4:$C$14,Raw_LIMS_Export!E1319)</f>
        <v>Ashford UK</v>
      </c>
      <c r="E1319" s="17" t="s">
        <v>2484</v>
      </c>
      <c r="F1319" s="17">
        <f t="shared" si="61"/>
        <v>1</v>
      </c>
      <c r="G1319" s="17" t="str">
        <f t="shared" si="62"/>
        <v>Pass</v>
      </c>
      <c r="H1319" s="17" t="str">
        <f t="shared" si="60"/>
        <v>Pass</v>
      </c>
      <c r="I1319" s="17">
        <v>7.29</v>
      </c>
      <c r="J1319" s="17"/>
      <c r="K1319" s="17">
        <v>6</v>
      </c>
      <c r="L1319" s="17">
        <v>7.5</v>
      </c>
      <c r="M1319" s="18">
        <f>Raw_LIMS_Export!K1319</f>
        <v>45828</v>
      </c>
      <c r="N1319" s="19" t="s">
        <v>2923</v>
      </c>
    </row>
    <row r="1320" spans="1:14" x14ac:dyDescent="0.35">
      <c r="A1320" s="16" t="s">
        <v>1321</v>
      </c>
      <c r="B1320" s="17" t="s">
        <v>2409</v>
      </c>
      <c r="C1320" s="17" t="s">
        <v>2459</v>
      </c>
      <c r="D1320" s="17" t="str">
        <f>_xlfn.XLOOKUP(Raw_LIMS_Export!E1320,'mapping Site table'!$B$4:$B$14,'mapping Site table'!$C$4:$C$14,Raw_LIMS_Export!E1320)</f>
        <v>East Hanover</v>
      </c>
      <c r="E1320" s="17" t="s">
        <v>2481</v>
      </c>
      <c r="F1320" s="17">
        <f t="shared" si="61"/>
        <v>1</v>
      </c>
      <c r="G1320" s="17" t="str">
        <f t="shared" si="62"/>
        <v>Pass</v>
      </c>
      <c r="H1320" s="17" t="str">
        <f t="shared" si="60"/>
        <v>Pass</v>
      </c>
      <c r="I1320" s="17">
        <v>201.66</v>
      </c>
      <c r="J1320" s="17" t="s">
        <v>2488</v>
      </c>
      <c r="K1320" s="17">
        <v>150</v>
      </c>
      <c r="L1320" s="17">
        <v>400</v>
      </c>
      <c r="M1320" s="18">
        <f>Raw_LIMS_Export!K1320</f>
        <v>45416</v>
      </c>
      <c r="N1320" s="19" t="s">
        <v>2924</v>
      </c>
    </row>
    <row r="1321" spans="1:14" x14ac:dyDescent="0.35">
      <c r="A1321" s="16" t="s">
        <v>1322</v>
      </c>
      <c r="B1321" s="17" t="s">
        <v>2151</v>
      </c>
      <c r="C1321" s="17" t="s">
        <v>2458</v>
      </c>
      <c r="D1321" s="17" t="str">
        <f>_xlfn.XLOOKUP(Raw_LIMS_Export!E1321,'mapping Site table'!$B$4:$B$14,'mapping Site table'!$C$4:$C$14,Raw_LIMS_Export!E1321)</f>
        <v>East Hanover</v>
      </c>
      <c r="E1321" s="17" t="s">
        <v>2485</v>
      </c>
      <c r="F1321" s="17">
        <f t="shared" si="61"/>
        <v>1</v>
      </c>
      <c r="G1321" s="17" t="str">
        <f t="shared" si="62"/>
        <v>Fail</v>
      </c>
      <c r="H1321" s="17" t="str">
        <f t="shared" si="60"/>
        <v>Fail</v>
      </c>
      <c r="I1321" s="17">
        <v>-12.54</v>
      </c>
      <c r="J1321" s="17" t="s">
        <v>2490</v>
      </c>
      <c r="K1321" s="17">
        <v>0</v>
      </c>
      <c r="L1321" s="17">
        <v>100</v>
      </c>
      <c r="M1321" s="18">
        <f>Raw_LIMS_Export!K1321</f>
        <v>45334</v>
      </c>
      <c r="N1321" s="19" t="s">
        <v>2927</v>
      </c>
    </row>
    <row r="1322" spans="1:14" x14ac:dyDescent="0.35">
      <c r="A1322" s="16" t="s">
        <v>1323</v>
      </c>
      <c r="B1322" s="17" t="s">
        <v>2165</v>
      </c>
      <c r="C1322" s="17" t="s">
        <v>2458</v>
      </c>
      <c r="D1322" s="17" t="str">
        <f>_xlfn.XLOOKUP(Raw_LIMS_Export!E1322,'mapping Site table'!$B$4:$B$14,'mapping Site table'!$C$4:$C$14,Raw_LIMS_Export!E1322)</f>
        <v>Budapest</v>
      </c>
      <c r="E1322" s="17" t="s">
        <v>2480</v>
      </c>
      <c r="F1322" s="17">
        <f t="shared" si="61"/>
        <v>1</v>
      </c>
      <c r="G1322" s="17" t="str">
        <f t="shared" si="62"/>
        <v>Pass</v>
      </c>
      <c r="H1322" s="17" t="str">
        <f t="shared" si="60"/>
        <v>Pass</v>
      </c>
      <c r="I1322" s="17">
        <v>0.93</v>
      </c>
      <c r="J1322" s="17" t="s">
        <v>2487</v>
      </c>
      <c r="K1322" s="17">
        <v>0.88</v>
      </c>
      <c r="L1322" s="17">
        <v>0.97</v>
      </c>
      <c r="M1322" s="18">
        <f>Raw_LIMS_Export!K1322</f>
        <v>45886</v>
      </c>
      <c r="N1322" s="19" t="s">
        <v>2929</v>
      </c>
    </row>
    <row r="1323" spans="1:14" x14ac:dyDescent="0.35">
      <c r="A1323" s="16" t="s">
        <v>1324</v>
      </c>
      <c r="B1323" s="17" t="s">
        <v>2109</v>
      </c>
      <c r="C1323" s="17" t="s">
        <v>2461</v>
      </c>
      <c r="D1323" s="17" t="str">
        <f>_xlfn.XLOOKUP(Raw_LIMS_Export!E1323,'mapping Site table'!$B$4:$B$14,'mapping Site table'!$C$4:$C$14,Raw_LIMS_Export!E1323)</f>
        <v>Budapest</v>
      </c>
      <c r="E1323" s="17" t="s">
        <v>2480</v>
      </c>
      <c r="F1323" s="17">
        <f t="shared" si="61"/>
        <v>1</v>
      </c>
      <c r="G1323" s="17" t="str">
        <f t="shared" si="62"/>
        <v>Pass</v>
      </c>
      <c r="H1323" s="17" t="str">
        <f t="shared" si="60"/>
        <v>Pending</v>
      </c>
      <c r="I1323" s="17">
        <v>0.89</v>
      </c>
      <c r="J1323" s="17" t="s">
        <v>2487</v>
      </c>
      <c r="K1323" s="17">
        <v>0.88</v>
      </c>
      <c r="L1323" s="17">
        <v>0.97</v>
      </c>
      <c r="M1323" s="18">
        <f>Raw_LIMS_Export!K1323</f>
        <v>45596</v>
      </c>
      <c r="N1323" s="19" t="s">
        <v>2927</v>
      </c>
    </row>
    <row r="1324" spans="1:14" x14ac:dyDescent="0.35">
      <c r="A1324" s="16" t="s">
        <v>1325</v>
      </c>
      <c r="B1324" s="17" t="s">
        <v>2443</v>
      </c>
      <c r="C1324" s="17" t="s">
        <v>2460</v>
      </c>
      <c r="D1324" s="17" t="str">
        <f>_xlfn.XLOOKUP(Raw_LIMS_Export!E1324,'mapping Site table'!$B$4:$B$14,'mapping Site table'!$C$4:$C$14,Raw_LIMS_Export!E1324)</f>
        <v>Ashford UK</v>
      </c>
      <c r="E1324" s="17" t="s">
        <v>2480</v>
      </c>
      <c r="F1324" s="17">
        <f t="shared" si="61"/>
        <v>1</v>
      </c>
      <c r="G1324" s="17" t="str">
        <f t="shared" si="62"/>
        <v>Pass</v>
      </c>
      <c r="H1324" s="17" t="str">
        <f t="shared" si="60"/>
        <v>Pass</v>
      </c>
      <c r="I1324" s="17">
        <v>0.91</v>
      </c>
      <c r="J1324" s="17" t="s">
        <v>2487</v>
      </c>
      <c r="K1324" s="17">
        <v>0.88</v>
      </c>
      <c r="L1324" s="17">
        <v>0.97</v>
      </c>
      <c r="M1324" s="18">
        <f>Raw_LIMS_Export!K1324</f>
        <v>45533</v>
      </c>
      <c r="N1324" s="19" t="s">
        <v>2931</v>
      </c>
    </row>
    <row r="1325" spans="1:14" x14ac:dyDescent="0.35">
      <c r="A1325" s="16" t="s">
        <v>1326</v>
      </c>
      <c r="B1325" s="17" t="s">
        <v>2340</v>
      </c>
      <c r="C1325" s="17" t="s">
        <v>2460</v>
      </c>
      <c r="D1325" s="17" t="str">
        <f>_xlfn.XLOOKUP(Raw_LIMS_Export!E1325,'mapping Site table'!$B$4:$B$14,'mapping Site table'!$C$4:$C$14,Raw_LIMS_Export!E1325)</f>
        <v>Vernier CH</v>
      </c>
      <c r="E1325" s="17" t="s">
        <v>2483</v>
      </c>
      <c r="F1325" s="17">
        <f t="shared" si="61"/>
        <v>1</v>
      </c>
      <c r="G1325" s="17" t="str">
        <f t="shared" si="62"/>
        <v>Pass</v>
      </c>
      <c r="H1325" s="17" t="str">
        <f t="shared" si="60"/>
        <v>Pass</v>
      </c>
      <c r="I1325" s="17">
        <v>0.22</v>
      </c>
      <c r="J1325" s="17" t="s">
        <v>2489</v>
      </c>
      <c r="K1325" s="17">
        <v>0</v>
      </c>
      <c r="L1325" s="17">
        <v>1</v>
      </c>
      <c r="M1325" s="18">
        <f>Raw_LIMS_Export!K1325</f>
        <v>45890</v>
      </c>
      <c r="N1325" s="19" t="s">
        <v>2926</v>
      </c>
    </row>
    <row r="1326" spans="1:14" x14ac:dyDescent="0.35">
      <c r="A1326" s="16" t="s">
        <v>1327</v>
      </c>
      <c r="B1326" s="17" t="s">
        <v>2344</v>
      </c>
      <c r="C1326" s="17" t="s">
        <v>2461</v>
      </c>
      <c r="D1326" s="17" t="str">
        <f>_xlfn.XLOOKUP(Raw_LIMS_Export!E1326,'mapping Site table'!$B$4:$B$14,'mapping Site table'!$C$4:$C$14,Raw_LIMS_Export!E1326)</f>
        <v>Vernier CH</v>
      </c>
      <c r="E1326" s="17" t="s">
        <v>2485</v>
      </c>
      <c r="F1326" s="17">
        <f t="shared" si="61"/>
        <v>1</v>
      </c>
      <c r="G1326" s="17" t="str">
        <f t="shared" si="62"/>
        <v>Pass</v>
      </c>
      <c r="H1326" s="17" t="str">
        <f t="shared" si="60"/>
        <v>Pending</v>
      </c>
      <c r="I1326" s="17">
        <v>29.31</v>
      </c>
      <c r="J1326" s="17" t="s">
        <v>2490</v>
      </c>
      <c r="K1326" s="17">
        <v>0</v>
      </c>
      <c r="L1326" s="17">
        <v>100</v>
      </c>
      <c r="M1326" s="18">
        <f>Raw_LIMS_Export!K1326</f>
        <v>45458</v>
      </c>
      <c r="N1326" s="19" t="s">
        <v>2925</v>
      </c>
    </row>
    <row r="1327" spans="1:14" x14ac:dyDescent="0.35">
      <c r="A1327" s="16" t="s">
        <v>1328</v>
      </c>
      <c r="B1327" s="17" t="s">
        <v>2280</v>
      </c>
      <c r="C1327" s="17" t="s">
        <v>2460</v>
      </c>
      <c r="D1327" s="17" t="str">
        <f>_xlfn.XLOOKUP(Raw_LIMS_Export!E1327,'mapping Site table'!$B$4:$B$14,'mapping Site table'!$C$4:$C$14,Raw_LIMS_Export!E1327)</f>
        <v>East Hanover</v>
      </c>
      <c r="E1327" s="17" t="s">
        <v>2485</v>
      </c>
      <c r="F1327" s="17">
        <f t="shared" si="61"/>
        <v>1</v>
      </c>
      <c r="G1327" s="17" t="str">
        <f t="shared" si="62"/>
        <v>Pass</v>
      </c>
      <c r="H1327" s="17" t="str">
        <f t="shared" si="60"/>
        <v>Pass</v>
      </c>
      <c r="I1327" s="17">
        <v>30.66</v>
      </c>
      <c r="J1327" s="17" t="s">
        <v>2490</v>
      </c>
      <c r="K1327" s="17">
        <v>0</v>
      </c>
      <c r="L1327" s="17">
        <v>100</v>
      </c>
      <c r="M1327" s="18">
        <f>Raw_LIMS_Export!K1327</f>
        <v>45685</v>
      </c>
      <c r="N1327" s="19" t="s">
        <v>2932</v>
      </c>
    </row>
    <row r="1328" spans="1:14" x14ac:dyDescent="0.35">
      <c r="A1328" s="16" t="s">
        <v>1329</v>
      </c>
      <c r="B1328" s="17" t="s">
        <v>2243</v>
      </c>
      <c r="C1328" s="17" t="s">
        <v>2461</v>
      </c>
      <c r="D1328" s="17" t="str">
        <f>_xlfn.XLOOKUP(Raw_LIMS_Export!E1328,'mapping Site table'!$B$4:$B$14,'mapping Site table'!$C$4:$C$14,Raw_LIMS_Export!E1328)</f>
        <v>Dortmund DE</v>
      </c>
      <c r="E1328" s="17" t="s">
        <v>2481</v>
      </c>
      <c r="F1328" s="17">
        <f t="shared" si="61"/>
        <v>1</v>
      </c>
      <c r="G1328" s="17" t="str">
        <f t="shared" si="62"/>
        <v>Pass</v>
      </c>
      <c r="H1328" s="17" t="str">
        <f t="shared" si="60"/>
        <v>Pass</v>
      </c>
      <c r="I1328" s="17">
        <v>252.15</v>
      </c>
      <c r="J1328" s="17" t="s">
        <v>2488</v>
      </c>
      <c r="K1328" s="17">
        <v>150</v>
      </c>
      <c r="L1328" s="17">
        <v>400</v>
      </c>
      <c r="M1328" s="18">
        <f>Raw_LIMS_Export!K1328</f>
        <v>45833</v>
      </c>
      <c r="N1328" s="19" t="s">
        <v>2925</v>
      </c>
    </row>
    <row r="1329" spans="1:14" x14ac:dyDescent="0.35">
      <c r="A1329" s="16" t="s">
        <v>1330</v>
      </c>
      <c r="B1329" s="17" t="s">
        <v>2250</v>
      </c>
      <c r="C1329" s="17" t="s">
        <v>2460</v>
      </c>
      <c r="D1329" s="17" t="str">
        <f>_xlfn.XLOOKUP(Raw_LIMS_Export!E1329,'mapping Site table'!$B$4:$B$14,'mapping Site table'!$C$4:$C$14,Raw_LIMS_Export!E1329)</f>
        <v>Budapest</v>
      </c>
      <c r="E1329" s="17" t="s">
        <v>2484</v>
      </c>
      <c r="F1329" s="17">
        <f t="shared" si="61"/>
        <v>1</v>
      </c>
      <c r="G1329" s="17" t="str">
        <f t="shared" si="62"/>
        <v>Pass</v>
      </c>
      <c r="H1329" s="17" t="str">
        <f t="shared" si="60"/>
        <v>Pass</v>
      </c>
      <c r="I1329" s="17">
        <v>7.12</v>
      </c>
      <c r="J1329" s="17"/>
      <c r="K1329" s="17">
        <v>6</v>
      </c>
      <c r="L1329" s="17">
        <v>7.5</v>
      </c>
      <c r="M1329" s="18">
        <f>Raw_LIMS_Export!K1329</f>
        <v>45670</v>
      </c>
      <c r="N1329" s="19" t="s">
        <v>2924</v>
      </c>
    </row>
    <row r="1330" spans="1:14" x14ac:dyDescent="0.35">
      <c r="A1330" s="16" t="s">
        <v>1331</v>
      </c>
      <c r="B1330" s="17" t="s">
        <v>2069</v>
      </c>
      <c r="C1330" s="17" t="s">
        <v>2458</v>
      </c>
      <c r="D1330" s="17" t="str">
        <f>_xlfn.XLOOKUP(Raw_LIMS_Export!E1330,'mapping Site table'!$B$4:$B$14,'mapping Site table'!$C$4:$C$14,Raw_LIMS_Export!E1330)</f>
        <v>East Hanover</v>
      </c>
      <c r="E1330" s="17" t="s">
        <v>2483</v>
      </c>
      <c r="F1330" s="17">
        <f t="shared" si="61"/>
        <v>1</v>
      </c>
      <c r="G1330" s="17" t="str">
        <f t="shared" si="62"/>
        <v>Pass</v>
      </c>
      <c r="H1330" s="17" t="str">
        <f t="shared" si="60"/>
        <v>Fail</v>
      </c>
      <c r="I1330" s="17">
        <v>0.43</v>
      </c>
      <c r="J1330" s="17" t="s">
        <v>2489</v>
      </c>
      <c r="K1330" s="17">
        <v>0</v>
      </c>
      <c r="L1330" s="17">
        <v>1</v>
      </c>
      <c r="M1330" s="18">
        <f>Raw_LIMS_Export!K1330</f>
        <v>45766</v>
      </c>
      <c r="N1330" s="19" t="s">
        <v>2929</v>
      </c>
    </row>
    <row r="1331" spans="1:14" x14ac:dyDescent="0.35">
      <c r="A1331" s="16" t="s">
        <v>1332</v>
      </c>
      <c r="B1331" s="17" t="s">
        <v>2184</v>
      </c>
      <c r="C1331" s="17" t="s">
        <v>2461</v>
      </c>
      <c r="D1331" s="17" t="str">
        <f>_xlfn.XLOOKUP(Raw_LIMS_Export!E1331,'mapping Site table'!$B$4:$B$14,'mapping Site table'!$C$4:$C$14,Raw_LIMS_Export!E1331)</f>
        <v>Ashford UK</v>
      </c>
      <c r="E1331" s="17" t="s">
        <v>2483</v>
      </c>
      <c r="F1331" s="17">
        <f t="shared" si="61"/>
        <v>1</v>
      </c>
      <c r="G1331" s="17" t="str">
        <f t="shared" si="62"/>
        <v>Pass</v>
      </c>
      <c r="H1331" s="17" t="str">
        <f t="shared" si="60"/>
        <v>Pass</v>
      </c>
      <c r="I1331" s="17">
        <v>0.09</v>
      </c>
      <c r="J1331" s="17" t="s">
        <v>2489</v>
      </c>
      <c r="K1331" s="17">
        <v>0</v>
      </c>
      <c r="L1331" s="17">
        <v>1</v>
      </c>
      <c r="M1331" s="18">
        <f>Raw_LIMS_Export!K1331</f>
        <v>45662</v>
      </c>
      <c r="N1331" s="19" t="s">
        <v>2926</v>
      </c>
    </row>
    <row r="1332" spans="1:14" x14ac:dyDescent="0.35">
      <c r="A1332" s="16" t="s">
        <v>1333</v>
      </c>
      <c r="B1332" s="17" t="s">
        <v>2453</v>
      </c>
      <c r="C1332" s="17" t="s">
        <v>2459</v>
      </c>
      <c r="D1332" s="17" t="str">
        <f>_xlfn.XLOOKUP(Raw_LIMS_Export!E1332,'mapping Site table'!$B$4:$B$14,'mapping Site table'!$C$4:$C$14,Raw_LIMS_Export!E1332)</f>
        <v>Ashford UK</v>
      </c>
      <c r="E1332" s="17" t="s">
        <v>2483</v>
      </c>
      <c r="F1332" s="17">
        <f t="shared" si="61"/>
        <v>1</v>
      </c>
      <c r="G1332" s="17" t="str">
        <f t="shared" si="62"/>
        <v>Pass</v>
      </c>
      <c r="H1332" s="17" t="str">
        <f t="shared" si="60"/>
        <v>Pending</v>
      </c>
      <c r="I1332" s="17">
        <v>0.49</v>
      </c>
      <c r="J1332" s="17" t="s">
        <v>2489</v>
      </c>
      <c r="K1332" s="17">
        <v>0</v>
      </c>
      <c r="L1332" s="17">
        <v>1</v>
      </c>
      <c r="M1332" s="18">
        <f>Raw_LIMS_Export!K1332</f>
        <v>46013</v>
      </c>
      <c r="N1332" s="19" t="s">
        <v>2930</v>
      </c>
    </row>
    <row r="1333" spans="1:14" x14ac:dyDescent="0.35">
      <c r="A1333" s="16" t="s">
        <v>1334</v>
      </c>
      <c r="B1333" s="17" t="s">
        <v>2258</v>
      </c>
      <c r="C1333" s="17" t="s">
        <v>2460</v>
      </c>
      <c r="D1333" s="17" t="str">
        <f>_xlfn.XLOOKUP(Raw_LIMS_Export!E1333,'mapping Site table'!$B$4:$B$14,'mapping Site table'!$C$4:$C$14,Raw_LIMS_Export!E1333)</f>
        <v>Vernier CH</v>
      </c>
      <c r="E1333" s="17" t="s">
        <v>2485</v>
      </c>
      <c r="F1333" s="17">
        <f t="shared" si="61"/>
        <v>1</v>
      </c>
      <c r="G1333" s="17" t="str">
        <f t="shared" si="62"/>
        <v>Pass</v>
      </c>
      <c r="H1333" s="17" t="str">
        <f t="shared" si="60"/>
        <v>Pass</v>
      </c>
      <c r="I1333" s="17">
        <v>6.07</v>
      </c>
      <c r="J1333" s="17" t="s">
        <v>2490</v>
      </c>
      <c r="K1333" s="17">
        <v>0</v>
      </c>
      <c r="L1333" s="17">
        <v>100</v>
      </c>
      <c r="M1333" s="18">
        <f>Raw_LIMS_Export!K1333</f>
        <v>45883</v>
      </c>
      <c r="N1333" s="19" t="s">
        <v>2928</v>
      </c>
    </row>
    <row r="1334" spans="1:14" x14ac:dyDescent="0.35">
      <c r="A1334" s="16" t="s">
        <v>1335</v>
      </c>
      <c r="B1334" s="17" t="s">
        <v>2168</v>
      </c>
      <c r="C1334" s="17" t="s">
        <v>2459</v>
      </c>
      <c r="D1334" s="17" t="str">
        <f>_xlfn.XLOOKUP(Raw_LIMS_Export!E1334,'mapping Site table'!$B$4:$B$14,'mapping Site table'!$C$4:$C$14,Raw_LIMS_Export!E1334)</f>
        <v>Budapest</v>
      </c>
      <c r="E1334" s="17" t="s">
        <v>2485</v>
      </c>
      <c r="F1334" s="17">
        <f t="shared" si="61"/>
        <v>1</v>
      </c>
      <c r="G1334" s="17" t="str">
        <f t="shared" si="62"/>
        <v>Pass</v>
      </c>
      <c r="H1334" s="17" t="str">
        <f t="shared" si="60"/>
        <v>Pass</v>
      </c>
      <c r="I1334" s="17">
        <v>17.28</v>
      </c>
      <c r="J1334" s="17" t="s">
        <v>2490</v>
      </c>
      <c r="K1334" s="17">
        <v>0</v>
      </c>
      <c r="L1334" s="17">
        <v>100</v>
      </c>
      <c r="M1334" s="18">
        <f>Raw_LIMS_Export!K1334</f>
        <v>45558</v>
      </c>
      <c r="N1334" s="19" t="s">
        <v>2925</v>
      </c>
    </row>
    <row r="1335" spans="1:14" x14ac:dyDescent="0.35">
      <c r="A1335" s="16" t="s">
        <v>1336</v>
      </c>
      <c r="B1335" s="17" t="s">
        <v>2056</v>
      </c>
      <c r="C1335" s="17" t="s">
        <v>2459</v>
      </c>
      <c r="D1335" s="17" t="str">
        <f>_xlfn.XLOOKUP(Raw_LIMS_Export!E1335,'mapping Site table'!$B$4:$B$14,'mapping Site table'!$C$4:$C$14,Raw_LIMS_Export!E1335)</f>
        <v>Budapest</v>
      </c>
      <c r="E1335" s="17" t="s">
        <v>2484</v>
      </c>
      <c r="F1335" s="17">
        <f t="shared" si="61"/>
        <v>1</v>
      </c>
      <c r="G1335" s="17" t="str">
        <f t="shared" si="62"/>
        <v>Pass</v>
      </c>
      <c r="H1335" s="17" t="str">
        <f t="shared" si="60"/>
        <v>Pass</v>
      </c>
      <c r="I1335" s="17">
        <v>6.33</v>
      </c>
      <c r="J1335" s="17"/>
      <c r="K1335" s="17">
        <v>6</v>
      </c>
      <c r="L1335" s="17">
        <v>7.5</v>
      </c>
      <c r="M1335" s="18">
        <f>Raw_LIMS_Export!K1335</f>
        <v>45997</v>
      </c>
      <c r="N1335" s="19" t="s">
        <v>2932</v>
      </c>
    </row>
    <row r="1336" spans="1:14" x14ac:dyDescent="0.35">
      <c r="A1336" s="16" t="s">
        <v>1337</v>
      </c>
      <c r="B1336" s="17" t="s">
        <v>2360</v>
      </c>
      <c r="C1336" s="17" t="s">
        <v>2458</v>
      </c>
      <c r="D1336" s="17" t="str">
        <f>_xlfn.XLOOKUP(Raw_LIMS_Export!E1336,'mapping Site table'!$B$4:$B$14,'mapping Site table'!$C$4:$C$14,Raw_LIMS_Export!E1336)</f>
        <v>Ashford UK</v>
      </c>
      <c r="E1336" s="17" t="s">
        <v>2485</v>
      </c>
      <c r="F1336" s="17">
        <f t="shared" si="61"/>
        <v>1</v>
      </c>
      <c r="G1336" s="17" t="str">
        <f t="shared" si="62"/>
        <v>Pass</v>
      </c>
      <c r="H1336" s="17" t="str">
        <f t="shared" si="60"/>
        <v>Pass</v>
      </c>
      <c r="I1336" s="17">
        <v>15.01</v>
      </c>
      <c r="J1336" s="17" t="s">
        <v>2490</v>
      </c>
      <c r="K1336" s="17">
        <v>0</v>
      </c>
      <c r="L1336" s="17">
        <v>100</v>
      </c>
      <c r="M1336" s="18">
        <f>Raw_LIMS_Export!K1336</f>
        <v>45509</v>
      </c>
      <c r="N1336" s="19" t="s">
        <v>2932</v>
      </c>
    </row>
    <row r="1337" spans="1:14" x14ac:dyDescent="0.35">
      <c r="A1337" s="16" t="s">
        <v>1338</v>
      </c>
      <c r="B1337" s="17" t="s">
        <v>2399</v>
      </c>
      <c r="C1337" s="17" t="s">
        <v>2459</v>
      </c>
      <c r="D1337" s="17" t="str">
        <f>_xlfn.XLOOKUP(Raw_LIMS_Export!E1337,'mapping Site table'!$B$4:$B$14,'mapping Site table'!$C$4:$C$14,Raw_LIMS_Export!E1337)</f>
        <v>East Hanover</v>
      </c>
      <c r="E1337" s="17" t="s">
        <v>2484</v>
      </c>
      <c r="F1337" s="17">
        <f t="shared" si="61"/>
        <v>1</v>
      </c>
      <c r="G1337" s="17" t="str">
        <f t="shared" si="62"/>
        <v>Pass</v>
      </c>
      <c r="H1337" s="17" t="str">
        <f t="shared" si="60"/>
        <v>Fail</v>
      </c>
      <c r="I1337" s="17">
        <v>6.38</v>
      </c>
      <c r="J1337" s="17"/>
      <c r="K1337" s="17">
        <v>6</v>
      </c>
      <c r="L1337" s="17">
        <v>7.5</v>
      </c>
      <c r="M1337" s="18">
        <f>Raw_LIMS_Export!K1337</f>
        <v>45669</v>
      </c>
      <c r="N1337" s="19" t="s">
        <v>2928</v>
      </c>
    </row>
    <row r="1338" spans="1:14" x14ac:dyDescent="0.35">
      <c r="A1338" s="16" t="s">
        <v>1339</v>
      </c>
      <c r="B1338" s="17" t="s">
        <v>2260</v>
      </c>
      <c r="C1338" s="17" t="s">
        <v>2461</v>
      </c>
      <c r="D1338" s="17" t="str">
        <f>_xlfn.XLOOKUP(Raw_LIMS_Export!E1338,'mapping Site table'!$B$4:$B$14,'mapping Site table'!$C$4:$C$14,Raw_LIMS_Export!E1338)</f>
        <v>Budapest</v>
      </c>
      <c r="E1338" s="17" t="s">
        <v>2481</v>
      </c>
      <c r="F1338" s="17">
        <f t="shared" si="61"/>
        <v>1</v>
      </c>
      <c r="G1338" s="17" t="str">
        <f t="shared" si="62"/>
        <v>Pass</v>
      </c>
      <c r="H1338" s="17" t="str">
        <f t="shared" si="60"/>
        <v>Pass</v>
      </c>
      <c r="I1338" s="17">
        <v>211.72</v>
      </c>
      <c r="J1338" s="17" t="s">
        <v>2488</v>
      </c>
      <c r="K1338" s="17">
        <v>150</v>
      </c>
      <c r="L1338" s="17">
        <v>400</v>
      </c>
      <c r="M1338" s="18">
        <f>Raw_LIMS_Export!K1338</f>
        <v>45623</v>
      </c>
      <c r="N1338" s="19" t="s">
        <v>2929</v>
      </c>
    </row>
    <row r="1339" spans="1:14" x14ac:dyDescent="0.35">
      <c r="A1339" s="16" t="s">
        <v>1340</v>
      </c>
      <c r="B1339" s="17" t="s">
        <v>2372</v>
      </c>
      <c r="C1339" s="17" t="s">
        <v>2461</v>
      </c>
      <c r="D1339" s="17" t="str">
        <f>_xlfn.XLOOKUP(Raw_LIMS_Export!E1339,'mapping Site table'!$B$4:$B$14,'mapping Site table'!$C$4:$C$14,Raw_LIMS_Export!E1339)</f>
        <v>Ashford UK</v>
      </c>
      <c r="E1339" s="17" t="s">
        <v>2484</v>
      </c>
      <c r="F1339" s="17">
        <f t="shared" si="61"/>
        <v>1</v>
      </c>
      <c r="G1339" s="17" t="str">
        <f t="shared" si="62"/>
        <v>Pass</v>
      </c>
      <c r="H1339" s="17" t="str">
        <f t="shared" si="60"/>
        <v>Pass</v>
      </c>
      <c r="I1339" s="17">
        <v>7.27</v>
      </c>
      <c r="J1339" s="17"/>
      <c r="K1339" s="17">
        <v>6</v>
      </c>
      <c r="L1339" s="17">
        <v>7.5</v>
      </c>
      <c r="M1339" s="18">
        <f>Raw_LIMS_Export!K1339</f>
        <v>45704</v>
      </c>
      <c r="N1339" s="19" t="s">
        <v>2927</v>
      </c>
    </row>
    <row r="1340" spans="1:14" x14ac:dyDescent="0.35">
      <c r="A1340" s="16" t="s">
        <v>1341</v>
      </c>
      <c r="B1340" s="17" t="s">
        <v>2148</v>
      </c>
      <c r="C1340" s="17" t="s">
        <v>2460</v>
      </c>
      <c r="D1340" s="17" t="str">
        <f>_xlfn.XLOOKUP(Raw_LIMS_Export!E1340,'mapping Site table'!$B$4:$B$14,'mapping Site table'!$C$4:$C$14,Raw_LIMS_Export!E1340)</f>
        <v>Vernier CH</v>
      </c>
      <c r="E1340" s="17" t="s">
        <v>2485</v>
      </c>
      <c r="F1340" s="17">
        <f t="shared" si="61"/>
        <v>1</v>
      </c>
      <c r="G1340" s="17" t="str">
        <f t="shared" si="62"/>
        <v>Fail</v>
      </c>
      <c r="H1340" s="17" t="str">
        <f t="shared" si="60"/>
        <v>Fail</v>
      </c>
      <c r="I1340" s="17">
        <v>-75</v>
      </c>
      <c r="J1340" s="17" t="s">
        <v>2490</v>
      </c>
      <c r="K1340" s="17">
        <v>0</v>
      </c>
      <c r="L1340" s="17">
        <v>100</v>
      </c>
      <c r="M1340" s="18">
        <f>Raw_LIMS_Export!K1340</f>
        <v>45840</v>
      </c>
      <c r="N1340" s="19" t="s">
        <v>2929</v>
      </c>
    </row>
    <row r="1341" spans="1:14" x14ac:dyDescent="0.35">
      <c r="A1341" s="16" t="s">
        <v>1342</v>
      </c>
      <c r="B1341" s="17" t="s">
        <v>2297</v>
      </c>
      <c r="C1341" s="17" t="s">
        <v>2458</v>
      </c>
      <c r="D1341" s="17" t="str">
        <f>_xlfn.XLOOKUP(Raw_LIMS_Export!E1341,'mapping Site table'!$B$4:$B$14,'mapping Site table'!$C$4:$C$14,Raw_LIMS_Export!E1341)</f>
        <v>East Hanover</v>
      </c>
      <c r="E1341" s="17" t="s">
        <v>2480</v>
      </c>
      <c r="F1341" s="17">
        <f t="shared" si="61"/>
        <v>1</v>
      </c>
      <c r="G1341" s="17" t="str">
        <f t="shared" si="62"/>
        <v>Pass</v>
      </c>
      <c r="H1341" s="17" t="str">
        <f t="shared" si="60"/>
        <v>Pass</v>
      </c>
      <c r="I1341" s="17">
        <v>0.94</v>
      </c>
      <c r="J1341" s="17" t="s">
        <v>2487</v>
      </c>
      <c r="K1341" s="17">
        <v>0.88</v>
      </c>
      <c r="L1341" s="17">
        <v>0.97</v>
      </c>
      <c r="M1341" s="18">
        <f>Raw_LIMS_Export!K1341</f>
        <v>45800</v>
      </c>
      <c r="N1341" s="19" t="s">
        <v>2932</v>
      </c>
    </row>
    <row r="1342" spans="1:14" x14ac:dyDescent="0.35">
      <c r="A1342" s="16" t="s">
        <v>1343</v>
      </c>
      <c r="B1342" s="17" t="s">
        <v>2432</v>
      </c>
      <c r="C1342" s="17" t="s">
        <v>2459</v>
      </c>
      <c r="D1342" s="17" t="str">
        <f>_xlfn.XLOOKUP(Raw_LIMS_Export!E1342,'mapping Site table'!$B$4:$B$14,'mapping Site table'!$C$4:$C$14,Raw_LIMS_Export!E1342)</f>
        <v>East Hanover</v>
      </c>
      <c r="E1342" s="17" t="s">
        <v>2479</v>
      </c>
      <c r="F1342" s="17">
        <f t="shared" si="61"/>
        <v>1</v>
      </c>
      <c r="G1342" s="17" t="str">
        <f t="shared" si="62"/>
        <v>Pass</v>
      </c>
      <c r="H1342" s="17" t="str">
        <f t="shared" si="60"/>
        <v>Pass</v>
      </c>
      <c r="I1342" s="17">
        <v>15.09</v>
      </c>
      <c r="J1342" s="17" t="s">
        <v>2486</v>
      </c>
      <c r="K1342" s="17">
        <v>0</v>
      </c>
      <c r="L1342" s="17">
        <v>120</v>
      </c>
      <c r="M1342" s="18">
        <f>Raw_LIMS_Export!K1342</f>
        <v>45457</v>
      </c>
      <c r="N1342" s="19" t="s">
        <v>2929</v>
      </c>
    </row>
    <row r="1343" spans="1:14" x14ac:dyDescent="0.35">
      <c r="A1343" s="16" t="s">
        <v>1344</v>
      </c>
      <c r="B1343" s="17" t="s">
        <v>2267</v>
      </c>
      <c r="C1343" s="17" t="s">
        <v>2460</v>
      </c>
      <c r="D1343" s="17" t="str">
        <f>_xlfn.XLOOKUP(Raw_LIMS_Export!E1343,'mapping Site table'!$B$4:$B$14,'mapping Site table'!$C$4:$C$14,Raw_LIMS_Export!E1343)</f>
        <v>East Hanover</v>
      </c>
      <c r="E1343" s="17" t="s">
        <v>2483</v>
      </c>
      <c r="F1343" s="17">
        <f t="shared" si="61"/>
        <v>1</v>
      </c>
      <c r="G1343" s="17" t="str">
        <f t="shared" si="62"/>
        <v>Pass</v>
      </c>
      <c r="H1343" s="17" t="str">
        <f t="shared" si="60"/>
        <v>Pass</v>
      </c>
      <c r="I1343" s="17">
        <v>0.63</v>
      </c>
      <c r="J1343" s="17" t="s">
        <v>2489</v>
      </c>
      <c r="K1343" s="17">
        <v>0</v>
      </c>
      <c r="L1343" s="17">
        <v>1</v>
      </c>
      <c r="M1343" s="18">
        <f>Raw_LIMS_Export!K1343</f>
        <v>45995</v>
      </c>
      <c r="N1343" s="19" t="s">
        <v>2932</v>
      </c>
    </row>
    <row r="1344" spans="1:14" x14ac:dyDescent="0.35">
      <c r="A1344" s="16" t="s">
        <v>1345</v>
      </c>
      <c r="B1344" s="17" t="s">
        <v>2032</v>
      </c>
      <c r="C1344" s="17" t="s">
        <v>2460</v>
      </c>
      <c r="D1344" s="17" t="str">
        <f>_xlfn.XLOOKUP(Raw_LIMS_Export!E1344,'mapping Site table'!$B$4:$B$14,'mapping Site table'!$C$4:$C$14,Raw_LIMS_Export!E1344)</f>
        <v>Ashford UK</v>
      </c>
      <c r="E1344" s="17" t="s">
        <v>2484</v>
      </c>
      <c r="F1344" s="17">
        <f t="shared" si="61"/>
        <v>1</v>
      </c>
      <c r="G1344" s="17" t="str">
        <f t="shared" si="62"/>
        <v>Fail</v>
      </c>
      <c r="H1344" s="17" t="str">
        <f t="shared" si="60"/>
        <v>Fail</v>
      </c>
      <c r="I1344" s="17">
        <v>8.6999999999999993</v>
      </c>
      <c r="J1344" s="17"/>
      <c r="K1344" s="17">
        <v>6</v>
      </c>
      <c r="L1344" s="17">
        <v>7.5</v>
      </c>
      <c r="M1344" s="18">
        <f>Raw_LIMS_Export!K1344</f>
        <v>45409</v>
      </c>
      <c r="N1344" s="19" t="s">
        <v>2928</v>
      </c>
    </row>
    <row r="1345" spans="1:14" x14ac:dyDescent="0.35">
      <c r="A1345" s="16" t="s">
        <v>1346</v>
      </c>
      <c r="B1345" s="17" t="s">
        <v>2083</v>
      </c>
      <c r="C1345" s="17" t="s">
        <v>2459</v>
      </c>
      <c r="D1345" s="17" t="str">
        <f>_xlfn.XLOOKUP(Raw_LIMS_Export!E1345,'mapping Site table'!$B$4:$B$14,'mapping Site table'!$C$4:$C$14,Raw_LIMS_Export!E1345)</f>
        <v>Ashford UK</v>
      </c>
      <c r="E1345" s="17" t="s">
        <v>2482</v>
      </c>
      <c r="F1345" s="17">
        <f t="shared" si="61"/>
        <v>1</v>
      </c>
      <c r="G1345" s="17" t="str">
        <f t="shared" si="62"/>
        <v>Pass</v>
      </c>
      <c r="H1345" s="17" t="str">
        <f t="shared" si="60"/>
        <v>Pass</v>
      </c>
      <c r="I1345" s="17">
        <v>98.16</v>
      </c>
      <c r="J1345" s="17" t="s">
        <v>2489</v>
      </c>
      <c r="K1345" s="17">
        <v>97</v>
      </c>
      <c r="L1345" s="17">
        <v>100</v>
      </c>
      <c r="M1345" s="18">
        <f>Raw_LIMS_Export!K1345</f>
        <v>45979</v>
      </c>
      <c r="N1345" s="19" t="s">
        <v>2924</v>
      </c>
    </row>
    <row r="1346" spans="1:14" x14ac:dyDescent="0.35">
      <c r="A1346" s="16" t="s">
        <v>1347</v>
      </c>
      <c r="B1346" s="17" t="s">
        <v>2084</v>
      </c>
      <c r="C1346" s="17" t="s">
        <v>2458</v>
      </c>
      <c r="D1346" s="17" t="str">
        <f>_xlfn.XLOOKUP(Raw_LIMS_Export!E1346,'mapping Site table'!$B$4:$B$14,'mapping Site table'!$C$4:$C$14,Raw_LIMS_Export!E1346)</f>
        <v>Ashford UK</v>
      </c>
      <c r="E1346" s="17" t="s">
        <v>2485</v>
      </c>
      <c r="F1346" s="17">
        <f t="shared" si="61"/>
        <v>1</v>
      </c>
      <c r="G1346" s="17" t="str">
        <f t="shared" si="62"/>
        <v>Pass</v>
      </c>
      <c r="H1346" s="17" t="str">
        <f t="shared" ref="H1346:H1409" si="63">IF(COUNTIFS($B$2:$B$2016,B1346,$G$2:$G$2016,"Fail")&gt;0,"Fail",
  IF(COUNTIFS($B$2:$B$2016,B1346,$G$2:$G$2016,"Missing")&gt;0,"Pending",
    "Pass"))</f>
        <v>Pass</v>
      </c>
      <c r="I1346" s="17">
        <v>44.78</v>
      </c>
      <c r="J1346" s="17" t="s">
        <v>2490</v>
      </c>
      <c r="K1346" s="17">
        <v>0</v>
      </c>
      <c r="L1346" s="17">
        <v>100</v>
      </c>
      <c r="M1346" s="18">
        <f>Raw_LIMS_Export!K1346</f>
        <v>45874</v>
      </c>
      <c r="N1346" s="19" t="s">
        <v>2925</v>
      </c>
    </row>
    <row r="1347" spans="1:14" x14ac:dyDescent="0.35">
      <c r="A1347" s="16" t="s">
        <v>1348</v>
      </c>
      <c r="B1347" s="17" t="s">
        <v>2345</v>
      </c>
      <c r="C1347" s="17" t="s">
        <v>2458</v>
      </c>
      <c r="D1347" s="17" t="str">
        <f>_xlfn.XLOOKUP(Raw_LIMS_Export!E1347,'mapping Site table'!$B$4:$B$14,'mapping Site table'!$C$4:$C$14,Raw_LIMS_Export!E1347)</f>
        <v>Budapest</v>
      </c>
      <c r="E1347" s="17" t="s">
        <v>2481</v>
      </c>
      <c r="F1347" s="17">
        <f t="shared" ref="F1347:F1410" si="64">IF(I1347="",0,1)</f>
        <v>1</v>
      </c>
      <c r="G1347" s="17" t="str">
        <f t="shared" ref="G1347:G1410" si="65">IF(I1347="", "Missing", IF(AND(I1347&gt;=K1347, I1347&lt;=L1347), "Pass", "Fail"))</f>
        <v>Pass</v>
      </c>
      <c r="H1347" s="17" t="str">
        <f t="shared" si="63"/>
        <v>Pass</v>
      </c>
      <c r="I1347" s="17">
        <v>262.04000000000002</v>
      </c>
      <c r="J1347" s="17" t="s">
        <v>2488</v>
      </c>
      <c r="K1347" s="17">
        <v>150</v>
      </c>
      <c r="L1347" s="17">
        <v>400</v>
      </c>
      <c r="M1347" s="18">
        <f>Raw_LIMS_Export!K1347</f>
        <v>45379</v>
      </c>
      <c r="N1347" s="19" t="s">
        <v>2924</v>
      </c>
    </row>
    <row r="1348" spans="1:14" x14ac:dyDescent="0.35">
      <c r="A1348" s="16" t="s">
        <v>1349</v>
      </c>
      <c r="B1348" s="17" t="s">
        <v>2294</v>
      </c>
      <c r="C1348" s="17" t="s">
        <v>2460</v>
      </c>
      <c r="D1348" s="17" t="str">
        <f>_xlfn.XLOOKUP(Raw_LIMS_Export!E1348,'mapping Site table'!$B$4:$B$14,'mapping Site table'!$C$4:$C$14,Raw_LIMS_Export!E1348)</f>
        <v>Budapest</v>
      </c>
      <c r="E1348" s="17" t="s">
        <v>2484</v>
      </c>
      <c r="F1348" s="17">
        <f t="shared" si="64"/>
        <v>1</v>
      </c>
      <c r="G1348" s="17" t="str">
        <f t="shared" si="65"/>
        <v>Pass</v>
      </c>
      <c r="H1348" s="17" t="str">
        <f t="shared" si="63"/>
        <v>Pass</v>
      </c>
      <c r="I1348" s="17">
        <v>7.15</v>
      </c>
      <c r="J1348" s="17"/>
      <c r="K1348" s="17">
        <v>6</v>
      </c>
      <c r="L1348" s="17">
        <v>7.5</v>
      </c>
      <c r="M1348" s="18">
        <f>Raw_LIMS_Export!K1348</f>
        <v>45560</v>
      </c>
      <c r="N1348" s="19" t="s">
        <v>2929</v>
      </c>
    </row>
    <row r="1349" spans="1:14" x14ac:dyDescent="0.35">
      <c r="A1349" s="16" t="s">
        <v>1350</v>
      </c>
      <c r="B1349" s="17" t="s">
        <v>2020</v>
      </c>
      <c r="C1349" s="17" t="s">
        <v>2458</v>
      </c>
      <c r="D1349" s="17" t="str">
        <f>_xlfn.XLOOKUP(Raw_LIMS_Export!E1349,'mapping Site table'!$B$4:$B$14,'mapping Site table'!$C$4:$C$14,Raw_LIMS_Export!E1349)</f>
        <v>Budapest</v>
      </c>
      <c r="E1349" s="17" t="s">
        <v>2482</v>
      </c>
      <c r="F1349" s="17">
        <f t="shared" si="64"/>
        <v>1</v>
      </c>
      <c r="G1349" s="17" t="str">
        <f t="shared" si="65"/>
        <v>Pass</v>
      </c>
      <c r="H1349" s="17" t="str">
        <f t="shared" si="63"/>
        <v>Pass</v>
      </c>
      <c r="I1349" s="17">
        <v>98.89</v>
      </c>
      <c r="J1349" s="17" t="s">
        <v>2489</v>
      </c>
      <c r="K1349" s="17">
        <v>97</v>
      </c>
      <c r="L1349" s="17">
        <v>100</v>
      </c>
      <c r="M1349" s="18">
        <f>Raw_LIMS_Export!K1349</f>
        <v>45655</v>
      </c>
      <c r="N1349" s="19" t="s">
        <v>2927</v>
      </c>
    </row>
    <row r="1350" spans="1:14" x14ac:dyDescent="0.35">
      <c r="A1350" s="16" t="s">
        <v>1351</v>
      </c>
      <c r="B1350" s="17" t="s">
        <v>2173</v>
      </c>
      <c r="C1350" s="17" t="s">
        <v>2460</v>
      </c>
      <c r="D1350" s="17" t="str">
        <f>_xlfn.XLOOKUP(Raw_LIMS_Export!E1350,'mapping Site table'!$B$4:$B$14,'mapping Site table'!$C$4:$C$14,Raw_LIMS_Export!E1350)</f>
        <v>East Hanover</v>
      </c>
      <c r="E1350" s="17" t="s">
        <v>2483</v>
      </c>
      <c r="F1350" s="17">
        <f t="shared" si="64"/>
        <v>1</v>
      </c>
      <c r="G1350" s="17" t="str">
        <f t="shared" si="65"/>
        <v>Pass</v>
      </c>
      <c r="H1350" s="17" t="str">
        <f t="shared" si="63"/>
        <v>Pass</v>
      </c>
      <c r="I1350" s="17">
        <v>0.46</v>
      </c>
      <c r="J1350" s="17" t="s">
        <v>2489</v>
      </c>
      <c r="K1350" s="17">
        <v>0</v>
      </c>
      <c r="L1350" s="17">
        <v>1</v>
      </c>
      <c r="M1350" s="18">
        <f>Raw_LIMS_Export!K1350</f>
        <v>45609</v>
      </c>
      <c r="N1350" s="19" t="s">
        <v>2925</v>
      </c>
    </row>
    <row r="1351" spans="1:14" x14ac:dyDescent="0.35">
      <c r="A1351" s="16" t="s">
        <v>1352</v>
      </c>
      <c r="B1351" s="17" t="s">
        <v>2039</v>
      </c>
      <c r="C1351" s="17" t="s">
        <v>2458</v>
      </c>
      <c r="D1351" s="17" t="str">
        <f>_xlfn.XLOOKUP(Raw_LIMS_Export!E1351,'mapping Site table'!$B$4:$B$14,'mapping Site table'!$C$4:$C$14,Raw_LIMS_Export!E1351)</f>
        <v>Budapest</v>
      </c>
      <c r="E1351" s="17" t="s">
        <v>2483</v>
      </c>
      <c r="F1351" s="17">
        <f t="shared" si="64"/>
        <v>1</v>
      </c>
      <c r="G1351" s="17" t="str">
        <f t="shared" si="65"/>
        <v>Pass</v>
      </c>
      <c r="H1351" s="17" t="str">
        <f t="shared" si="63"/>
        <v>Fail</v>
      </c>
      <c r="I1351" s="17">
        <v>0.25</v>
      </c>
      <c r="J1351" s="17" t="s">
        <v>2489</v>
      </c>
      <c r="K1351" s="17">
        <v>0</v>
      </c>
      <c r="L1351" s="17">
        <v>1</v>
      </c>
      <c r="M1351" s="18">
        <f>Raw_LIMS_Export!K1351</f>
        <v>45969</v>
      </c>
      <c r="N1351" s="19" t="s">
        <v>2930</v>
      </c>
    </row>
    <row r="1352" spans="1:14" x14ac:dyDescent="0.35">
      <c r="A1352" s="16" t="s">
        <v>1353</v>
      </c>
      <c r="B1352" s="17" t="s">
        <v>2028</v>
      </c>
      <c r="C1352" s="17" t="s">
        <v>2459</v>
      </c>
      <c r="D1352" s="17" t="str">
        <f>_xlfn.XLOOKUP(Raw_LIMS_Export!E1352,'mapping Site table'!$B$4:$B$14,'mapping Site table'!$C$4:$C$14,Raw_LIMS_Export!E1352)</f>
        <v>Dortmund DE</v>
      </c>
      <c r="E1352" s="17" t="s">
        <v>2485</v>
      </c>
      <c r="F1352" s="17">
        <f t="shared" si="64"/>
        <v>1</v>
      </c>
      <c r="G1352" s="17" t="str">
        <f t="shared" si="65"/>
        <v>Pass</v>
      </c>
      <c r="H1352" s="17" t="str">
        <f t="shared" si="63"/>
        <v>Pass</v>
      </c>
      <c r="I1352" s="17">
        <v>11.14</v>
      </c>
      <c r="J1352" s="17" t="s">
        <v>2490</v>
      </c>
      <c r="K1352" s="17">
        <v>0</v>
      </c>
      <c r="L1352" s="17">
        <v>100</v>
      </c>
      <c r="M1352" s="18">
        <f>Raw_LIMS_Export!K1352</f>
        <v>45654</v>
      </c>
      <c r="N1352" s="19" t="s">
        <v>2932</v>
      </c>
    </row>
    <row r="1353" spans="1:14" x14ac:dyDescent="0.35">
      <c r="A1353" s="16" t="s">
        <v>1354</v>
      </c>
      <c r="B1353" s="17" t="s">
        <v>2055</v>
      </c>
      <c r="C1353" s="17" t="s">
        <v>2461</v>
      </c>
      <c r="D1353" s="17" t="str">
        <f>_xlfn.XLOOKUP(Raw_LIMS_Export!E1353,'mapping Site table'!$B$4:$B$14,'mapping Site table'!$C$4:$C$14,Raw_LIMS_Export!E1353)</f>
        <v>Budapest</v>
      </c>
      <c r="E1353" s="17" t="s">
        <v>2481</v>
      </c>
      <c r="F1353" s="17">
        <f t="shared" si="64"/>
        <v>1</v>
      </c>
      <c r="G1353" s="17" t="str">
        <f t="shared" si="65"/>
        <v>Pass</v>
      </c>
      <c r="H1353" s="17" t="str">
        <f t="shared" si="63"/>
        <v>Pass</v>
      </c>
      <c r="I1353" s="17">
        <v>254.56</v>
      </c>
      <c r="J1353" s="17" t="s">
        <v>2488</v>
      </c>
      <c r="K1353" s="17">
        <v>150</v>
      </c>
      <c r="L1353" s="17">
        <v>400</v>
      </c>
      <c r="M1353" s="18">
        <f>Raw_LIMS_Export!K1353</f>
        <v>46020</v>
      </c>
      <c r="N1353" s="19" t="s">
        <v>2929</v>
      </c>
    </row>
    <row r="1354" spans="1:14" x14ac:dyDescent="0.35">
      <c r="A1354" s="16" t="s">
        <v>1355</v>
      </c>
      <c r="B1354" s="17" t="s">
        <v>2371</v>
      </c>
      <c r="C1354" s="17" t="s">
        <v>2459</v>
      </c>
      <c r="D1354" s="17" t="str">
        <f>_xlfn.XLOOKUP(Raw_LIMS_Export!E1354,'mapping Site table'!$B$4:$B$14,'mapping Site table'!$C$4:$C$14,Raw_LIMS_Export!E1354)</f>
        <v>Dortmund DE</v>
      </c>
      <c r="E1354" s="17" t="s">
        <v>2485</v>
      </c>
      <c r="F1354" s="17">
        <f t="shared" si="64"/>
        <v>1</v>
      </c>
      <c r="G1354" s="17" t="str">
        <f t="shared" si="65"/>
        <v>Fail</v>
      </c>
      <c r="H1354" s="17" t="str">
        <f t="shared" si="63"/>
        <v>Fail</v>
      </c>
      <c r="I1354" s="17">
        <v>-0.61</v>
      </c>
      <c r="J1354" s="17" t="s">
        <v>2490</v>
      </c>
      <c r="K1354" s="17">
        <v>0</v>
      </c>
      <c r="L1354" s="17">
        <v>100</v>
      </c>
      <c r="M1354" s="18">
        <f>Raw_LIMS_Export!K1354</f>
        <v>45519</v>
      </c>
      <c r="N1354" s="19" t="s">
        <v>2929</v>
      </c>
    </row>
    <row r="1355" spans="1:14" x14ac:dyDescent="0.35">
      <c r="A1355" s="16" t="s">
        <v>1356</v>
      </c>
      <c r="B1355" s="17" t="s">
        <v>2424</v>
      </c>
      <c r="C1355" s="17" t="s">
        <v>2457</v>
      </c>
      <c r="D1355" s="17" t="str">
        <f>_xlfn.XLOOKUP(Raw_LIMS_Export!E1355,'mapping Site table'!$B$4:$B$14,'mapping Site table'!$C$4:$C$14,Raw_LIMS_Export!E1355)</f>
        <v>Dortmund DE</v>
      </c>
      <c r="E1355" s="17" t="s">
        <v>2481</v>
      </c>
      <c r="F1355" s="17">
        <f t="shared" si="64"/>
        <v>1</v>
      </c>
      <c r="G1355" s="17" t="str">
        <f t="shared" si="65"/>
        <v>Pass</v>
      </c>
      <c r="H1355" s="17" t="str">
        <f t="shared" si="63"/>
        <v>Pass</v>
      </c>
      <c r="I1355" s="17">
        <v>225.36</v>
      </c>
      <c r="J1355" s="17" t="s">
        <v>2488</v>
      </c>
      <c r="K1355" s="17">
        <v>150</v>
      </c>
      <c r="L1355" s="17">
        <v>400</v>
      </c>
      <c r="M1355" s="18">
        <f>Raw_LIMS_Export!K1355</f>
        <v>45371</v>
      </c>
      <c r="N1355" s="19" t="s">
        <v>2926</v>
      </c>
    </row>
    <row r="1356" spans="1:14" x14ac:dyDescent="0.35">
      <c r="A1356" s="16" t="s">
        <v>1357</v>
      </c>
      <c r="B1356" s="17" t="s">
        <v>2030</v>
      </c>
      <c r="C1356" s="17" t="s">
        <v>2457</v>
      </c>
      <c r="D1356" s="17" t="str">
        <f>_xlfn.XLOOKUP(Raw_LIMS_Export!E1356,'mapping Site table'!$B$4:$B$14,'mapping Site table'!$C$4:$C$14,Raw_LIMS_Export!E1356)</f>
        <v>Vernier CH</v>
      </c>
      <c r="E1356" s="17" t="s">
        <v>2481</v>
      </c>
      <c r="F1356" s="17">
        <f t="shared" si="64"/>
        <v>1</v>
      </c>
      <c r="G1356" s="17" t="str">
        <f t="shared" si="65"/>
        <v>Pass</v>
      </c>
      <c r="H1356" s="17" t="str">
        <f t="shared" si="63"/>
        <v>Pass</v>
      </c>
      <c r="I1356" s="17">
        <v>256.56</v>
      </c>
      <c r="J1356" s="17" t="s">
        <v>2488</v>
      </c>
      <c r="K1356" s="17">
        <v>150</v>
      </c>
      <c r="L1356" s="17">
        <v>400</v>
      </c>
      <c r="M1356" s="18">
        <f>Raw_LIMS_Export!K1356</f>
        <v>45613</v>
      </c>
      <c r="N1356" s="19" t="s">
        <v>2932</v>
      </c>
    </row>
    <row r="1357" spans="1:14" x14ac:dyDescent="0.35">
      <c r="A1357" s="16" t="s">
        <v>1358</v>
      </c>
      <c r="B1357" s="17" t="s">
        <v>2153</v>
      </c>
      <c r="C1357" s="17" t="s">
        <v>2461</v>
      </c>
      <c r="D1357" s="17" t="str">
        <f>_xlfn.XLOOKUP(Raw_LIMS_Export!E1357,'mapping Site table'!$B$4:$B$14,'mapping Site table'!$C$4:$C$14,Raw_LIMS_Export!E1357)</f>
        <v>Budapest</v>
      </c>
      <c r="E1357" s="17" t="s">
        <v>2483</v>
      </c>
      <c r="F1357" s="17">
        <f t="shared" si="64"/>
        <v>1</v>
      </c>
      <c r="G1357" s="17" t="str">
        <f t="shared" si="65"/>
        <v>Pass</v>
      </c>
      <c r="H1357" s="17" t="str">
        <f t="shared" si="63"/>
        <v>Fail</v>
      </c>
      <c r="I1357" s="17">
        <v>0.02</v>
      </c>
      <c r="J1357" s="17" t="s">
        <v>2489</v>
      </c>
      <c r="K1357" s="17">
        <v>0</v>
      </c>
      <c r="L1357" s="17">
        <v>1</v>
      </c>
      <c r="M1357" s="18">
        <f>Raw_LIMS_Export!K1357</f>
        <v>45445</v>
      </c>
      <c r="N1357" s="19" t="s">
        <v>2923</v>
      </c>
    </row>
    <row r="1358" spans="1:14" x14ac:dyDescent="0.35">
      <c r="A1358" s="16" t="s">
        <v>1359</v>
      </c>
      <c r="B1358" s="17" t="s">
        <v>2025</v>
      </c>
      <c r="C1358" s="17" t="s">
        <v>2458</v>
      </c>
      <c r="D1358" s="17" t="str">
        <f>_xlfn.XLOOKUP(Raw_LIMS_Export!E1358,'mapping Site table'!$B$4:$B$14,'mapping Site table'!$C$4:$C$14,Raw_LIMS_Export!E1358)</f>
        <v>East Hanover</v>
      </c>
      <c r="E1358" s="17" t="s">
        <v>2481</v>
      </c>
      <c r="F1358" s="17">
        <f t="shared" si="64"/>
        <v>1</v>
      </c>
      <c r="G1358" s="17" t="str">
        <f t="shared" si="65"/>
        <v>Pass</v>
      </c>
      <c r="H1358" s="17" t="str">
        <f t="shared" si="63"/>
        <v>Fail</v>
      </c>
      <c r="I1358" s="17">
        <v>305.3</v>
      </c>
      <c r="J1358" s="17" t="s">
        <v>2488</v>
      </c>
      <c r="K1358" s="17">
        <v>150</v>
      </c>
      <c r="L1358" s="17">
        <v>400</v>
      </c>
      <c r="M1358" s="18">
        <f>Raw_LIMS_Export!K1358</f>
        <v>45351</v>
      </c>
      <c r="N1358" s="19" t="s">
        <v>2924</v>
      </c>
    </row>
    <row r="1359" spans="1:14" x14ac:dyDescent="0.35">
      <c r="A1359" s="16" t="s">
        <v>1360</v>
      </c>
      <c r="B1359" s="17" t="s">
        <v>2131</v>
      </c>
      <c r="C1359" s="17" t="s">
        <v>2459</v>
      </c>
      <c r="D1359" s="17" t="str">
        <f>_xlfn.XLOOKUP(Raw_LIMS_Export!E1359,'mapping Site table'!$B$4:$B$14,'mapping Site table'!$C$4:$C$14,Raw_LIMS_Export!E1359)</f>
        <v>Budapest</v>
      </c>
      <c r="E1359" s="17" t="s">
        <v>2482</v>
      </c>
      <c r="F1359" s="17">
        <f t="shared" si="64"/>
        <v>1</v>
      </c>
      <c r="G1359" s="17" t="str">
        <f t="shared" si="65"/>
        <v>Fail</v>
      </c>
      <c r="H1359" s="17" t="str">
        <f t="shared" si="63"/>
        <v>Fail</v>
      </c>
      <c r="I1359" s="17">
        <v>96.98</v>
      </c>
      <c r="J1359" s="17" t="s">
        <v>2489</v>
      </c>
      <c r="K1359" s="17">
        <v>97</v>
      </c>
      <c r="L1359" s="17">
        <v>100</v>
      </c>
      <c r="M1359" s="18">
        <f>Raw_LIMS_Export!K1359</f>
        <v>45561</v>
      </c>
      <c r="N1359" s="19" t="s">
        <v>2923</v>
      </c>
    </row>
    <row r="1360" spans="1:14" x14ac:dyDescent="0.35">
      <c r="A1360" s="16" t="s">
        <v>1361</v>
      </c>
      <c r="B1360" s="17" t="s">
        <v>2267</v>
      </c>
      <c r="C1360" s="17" t="s">
        <v>2460</v>
      </c>
      <c r="D1360" s="17" t="str">
        <f>_xlfn.XLOOKUP(Raw_LIMS_Export!E1360,'mapping Site table'!$B$4:$B$14,'mapping Site table'!$C$4:$C$14,Raw_LIMS_Export!E1360)</f>
        <v>East Hanover</v>
      </c>
      <c r="E1360" s="17" t="s">
        <v>2480</v>
      </c>
      <c r="F1360" s="17">
        <f t="shared" si="64"/>
        <v>1</v>
      </c>
      <c r="G1360" s="17" t="str">
        <f t="shared" si="65"/>
        <v>Pass</v>
      </c>
      <c r="H1360" s="17" t="str">
        <f t="shared" si="63"/>
        <v>Pass</v>
      </c>
      <c r="I1360" s="17">
        <v>0.92</v>
      </c>
      <c r="J1360" s="17" t="s">
        <v>2487</v>
      </c>
      <c r="K1360" s="17">
        <v>0.88</v>
      </c>
      <c r="L1360" s="17">
        <v>0.97</v>
      </c>
      <c r="M1360" s="18">
        <f>Raw_LIMS_Export!K1360</f>
        <v>45995</v>
      </c>
      <c r="N1360" s="19" t="s">
        <v>2924</v>
      </c>
    </row>
    <row r="1361" spans="1:14" x14ac:dyDescent="0.35">
      <c r="A1361" s="16" t="s">
        <v>1362</v>
      </c>
      <c r="B1361" s="17" t="s">
        <v>2145</v>
      </c>
      <c r="C1361" s="17" t="s">
        <v>2458</v>
      </c>
      <c r="D1361" s="17" t="str">
        <f>_xlfn.XLOOKUP(Raw_LIMS_Export!E1361,'mapping Site table'!$B$4:$B$14,'mapping Site table'!$C$4:$C$14,Raw_LIMS_Export!E1361)</f>
        <v>Budapest</v>
      </c>
      <c r="E1361" s="17" t="s">
        <v>2485</v>
      </c>
      <c r="F1361" s="17">
        <f t="shared" si="64"/>
        <v>1</v>
      </c>
      <c r="G1361" s="17" t="str">
        <f t="shared" si="65"/>
        <v>Pass</v>
      </c>
      <c r="H1361" s="17" t="str">
        <f t="shared" si="63"/>
        <v>Pending</v>
      </c>
      <c r="I1361" s="17">
        <v>3.04</v>
      </c>
      <c r="J1361" s="17" t="s">
        <v>2490</v>
      </c>
      <c r="K1361" s="17">
        <v>0</v>
      </c>
      <c r="L1361" s="17">
        <v>100</v>
      </c>
      <c r="M1361" s="18">
        <f>Raw_LIMS_Export!K1361</f>
        <v>45819</v>
      </c>
      <c r="N1361" s="19" t="s">
        <v>2929</v>
      </c>
    </row>
    <row r="1362" spans="1:14" x14ac:dyDescent="0.35">
      <c r="A1362" s="16" t="s">
        <v>1363</v>
      </c>
      <c r="B1362" s="17" t="s">
        <v>2422</v>
      </c>
      <c r="C1362" s="17" t="s">
        <v>2461</v>
      </c>
      <c r="D1362" s="17" t="str">
        <f>_xlfn.XLOOKUP(Raw_LIMS_Export!E1362,'mapping Site table'!$B$4:$B$14,'mapping Site table'!$C$4:$C$14,Raw_LIMS_Export!E1362)</f>
        <v>Dortmund DE</v>
      </c>
      <c r="E1362" s="17" t="s">
        <v>2480</v>
      </c>
      <c r="F1362" s="17">
        <f t="shared" si="64"/>
        <v>1</v>
      </c>
      <c r="G1362" s="17" t="str">
        <f t="shared" si="65"/>
        <v>Pass</v>
      </c>
      <c r="H1362" s="17" t="str">
        <f t="shared" si="63"/>
        <v>Fail</v>
      </c>
      <c r="I1362" s="17">
        <v>0.88</v>
      </c>
      <c r="J1362" s="17" t="s">
        <v>2487</v>
      </c>
      <c r="K1362" s="17">
        <v>0.88</v>
      </c>
      <c r="L1362" s="17">
        <v>0.97</v>
      </c>
      <c r="M1362" s="18">
        <f>Raw_LIMS_Export!K1362</f>
        <v>45539</v>
      </c>
      <c r="N1362" s="19" t="s">
        <v>2927</v>
      </c>
    </row>
    <row r="1363" spans="1:14" x14ac:dyDescent="0.35">
      <c r="A1363" s="16" t="s">
        <v>1364</v>
      </c>
      <c r="B1363" s="17" t="s">
        <v>2288</v>
      </c>
      <c r="C1363" s="17" t="s">
        <v>2457</v>
      </c>
      <c r="D1363" s="17" t="str">
        <f>_xlfn.XLOOKUP(Raw_LIMS_Export!E1363,'mapping Site table'!$B$4:$B$14,'mapping Site table'!$C$4:$C$14,Raw_LIMS_Export!E1363)</f>
        <v>Dortmund DE</v>
      </c>
      <c r="E1363" s="17" t="s">
        <v>2485</v>
      </c>
      <c r="F1363" s="17">
        <f t="shared" si="64"/>
        <v>1</v>
      </c>
      <c r="G1363" s="17" t="str">
        <f t="shared" si="65"/>
        <v>Fail</v>
      </c>
      <c r="H1363" s="17" t="str">
        <f t="shared" si="63"/>
        <v>Fail</v>
      </c>
      <c r="I1363" s="17">
        <v>-37.93</v>
      </c>
      <c r="J1363" s="17" t="s">
        <v>2490</v>
      </c>
      <c r="K1363" s="17">
        <v>0</v>
      </c>
      <c r="L1363" s="17">
        <v>100</v>
      </c>
      <c r="M1363" s="18">
        <f>Raw_LIMS_Export!K1363</f>
        <v>45894</v>
      </c>
      <c r="N1363" s="19" t="s">
        <v>2932</v>
      </c>
    </row>
    <row r="1364" spans="1:14" x14ac:dyDescent="0.35">
      <c r="A1364" s="16" t="s">
        <v>1365</v>
      </c>
      <c r="B1364" s="17" t="s">
        <v>2074</v>
      </c>
      <c r="C1364" s="17" t="s">
        <v>2457</v>
      </c>
      <c r="D1364" s="17" t="str">
        <f>_xlfn.XLOOKUP(Raw_LIMS_Export!E1364,'mapping Site table'!$B$4:$B$14,'mapping Site table'!$C$4:$C$14,Raw_LIMS_Export!E1364)</f>
        <v>Ashford UK</v>
      </c>
      <c r="E1364" s="17" t="s">
        <v>2484</v>
      </c>
      <c r="F1364" s="17">
        <f t="shared" si="64"/>
        <v>1</v>
      </c>
      <c r="G1364" s="17" t="str">
        <f t="shared" si="65"/>
        <v>Pass</v>
      </c>
      <c r="H1364" s="17" t="str">
        <f t="shared" si="63"/>
        <v>Pass</v>
      </c>
      <c r="I1364" s="17">
        <v>7.17</v>
      </c>
      <c r="J1364" s="17"/>
      <c r="K1364" s="17">
        <v>6</v>
      </c>
      <c r="L1364" s="17">
        <v>7.5</v>
      </c>
      <c r="M1364" s="18">
        <f>Raw_LIMS_Export!K1364</f>
        <v>45416</v>
      </c>
      <c r="N1364" s="19" t="s">
        <v>2926</v>
      </c>
    </row>
    <row r="1365" spans="1:14" x14ac:dyDescent="0.35">
      <c r="A1365" s="16" t="s">
        <v>1366</v>
      </c>
      <c r="B1365" s="17" t="s">
        <v>2095</v>
      </c>
      <c r="C1365" s="17" t="s">
        <v>2459</v>
      </c>
      <c r="D1365" s="17" t="str">
        <f>_xlfn.XLOOKUP(Raw_LIMS_Export!E1365,'mapping Site table'!$B$4:$B$14,'mapping Site table'!$C$4:$C$14,Raw_LIMS_Export!E1365)</f>
        <v>Ashford UK</v>
      </c>
      <c r="E1365" s="17" t="s">
        <v>2481</v>
      </c>
      <c r="F1365" s="17">
        <f t="shared" si="64"/>
        <v>1</v>
      </c>
      <c r="G1365" s="17" t="str">
        <f t="shared" si="65"/>
        <v>Pass</v>
      </c>
      <c r="H1365" s="17" t="str">
        <f t="shared" si="63"/>
        <v>Pending</v>
      </c>
      <c r="I1365" s="17">
        <v>277.64999999999998</v>
      </c>
      <c r="J1365" s="17" t="s">
        <v>2488</v>
      </c>
      <c r="K1365" s="17">
        <v>150</v>
      </c>
      <c r="L1365" s="17">
        <v>400</v>
      </c>
      <c r="M1365" s="18">
        <f>Raw_LIMS_Export!K1365</f>
        <v>45825</v>
      </c>
      <c r="N1365" s="19" t="s">
        <v>2926</v>
      </c>
    </row>
    <row r="1366" spans="1:14" x14ac:dyDescent="0.35">
      <c r="A1366" s="16" t="s">
        <v>1367</v>
      </c>
      <c r="B1366" s="17" t="s">
        <v>2227</v>
      </c>
      <c r="C1366" s="17" t="s">
        <v>2457</v>
      </c>
      <c r="D1366" s="17" t="str">
        <f>_xlfn.XLOOKUP(Raw_LIMS_Export!E1366,'mapping Site table'!$B$4:$B$14,'mapping Site table'!$C$4:$C$14,Raw_LIMS_Export!E1366)</f>
        <v>Dortmund DE</v>
      </c>
      <c r="E1366" s="17" t="s">
        <v>2481</v>
      </c>
      <c r="F1366" s="17">
        <f t="shared" si="64"/>
        <v>1</v>
      </c>
      <c r="G1366" s="17" t="str">
        <f t="shared" si="65"/>
        <v>Pass</v>
      </c>
      <c r="H1366" s="17" t="str">
        <f t="shared" si="63"/>
        <v>Fail</v>
      </c>
      <c r="I1366" s="17">
        <v>275.33999999999997</v>
      </c>
      <c r="J1366" s="17" t="s">
        <v>2488</v>
      </c>
      <c r="K1366" s="17">
        <v>150</v>
      </c>
      <c r="L1366" s="17">
        <v>400</v>
      </c>
      <c r="M1366" s="18">
        <f>Raw_LIMS_Export!K1366</f>
        <v>45635</v>
      </c>
      <c r="N1366" s="19" t="s">
        <v>2930</v>
      </c>
    </row>
    <row r="1367" spans="1:14" x14ac:dyDescent="0.35">
      <c r="A1367" s="16" t="s">
        <v>1368</v>
      </c>
      <c r="B1367" s="17" t="s">
        <v>2256</v>
      </c>
      <c r="C1367" s="17" t="s">
        <v>2461</v>
      </c>
      <c r="D1367" s="17" t="str">
        <f>_xlfn.XLOOKUP(Raw_LIMS_Export!E1367,'mapping Site table'!$B$4:$B$14,'mapping Site table'!$C$4:$C$14,Raw_LIMS_Export!E1367)</f>
        <v>East Hanover</v>
      </c>
      <c r="E1367" s="17" t="s">
        <v>2481</v>
      </c>
      <c r="F1367" s="17">
        <f t="shared" si="64"/>
        <v>1</v>
      </c>
      <c r="G1367" s="17" t="str">
        <f t="shared" si="65"/>
        <v>Pass</v>
      </c>
      <c r="H1367" s="17" t="str">
        <f t="shared" si="63"/>
        <v>Fail</v>
      </c>
      <c r="I1367" s="17">
        <v>272.08</v>
      </c>
      <c r="J1367" s="17" t="s">
        <v>2488</v>
      </c>
      <c r="K1367" s="17">
        <v>150</v>
      </c>
      <c r="L1367" s="17">
        <v>400</v>
      </c>
      <c r="M1367" s="18">
        <f>Raw_LIMS_Export!K1367</f>
        <v>45676</v>
      </c>
      <c r="N1367" s="19" t="s">
        <v>2923</v>
      </c>
    </row>
    <row r="1368" spans="1:14" x14ac:dyDescent="0.35">
      <c r="A1368" s="16" t="s">
        <v>1369</v>
      </c>
      <c r="B1368" s="17" t="s">
        <v>2241</v>
      </c>
      <c r="C1368" s="17" t="s">
        <v>2460</v>
      </c>
      <c r="D1368" s="17" t="str">
        <f>_xlfn.XLOOKUP(Raw_LIMS_Export!E1368,'mapping Site table'!$B$4:$B$14,'mapping Site table'!$C$4:$C$14,Raw_LIMS_Export!E1368)</f>
        <v>Dortmund DE</v>
      </c>
      <c r="E1368" s="17" t="s">
        <v>2484</v>
      </c>
      <c r="F1368" s="17">
        <f t="shared" si="64"/>
        <v>1</v>
      </c>
      <c r="G1368" s="17" t="str">
        <f t="shared" si="65"/>
        <v>Pass</v>
      </c>
      <c r="H1368" s="17" t="str">
        <f t="shared" si="63"/>
        <v>Pass</v>
      </c>
      <c r="I1368" s="17">
        <v>6.54</v>
      </c>
      <c r="J1368" s="17"/>
      <c r="K1368" s="17">
        <v>6</v>
      </c>
      <c r="L1368" s="17">
        <v>7.5</v>
      </c>
      <c r="M1368" s="18">
        <f>Raw_LIMS_Export!K1368</f>
        <v>45781</v>
      </c>
      <c r="N1368" s="19" t="s">
        <v>2930</v>
      </c>
    </row>
    <row r="1369" spans="1:14" x14ac:dyDescent="0.35">
      <c r="A1369" s="16" t="s">
        <v>1370</v>
      </c>
      <c r="B1369" s="17" t="s">
        <v>2452</v>
      </c>
      <c r="C1369" s="17" t="s">
        <v>2461</v>
      </c>
      <c r="D1369" s="17" t="str">
        <f>_xlfn.XLOOKUP(Raw_LIMS_Export!E1369,'mapping Site table'!$B$4:$B$14,'mapping Site table'!$C$4:$C$14,Raw_LIMS_Export!E1369)</f>
        <v>Dortmund DE</v>
      </c>
      <c r="E1369" s="17" t="s">
        <v>2484</v>
      </c>
      <c r="F1369" s="17">
        <f t="shared" si="64"/>
        <v>1</v>
      </c>
      <c r="G1369" s="17" t="str">
        <f t="shared" si="65"/>
        <v>Pass</v>
      </c>
      <c r="H1369" s="17" t="str">
        <f t="shared" si="63"/>
        <v>Fail</v>
      </c>
      <c r="I1369" s="17">
        <v>6.67</v>
      </c>
      <c r="J1369" s="17"/>
      <c r="K1369" s="17">
        <v>6</v>
      </c>
      <c r="L1369" s="17">
        <v>7.5</v>
      </c>
      <c r="M1369" s="18">
        <f>Raw_LIMS_Export!K1369</f>
        <v>45452</v>
      </c>
      <c r="N1369" s="19" t="s">
        <v>2927</v>
      </c>
    </row>
    <row r="1370" spans="1:14" x14ac:dyDescent="0.35">
      <c r="A1370" s="16" t="s">
        <v>1371</v>
      </c>
      <c r="B1370" s="17" t="s">
        <v>2173</v>
      </c>
      <c r="C1370" s="17" t="s">
        <v>2460</v>
      </c>
      <c r="D1370" s="17" t="str">
        <f>_xlfn.XLOOKUP(Raw_LIMS_Export!E1370,'mapping Site table'!$B$4:$B$14,'mapping Site table'!$C$4:$C$14,Raw_LIMS_Export!E1370)</f>
        <v>East Hanover</v>
      </c>
      <c r="E1370" s="17" t="s">
        <v>2480</v>
      </c>
      <c r="F1370" s="17">
        <f t="shared" si="64"/>
        <v>1</v>
      </c>
      <c r="G1370" s="17" t="str">
        <f t="shared" si="65"/>
        <v>Pass</v>
      </c>
      <c r="H1370" s="17" t="str">
        <f t="shared" si="63"/>
        <v>Pass</v>
      </c>
      <c r="I1370" s="17">
        <v>0.92</v>
      </c>
      <c r="J1370" s="17" t="s">
        <v>2487</v>
      </c>
      <c r="K1370" s="17">
        <v>0.88</v>
      </c>
      <c r="L1370" s="17">
        <v>0.97</v>
      </c>
      <c r="M1370" s="18">
        <f>Raw_LIMS_Export!K1370</f>
        <v>45609</v>
      </c>
      <c r="N1370" s="19" t="s">
        <v>2929</v>
      </c>
    </row>
    <row r="1371" spans="1:14" x14ac:dyDescent="0.35">
      <c r="A1371" s="16" t="s">
        <v>1372</v>
      </c>
      <c r="B1371" s="17" t="s">
        <v>2342</v>
      </c>
      <c r="C1371" s="17" t="s">
        <v>2458</v>
      </c>
      <c r="D1371" s="17" t="str">
        <f>_xlfn.XLOOKUP(Raw_LIMS_Export!E1371,'mapping Site table'!$B$4:$B$14,'mapping Site table'!$C$4:$C$14,Raw_LIMS_Export!E1371)</f>
        <v>East Hanover</v>
      </c>
      <c r="E1371" s="17" t="s">
        <v>2483</v>
      </c>
      <c r="F1371" s="17">
        <f t="shared" si="64"/>
        <v>1</v>
      </c>
      <c r="G1371" s="17" t="str">
        <f t="shared" si="65"/>
        <v>Pass</v>
      </c>
      <c r="H1371" s="17" t="str">
        <f t="shared" si="63"/>
        <v>Pass</v>
      </c>
      <c r="I1371" s="17">
        <v>0.16</v>
      </c>
      <c r="J1371" s="17" t="s">
        <v>2489</v>
      </c>
      <c r="K1371" s="17">
        <v>0</v>
      </c>
      <c r="L1371" s="17">
        <v>1</v>
      </c>
      <c r="M1371" s="18">
        <f>Raw_LIMS_Export!K1371</f>
        <v>45686</v>
      </c>
      <c r="N1371" s="19" t="s">
        <v>2925</v>
      </c>
    </row>
    <row r="1372" spans="1:14" x14ac:dyDescent="0.35">
      <c r="A1372" s="16" t="s">
        <v>1373</v>
      </c>
      <c r="B1372" s="17" t="s">
        <v>2199</v>
      </c>
      <c r="C1372" s="17" t="s">
        <v>2460</v>
      </c>
      <c r="D1372" s="17" t="str">
        <f>_xlfn.XLOOKUP(Raw_LIMS_Export!E1372,'mapping Site table'!$B$4:$B$14,'mapping Site table'!$C$4:$C$14,Raw_LIMS_Export!E1372)</f>
        <v>Ashford UK</v>
      </c>
      <c r="E1372" s="17" t="s">
        <v>2479</v>
      </c>
      <c r="F1372" s="17">
        <f t="shared" si="64"/>
        <v>1</v>
      </c>
      <c r="G1372" s="17" t="str">
        <f t="shared" si="65"/>
        <v>Pass</v>
      </c>
      <c r="H1372" s="17" t="str">
        <f t="shared" si="63"/>
        <v>Pass</v>
      </c>
      <c r="I1372" s="17">
        <v>92.85</v>
      </c>
      <c r="J1372" s="17" t="s">
        <v>2486</v>
      </c>
      <c r="K1372" s="17">
        <v>0</v>
      </c>
      <c r="L1372" s="17">
        <v>120</v>
      </c>
      <c r="M1372" s="18">
        <f>Raw_LIMS_Export!K1372</f>
        <v>45413</v>
      </c>
      <c r="N1372" s="19" t="s">
        <v>2925</v>
      </c>
    </row>
    <row r="1373" spans="1:14" x14ac:dyDescent="0.35">
      <c r="A1373" s="16" t="s">
        <v>1374</v>
      </c>
      <c r="B1373" s="17" t="s">
        <v>2402</v>
      </c>
      <c r="C1373" s="17" t="s">
        <v>2461</v>
      </c>
      <c r="D1373" s="17" t="str">
        <f>_xlfn.XLOOKUP(Raw_LIMS_Export!E1373,'mapping Site table'!$B$4:$B$14,'mapping Site table'!$C$4:$C$14,Raw_LIMS_Export!E1373)</f>
        <v>East Hanover</v>
      </c>
      <c r="E1373" s="17" t="s">
        <v>2480</v>
      </c>
      <c r="F1373" s="17">
        <f t="shared" si="64"/>
        <v>1</v>
      </c>
      <c r="G1373" s="17" t="str">
        <f t="shared" si="65"/>
        <v>Pass</v>
      </c>
      <c r="H1373" s="17" t="str">
        <f t="shared" si="63"/>
        <v>Fail</v>
      </c>
      <c r="I1373" s="17">
        <v>0.9</v>
      </c>
      <c r="J1373" s="17" t="s">
        <v>2487</v>
      </c>
      <c r="K1373" s="17">
        <v>0.88</v>
      </c>
      <c r="L1373" s="17">
        <v>0.97</v>
      </c>
      <c r="M1373" s="18">
        <f>Raw_LIMS_Export!K1373</f>
        <v>45479</v>
      </c>
      <c r="N1373" s="19" t="s">
        <v>2925</v>
      </c>
    </row>
    <row r="1374" spans="1:14" x14ac:dyDescent="0.35">
      <c r="A1374" s="16" t="s">
        <v>1375</v>
      </c>
      <c r="B1374" s="17" t="s">
        <v>2213</v>
      </c>
      <c r="C1374" s="17" t="s">
        <v>2457</v>
      </c>
      <c r="D1374" s="17" t="str">
        <f>_xlfn.XLOOKUP(Raw_LIMS_Export!E1374,'mapping Site table'!$B$4:$B$14,'mapping Site table'!$C$4:$C$14,Raw_LIMS_Export!E1374)</f>
        <v>Ashford UK</v>
      </c>
      <c r="E1374" s="17" t="s">
        <v>2484</v>
      </c>
      <c r="F1374" s="17">
        <f t="shared" si="64"/>
        <v>1</v>
      </c>
      <c r="G1374" s="17" t="str">
        <f t="shared" si="65"/>
        <v>Pass</v>
      </c>
      <c r="H1374" s="17" t="str">
        <f t="shared" si="63"/>
        <v>Pass</v>
      </c>
      <c r="I1374" s="17">
        <v>7.03</v>
      </c>
      <c r="J1374" s="17"/>
      <c r="K1374" s="17">
        <v>6</v>
      </c>
      <c r="L1374" s="17">
        <v>7.5</v>
      </c>
      <c r="M1374" s="18">
        <f>Raw_LIMS_Export!K1374</f>
        <v>45724</v>
      </c>
      <c r="N1374" s="19" t="s">
        <v>2927</v>
      </c>
    </row>
    <row r="1375" spans="1:14" x14ac:dyDescent="0.35">
      <c r="A1375" s="16" t="s">
        <v>1376</v>
      </c>
      <c r="B1375" s="17" t="s">
        <v>2032</v>
      </c>
      <c r="C1375" s="17" t="s">
        <v>2460</v>
      </c>
      <c r="D1375" s="17" t="str">
        <f>_xlfn.XLOOKUP(Raw_LIMS_Export!E1375,'mapping Site table'!$B$4:$B$14,'mapping Site table'!$C$4:$C$14,Raw_LIMS_Export!E1375)</f>
        <v>Ashford UK</v>
      </c>
      <c r="E1375" s="17" t="s">
        <v>2483</v>
      </c>
      <c r="F1375" s="17">
        <f t="shared" si="64"/>
        <v>1</v>
      </c>
      <c r="G1375" s="17" t="str">
        <f t="shared" si="65"/>
        <v>Pass</v>
      </c>
      <c r="H1375" s="17" t="str">
        <f t="shared" si="63"/>
        <v>Fail</v>
      </c>
      <c r="I1375" s="17">
        <v>0.34</v>
      </c>
      <c r="J1375" s="17" t="s">
        <v>2489</v>
      </c>
      <c r="K1375" s="17">
        <v>0</v>
      </c>
      <c r="L1375" s="17">
        <v>1</v>
      </c>
      <c r="M1375" s="18">
        <f>Raw_LIMS_Export!K1375</f>
        <v>45409</v>
      </c>
      <c r="N1375" s="19" t="s">
        <v>2928</v>
      </c>
    </row>
    <row r="1376" spans="1:14" x14ac:dyDescent="0.35">
      <c r="A1376" s="16" t="s">
        <v>1377</v>
      </c>
      <c r="B1376" s="17" t="s">
        <v>2250</v>
      </c>
      <c r="C1376" s="17" t="s">
        <v>2460</v>
      </c>
      <c r="D1376" s="17" t="str">
        <f>_xlfn.XLOOKUP(Raw_LIMS_Export!E1376,'mapping Site table'!$B$4:$B$14,'mapping Site table'!$C$4:$C$14,Raw_LIMS_Export!E1376)</f>
        <v>Budapest</v>
      </c>
      <c r="E1376" s="17" t="s">
        <v>2485</v>
      </c>
      <c r="F1376" s="17">
        <f t="shared" si="64"/>
        <v>1</v>
      </c>
      <c r="G1376" s="17" t="str">
        <f t="shared" si="65"/>
        <v>Pass</v>
      </c>
      <c r="H1376" s="17" t="str">
        <f t="shared" si="63"/>
        <v>Pass</v>
      </c>
      <c r="I1376" s="17">
        <v>27.09</v>
      </c>
      <c r="J1376" s="17" t="s">
        <v>2490</v>
      </c>
      <c r="K1376" s="17">
        <v>0</v>
      </c>
      <c r="L1376" s="17">
        <v>100</v>
      </c>
      <c r="M1376" s="18">
        <f>Raw_LIMS_Export!K1376</f>
        <v>45670</v>
      </c>
      <c r="N1376" s="19" t="s">
        <v>2930</v>
      </c>
    </row>
    <row r="1377" spans="1:14" x14ac:dyDescent="0.35">
      <c r="A1377" s="16" t="s">
        <v>1378</v>
      </c>
      <c r="B1377" s="17" t="s">
        <v>2334</v>
      </c>
      <c r="C1377" s="17" t="s">
        <v>2461</v>
      </c>
      <c r="D1377" s="17" t="str">
        <f>_xlfn.XLOOKUP(Raw_LIMS_Export!E1377,'mapping Site table'!$B$4:$B$14,'mapping Site table'!$C$4:$C$14,Raw_LIMS_Export!E1377)</f>
        <v>East Hanover</v>
      </c>
      <c r="E1377" s="17" t="s">
        <v>2479</v>
      </c>
      <c r="F1377" s="17">
        <f t="shared" si="64"/>
        <v>1</v>
      </c>
      <c r="G1377" s="17" t="str">
        <f t="shared" si="65"/>
        <v>Pass</v>
      </c>
      <c r="H1377" s="17" t="str">
        <f t="shared" si="63"/>
        <v>Fail</v>
      </c>
      <c r="I1377" s="17">
        <v>33.32</v>
      </c>
      <c r="J1377" s="17" t="s">
        <v>2486</v>
      </c>
      <c r="K1377" s="17">
        <v>0</v>
      </c>
      <c r="L1377" s="17">
        <v>120</v>
      </c>
      <c r="M1377" s="18">
        <f>Raw_LIMS_Export!K1377</f>
        <v>45399</v>
      </c>
      <c r="N1377" s="19" t="s">
        <v>2924</v>
      </c>
    </row>
    <row r="1378" spans="1:14" x14ac:dyDescent="0.35">
      <c r="A1378" s="16" t="s">
        <v>1379</v>
      </c>
      <c r="B1378" s="17" t="s">
        <v>2324</v>
      </c>
      <c r="C1378" s="17" t="s">
        <v>2459</v>
      </c>
      <c r="D1378" s="17" t="str">
        <f>_xlfn.XLOOKUP(Raw_LIMS_Export!E1378,'mapping Site table'!$B$4:$B$14,'mapping Site table'!$C$4:$C$14,Raw_LIMS_Export!E1378)</f>
        <v>Ashford UK</v>
      </c>
      <c r="E1378" s="17" t="s">
        <v>2480</v>
      </c>
      <c r="F1378" s="17">
        <f t="shared" si="64"/>
        <v>1</v>
      </c>
      <c r="G1378" s="17" t="str">
        <f t="shared" si="65"/>
        <v>Pass</v>
      </c>
      <c r="H1378" s="17" t="str">
        <f t="shared" si="63"/>
        <v>Pass</v>
      </c>
      <c r="I1378" s="17">
        <v>0.89</v>
      </c>
      <c r="J1378" s="17" t="s">
        <v>2487</v>
      </c>
      <c r="K1378" s="17">
        <v>0.88</v>
      </c>
      <c r="L1378" s="17">
        <v>0.97</v>
      </c>
      <c r="M1378" s="18">
        <f>Raw_LIMS_Export!K1378</f>
        <v>45828</v>
      </c>
      <c r="N1378" s="19" t="s">
        <v>2924</v>
      </c>
    </row>
    <row r="1379" spans="1:14" x14ac:dyDescent="0.35">
      <c r="A1379" s="16" t="s">
        <v>1380</v>
      </c>
      <c r="B1379" s="17" t="s">
        <v>2067</v>
      </c>
      <c r="C1379" s="17" t="s">
        <v>2459</v>
      </c>
      <c r="D1379" s="17" t="str">
        <f>_xlfn.XLOOKUP(Raw_LIMS_Export!E1379,'mapping Site table'!$B$4:$B$14,'mapping Site table'!$C$4:$C$14,Raw_LIMS_Export!E1379)</f>
        <v>Ashford UK</v>
      </c>
      <c r="E1379" s="17" t="s">
        <v>2479</v>
      </c>
      <c r="F1379" s="17">
        <f t="shared" si="64"/>
        <v>1</v>
      </c>
      <c r="G1379" s="17" t="str">
        <f t="shared" si="65"/>
        <v>Pass</v>
      </c>
      <c r="H1379" s="17" t="str">
        <f t="shared" si="63"/>
        <v>Fail</v>
      </c>
      <c r="I1379" s="17">
        <v>76.72</v>
      </c>
      <c r="J1379" s="17" t="s">
        <v>2486</v>
      </c>
      <c r="K1379" s="17">
        <v>0</v>
      </c>
      <c r="L1379" s="17">
        <v>120</v>
      </c>
      <c r="M1379" s="18">
        <f>Raw_LIMS_Export!K1379</f>
        <v>45844</v>
      </c>
      <c r="N1379" s="19" t="s">
        <v>2932</v>
      </c>
    </row>
    <row r="1380" spans="1:14" x14ac:dyDescent="0.35">
      <c r="A1380" s="16" t="s">
        <v>1381</v>
      </c>
      <c r="B1380" s="17" t="s">
        <v>2165</v>
      </c>
      <c r="C1380" s="17" t="s">
        <v>2458</v>
      </c>
      <c r="D1380" s="17" t="str">
        <f>_xlfn.XLOOKUP(Raw_LIMS_Export!E1380,'mapping Site table'!$B$4:$B$14,'mapping Site table'!$C$4:$C$14,Raw_LIMS_Export!E1380)</f>
        <v>Budapest</v>
      </c>
      <c r="E1380" s="17" t="s">
        <v>2485</v>
      </c>
      <c r="F1380" s="17">
        <f t="shared" si="64"/>
        <v>1</v>
      </c>
      <c r="G1380" s="17" t="str">
        <f t="shared" si="65"/>
        <v>Pass</v>
      </c>
      <c r="H1380" s="17" t="str">
        <f t="shared" si="63"/>
        <v>Pass</v>
      </c>
      <c r="I1380" s="17">
        <v>15.18</v>
      </c>
      <c r="J1380" s="17" t="s">
        <v>2490</v>
      </c>
      <c r="K1380" s="17">
        <v>0</v>
      </c>
      <c r="L1380" s="17">
        <v>100</v>
      </c>
      <c r="M1380" s="18">
        <f>Raw_LIMS_Export!K1380</f>
        <v>45886</v>
      </c>
      <c r="N1380" s="19" t="s">
        <v>2929</v>
      </c>
    </row>
    <row r="1381" spans="1:14" x14ac:dyDescent="0.35">
      <c r="A1381" s="16" t="s">
        <v>1382</v>
      </c>
      <c r="B1381" s="17" t="s">
        <v>2253</v>
      </c>
      <c r="C1381" s="17" t="s">
        <v>2461</v>
      </c>
      <c r="D1381" s="17" t="str">
        <f>_xlfn.XLOOKUP(Raw_LIMS_Export!E1381,'mapping Site table'!$B$4:$B$14,'mapping Site table'!$C$4:$C$14,Raw_LIMS_Export!E1381)</f>
        <v>Dortmund DE</v>
      </c>
      <c r="E1381" s="17" t="s">
        <v>2484</v>
      </c>
      <c r="F1381" s="17">
        <f t="shared" si="64"/>
        <v>1</v>
      </c>
      <c r="G1381" s="17" t="str">
        <f t="shared" si="65"/>
        <v>Pass</v>
      </c>
      <c r="H1381" s="17" t="str">
        <f t="shared" si="63"/>
        <v>Fail</v>
      </c>
      <c r="I1381" s="17">
        <v>6.9</v>
      </c>
      <c r="J1381" s="17"/>
      <c r="K1381" s="17">
        <v>6</v>
      </c>
      <c r="L1381" s="17">
        <v>7.5</v>
      </c>
      <c r="M1381" s="18">
        <f>Raw_LIMS_Export!K1381</f>
        <v>45388</v>
      </c>
      <c r="N1381" s="19" t="s">
        <v>2928</v>
      </c>
    </row>
    <row r="1382" spans="1:14" x14ac:dyDescent="0.35">
      <c r="A1382" s="16" t="s">
        <v>1383</v>
      </c>
      <c r="B1382" s="17" t="s">
        <v>2024</v>
      </c>
      <c r="C1382" s="17" t="s">
        <v>2457</v>
      </c>
      <c r="D1382" s="17" t="str">
        <f>_xlfn.XLOOKUP(Raw_LIMS_Export!E1382,'mapping Site table'!$B$4:$B$14,'mapping Site table'!$C$4:$C$14,Raw_LIMS_Export!E1382)</f>
        <v>Vernier CH</v>
      </c>
      <c r="E1382" s="17" t="s">
        <v>2485</v>
      </c>
      <c r="F1382" s="17">
        <f t="shared" si="64"/>
        <v>1</v>
      </c>
      <c r="G1382" s="17" t="str">
        <f t="shared" si="65"/>
        <v>Fail</v>
      </c>
      <c r="H1382" s="17" t="str">
        <f t="shared" si="63"/>
        <v>Fail</v>
      </c>
      <c r="I1382" s="17">
        <v>-21.37</v>
      </c>
      <c r="J1382" s="17" t="s">
        <v>2490</v>
      </c>
      <c r="K1382" s="17">
        <v>0</v>
      </c>
      <c r="L1382" s="17">
        <v>100</v>
      </c>
      <c r="M1382" s="18">
        <f>Raw_LIMS_Export!K1382</f>
        <v>45529</v>
      </c>
      <c r="N1382" s="19" t="s">
        <v>2931</v>
      </c>
    </row>
    <row r="1383" spans="1:14" x14ac:dyDescent="0.35">
      <c r="A1383" s="16" t="s">
        <v>1384</v>
      </c>
      <c r="B1383" s="17" t="s">
        <v>2139</v>
      </c>
      <c r="C1383" s="17" t="s">
        <v>2460</v>
      </c>
      <c r="D1383" s="17" t="str">
        <f>_xlfn.XLOOKUP(Raw_LIMS_Export!E1383,'mapping Site table'!$B$4:$B$14,'mapping Site table'!$C$4:$C$14,Raw_LIMS_Export!E1383)</f>
        <v>Dortmund DE</v>
      </c>
      <c r="E1383" s="17" t="s">
        <v>2479</v>
      </c>
      <c r="F1383" s="17">
        <f t="shared" si="64"/>
        <v>1</v>
      </c>
      <c r="G1383" s="17" t="str">
        <f t="shared" si="65"/>
        <v>Pass</v>
      </c>
      <c r="H1383" s="17" t="str">
        <f t="shared" si="63"/>
        <v>Pass</v>
      </c>
      <c r="I1383" s="17">
        <v>60.91</v>
      </c>
      <c r="J1383" s="17" t="s">
        <v>2486</v>
      </c>
      <c r="K1383" s="17">
        <v>0</v>
      </c>
      <c r="L1383" s="17">
        <v>120</v>
      </c>
      <c r="M1383" s="18">
        <f>Raw_LIMS_Export!K1383</f>
        <v>45295</v>
      </c>
      <c r="N1383" s="19" t="s">
        <v>2931</v>
      </c>
    </row>
    <row r="1384" spans="1:14" x14ac:dyDescent="0.35">
      <c r="A1384" s="16" t="s">
        <v>1385</v>
      </c>
      <c r="B1384" s="17" t="s">
        <v>2017</v>
      </c>
      <c r="C1384" s="17" t="s">
        <v>2458</v>
      </c>
      <c r="D1384" s="17" t="str">
        <f>_xlfn.XLOOKUP(Raw_LIMS_Export!E1384,'mapping Site table'!$B$4:$B$14,'mapping Site table'!$C$4:$C$14,Raw_LIMS_Export!E1384)</f>
        <v>Vernier CH</v>
      </c>
      <c r="E1384" s="17" t="s">
        <v>2482</v>
      </c>
      <c r="F1384" s="17">
        <f t="shared" si="64"/>
        <v>1</v>
      </c>
      <c r="G1384" s="17" t="str">
        <f t="shared" si="65"/>
        <v>Pass</v>
      </c>
      <c r="H1384" s="17" t="str">
        <f t="shared" si="63"/>
        <v>Fail</v>
      </c>
      <c r="I1384" s="17">
        <v>99.16</v>
      </c>
      <c r="J1384" s="17" t="s">
        <v>2489</v>
      </c>
      <c r="K1384" s="17">
        <v>97</v>
      </c>
      <c r="L1384" s="17">
        <v>100</v>
      </c>
      <c r="M1384" s="18">
        <f>Raw_LIMS_Export!K1384</f>
        <v>46008</v>
      </c>
      <c r="N1384" s="19" t="s">
        <v>2926</v>
      </c>
    </row>
    <row r="1385" spans="1:14" x14ac:dyDescent="0.35">
      <c r="A1385" s="16" t="s">
        <v>1386</v>
      </c>
      <c r="B1385" s="17" t="s">
        <v>2285</v>
      </c>
      <c r="C1385" s="17" t="s">
        <v>2457</v>
      </c>
      <c r="D1385" s="17" t="str">
        <f>_xlfn.XLOOKUP(Raw_LIMS_Export!E1385,'mapping Site table'!$B$4:$B$14,'mapping Site table'!$C$4:$C$14,Raw_LIMS_Export!E1385)</f>
        <v>Vernier CH</v>
      </c>
      <c r="E1385" s="17" t="s">
        <v>2483</v>
      </c>
      <c r="F1385" s="17">
        <f t="shared" si="64"/>
        <v>1</v>
      </c>
      <c r="G1385" s="17" t="str">
        <f t="shared" si="65"/>
        <v>Pass</v>
      </c>
      <c r="H1385" s="17" t="str">
        <f t="shared" si="63"/>
        <v>Fail</v>
      </c>
      <c r="I1385" s="17">
        <v>0.23</v>
      </c>
      <c r="J1385" s="17" t="s">
        <v>2489</v>
      </c>
      <c r="K1385" s="17">
        <v>0</v>
      </c>
      <c r="L1385" s="17">
        <v>1</v>
      </c>
      <c r="M1385" s="18">
        <f>Raw_LIMS_Export!K1385</f>
        <v>45960</v>
      </c>
      <c r="N1385" s="19" t="s">
        <v>2923</v>
      </c>
    </row>
    <row r="1386" spans="1:14" x14ac:dyDescent="0.35">
      <c r="A1386" s="16" t="s">
        <v>1387</v>
      </c>
      <c r="B1386" s="17" t="s">
        <v>2295</v>
      </c>
      <c r="C1386" s="17" t="s">
        <v>2459</v>
      </c>
      <c r="D1386" s="17" t="str">
        <f>_xlfn.XLOOKUP(Raw_LIMS_Export!E1386,'mapping Site table'!$B$4:$B$14,'mapping Site table'!$C$4:$C$14,Raw_LIMS_Export!E1386)</f>
        <v>Vernier CH</v>
      </c>
      <c r="E1386" s="17" t="s">
        <v>2482</v>
      </c>
      <c r="F1386" s="17">
        <f t="shared" si="64"/>
        <v>1</v>
      </c>
      <c r="G1386" s="17" t="str">
        <f t="shared" si="65"/>
        <v>Pass</v>
      </c>
      <c r="H1386" s="17" t="str">
        <f t="shared" si="63"/>
        <v>Pass</v>
      </c>
      <c r="I1386" s="17">
        <v>99.41</v>
      </c>
      <c r="J1386" s="17" t="s">
        <v>2489</v>
      </c>
      <c r="K1386" s="17">
        <v>97</v>
      </c>
      <c r="L1386" s="17">
        <v>100</v>
      </c>
      <c r="M1386" s="18">
        <f>Raw_LIMS_Export!K1386</f>
        <v>45977</v>
      </c>
      <c r="N1386" s="19" t="s">
        <v>2931</v>
      </c>
    </row>
    <row r="1387" spans="1:14" x14ac:dyDescent="0.35">
      <c r="A1387" s="16" t="s">
        <v>1388</v>
      </c>
      <c r="B1387" s="17" t="s">
        <v>2454</v>
      </c>
      <c r="C1387" s="17" t="s">
        <v>2461</v>
      </c>
      <c r="D1387" s="17" t="str">
        <f>_xlfn.XLOOKUP(Raw_LIMS_Export!E1387,'mapping Site table'!$B$4:$B$14,'mapping Site table'!$C$4:$C$14,Raw_LIMS_Export!E1387)</f>
        <v>Dortmund DE</v>
      </c>
      <c r="E1387" s="17" t="s">
        <v>2485</v>
      </c>
      <c r="F1387" s="17">
        <f t="shared" si="64"/>
        <v>1</v>
      </c>
      <c r="G1387" s="17" t="str">
        <f t="shared" si="65"/>
        <v>Fail</v>
      </c>
      <c r="H1387" s="17" t="str">
        <f t="shared" si="63"/>
        <v>Fail</v>
      </c>
      <c r="I1387" s="17">
        <v>-11.84</v>
      </c>
      <c r="J1387" s="17" t="s">
        <v>2490</v>
      </c>
      <c r="K1387" s="17">
        <v>0</v>
      </c>
      <c r="L1387" s="17">
        <v>100</v>
      </c>
      <c r="M1387" s="18">
        <f>Raw_LIMS_Export!K1387</f>
        <v>45502</v>
      </c>
      <c r="N1387" s="19" t="s">
        <v>2924</v>
      </c>
    </row>
    <row r="1388" spans="1:14" x14ac:dyDescent="0.35">
      <c r="A1388" s="16" t="s">
        <v>1389</v>
      </c>
      <c r="B1388" s="17" t="s">
        <v>2286</v>
      </c>
      <c r="C1388" s="17" t="s">
        <v>2458</v>
      </c>
      <c r="D1388" s="17" t="str">
        <f>_xlfn.XLOOKUP(Raw_LIMS_Export!E1388,'mapping Site table'!$B$4:$B$14,'mapping Site table'!$C$4:$C$14,Raw_LIMS_Export!E1388)</f>
        <v>Dortmund DE</v>
      </c>
      <c r="E1388" s="17" t="s">
        <v>2483</v>
      </c>
      <c r="F1388" s="17">
        <f t="shared" si="64"/>
        <v>1</v>
      </c>
      <c r="G1388" s="17" t="str">
        <f t="shared" si="65"/>
        <v>Pass</v>
      </c>
      <c r="H1388" s="17" t="str">
        <f t="shared" si="63"/>
        <v>Fail</v>
      </c>
      <c r="I1388" s="17">
        <v>0.26</v>
      </c>
      <c r="J1388" s="17" t="s">
        <v>2489</v>
      </c>
      <c r="K1388" s="17">
        <v>0</v>
      </c>
      <c r="L1388" s="17">
        <v>1</v>
      </c>
      <c r="M1388" s="18">
        <f>Raw_LIMS_Export!K1388</f>
        <v>45739</v>
      </c>
      <c r="N1388" s="19" t="s">
        <v>2929</v>
      </c>
    </row>
    <row r="1389" spans="1:14" x14ac:dyDescent="0.35">
      <c r="A1389" s="16" t="s">
        <v>1390</v>
      </c>
      <c r="B1389" s="17" t="s">
        <v>2058</v>
      </c>
      <c r="C1389" s="17" t="s">
        <v>2460</v>
      </c>
      <c r="D1389" s="17" t="str">
        <f>_xlfn.XLOOKUP(Raw_LIMS_Export!E1389,'mapping Site table'!$B$4:$B$14,'mapping Site table'!$C$4:$C$14,Raw_LIMS_Export!E1389)</f>
        <v>Budapest</v>
      </c>
      <c r="E1389" s="17" t="s">
        <v>2480</v>
      </c>
      <c r="F1389" s="17">
        <f t="shared" si="64"/>
        <v>1</v>
      </c>
      <c r="G1389" s="17" t="str">
        <f t="shared" si="65"/>
        <v>Pass</v>
      </c>
      <c r="H1389" s="17" t="str">
        <f t="shared" si="63"/>
        <v>Pass</v>
      </c>
      <c r="I1389" s="17">
        <v>0.92</v>
      </c>
      <c r="J1389" s="17" t="s">
        <v>2487</v>
      </c>
      <c r="K1389" s="17">
        <v>0.88</v>
      </c>
      <c r="L1389" s="17">
        <v>0.97</v>
      </c>
      <c r="M1389" s="18">
        <f>Raw_LIMS_Export!K1389</f>
        <v>45695</v>
      </c>
      <c r="N1389" s="19" t="s">
        <v>2925</v>
      </c>
    </row>
    <row r="1390" spans="1:14" x14ac:dyDescent="0.35">
      <c r="A1390" s="16" t="s">
        <v>1391</v>
      </c>
      <c r="B1390" s="17" t="s">
        <v>2263</v>
      </c>
      <c r="C1390" s="17" t="s">
        <v>2459</v>
      </c>
      <c r="D1390" s="17" t="str">
        <f>_xlfn.XLOOKUP(Raw_LIMS_Export!E1390,'mapping Site table'!$B$4:$B$14,'mapping Site table'!$C$4:$C$14,Raw_LIMS_Export!E1390)</f>
        <v>Dortmund DE</v>
      </c>
      <c r="E1390" s="17" t="s">
        <v>2481</v>
      </c>
      <c r="F1390" s="17">
        <f t="shared" si="64"/>
        <v>1</v>
      </c>
      <c r="G1390" s="17" t="str">
        <f t="shared" si="65"/>
        <v>Pass</v>
      </c>
      <c r="H1390" s="17" t="str">
        <f t="shared" si="63"/>
        <v>Pass</v>
      </c>
      <c r="I1390" s="17">
        <v>263.12</v>
      </c>
      <c r="J1390" s="17" t="s">
        <v>2488</v>
      </c>
      <c r="K1390" s="17">
        <v>150</v>
      </c>
      <c r="L1390" s="17">
        <v>400</v>
      </c>
      <c r="M1390" s="18">
        <f>Raw_LIMS_Export!K1390</f>
        <v>45573</v>
      </c>
      <c r="N1390" s="19" t="s">
        <v>2925</v>
      </c>
    </row>
    <row r="1391" spans="1:14" x14ac:dyDescent="0.35">
      <c r="A1391" s="16" t="s">
        <v>1392</v>
      </c>
      <c r="B1391" s="17" t="s">
        <v>2068</v>
      </c>
      <c r="C1391" s="17" t="s">
        <v>2459</v>
      </c>
      <c r="D1391" s="17" t="str">
        <f>_xlfn.XLOOKUP(Raw_LIMS_Export!E1391,'mapping Site table'!$B$4:$B$14,'mapping Site table'!$C$4:$C$14,Raw_LIMS_Export!E1391)</f>
        <v>Budapest</v>
      </c>
      <c r="E1391" s="17" t="s">
        <v>2482</v>
      </c>
      <c r="F1391" s="17">
        <f t="shared" si="64"/>
        <v>1</v>
      </c>
      <c r="G1391" s="17" t="str">
        <f t="shared" si="65"/>
        <v>Fail</v>
      </c>
      <c r="H1391" s="17" t="str">
        <f t="shared" si="63"/>
        <v>Fail</v>
      </c>
      <c r="I1391" s="17">
        <v>100.12</v>
      </c>
      <c r="J1391" s="17" t="s">
        <v>2489</v>
      </c>
      <c r="K1391" s="17">
        <v>97</v>
      </c>
      <c r="L1391" s="17">
        <v>100</v>
      </c>
      <c r="M1391" s="18">
        <f>Raw_LIMS_Export!K1391</f>
        <v>45999</v>
      </c>
      <c r="N1391" s="19" t="s">
        <v>2930</v>
      </c>
    </row>
    <row r="1392" spans="1:14" x14ac:dyDescent="0.35">
      <c r="A1392" s="16" t="s">
        <v>1393</v>
      </c>
      <c r="B1392" s="17" t="s">
        <v>2361</v>
      </c>
      <c r="C1392" s="17" t="s">
        <v>2461</v>
      </c>
      <c r="D1392" s="17" t="str">
        <f>_xlfn.XLOOKUP(Raw_LIMS_Export!E1392,'mapping Site table'!$B$4:$B$14,'mapping Site table'!$C$4:$C$14,Raw_LIMS_Export!E1392)</f>
        <v>Budapest</v>
      </c>
      <c r="E1392" s="17" t="s">
        <v>2483</v>
      </c>
      <c r="F1392" s="17">
        <f t="shared" si="64"/>
        <v>1</v>
      </c>
      <c r="G1392" s="17" t="str">
        <f t="shared" si="65"/>
        <v>Pass</v>
      </c>
      <c r="H1392" s="17" t="str">
        <f t="shared" si="63"/>
        <v>Pass</v>
      </c>
      <c r="I1392" s="17">
        <v>0.4</v>
      </c>
      <c r="J1392" s="17" t="s">
        <v>2489</v>
      </c>
      <c r="K1392" s="17">
        <v>0</v>
      </c>
      <c r="L1392" s="17">
        <v>1</v>
      </c>
      <c r="M1392" s="18">
        <f>Raw_LIMS_Export!K1392</f>
        <v>45779</v>
      </c>
      <c r="N1392" s="19" t="s">
        <v>2925</v>
      </c>
    </row>
    <row r="1393" spans="1:14" x14ac:dyDescent="0.35">
      <c r="A1393" s="16" t="s">
        <v>1394</v>
      </c>
      <c r="B1393" s="17" t="s">
        <v>2182</v>
      </c>
      <c r="C1393" s="17" t="s">
        <v>2457</v>
      </c>
      <c r="D1393" s="17" t="str">
        <f>_xlfn.XLOOKUP(Raw_LIMS_Export!E1393,'mapping Site table'!$B$4:$B$14,'mapping Site table'!$C$4:$C$14,Raw_LIMS_Export!E1393)</f>
        <v>Ashford UK</v>
      </c>
      <c r="E1393" s="17" t="s">
        <v>2485</v>
      </c>
      <c r="F1393" s="17">
        <f t="shared" si="64"/>
        <v>1</v>
      </c>
      <c r="G1393" s="17" t="str">
        <f t="shared" si="65"/>
        <v>Pass</v>
      </c>
      <c r="H1393" s="17" t="str">
        <f t="shared" si="63"/>
        <v>Pass</v>
      </c>
      <c r="I1393" s="17">
        <v>52.93</v>
      </c>
      <c r="J1393" s="17" t="s">
        <v>2490</v>
      </c>
      <c r="K1393" s="17">
        <v>0</v>
      </c>
      <c r="L1393" s="17">
        <v>100</v>
      </c>
      <c r="M1393" s="18">
        <f>Raw_LIMS_Export!K1393</f>
        <v>45681</v>
      </c>
      <c r="N1393" s="19" t="s">
        <v>2926</v>
      </c>
    </row>
    <row r="1394" spans="1:14" x14ac:dyDescent="0.35">
      <c r="A1394" s="16" t="s">
        <v>1395</v>
      </c>
      <c r="B1394" s="17" t="s">
        <v>2168</v>
      </c>
      <c r="C1394" s="17" t="s">
        <v>2459</v>
      </c>
      <c r="D1394" s="17" t="str">
        <f>_xlfn.XLOOKUP(Raw_LIMS_Export!E1394,'mapping Site table'!$B$4:$B$14,'mapping Site table'!$C$4:$C$14,Raw_LIMS_Export!E1394)</f>
        <v>Budapest</v>
      </c>
      <c r="E1394" s="17" t="s">
        <v>2483</v>
      </c>
      <c r="F1394" s="17">
        <f t="shared" si="64"/>
        <v>1</v>
      </c>
      <c r="G1394" s="17" t="str">
        <f t="shared" si="65"/>
        <v>Pass</v>
      </c>
      <c r="H1394" s="17" t="str">
        <f t="shared" si="63"/>
        <v>Pass</v>
      </c>
      <c r="I1394" s="17">
        <v>0.31</v>
      </c>
      <c r="J1394" s="17" t="s">
        <v>2489</v>
      </c>
      <c r="K1394" s="17">
        <v>0</v>
      </c>
      <c r="L1394" s="17">
        <v>1</v>
      </c>
      <c r="M1394" s="18">
        <f>Raw_LIMS_Export!K1394</f>
        <v>45558</v>
      </c>
      <c r="N1394" s="19" t="s">
        <v>2929</v>
      </c>
    </row>
    <row r="1395" spans="1:14" x14ac:dyDescent="0.35">
      <c r="A1395" s="16" t="s">
        <v>1396</v>
      </c>
      <c r="B1395" s="17" t="s">
        <v>2427</v>
      </c>
      <c r="C1395" s="17" t="s">
        <v>2461</v>
      </c>
      <c r="D1395" s="17" t="str">
        <f>_xlfn.XLOOKUP(Raw_LIMS_Export!E1395,'mapping Site table'!$B$4:$B$14,'mapping Site table'!$C$4:$C$14,Raw_LIMS_Export!E1395)</f>
        <v>Budapest</v>
      </c>
      <c r="E1395" s="17" t="s">
        <v>2484</v>
      </c>
      <c r="F1395" s="17">
        <f t="shared" si="64"/>
        <v>1</v>
      </c>
      <c r="G1395" s="17" t="str">
        <f t="shared" si="65"/>
        <v>Pass</v>
      </c>
      <c r="H1395" s="17" t="str">
        <f t="shared" si="63"/>
        <v>Pass</v>
      </c>
      <c r="I1395" s="17">
        <v>7.07</v>
      </c>
      <c r="J1395" s="17"/>
      <c r="K1395" s="17">
        <v>6</v>
      </c>
      <c r="L1395" s="17">
        <v>7.5</v>
      </c>
      <c r="M1395" s="18">
        <f>Raw_LIMS_Export!K1395</f>
        <v>45590</v>
      </c>
      <c r="N1395" s="19" t="s">
        <v>2925</v>
      </c>
    </row>
    <row r="1396" spans="1:14" x14ac:dyDescent="0.35">
      <c r="A1396" s="16" t="s">
        <v>1397</v>
      </c>
      <c r="B1396" s="17" t="s">
        <v>2376</v>
      </c>
      <c r="C1396" s="17" t="s">
        <v>2459</v>
      </c>
      <c r="D1396" s="17" t="str">
        <f>_xlfn.XLOOKUP(Raw_LIMS_Export!E1396,'mapping Site table'!$B$4:$B$14,'mapping Site table'!$C$4:$C$14,Raw_LIMS_Export!E1396)</f>
        <v>Ashford UK</v>
      </c>
      <c r="E1396" s="17" t="s">
        <v>2485</v>
      </c>
      <c r="F1396" s="17">
        <f t="shared" si="64"/>
        <v>1</v>
      </c>
      <c r="G1396" s="17" t="str">
        <f t="shared" si="65"/>
        <v>Pass</v>
      </c>
      <c r="H1396" s="17" t="str">
        <f t="shared" si="63"/>
        <v>Fail</v>
      </c>
      <c r="I1396" s="17">
        <v>34.78</v>
      </c>
      <c r="J1396" s="17" t="s">
        <v>2490</v>
      </c>
      <c r="K1396" s="17">
        <v>0</v>
      </c>
      <c r="L1396" s="17">
        <v>100</v>
      </c>
      <c r="M1396" s="18">
        <f>Raw_LIMS_Export!K1396</f>
        <v>45780</v>
      </c>
      <c r="N1396" s="19" t="s">
        <v>2929</v>
      </c>
    </row>
    <row r="1397" spans="1:14" x14ac:dyDescent="0.35">
      <c r="A1397" s="16" t="s">
        <v>1398</v>
      </c>
      <c r="B1397" s="17" t="s">
        <v>2455</v>
      </c>
      <c r="C1397" s="17" t="s">
        <v>2461</v>
      </c>
      <c r="D1397" s="17" t="str">
        <f>_xlfn.XLOOKUP(Raw_LIMS_Export!E1397,'mapping Site table'!$B$4:$B$14,'mapping Site table'!$C$4:$C$14,Raw_LIMS_Export!E1397)</f>
        <v>Vernier CH</v>
      </c>
      <c r="E1397" s="17" t="s">
        <v>2481</v>
      </c>
      <c r="F1397" s="17">
        <f t="shared" si="64"/>
        <v>1</v>
      </c>
      <c r="G1397" s="17" t="str">
        <f t="shared" si="65"/>
        <v>Pass</v>
      </c>
      <c r="H1397" s="17" t="str">
        <f t="shared" si="63"/>
        <v>Pass</v>
      </c>
      <c r="I1397" s="17">
        <v>275.89999999999998</v>
      </c>
      <c r="J1397" s="17" t="s">
        <v>2488</v>
      </c>
      <c r="K1397" s="17">
        <v>150</v>
      </c>
      <c r="L1397" s="17">
        <v>400</v>
      </c>
      <c r="M1397" s="18">
        <f>Raw_LIMS_Export!K1397</f>
        <v>45988</v>
      </c>
      <c r="N1397" s="19" t="s">
        <v>2925</v>
      </c>
    </row>
    <row r="1398" spans="1:14" x14ac:dyDescent="0.35">
      <c r="A1398" s="16" t="s">
        <v>1399</v>
      </c>
      <c r="B1398" s="17" t="s">
        <v>2094</v>
      </c>
      <c r="C1398" s="17" t="s">
        <v>2460</v>
      </c>
      <c r="D1398" s="17" t="str">
        <f>_xlfn.XLOOKUP(Raw_LIMS_Export!E1398,'mapping Site table'!$B$4:$B$14,'mapping Site table'!$C$4:$C$14,Raw_LIMS_Export!E1398)</f>
        <v>Ashford UK</v>
      </c>
      <c r="E1398" s="17" t="s">
        <v>2480</v>
      </c>
      <c r="F1398" s="17">
        <f t="shared" si="64"/>
        <v>1</v>
      </c>
      <c r="G1398" s="17" t="str">
        <f t="shared" si="65"/>
        <v>Pass</v>
      </c>
      <c r="H1398" s="17" t="str">
        <f t="shared" si="63"/>
        <v>Fail</v>
      </c>
      <c r="I1398" s="17">
        <v>0.97</v>
      </c>
      <c r="J1398" s="17" t="s">
        <v>2487</v>
      </c>
      <c r="K1398" s="17">
        <v>0.88</v>
      </c>
      <c r="L1398" s="17">
        <v>0.97</v>
      </c>
      <c r="M1398" s="18">
        <f>Raw_LIMS_Export!K1398</f>
        <v>45316</v>
      </c>
      <c r="N1398" s="19" t="s">
        <v>2932</v>
      </c>
    </row>
    <row r="1399" spans="1:14" x14ac:dyDescent="0.35">
      <c r="A1399" s="16" t="s">
        <v>1400</v>
      </c>
      <c r="B1399" s="17" t="s">
        <v>2266</v>
      </c>
      <c r="C1399" s="17" t="s">
        <v>2460</v>
      </c>
      <c r="D1399" s="17" t="str">
        <f>_xlfn.XLOOKUP(Raw_LIMS_Export!E1399,'mapping Site table'!$B$4:$B$14,'mapping Site table'!$C$4:$C$14,Raw_LIMS_Export!E1399)</f>
        <v>Ashford UK</v>
      </c>
      <c r="E1399" s="17" t="s">
        <v>2484</v>
      </c>
      <c r="F1399" s="17">
        <f t="shared" si="64"/>
        <v>1</v>
      </c>
      <c r="G1399" s="17" t="str">
        <f t="shared" si="65"/>
        <v>Pass</v>
      </c>
      <c r="H1399" s="17" t="str">
        <f t="shared" si="63"/>
        <v>Pass</v>
      </c>
      <c r="I1399" s="17">
        <v>7.13</v>
      </c>
      <c r="J1399" s="17"/>
      <c r="K1399" s="17">
        <v>6</v>
      </c>
      <c r="L1399" s="17">
        <v>7.5</v>
      </c>
      <c r="M1399" s="18">
        <f>Raw_LIMS_Export!K1399</f>
        <v>45819</v>
      </c>
      <c r="N1399" s="19" t="s">
        <v>2927</v>
      </c>
    </row>
    <row r="1400" spans="1:14" x14ac:dyDescent="0.35">
      <c r="A1400" s="16" t="s">
        <v>1401</v>
      </c>
      <c r="B1400" s="17" t="s">
        <v>2045</v>
      </c>
      <c r="C1400" s="17" t="s">
        <v>2457</v>
      </c>
      <c r="D1400" s="17" t="str">
        <f>_xlfn.XLOOKUP(Raw_LIMS_Export!E1400,'mapping Site table'!$B$4:$B$14,'mapping Site table'!$C$4:$C$14,Raw_LIMS_Export!E1400)</f>
        <v>Budapest</v>
      </c>
      <c r="E1400" s="17" t="s">
        <v>2479</v>
      </c>
      <c r="F1400" s="17">
        <f t="shared" si="64"/>
        <v>1</v>
      </c>
      <c r="G1400" s="17" t="str">
        <f t="shared" si="65"/>
        <v>Pass</v>
      </c>
      <c r="H1400" s="17" t="str">
        <f t="shared" si="63"/>
        <v>Pass</v>
      </c>
      <c r="I1400" s="17">
        <v>56.53</v>
      </c>
      <c r="J1400" s="17" t="s">
        <v>2486</v>
      </c>
      <c r="K1400" s="17">
        <v>0</v>
      </c>
      <c r="L1400" s="17">
        <v>120</v>
      </c>
      <c r="M1400" s="18">
        <f>Raw_LIMS_Export!K1400</f>
        <v>45655</v>
      </c>
      <c r="N1400" s="19" t="s">
        <v>2931</v>
      </c>
    </row>
    <row r="1401" spans="1:14" x14ac:dyDescent="0.35">
      <c r="A1401" s="16" t="s">
        <v>1402</v>
      </c>
      <c r="B1401" s="17" t="s">
        <v>2044</v>
      </c>
      <c r="C1401" s="17" t="s">
        <v>2459</v>
      </c>
      <c r="D1401" s="17" t="str">
        <f>_xlfn.XLOOKUP(Raw_LIMS_Export!E1401,'mapping Site table'!$B$4:$B$14,'mapping Site table'!$C$4:$C$14,Raw_LIMS_Export!E1401)</f>
        <v>Budapest</v>
      </c>
      <c r="E1401" s="17" t="s">
        <v>2479</v>
      </c>
      <c r="F1401" s="17">
        <f t="shared" si="64"/>
        <v>1</v>
      </c>
      <c r="G1401" s="17" t="str">
        <f t="shared" si="65"/>
        <v>Pass</v>
      </c>
      <c r="H1401" s="17" t="str">
        <f t="shared" si="63"/>
        <v>Pending</v>
      </c>
      <c r="I1401" s="17">
        <v>24.47</v>
      </c>
      <c r="J1401" s="17" t="s">
        <v>2486</v>
      </c>
      <c r="K1401" s="17">
        <v>0</v>
      </c>
      <c r="L1401" s="17">
        <v>120</v>
      </c>
      <c r="M1401" s="18">
        <f>Raw_LIMS_Export!K1401</f>
        <v>45350</v>
      </c>
      <c r="N1401" s="19" t="s">
        <v>2923</v>
      </c>
    </row>
    <row r="1402" spans="1:14" x14ac:dyDescent="0.35">
      <c r="A1402" s="16" t="s">
        <v>1403</v>
      </c>
      <c r="B1402" s="17" t="s">
        <v>2425</v>
      </c>
      <c r="C1402" s="17" t="s">
        <v>2461</v>
      </c>
      <c r="D1402" s="17" t="str">
        <f>_xlfn.XLOOKUP(Raw_LIMS_Export!E1402,'mapping Site table'!$B$4:$B$14,'mapping Site table'!$C$4:$C$14,Raw_LIMS_Export!E1402)</f>
        <v>East Hanover</v>
      </c>
      <c r="E1402" s="17" t="s">
        <v>2483</v>
      </c>
      <c r="F1402" s="17">
        <f t="shared" si="64"/>
        <v>1</v>
      </c>
      <c r="G1402" s="17" t="str">
        <f t="shared" si="65"/>
        <v>Pass</v>
      </c>
      <c r="H1402" s="17" t="str">
        <f t="shared" si="63"/>
        <v>Pass</v>
      </c>
      <c r="I1402" s="17">
        <v>0.31</v>
      </c>
      <c r="J1402" s="17" t="s">
        <v>2489</v>
      </c>
      <c r="K1402" s="17">
        <v>0</v>
      </c>
      <c r="L1402" s="17">
        <v>1</v>
      </c>
      <c r="M1402" s="18">
        <f>Raw_LIMS_Export!K1402</f>
        <v>45556</v>
      </c>
      <c r="N1402" s="19" t="s">
        <v>2931</v>
      </c>
    </row>
    <row r="1403" spans="1:14" x14ac:dyDescent="0.35">
      <c r="A1403" s="16" t="s">
        <v>1404</v>
      </c>
      <c r="B1403" s="17" t="s">
        <v>2313</v>
      </c>
      <c r="C1403" s="17" t="s">
        <v>2459</v>
      </c>
      <c r="D1403" s="17" t="str">
        <f>_xlfn.XLOOKUP(Raw_LIMS_Export!E1403,'mapping Site table'!$B$4:$B$14,'mapping Site table'!$C$4:$C$14,Raw_LIMS_Export!E1403)</f>
        <v>Budapest</v>
      </c>
      <c r="E1403" s="17" t="s">
        <v>2484</v>
      </c>
      <c r="F1403" s="17">
        <f t="shared" si="64"/>
        <v>1</v>
      </c>
      <c r="G1403" s="17" t="str">
        <f t="shared" si="65"/>
        <v>Fail</v>
      </c>
      <c r="H1403" s="17" t="str">
        <f t="shared" si="63"/>
        <v>Fail</v>
      </c>
      <c r="I1403" s="17">
        <v>4.8</v>
      </c>
      <c r="J1403" s="17"/>
      <c r="K1403" s="17">
        <v>6</v>
      </c>
      <c r="L1403" s="17">
        <v>7.5</v>
      </c>
      <c r="M1403" s="18">
        <f>Raw_LIMS_Export!K1403</f>
        <v>45742</v>
      </c>
      <c r="N1403" s="19" t="s">
        <v>2928</v>
      </c>
    </row>
    <row r="1404" spans="1:14" x14ac:dyDescent="0.35">
      <c r="A1404" s="16" t="s">
        <v>1405</v>
      </c>
      <c r="B1404" s="17" t="s">
        <v>2153</v>
      </c>
      <c r="C1404" s="17" t="s">
        <v>2461</v>
      </c>
      <c r="D1404" s="17" t="str">
        <f>_xlfn.XLOOKUP(Raw_LIMS_Export!E1404,'mapping Site table'!$B$4:$B$14,'mapping Site table'!$C$4:$C$14,Raw_LIMS_Export!E1404)</f>
        <v>Budapest</v>
      </c>
      <c r="E1404" s="17" t="s">
        <v>2484</v>
      </c>
      <c r="F1404" s="17">
        <f t="shared" si="64"/>
        <v>1</v>
      </c>
      <c r="G1404" s="17" t="str">
        <f t="shared" si="65"/>
        <v>Pass</v>
      </c>
      <c r="H1404" s="17" t="str">
        <f t="shared" si="63"/>
        <v>Fail</v>
      </c>
      <c r="I1404" s="17">
        <v>6.56</v>
      </c>
      <c r="J1404" s="17"/>
      <c r="K1404" s="17">
        <v>6</v>
      </c>
      <c r="L1404" s="17">
        <v>7.5</v>
      </c>
      <c r="M1404" s="18">
        <f>Raw_LIMS_Export!K1404</f>
        <v>45445</v>
      </c>
      <c r="N1404" s="19" t="s">
        <v>2932</v>
      </c>
    </row>
    <row r="1405" spans="1:14" x14ac:dyDescent="0.35">
      <c r="A1405" s="16" t="s">
        <v>1406</v>
      </c>
      <c r="B1405" s="17" t="s">
        <v>2213</v>
      </c>
      <c r="C1405" s="17" t="s">
        <v>2457</v>
      </c>
      <c r="D1405" s="17" t="str">
        <f>_xlfn.XLOOKUP(Raw_LIMS_Export!E1405,'mapping Site table'!$B$4:$B$14,'mapping Site table'!$C$4:$C$14,Raw_LIMS_Export!E1405)</f>
        <v>Ashford UK</v>
      </c>
      <c r="E1405" s="17" t="s">
        <v>2485</v>
      </c>
      <c r="F1405" s="17">
        <f t="shared" si="64"/>
        <v>1</v>
      </c>
      <c r="G1405" s="17" t="str">
        <f t="shared" si="65"/>
        <v>Pass</v>
      </c>
      <c r="H1405" s="17" t="str">
        <f t="shared" si="63"/>
        <v>Pass</v>
      </c>
      <c r="I1405" s="17">
        <v>22.05</v>
      </c>
      <c r="J1405" s="17" t="s">
        <v>2490</v>
      </c>
      <c r="K1405" s="17">
        <v>0</v>
      </c>
      <c r="L1405" s="17">
        <v>100</v>
      </c>
      <c r="M1405" s="18">
        <f>Raw_LIMS_Export!K1405</f>
        <v>45724</v>
      </c>
      <c r="N1405" s="19" t="s">
        <v>2925</v>
      </c>
    </row>
    <row r="1406" spans="1:14" x14ac:dyDescent="0.35">
      <c r="A1406" s="16" t="s">
        <v>1407</v>
      </c>
      <c r="B1406" s="17" t="s">
        <v>2319</v>
      </c>
      <c r="C1406" s="17" t="s">
        <v>2458</v>
      </c>
      <c r="D1406" s="17" t="str">
        <f>_xlfn.XLOOKUP(Raw_LIMS_Export!E1406,'mapping Site table'!$B$4:$B$14,'mapping Site table'!$C$4:$C$14,Raw_LIMS_Export!E1406)</f>
        <v>Dortmund DE</v>
      </c>
      <c r="E1406" s="17" t="s">
        <v>2481</v>
      </c>
      <c r="F1406" s="17">
        <f t="shared" si="64"/>
        <v>1</v>
      </c>
      <c r="G1406" s="17" t="str">
        <f t="shared" si="65"/>
        <v>Pass</v>
      </c>
      <c r="H1406" s="17" t="str">
        <f t="shared" si="63"/>
        <v>Pass</v>
      </c>
      <c r="I1406" s="17">
        <v>200.94</v>
      </c>
      <c r="J1406" s="17" t="s">
        <v>2488</v>
      </c>
      <c r="K1406" s="17">
        <v>150</v>
      </c>
      <c r="L1406" s="17">
        <v>400</v>
      </c>
      <c r="M1406" s="18">
        <f>Raw_LIMS_Export!K1406</f>
        <v>45477</v>
      </c>
      <c r="N1406" s="19" t="s">
        <v>2923</v>
      </c>
    </row>
    <row r="1407" spans="1:14" x14ac:dyDescent="0.35">
      <c r="A1407" s="16" t="s">
        <v>1408</v>
      </c>
      <c r="B1407" s="17" t="s">
        <v>2451</v>
      </c>
      <c r="C1407" s="17" t="s">
        <v>2459</v>
      </c>
      <c r="D1407" s="17" t="str">
        <f>_xlfn.XLOOKUP(Raw_LIMS_Export!E1407,'mapping Site table'!$B$4:$B$14,'mapping Site table'!$C$4:$C$14,Raw_LIMS_Export!E1407)</f>
        <v>Budapest</v>
      </c>
      <c r="E1407" s="17" t="s">
        <v>2485</v>
      </c>
      <c r="F1407" s="17">
        <f t="shared" si="64"/>
        <v>1</v>
      </c>
      <c r="G1407" s="17" t="str">
        <f t="shared" si="65"/>
        <v>Fail</v>
      </c>
      <c r="H1407" s="17" t="str">
        <f t="shared" si="63"/>
        <v>Fail</v>
      </c>
      <c r="I1407" s="17">
        <v>-32.4</v>
      </c>
      <c r="J1407" s="17" t="s">
        <v>2490</v>
      </c>
      <c r="K1407" s="17">
        <v>0</v>
      </c>
      <c r="L1407" s="17">
        <v>100</v>
      </c>
      <c r="M1407" s="18">
        <f>Raw_LIMS_Export!K1407</f>
        <v>45735</v>
      </c>
      <c r="N1407" s="19" t="s">
        <v>2923</v>
      </c>
    </row>
    <row r="1408" spans="1:14" x14ac:dyDescent="0.35">
      <c r="A1408" s="16" t="s">
        <v>1409</v>
      </c>
      <c r="B1408" s="17" t="s">
        <v>2291</v>
      </c>
      <c r="C1408" s="17" t="s">
        <v>2458</v>
      </c>
      <c r="D1408" s="17" t="str">
        <f>_xlfn.XLOOKUP(Raw_LIMS_Export!E1408,'mapping Site table'!$B$4:$B$14,'mapping Site table'!$C$4:$C$14,Raw_LIMS_Export!E1408)</f>
        <v>East Hanover</v>
      </c>
      <c r="E1408" s="17" t="s">
        <v>2482</v>
      </c>
      <c r="F1408" s="17">
        <f t="shared" si="64"/>
        <v>1</v>
      </c>
      <c r="G1408" s="17" t="str">
        <f t="shared" si="65"/>
        <v>Pass</v>
      </c>
      <c r="H1408" s="17" t="str">
        <f t="shared" si="63"/>
        <v>Pass</v>
      </c>
      <c r="I1408" s="17">
        <v>97.82</v>
      </c>
      <c r="J1408" s="17" t="s">
        <v>2489</v>
      </c>
      <c r="K1408" s="17">
        <v>97</v>
      </c>
      <c r="L1408" s="17">
        <v>100</v>
      </c>
      <c r="M1408" s="18">
        <f>Raw_LIMS_Export!K1408</f>
        <v>45763</v>
      </c>
      <c r="N1408" s="19" t="s">
        <v>2930</v>
      </c>
    </row>
    <row r="1409" spans="1:14" x14ac:dyDescent="0.35">
      <c r="A1409" s="16" t="s">
        <v>1410</v>
      </c>
      <c r="B1409" s="17" t="s">
        <v>2385</v>
      </c>
      <c r="C1409" s="17" t="s">
        <v>2457</v>
      </c>
      <c r="D1409" s="17" t="str">
        <f>_xlfn.XLOOKUP(Raw_LIMS_Export!E1409,'mapping Site table'!$B$4:$B$14,'mapping Site table'!$C$4:$C$14,Raw_LIMS_Export!E1409)</f>
        <v>East Hanover</v>
      </c>
      <c r="E1409" s="17" t="s">
        <v>2481</v>
      </c>
      <c r="F1409" s="17">
        <f t="shared" si="64"/>
        <v>1</v>
      </c>
      <c r="G1409" s="17" t="str">
        <f t="shared" si="65"/>
        <v>Pass</v>
      </c>
      <c r="H1409" s="17" t="str">
        <f t="shared" si="63"/>
        <v>Pass</v>
      </c>
      <c r="I1409" s="17">
        <v>221.28</v>
      </c>
      <c r="J1409" s="17" t="s">
        <v>2488</v>
      </c>
      <c r="K1409" s="17">
        <v>150</v>
      </c>
      <c r="L1409" s="17">
        <v>400</v>
      </c>
      <c r="M1409" s="18">
        <f>Raw_LIMS_Export!K1409</f>
        <v>45790</v>
      </c>
      <c r="N1409" s="19" t="s">
        <v>2929</v>
      </c>
    </row>
    <row r="1410" spans="1:14" x14ac:dyDescent="0.35">
      <c r="A1410" s="16" t="s">
        <v>1411</v>
      </c>
      <c r="B1410" s="17" t="s">
        <v>2410</v>
      </c>
      <c r="C1410" s="17" t="s">
        <v>2457</v>
      </c>
      <c r="D1410" s="17" t="str">
        <f>_xlfn.XLOOKUP(Raw_LIMS_Export!E1410,'mapping Site table'!$B$4:$B$14,'mapping Site table'!$C$4:$C$14,Raw_LIMS_Export!E1410)</f>
        <v>Dortmund DE</v>
      </c>
      <c r="E1410" s="17" t="s">
        <v>2483</v>
      </c>
      <c r="F1410" s="17">
        <f t="shared" si="64"/>
        <v>1</v>
      </c>
      <c r="G1410" s="17" t="str">
        <f t="shared" si="65"/>
        <v>Pass</v>
      </c>
      <c r="H1410" s="17" t="str">
        <f t="shared" ref="H1410:H1473" si="66">IF(COUNTIFS($B$2:$B$2016,B1410,$G$2:$G$2016,"Fail")&gt;0,"Fail",
  IF(COUNTIFS($B$2:$B$2016,B1410,$G$2:$G$2016,"Missing")&gt;0,"Pending",
    "Pass"))</f>
        <v>Fail</v>
      </c>
      <c r="I1410" s="17">
        <v>0.31</v>
      </c>
      <c r="J1410" s="17" t="s">
        <v>2489</v>
      </c>
      <c r="K1410" s="17">
        <v>0</v>
      </c>
      <c r="L1410" s="17">
        <v>1</v>
      </c>
      <c r="M1410" s="18">
        <f>Raw_LIMS_Export!K1410</f>
        <v>45832</v>
      </c>
      <c r="N1410" s="19" t="s">
        <v>2931</v>
      </c>
    </row>
    <row r="1411" spans="1:14" x14ac:dyDescent="0.35">
      <c r="A1411" s="16" t="s">
        <v>1412</v>
      </c>
      <c r="B1411" s="17" t="s">
        <v>2382</v>
      </c>
      <c r="C1411" s="17" t="s">
        <v>2459</v>
      </c>
      <c r="D1411" s="17" t="str">
        <f>_xlfn.XLOOKUP(Raw_LIMS_Export!E1411,'mapping Site table'!$B$4:$B$14,'mapping Site table'!$C$4:$C$14,Raw_LIMS_Export!E1411)</f>
        <v>East Hanover</v>
      </c>
      <c r="E1411" s="17" t="s">
        <v>2484</v>
      </c>
      <c r="F1411" s="17">
        <f t="shared" ref="F1411:F1474" si="67">IF(I1411="",0,1)</f>
        <v>1</v>
      </c>
      <c r="G1411" s="17" t="str">
        <f t="shared" ref="G1411:G1474" si="68">IF(I1411="", "Missing", IF(AND(I1411&gt;=K1411, I1411&lt;=L1411), "Pass", "Fail"))</f>
        <v>Pass</v>
      </c>
      <c r="H1411" s="17" t="str">
        <f t="shared" si="66"/>
        <v>Pass</v>
      </c>
      <c r="I1411" s="17">
        <v>6.84</v>
      </c>
      <c r="J1411" s="17"/>
      <c r="K1411" s="17">
        <v>6</v>
      </c>
      <c r="L1411" s="17">
        <v>7.5</v>
      </c>
      <c r="M1411" s="18">
        <f>Raw_LIMS_Export!K1411</f>
        <v>45831</v>
      </c>
      <c r="N1411" s="19" t="s">
        <v>2928</v>
      </c>
    </row>
    <row r="1412" spans="1:14" x14ac:dyDescent="0.35">
      <c r="A1412" s="16" t="s">
        <v>1413</v>
      </c>
      <c r="B1412" s="17" t="s">
        <v>2345</v>
      </c>
      <c r="C1412" s="17" t="s">
        <v>2458</v>
      </c>
      <c r="D1412" s="17" t="str">
        <f>_xlfn.XLOOKUP(Raw_LIMS_Export!E1412,'mapping Site table'!$B$4:$B$14,'mapping Site table'!$C$4:$C$14,Raw_LIMS_Export!E1412)</f>
        <v>Budapest</v>
      </c>
      <c r="E1412" s="17" t="s">
        <v>2482</v>
      </c>
      <c r="F1412" s="17">
        <f t="shared" si="67"/>
        <v>1</v>
      </c>
      <c r="G1412" s="17" t="str">
        <f t="shared" si="68"/>
        <v>Pass</v>
      </c>
      <c r="H1412" s="17" t="str">
        <f t="shared" si="66"/>
        <v>Pass</v>
      </c>
      <c r="I1412" s="17">
        <v>99.43</v>
      </c>
      <c r="J1412" s="17" t="s">
        <v>2489</v>
      </c>
      <c r="K1412" s="17">
        <v>97</v>
      </c>
      <c r="L1412" s="17">
        <v>100</v>
      </c>
      <c r="M1412" s="18">
        <f>Raw_LIMS_Export!K1412</f>
        <v>45379</v>
      </c>
      <c r="N1412" s="19" t="s">
        <v>2924</v>
      </c>
    </row>
    <row r="1413" spans="1:14" x14ac:dyDescent="0.35">
      <c r="A1413" s="16" t="s">
        <v>1414</v>
      </c>
      <c r="B1413" s="17" t="s">
        <v>2422</v>
      </c>
      <c r="C1413" s="17" t="s">
        <v>2461</v>
      </c>
      <c r="D1413" s="17" t="str">
        <f>_xlfn.XLOOKUP(Raw_LIMS_Export!E1413,'mapping Site table'!$B$4:$B$14,'mapping Site table'!$C$4:$C$14,Raw_LIMS_Export!E1413)</f>
        <v>Dortmund DE</v>
      </c>
      <c r="E1413" s="17" t="s">
        <v>2485</v>
      </c>
      <c r="F1413" s="17">
        <f t="shared" si="67"/>
        <v>1</v>
      </c>
      <c r="G1413" s="17" t="str">
        <f t="shared" si="68"/>
        <v>Pass</v>
      </c>
      <c r="H1413" s="17" t="str">
        <f t="shared" si="66"/>
        <v>Fail</v>
      </c>
      <c r="I1413" s="17">
        <v>29.87</v>
      </c>
      <c r="J1413" s="17" t="s">
        <v>2490</v>
      </c>
      <c r="K1413" s="17">
        <v>0</v>
      </c>
      <c r="L1413" s="17">
        <v>100</v>
      </c>
      <c r="M1413" s="18">
        <f>Raw_LIMS_Export!K1413</f>
        <v>45539</v>
      </c>
      <c r="N1413" s="19" t="s">
        <v>2925</v>
      </c>
    </row>
    <row r="1414" spans="1:14" x14ac:dyDescent="0.35">
      <c r="A1414" s="16" t="s">
        <v>1415</v>
      </c>
      <c r="B1414" s="17" t="s">
        <v>2312</v>
      </c>
      <c r="C1414" s="17" t="s">
        <v>2461</v>
      </c>
      <c r="D1414" s="17" t="str">
        <f>_xlfn.XLOOKUP(Raw_LIMS_Export!E1414,'mapping Site table'!$B$4:$B$14,'mapping Site table'!$C$4:$C$14,Raw_LIMS_Export!E1414)</f>
        <v>Ashford UK</v>
      </c>
      <c r="E1414" s="17" t="s">
        <v>2483</v>
      </c>
      <c r="F1414" s="17">
        <f t="shared" si="67"/>
        <v>1</v>
      </c>
      <c r="G1414" s="17" t="str">
        <f t="shared" si="68"/>
        <v>Pass</v>
      </c>
      <c r="H1414" s="17" t="str">
        <f t="shared" si="66"/>
        <v>Pass</v>
      </c>
      <c r="I1414" s="17">
        <v>0.14000000000000001</v>
      </c>
      <c r="J1414" s="17" t="s">
        <v>2489</v>
      </c>
      <c r="K1414" s="17">
        <v>0</v>
      </c>
      <c r="L1414" s="17">
        <v>1</v>
      </c>
      <c r="M1414" s="18">
        <f>Raw_LIMS_Export!K1414</f>
        <v>45344</v>
      </c>
      <c r="N1414" s="19" t="s">
        <v>2925</v>
      </c>
    </row>
    <row r="1415" spans="1:14" x14ac:dyDescent="0.35">
      <c r="A1415" s="16" t="s">
        <v>1416</v>
      </c>
      <c r="B1415" s="17" t="s">
        <v>2280</v>
      </c>
      <c r="C1415" s="17" t="s">
        <v>2460</v>
      </c>
      <c r="D1415" s="17" t="str">
        <f>_xlfn.XLOOKUP(Raw_LIMS_Export!E1415,'mapping Site table'!$B$4:$B$14,'mapping Site table'!$C$4:$C$14,Raw_LIMS_Export!E1415)</f>
        <v>East Hanover</v>
      </c>
      <c r="E1415" s="17" t="s">
        <v>2479</v>
      </c>
      <c r="F1415" s="17">
        <f t="shared" si="67"/>
        <v>1</v>
      </c>
      <c r="G1415" s="17" t="str">
        <f t="shared" si="68"/>
        <v>Pass</v>
      </c>
      <c r="H1415" s="17" t="str">
        <f t="shared" si="66"/>
        <v>Pass</v>
      </c>
      <c r="I1415" s="17">
        <v>61.88</v>
      </c>
      <c r="J1415" s="17" t="s">
        <v>2486</v>
      </c>
      <c r="K1415" s="17">
        <v>0</v>
      </c>
      <c r="L1415" s="17">
        <v>120</v>
      </c>
      <c r="M1415" s="18">
        <f>Raw_LIMS_Export!K1415</f>
        <v>45685</v>
      </c>
      <c r="N1415" s="19" t="s">
        <v>2923</v>
      </c>
    </row>
    <row r="1416" spans="1:14" x14ac:dyDescent="0.35">
      <c r="A1416" s="16" t="s">
        <v>1417</v>
      </c>
      <c r="B1416" s="17" t="s">
        <v>2195</v>
      </c>
      <c r="C1416" s="17" t="s">
        <v>2457</v>
      </c>
      <c r="D1416" s="17" t="str">
        <f>_xlfn.XLOOKUP(Raw_LIMS_Export!E1416,'mapping Site table'!$B$4:$B$14,'mapping Site table'!$C$4:$C$14,Raw_LIMS_Export!E1416)</f>
        <v>Dortmund DE</v>
      </c>
      <c r="E1416" s="17" t="s">
        <v>2484</v>
      </c>
      <c r="F1416" s="17">
        <f t="shared" si="67"/>
        <v>1</v>
      </c>
      <c r="G1416" s="17" t="str">
        <f t="shared" si="68"/>
        <v>Pass</v>
      </c>
      <c r="H1416" s="17" t="str">
        <f t="shared" si="66"/>
        <v>Pass</v>
      </c>
      <c r="I1416" s="17">
        <v>6.97</v>
      </c>
      <c r="J1416" s="17"/>
      <c r="K1416" s="17">
        <v>6</v>
      </c>
      <c r="L1416" s="17">
        <v>7.5</v>
      </c>
      <c r="M1416" s="18">
        <f>Raw_LIMS_Export!K1416</f>
        <v>45588</v>
      </c>
      <c r="N1416" s="19" t="s">
        <v>2925</v>
      </c>
    </row>
    <row r="1417" spans="1:14" x14ac:dyDescent="0.35">
      <c r="A1417" s="16" t="s">
        <v>1418</v>
      </c>
      <c r="B1417" s="17" t="s">
        <v>2328</v>
      </c>
      <c r="C1417" s="17" t="s">
        <v>2461</v>
      </c>
      <c r="D1417" s="17" t="str">
        <f>_xlfn.XLOOKUP(Raw_LIMS_Export!E1417,'mapping Site table'!$B$4:$B$14,'mapping Site table'!$C$4:$C$14,Raw_LIMS_Export!E1417)</f>
        <v>Ashford UK</v>
      </c>
      <c r="E1417" s="17" t="s">
        <v>2479</v>
      </c>
      <c r="F1417" s="17">
        <f t="shared" si="67"/>
        <v>1</v>
      </c>
      <c r="G1417" s="17" t="str">
        <f t="shared" si="68"/>
        <v>Pass</v>
      </c>
      <c r="H1417" s="17" t="str">
        <f t="shared" si="66"/>
        <v>Pass</v>
      </c>
      <c r="I1417" s="17">
        <v>72.33</v>
      </c>
      <c r="J1417" s="17" t="s">
        <v>2486</v>
      </c>
      <c r="K1417" s="17">
        <v>0</v>
      </c>
      <c r="L1417" s="17">
        <v>120</v>
      </c>
      <c r="M1417" s="18">
        <f>Raw_LIMS_Export!K1417</f>
        <v>45710</v>
      </c>
      <c r="N1417" s="19" t="s">
        <v>2930</v>
      </c>
    </row>
    <row r="1418" spans="1:14" x14ac:dyDescent="0.35">
      <c r="A1418" s="16" t="s">
        <v>1419</v>
      </c>
      <c r="B1418" s="17" t="s">
        <v>2419</v>
      </c>
      <c r="C1418" s="17" t="s">
        <v>2458</v>
      </c>
      <c r="D1418" s="17" t="str">
        <f>_xlfn.XLOOKUP(Raw_LIMS_Export!E1418,'mapping Site table'!$B$4:$B$14,'mapping Site table'!$C$4:$C$14,Raw_LIMS_Export!E1418)</f>
        <v>Dortmund DE</v>
      </c>
      <c r="E1418" s="17" t="s">
        <v>2479</v>
      </c>
      <c r="F1418" s="17">
        <f t="shared" si="67"/>
        <v>1</v>
      </c>
      <c r="G1418" s="17" t="str">
        <f t="shared" si="68"/>
        <v>Pass</v>
      </c>
      <c r="H1418" s="17" t="str">
        <f t="shared" si="66"/>
        <v>Pending</v>
      </c>
      <c r="I1418" s="17">
        <v>105.6</v>
      </c>
      <c r="J1418" s="17" t="s">
        <v>2486</v>
      </c>
      <c r="K1418" s="17">
        <v>0</v>
      </c>
      <c r="L1418" s="17">
        <v>120</v>
      </c>
      <c r="M1418" s="18">
        <f>Raw_LIMS_Export!K1418</f>
        <v>45881</v>
      </c>
      <c r="N1418" s="19" t="s">
        <v>2927</v>
      </c>
    </row>
    <row r="1419" spans="1:14" x14ac:dyDescent="0.35">
      <c r="A1419" s="16" t="s">
        <v>1420</v>
      </c>
      <c r="B1419" s="17" t="s">
        <v>2103</v>
      </c>
      <c r="C1419" s="17" t="s">
        <v>2460</v>
      </c>
      <c r="D1419" s="17" t="str">
        <f>_xlfn.XLOOKUP(Raw_LIMS_Export!E1419,'mapping Site table'!$B$4:$B$14,'mapping Site table'!$C$4:$C$14,Raw_LIMS_Export!E1419)</f>
        <v>Dortmund DE</v>
      </c>
      <c r="E1419" s="17" t="s">
        <v>2480</v>
      </c>
      <c r="F1419" s="17">
        <f t="shared" si="67"/>
        <v>1</v>
      </c>
      <c r="G1419" s="17" t="str">
        <f t="shared" si="68"/>
        <v>Pass</v>
      </c>
      <c r="H1419" s="17" t="str">
        <f t="shared" si="66"/>
        <v>Pass</v>
      </c>
      <c r="I1419" s="17">
        <v>0.94</v>
      </c>
      <c r="J1419" s="17" t="s">
        <v>2487</v>
      </c>
      <c r="K1419" s="17">
        <v>0.88</v>
      </c>
      <c r="L1419" s="17">
        <v>0.97</v>
      </c>
      <c r="M1419" s="18">
        <f>Raw_LIMS_Export!K1419</f>
        <v>45573</v>
      </c>
      <c r="N1419" s="19" t="s">
        <v>2932</v>
      </c>
    </row>
    <row r="1420" spans="1:14" x14ac:dyDescent="0.35">
      <c r="A1420" s="16" t="s">
        <v>1421</v>
      </c>
      <c r="B1420" s="17" t="s">
        <v>2444</v>
      </c>
      <c r="C1420" s="17" t="s">
        <v>2459</v>
      </c>
      <c r="D1420" s="17" t="str">
        <f>_xlfn.XLOOKUP(Raw_LIMS_Export!E1420,'mapping Site table'!$B$4:$B$14,'mapping Site table'!$C$4:$C$14,Raw_LIMS_Export!E1420)</f>
        <v>Budapest</v>
      </c>
      <c r="E1420" s="17" t="s">
        <v>2479</v>
      </c>
      <c r="F1420" s="17">
        <f t="shared" si="67"/>
        <v>1</v>
      </c>
      <c r="G1420" s="17" t="str">
        <f t="shared" si="68"/>
        <v>Pass</v>
      </c>
      <c r="H1420" s="17" t="str">
        <f t="shared" si="66"/>
        <v>Pass</v>
      </c>
      <c r="I1420" s="17">
        <v>40.75</v>
      </c>
      <c r="J1420" s="17" t="s">
        <v>2486</v>
      </c>
      <c r="K1420" s="17">
        <v>0</v>
      </c>
      <c r="L1420" s="17">
        <v>120</v>
      </c>
      <c r="M1420" s="18">
        <f>Raw_LIMS_Export!K1420</f>
        <v>45946</v>
      </c>
      <c r="N1420" s="19" t="s">
        <v>2923</v>
      </c>
    </row>
    <row r="1421" spans="1:14" x14ac:dyDescent="0.35">
      <c r="A1421" s="16" t="s">
        <v>1422</v>
      </c>
      <c r="B1421" s="17" t="s">
        <v>2386</v>
      </c>
      <c r="C1421" s="17" t="s">
        <v>2459</v>
      </c>
      <c r="D1421" s="17" t="str">
        <f>_xlfn.XLOOKUP(Raw_LIMS_Export!E1421,'mapping Site table'!$B$4:$B$14,'mapping Site table'!$C$4:$C$14,Raw_LIMS_Export!E1421)</f>
        <v>East Hanover</v>
      </c>
      <c r="E1421" s="17" t="s">
        <v>2482</v>
      </c>
      <c r="F1421" s="17">
        <f t="shared" si="67"/>
        <v>1</v>
      </c>
      <c r="G1421" s="17" t="str">
        <f t="shared" si="68"/>
        <v>Pass</v>
      </c>
      <c r="H1421" s="17" t="str">
        <f t="shared" si="66"/>
        <v>Pass</v>
      </c>
      <c r="I1421" s="17">
        <v>97.46</v>
      </c>
      <c r="J1421" s="17" t="s">
        <v>2489</v>
      </c>
      <c r="K1421" s="17">
        <v>97</v>
      </c>
      <c r="L1421" s="17">
        <v>100</v>
      </c>
      <c r="M1421" s="18">
        <f>Raw_LIMS_Export!K1421</f>
        <v>45609</v>
      </c>
      <c r="N1421" s="19" t="s">
        <v>2928</v>
      </c>
    </row>
    <row r="1422" spans="1:14" x14ac:dyDescent="0.35">
      <c r="A1422" s="16" t="s">
        <v>1423</v>
      </c>
      <c r="B1422" s="17" t="s">
        <v>2156</v>
      </c>
      <c r="C1422" s="17" t="s">
        <v>2460</v>
      </c>
      <c r="D1422" s="17" t="str">
        <f>_xlfn.XLOOKUP(Raw_LIMS_Export!E1422,'mapping Site table'!$B$4:$B$14,'mapping Site table'!$C$4:$C$14,Raw_LIMS_Export!E1422)</f>
        <v>Vernier CH</v>
      </c>
      <c r="E1422" s="17" t="s">
        <v>2485</v>
      </c>
      <c r="F1422" s="17">
        <f t="shared" si="67"/>
        <v>1</v>
      </c>
      <c r="G1422" s="17" t="str">
        <f t="shared" si="68"/>
        <v>Pass</v>
      </c>
      <c r="H1422" s="17" t="str">
        <f t="shared" si="66"/>
        <v>Fail</v>
      </c>
      <c r="I1422" s="17">
        <v>31.2</v>
      </c>
      <c r="J1422" s="17" t="s">
        <v>2490</v>
      </c>
      <c r="K1422" s="17">
        <v>0</v>
      </c>
      <c r="L1422" s="17">
        <v>100</v>
      </c>
      <c r="M1422" s="18">
        <f>Raw_LIMS_Export!K1422</f>
        <v>45404</v>
      </c>
      <c r="N1422" s="19" t="s">
        <v>2930</v>
      </c>
    </row>
    <row r="1423" spans="1:14" x14ac:dyDescent="0.35">
      <c r="A1423" s="16" t="s">
        <v>123</v>
      </c>
      <c r="B1423" s="17" t="s">
        <v>2116</v>
      </c>
      <c r="C1423" s="17" t="s">
        <v>2461</v>
      </c>
      <c r="D1423" s="17" t="str">
        <f>_xlfn.XLOOKUP(Raw_LIMS_Export!E1423,'mapping Site table'!$B$4:$B$14,'mapping Site table'!$C$4:$C$14,Raw_LIMS_Export!E1423)</f>
        <v>Dortmund DE</v>
      </c>
      <c r="E1423" s="17" t="s">
        <v>2485</v>
      </c>
      <c r="F1423" s="17">
        <f t="shared" si="67"/>
        <v>1</v>
      </c>
      <c r="G1423" s="17" t="str">
        <f t="shared" si="68"/>
        <v>Pass</v>
      </c>
      <c r="H1423" s="17" t="str">
        <f t="shared" si="66"/>
        <v>Pass</v>
      </c>
      <c r="I1423" s="17">
        <v>26.67</v>
      </c>
      <c r="J1423" s="17" t="s">
        <v>2490</v>
      </c>
      <c r="K1423" s="17">
        <v>0</v>
      </c>
      <c r="L1423" s="17">
        <v>100</v>
      </c>
      <c r="M1423" s="18">
        <f>Raw_LIMS_Export!K1423</f>
        <v>45376</v>
      </c>
      <c r="N1423" s="19" t="s">
        <v>2927</v>
      </c>
    </row>
    <row r="1424" spans="1:14" x14ac:dyDescent="0.35">
      <c r="A1424" s="16" t="s">
        <v>1424</v>
      </c>
      <c r="B1424" s="17" t="s">
        <v>2376</v>
      </c>
      <c r="C1424" s="17" t="s">
        <v>2459</v>
      </c>
      <c r="D1424" s="17" t="str">
        <f>_xlfn.XLOOKUP(Raw_LIMS_Export!E1424,'mapping Site table'!$B$4:$B$14,'mapping Site table'!$C$4:$C$14,Raw_LIMS_Export!E1424)</f>
        <v>Ashford UK</v>
      </c>
      <c r="E1424" s="17" t="s">
        <v>2479</v>
      </c>
      <c r="F1424" s="17">
        <f t="shared" si="67"/>
        <v>1</v>
      </c>
      <c r="G1424" s="17" t="str">
        <f t="shared" si="68"/>
        <v>Pass</v>
      </c>
      <c r="H1424" s="17" t="str">
        <f t="shared" si="66"/>
        <v>Fail</v>
      </c>
      <c r="I1424" s="17">
        <v>30.02</v>
      </c>
      <c r="J1424" s="17" t="s">
        <v>2486</v>
      </c>
      <c r="K1424" s="17">
        <v>0</v>
      </c>
      <c r="L1424" s="17">
        <v>120</v>
      </c>
      <c r="M1424" s="18">
        <f>Raw_LIMS_Export!K1424</f>
        <v>45780</v>
      </c>
      <c r="N1424" s="19" t="s">
        <v>2928</v>
      </c>
    </row>
    <row r="1425" spans="1:14" x14ac:dyDescent="0.35">
      <c r="A1425" s="16" t="s">
        <v>1425</v>
      </c>
      <c r="B1425" s="17" t="s">
        <v>2454</v>
      </c>
      <c r="C1425" s="17" t="s">
        <v>2461</v>
      </c>
      <c r="D1425" s="17" t="str">
        <f>_xlfn.XLOOKUP(Raw_LIMS_Export!E1425,'mapping Site table'!$B$4:$B$14,'mapping Site table'!$C$4:$C$14,Raw_LIMS_Export!E1425)</f>
        <v>Dortmund DE</v>
      </c>
      <c r="E1425" s="17" t="s">
        <v>2482</v>
      </c>
      <c r="F1425" s="17">
        <f t="shared" si="67"/>
        <v>1</v>
      </c>
      <c r="G1425" s="17" t="str">
        <f t="shared" si="68"/>
        <v>Pass</v>
      </c>
      <c r="H1425" s="17" t="str">
        <f t="shared" si="66"/>
        <v>Fail</v>
      </c>
      <c r="I1425" s="17">
        <v>97.39</v>
      </c>
      <c r="J1425" s="17" t="s">
        <v>2489</v>
      </c>
      <c r="K1425" s="17">
        <v>97</v>
      </c>
      <c r="L1425" s="17">
        <v>100</v>
      </c>
      <c r="M1425" s="18">
        <f>Raw_LIMS_Export!K1425</f>
        <v>45502</v>
      </c>
      <c r="N1425" s="19" t="s">
        <v>2924</v>
      </c>
    </row>
    <row r="1426" spans="1:14" x14ac:dyDescent="0.35">
      <c r="A1426" s="16" t="s">
        <v>1426</v>
      </c>
      <c r="B1426" s="17" t="s">
        <v>2427</v>
      </c>
      <c r="C1426" s="17" t="s">
        <v>2461</v>
      </c>
      <c r="D1426" s="17" t="str">
        <f>_xlfn.XLOOKUP(Raw_LIMS_Export!E1426,'mapping Site table'!$B$4:$B$14,'mapping Site table'!$C$4:$C$14,Raw_LIMS_Export!E1426)</f>
        <v>Budapest</v>
      </c>
      <c r="E1426" s="17" t="s">
        <v>2485</v>
      </c>
      <c r="F1426" s="17">
        <f t="shared" si="67"/>
        <v>1</v>
      </c>
      <c r="G1426" s="17" t="str">
        <f t="shared" si="68"/>
        <v>Pass</v>
      </c>
      <c r="H1426" s="17" t="str">
        <f t="shared" si="66"/>
        <v>Pass</v>
      </c>
      <c r="I1426" s="17">
        <v>15.35</v>
      </c>
      <c r="J1426" s="17" t="s">
        <v>2490</v>
      </c>
      <c r="K1426" s="17">
        <v>0</v>
      </c>
      <c r="L1426" s="17">
        <v>100</v>
      </c>
      <c r="M1426" s="18">
        <f>Raw_LIMS_Export!K1426</f>
        <v>45590</v>
      </c>
      <c r="N1426" s="19" t="s">
        <v>2931</v>
      </c>
    </row>
    <row r="1427" spans="1:14" x14ac:dyDescent="0.35">
      <c r="A1427" s="16" t="s">
        <v>1427</v>
      </c>
      <c r="B1427" s="17" t="s">
        <v>2135</v>
      </c>
      <c r="C1427" s="17" t="s">
        <v>2461</v>
      </c>
      <c r="D1427" s="17" t="str">
        <f>_xlfn.XLOOKUP(Raw_LIMS_Export!E1427,'mapping Site table'!$B$4:$B$14,'mapping Site table'!$C$4:$C$14,Raw_LIMS_Export!E1427)</f>
        <v>Budapest</v>
      </c>
      <c r="E1427" s="17" t="s">
        <v>2484</v>
      </c>
      <c r="F1427" s="17">
        <f t="shared" si="67"/>
        <v>1</v>
      </c>
      <c r="G1427" s="17" t="str">
        <f t="shared" si="68"/>
        <v>Pass</v>
      </c>
      <c r="H1427" s="17" t="str">
        <f t="shared" si="66"/>
        <v>Pass</v>
      </c>
      <c r="I1427" s="17">
        <v>7.04</v>
      </c>
      <c r="J1427" s="17"/>
      <c r="K1427" s="17">
        <v>6</v>
      </c>
      <c r="L1427" s="17">
        <v>7.5</v>
      </c>
      <c r="M1427" s="18">
        <f>Raw_LIMS_Export!K1427</f>
        <v>45904</v>
      </c>
      <c r="N1427" s="19" t="s">
        <v>2926</v>
      </c>
    </row>
    <row r="1428" spans="1:14" x14ac:dyDescent="0.35">
      <c r="A1428" s="16" t="s">
        <v>1428</v>
      </c>
      <c r="B1428" s="17" t="s">
        <v>2176</v>
      </c>
      <c r="C1428" s="17" t="s">
        <v>2461</v>
      </c>
      <c r="D1428" s="17" t="str">
        <f>_xlfn.XLOOKUP(Raw_LIMS_Export!E1428,'mapping Site table'!$B$4:$B$14,'mapping Site table'!$C$4:$C$14,Raw_LIMS_Export!E1428)</f>
        <v>Dortmund DE</v>
      </c>
      <c r="E1428" s="17" t="s">
        <v>2479</v>
      </c>
      <c r="F1428" s="17">
        <f t="shared" si="67"/>
        <v>1</v>
      </c>
      <c r="G1428" s="17" t="str">
        <f t="shared" si="68"/>
        <v>Pass</v>
      </c>
      <c r="H1428" s="17" t="str">
        <f t="shared" si="66"/>
        <v>Pass</v>
      </c>
      <c r="I1428" s="17">
        <v>96.48</v>
      </c>
      <c r="J1428" s="17" t="s">
        <v>2486</v>
      </c>
      <c r="K1428" s="17">
        <v>0</v>
      </c>
      <c r="L1428" s="17">
        <v>120</v>
      </c>
      <c r="M1428" s="18">
        <f>Raw_LIMS_Export!K1428</f>
        <v>45312</v>
      </c>
      <c r="N1428" s="19" t="s">
        <v>2924</v>
      </c>
    </row>
    <row r="1429" spans="1:14" x14ac:dyDescent="0.35">
      <c r="A1429" s="16" t="s">
        <v>1429</v>
      </c>
      <c r="B1429" s="17" t="s">
        <v>2419</v>
      </c>
      <c r="C1429" s="17" t="s">
        <v>2458</v>
      </c>
      <c r="D1429" s="17" t="str">
        <f>_xlfn.XLOOKUP(Raw_LIMS_Export!E1429,'mapping Site table'!$B$4:$B$14,'mapping Site table'!$C$4:$C$14,Raw_LIMS_Export!E1429)</f>
        <v>Dortmund DE</v>
      </c>
      <c r="E1429" s="17" t="s">
        <v>2483</v>
      </c>
      <c r="F1429" s="17">
        <f t="shared" si="67"/>
        <v>0</v>
      </c>
      <c r="G1429" s="17" t="str">
        <f t="shared" si="68"/>
        <v>Missing</v>
      </c>
      <c r="H1429" s="17" t="str">
        <f t="shared" si="66"/>
        <v>Pending</v>
      </c>
      <c r="I1429" s="17"/>
      <c r="J1429" s="17" t="s">
        <v>2489</v>
      </c>
      <c r="K1429" s="17">
        <v>0</v>
      </c>
      <c r="L1429" s="17">
        <v>1</v>
      </c>
      <c r="M1429" s="18">
        <f>Raw_LIMS_Export!K1429</f>
        <v>45881</v>
      </c>
      <c r="N1429" s="19" t="s">
        <v>2931</v>
      </c>
    </row>
    <row r="1430" spans="1:14" x14ac:dyDescent="0.35">
      <c r="A1430" s="16" t="s">
        <v>1430</v>
      </c>
      <c r="B1430" s="17" t="s">
        <v>2216</v>
      </c>
      <c r="C1430" s="17" t="s">
        <v>2458</v>
      </c>
      <c r="D1430" s="17" t="str">
        <f>_xlfn.XLOOKUP(Raw_LIMS_Export!E1430,'mapping Site table'!$B$4:$B$14,'mapping Site table'!$C$4:$C$14,Raw_LIMS_Export!E1430)</f>
        <v>Dortmund DE</v>
      </c>
      <c r="E1430" s="17" t="s">
        <v>2483</v>
      </c>
      <c r="F1430" s="17">
        <f t="shared" si="67"/>
        <v>1</v>
      </c>
      <c r="G1430" s="17" t="str">
        <f t="shared" si="68"/>
        <v>Pass</v>
      </c>
      <c r="H1430" s="17" t="str">
        <f t="shared" si="66"/>
        <v>Pass</v>
      </c>
      <c r="I1430" s="17">
        <v>0.32</v>
      </c>
      <c r="J1430" s="17" t="s">
        <v>2489</v>
      </c>
      <c r="K1430" s="17">
        <v>0</v>
      </c>
      <c r="L1430" s="17">
        <v>1</v>
      </c>
      <c r="M1430" s="18">
        <f>Raw_LIMS_Export!K1430</f>
        <v>45873</v>
      </c>
      <c r="N1430" s="19" t="s">
        <v>2924</v>
      </c>
    </row>
    <row r="1431" spans="1:14" x14ac:dyDescent="0.35">
      <c r="A1431" s="16" t="s">
        <v>1431</v>
      </c>
      <c r="B1431" s="17" t="s">
        <v>2395</v>
      </c>
      <c r="C1431" s="17" t="s">
        <v>2457</v>
      </c>
      <c r="D1431" s="17" t="str">
        <f>_xlfn.XLOOKUP(Raw_LIMS_Export!E1431,'mapping Site table'!$B$4:$B$14,'mapping Site table'!$C$4:$C$14,Raw_LIMS_Export!E1431)</f>
        <v>Budapest</v>
      </c>
      <c r="E1431" s="17" t="s">
        <v>2485</v>
      </c>
      <c r="F1431" s="17">
        <f t="shared" si="67"/>
        <v>1</v>
      </c>
      <c r="G1431" s="17" t="str">
        <f t="shared" si="68"/>
        <v>Pass</v>
      </c>
      <c r="H1431" s="17" t="str">
        <f t="shared" si="66"/>
        <v>Pass</v>
      </c>
      <c r="I1431" s="17">
        <v>51.56</v>
      </c>
      <c r="J1431" s="17" t="s">
        <v>2490</v>
      </c>
      <c r="K1431" s="17">
        <v>0</v>
      </c>
      <c r="L1431" s="17">
        <v>100</v>
      </c>
      <c r="M1431" s="18">
        <f>Raw_LIMS_Export!K1431</f>
        <v>45737</v>
      </c>
      <c r="N1431" s="19" t="s">
        <v>2926</v>
      </c>
    </row>
    <row r="1432" spans="1:14" x14ac:dyDescent="0.35">
      <c r="A1432" s="16" t="s">
        <v>1432</v>
      </c>
      <c r="B1432" s="17" t="s">
        <v>2409</v>
      </c>
      <c r="C1432" s="17" t="s">
        <v>2459</v>
      </c>
      <c r="D1432" s="17" t="str">
        <f>_xlfn.XLOOKUP(Raw_LIMS_Export!E1432,'mapping Site table'!$B$4:$B$14,'mapping Site table'!$C$4:$C$14,Raw_LIMS_Export!E1432)</f>
        <v>East Hanover</v>
      </c>
      <c r="E1432" s="17" t="s">
        <v>2479</v>
      </c>
      <c r="F1432" s="17">
        <f t="shared" si="67"/>
        <v>1</v>
      </c>
      <c r="G1432" s="17" t="str">
        <f t="shared" si="68"/>
        <v>Pass</v>
      </c>
      <c r="H1432" s="17" t="str">
        <f t="shared" si="66"/>
        <v>Pass</v>
      </c>
      <c r="I1432" s="17">
        <v>74.739999999999995</v>
      </c>
      <c r="J1432" s="17" t="s">
        <v>2486</v>
      </c>
      <c r="K1432" s="17">
        <v>0</v>
      </c>
      <c r="L1432" s="17">
        <v>120</v>
      </c>
      <c r="M1432" s="18">
        <f>Raw_LIMS_Export!K1432</f>
        <v>45416</v>
      </c>
      <c r="N1432" s="19" t="s">
        <v>2923</v>
      </c>
    </row>
    <row r="1433" spans="1:14" x14ac:dyDescent="0.35">
      <c r="A1433" s="16" t="s">
        <v>1346</v>
      </c>
      <c r="B1433" s="17" t="s">
        <v>2083</v>
      </c>
      <c r="C1433" s="17" t="s">
        <v>2459</v>
      </c>
      <c r="D1433" s="17" t="str">
        <f>_xlfn.XLOOKUP(Raw_LIMS_Export!E1433,'mapping Site table'!$B$4:$B$14,'mapping Site table'!$C$4:$C$14,Raw_LIMS_Export!E1433)</f>
        <v>Ashford UK</v>
      </c>
      <c r="E1433" s="17" t="s">
        <v>2482</v>
      </c>
      <c r="F1433" s="17">
        <f t="shared" si="67"/>
        <v>1</v>
      </c>
      <c r="G1433" s="17" t="str">
        <f t="shared" si="68"/>
        <v>Pass</v>
      </c>
      <c r="H1433" s="17" t="str">
        <f t="shared" si="66"/>
        <v>Pass</v>
      </c>
      <c r="I1433" s="17">
        <v>98.16</v>
      </c>
      <c r="J1433" s="17" t="s">
        <v>2489</v>
      </c>
      <c r="K1433" s="17">
        <v>97</v>
      </c>
      <c r="L1433" s="17">
        <v>100</v>
      </c>
      <c r="M1433" s="18">
        <f>Raw_LIMS_Export!K1433</f>
        <v>45979</v>
      </c>
      <c r="N1433" s="19" t="s">
        <v>2924</v>
      </c>
    </row>
    <row r="1434" spans="1:14" x14ac:dyDescent="0.35">
      <c r="A1434" s="16" t="s">
        <v>1433</v>
      </c>
      <c r="B1434" s="17" t="s">
        <v>2414</v>
      </c>
      <c r="C1434" s="17" t="s">
        <v>2460</v>
      </c>
      <c r="D1434" s="17" t="str">
        <f>_xlfn.XLOOKUP(Raw_LIMS_Export!E1434,'mapping Site table'!$B$4:$B$14,'mapping Site table'!$C$4:$C$14,Raw_LIMS_Export!E1434)</f>
        <v>Ashford UK</v>
      </c>
      <c r="E1434" s="17" t="s">
        <v>2484</v>
      </c>
      <c r="F1434" s="17">
        <f t="shared" si="67"/>
        <v>1</v>
      </c>
      <c r="G1434" s="17" t="str">
        <f t="shared" si="68"/>
        <v>Pass</v>
      </c>
      <c r="H1434" s="17" t="str">
        <f t="shared" si="66"/>
        <v>Pass</v>
      </c>
      <c r="I1434" s="17">
        <v>6.47</v>
      </c>
      <c r="J1434" s="17"/>
      <c r="K1434" s="17">
        <v>6</v>
      </c>
      <c r="L1434" s="17">
        <v>7.5</v>
      </c>
      <c r="M1434" s="18">
        <f>Raw_LIMS_Export!K1434</f>
        <v>45983</v>
      </c>
      <c r="N1434" s="19" t="s">
        <v>2928</v>
      </c>
    </row>
    <row r="1435" spans="1:14" x14ac:dyDescent="0.35">
      <c r="A1435" s="16" t="s">
        <v>1434</v>
      </c>
      <c r="B1435" s="17" t="s">
        <v>2398</v>
      </c>
      <c r="C1435" s="17" t="s">
        <v>2461</v>
      </c>
      <c r="D1435" s="17" t="str">
        <f>_xlfn.XLOOKUP(Raw_LIMS_Export!E1435,'mapping Site table'!$B$4:$B$14,'mapping Site table'!$C$4:$C$14,Raw_LIMS_Export!E1435)</f>
        <v>Dortmund DE</v>
      </c>
      <c r="E1435" s="17" t="s">
        <v>2483</v>
      </c>
      <c r="F1435" s="17">
        <f t="shared" si="67"/>
        <v>1</v>
      </c>
      <c r="G1435" s="17" t="str">
        <f t="shared" si="68"/>
        <v>Pass</v>
      </c>
      <c r="H1435" s="17" t="str">
        <f t="shared" si="66"/>
        <v>Pass</v>
      </c>
      <c r="I1435" s="17">
        <v>0.45</v>
      </c>
      <c r="J1435" s="17" t="s">
        <v>2489</v>
      </c>
      <c r="K1435" s="17">
        <v>0</v>
      </c>
      <c r="L1435" s="17">
        <v>1</v>
      </c>
      <c r="M1435" s="18">
        <f>Raw_LIMS_Export!K1435</f>
        <v>45965</v>
      </c>
      <c r="N1435" s="19" t="s">
        <v>2932</v>
      </c>
    </row>
    <row r="1436" spans="1:14" x14ac:dyDescent="0.35">
      <c r="A1436" s="16" t="s">
        <v>1435</v>
      </c>
      <c r="B1436" s="17" t="s">
        <v>2103</v>
      </c>
      <c r="C1436" s="17" t="s">
        <v>2460</v>
      </c>
      <c r="D1436" s="17" t="str">
        <f>_xlfn.XLOOKUP(Raw_LIMS_Export!E1436,'mapping Site table'!$B$4:$B$14,'mapping Site table'!$C$4:$C$14,Raw_LIMS_Export!E1436)</f>
        <v>Dortmund DE</v>
      </c>
      <c r="E1436" s="17" t="s">
        <v>2483</v>
      </c>
      <c r="F1436" s="17">
        <f t="shared" si="67"/>
        <v>1</v>
      </c>
      <c r="G1436" s="17" t="str">
        <f t="shared" si="68"/>
        <v>Pass</v>
      </c>
      <c r="H1436" s="17" t="str">
        <f t="shared" si="66"/>
        <v>Pass</v>
      </c>
      <c r="I1436" s="17">
        <v>0.37</v>
      </c>
      <c r="J1436" s="17" t="s">
        <v>2489</v>
      </c>
      <c r="K1436" s="17">
        <v>0</v>
      </c>
      <c r="L1436" s="17">
        <v>1</v>
      </c>
      <c r="M1436" s="18">
        <f>Raw_LIMS_Export!K1436</f>
        <v>45573</v>
      </c>
      <c r="N1436" s="19" t="s">
        <v>2928</v>
      </c>
    </row>
    <row r="1437" spans="1:14" x14ac:dyDescent="0.35">
      <c r="A1437" s="16" t="s">
        <v>1436</v>
      </c>
      <c r="B1437" s="17" t="s">
        <v>2179</v>
      </c>
      <c r="C1437" s="17" t="s">
        <v>2460</v>
      </c>
      <c r="D1437" s="17" t="str">
        <f>_xlfn.XLOOKUP(Raw_LIMS_Export!E1437,'mapping Site table'!$B$4:$B$14,'mapping Site table'!$C$4:$C$14,Raw_LIMS_Export!E1437)</f>
        <v>Dortmund DE</v>
      </c>
      <c r="E1437" s="17" t="s">
        <v>2480</v>
      </c>
      <c r="F1437" s="17">
        <f t="shared" si="67"/>
        <v>1</v>
      </c>
      <c r="G1437" s="17" t="str">
        <f t="shared" si="68"/>
        <v>Pass</v>
      </c>
      <c r="H1437" s="17" t="str">
        <f t="shared" si="66"/>
        <v>Pass</v>
      </c>
      <c r="I1437" s="17">
        <v>0.91</v>
      </c>
      <c r="J1437" s="17" t="s">
        <v>2487</v>
      </c>
      <c r="K1437" s="17">
        <v>0.88</v>
      </c>
      <c r="L1437" s="17">
        <v>0.97</v>
      </c>
      <c r="M1437" s="18">
        <f>Raw_LIMS_Export!K1437</f>
        <v>45693</v>
      </c>
      <c r="N1437" s="19" t="s">
        <v>2931</v>
      </c>
    </row>
    <row r="1438" spans="1:14" x14ac:dyDescent="0.35">
      <c r="A1438" s="16" t="s">
        <v>1437</v>
      </c>
      <c r="B1438" s="17" t="s">
        <v>2175</v>
      </c>
      <c r="C1438" s="17" t="s">
        <v>2457</v>
      </c>
      <c r="D1438" s="17" t="str">
        <f>_xlfn.XLOOKUP(Raw_LIMS_Export!E1438,'mapping Site table'!$B$4:$B$14,'mapping Site table'!$C$4:$C$14,Raw_LIMS_Export!E1438)</f>
        <v>Ashford UK</v>
      </c>
      <c r="E1438" s="17" t="s">
        <v>2484</v>
      </c>
      <c r="F1438" s="17">
        <f t="shared" si="67"/>
        <v>1</v>
      </c>
      <c r="G1438" s="17" t="str">
        <f t="shared" si="68"/>
        <v>Pass</v>
      </c>
      <c r="H1438" s="17" t="str">
        <f t="shared" si="66"/>
        <v>Fail</v>
      </c>
      <c r="I1438" s="17">
        <v>6.25</v>
      </c>
      <c r="J1438" s="17"/>
      <c r="K1438" s="17">
        <v>6</v>
      </c>
      <c r="L1438" s="17">
        <v>7.5</v>
      </c>
      <c r="M1438" s="18">
        <f>Raw_LIMS_Export!K1438</f>
        <v>45921</v>
      </c>
      <c r="N1438" s="19" t="s">
        <v>2932</v>
      </c>
    </row>
    <row r="1439" spans="1:14" x14ac:dyDescent="0.35">
      <c r="A1439" s="16" t="s">
        <v>1438</v>
      </c>
      <c r="B1439" s="17" t="s">
        <v>2141</v>
      </c>
      <c r="C1439" s="17" t="s">
        <v>2458</v>
      </c>
      <c r="D1439" s="17" t="str">
        <f>_xlfn.XLOOKUP(Raw_LIMS_Export!E1439,'mapping Site table'!$B$4:$B$14,'mapping Site table'!$C$4:$C$14,Raw_LIMS_Export!E1439)</f>
        <v>Vernier CH</v>
      </c>
      <c r="E1439" s="17" t="s">
        <v>2484</v>
      </c>
      <c r="F1439" s="17">
        <f t="shared" si="67"/>
        <v>1</v>
      </c>
      <c r="G1439" s="17" t="str">
        <f t="shared" si="68"/>
        <v>Pass</v>
      </c>
      <c r="H1439" s="17" t="str">
        <f t="shared" si="66"/>
        <v>Pass</v>
      </c>
      <c r="I1439" s="17">
        <v>6.98</v>
      </c>
      <c r="J1439" s="17"/>
      <c r="K1439" s="17">
        <v>6</v>
      </c>
      <c r="L1439" s="17">
        <v>7.5</v>
      </c>
      <c r="M1439" s="18">
        <f>Raw_LIMS_Export!K1439</f>
        <v>45936</v>
      </c>
      <c r="N1439" s="19" t="s">
        <v>2932</v>
      </c>
    </row>
    <row r="1440" spans="1:14" x14ac:dyDescent="0.35">
      <c r="A1440" s="16" t="s">
        <v>1439</v>
      </c>
      <c r="B1440" s="17" t="s">
        <v>2028</v>
      </c>
      <c r="C1440" s="17" t="s">
        <v>2459</v>
      </c>
      <c r="D1440" s="17" t="str">
        <f>_xlfn.XLOOKUP(Raw_LIMS_Export!E1440,'mapping Site table'!$B$4:$B$14,'mapping Site table'!$C$4:$C$14,Raw_LIMS_Export!E1440)</f>
        <v>Dortmund DE</v>
      </c>
      <c r="E1440" s="17" t="s">
        <v>2481</v>
      </c>
      <c r="F1440" s="17">
        <f t="shared" si="67"/>
        <v>1</v>
      </c>
      <c r="G1440" s="17" t="str">
        <f t="shared" si="68"/>
        <v>Pass</v>
      </c>
      <c r="H1440" s="17" t="str">
        <f t="shared" si="66"/>
        <v>Pass</v>
      </c>
      <c r="I1440" s="17">
        <v>255.96</v>
      </c>
      <c r="J1440" s="17" t="s">
        <v>2488</v>
      </c>
      <c r="K1440" s="17">
        <v>150</v>
      </c>
      <c r="L1440" s="17">
        <v>400</v>
      </c>
      <c r="M1440" s="18">
        <f>Raw_LIMS_Export!K1440</f>
        <v>45654</v>
      </c>
      <c r="N1440" s="19" t="s">
        <v>2930</v>
      </c>
    </row>
    <row r="1441" spans="1:14" x14ac:dyDescent="0.35">
      <c r="A1441" s="16" t="s">
        <v>1440</v>
      </c>
      <c r="B1441" s="17" t="s">
        <v>2296</v>
      </c>
      <c r="C1441" s="17" t="s">
        <v>2459</v>
      </c>
      <c r="D1441" s="17" t="str">
        <f>_xlfn.XLOOKUP(Raw_LIMS_Export!E1441,'mapping Site table'!$B$4:$B$14,'mapping Site table'!$C$4:$C$14,Raw_LIMS_Export!E1441)</f>
        <v>Budapest</v>
      </c>
      <c r="E1441" s="17" t="s">
        <v>2482</v>
      </c>
      <c r="F1441" s="17">
        <f t="shared" si="67"/>
        <v>1</v>
      </c>
      <c r="G1441" s="17" t="str">
        <f t="shared" si="68"/>
        <v>Pass</v>
      </c>
      <c r="H1441" s="17" t="str">
        <f t="shared" si="66"/>
        <v>Fail</v>
      </c>
      <c r="I1441" s="17">
        <v>97.49</v>
      </c>
      <c r="J1441" s="17" t="s">
        <v>2489</v>
      </c>
      <c r="K1441" s="17">
        <v>97</v>
      </c>
      <c r="L1441" s="17">
        <v>100</v>
      </c>
      <c r="M1441" s="18">
        <f>Raw_LIMS_Export!K1441</f>
        <v>45697</v>
      </c>
      <c r="N1441" s="19" t="s">
        <v>2926</v>
      </c>
    </row>
    <row r="1442" spans="1:14" x14ac:dyDescent="0.35">
      <c r="A1442" s="16" t="s">
        <v>1441</v>
      </c>
      <c r="B1442" s="17" t="s">
        <v>2119</v>
      </c>
      <c r="C1442" s="17" t="s">
        <v>2459</v>
      </c>
      <c r="D1442" s="17" t="str">
        <f>_xlfn.XLOOKUP(Raw_LIMS_Export!E1442,'mapping Site table'!$B$4:$B$14,'mapping Site table'!$C$4:$C$14,Raw_LIMS_Export!E1442)</f>
        <v>Vernier CH</v>
      </c>
      <c r="E1442" s="17" t="s">
        <v>2481</v>
      </c>
      <c r="F1442" s="17">
        <f t="shared" si="67"/>
        <v>1</v>
      </c>
      <c r="G1442" s="17" t="str">
        <f t="shared" si="68"/>
        <v>Pass</v>
      </c>
      <c r="H1442" s="17" t="str">
        <f t="shared" si="66"/>
        <v>Pass</v>
      </c>
      <c r="I1442" s="17">
        <v>264.5</v>
      </c>
      <c r="J1442" s="17" t="s">
        <v>2488</v>
      </c>
      <c r="K1442" s="17">
        <v>150</v>
      </c>
      <c r="L1442" s="17">
        <v>400</v>
      </c>
      <c r="M1442" s="18">
        <f>Raw_LIMS_Export!K1442</f>
        <v>45348</v>
      </c>
      <c r="N1442" s="19" t="s">
        <v>2923</v>
      </c>
    </row>
    <row r="1443" spans="1:14" x14ac:dyDescent="0.35">
      <c r="A1443" s="16" t="s">
        <v>1442</v>
      </c>
      <c r="B1443" s="17" t="s">
        <v>2118</v>
      </c>
      <c r="C1443" s="17" t="s">
        <v>2457</v>
      </c>
      <c r="D1443" s="17" t="str">
        <f>_xlfn.XLOOKUP(Raw_LIMS_Export!E1443,'mapping Site table'!$B$4:$B$14,'mapping Site table'!$C$4:$C$14,Raw_LIMS_Export!E1443)</f>
        <v>Vernier CH</v>
      </c>
      <c r="E1443" s="17" t="s">
        <v>2484</v>
      </c>
      <c r="F1443" s="17">
        <f t="shared" si="67"/>
        <v>1</v>
      </c>
      <c r="G1443" s="17" t="str">
        <f t="shared" si="68"/>
        <v>Pass</v>
      </c>
      <c r="H1443" s="17" t="str">
        <f t="shared" si="66"/>
        <v>Pending</v>
      </c>
      <c r="I1443" s="17">
        <v>6.87</v>
      </c>
      <c r="J1443" s="17"/>
      <c r="K1443" s="17">
        <v>6</v>
      </c>
      <c r="L1443" s="17">
        <v>7.5</v>
      </c>
      <c r="M1443" s="18">
        <f>Raw_LIMS_Export!K1443</f>
        <v>45634</v>
      </c>
      <c r="N1443" s="19" t="s">
        <v>2926</v>
      </c>
    </row>
    <row r="1444" spans="1:14" x14ac:dyDescent="0.35">
      <c r="A1444" s="16" t="s">
        <v>1443</v>
      </c>
      <c r="B1444" s="17" t="s">
        <v>2018</v>
      </c>
      <c r="C1444" s="17" t="s">
        <v>2460</v>
      </c>
      <c r="D1444" s="17" t="str">
        <f>_xlfn.XLOOKUP(Raw_LIMS_Export!E1444,'mapping Site table'!$B$4:$B$14,'mapping Site table'!$C$4:$C$14,Raw_LIMS_Export!E1444)</f>
        <v>Dortmund DE</v>
      </c>
      <c r="E1444" s="17" t="s">
        <v>2483</v>
      </c>
      <c r="F1444" s="17">
        <f t="shared" si="67"/>
        <v>1</v>
      </c>
      <c r="G1444" s="17" t="str">
        <f t="shared" si="68"/>
        <v>Pass</v>
      </c>
      <c r="H1444" s="17" t="str">
        <f t="shared" si="66"/>
        <v>Fail</v>
      </c>
      <c r="I1444" s="17">
        <v>0.22</v>
      </c>
      <c r="J1444" s="17" t="s">
        <v>2489</v>
      </c>
      <c r="K1444" s="17">
        <v>0</v>
      </c>
      <c r="L1444" s="17">
        <v>1</v>
      </c>
      <c r="M1444" s="18">
        <f>Raw_LIMS_Export!K1444</f>
        <v>45501</v>
      </c>
      <c r="N1444" s="19" t="s">
        <v>2929</v>
      </c>
    </row>
    <row r="1445" spans="1:14" x14ac:dyDescent="0.35">
      <c r="A1445" s="16" t="s">
        <v>1444</v>
      </c>
      <c r="B1445" s="17" t="s">
        <v>2064</v>
      </c>
      <c r="C1445" s="17" t="s">
        <v>2458</v>
      </c>
      <c r="D1445" s="17" t="str">
        <f>_xlfn.XLOOKUP(Raw_LIMS_Export!E1445,'mapping Site table'!$B$4:$B$14,'mapping Site table'!$C$4:$C$14,Raw_LIMS_Export!E1445)</f>
        <v>Vernier CH</v>
      </c>
      <c r="E1445" s="17" t="s">
        <v>2479</v>
      </c>
      <c r="F1445" s="17">
        <f t="shared" si="67"/>
        <v>1</v>
      </c>
      <c r="G1445" s="17" t="str">
        <f t="shared" si="68"/>
        <v>Pass</v>
      </c>
      <c r="H1445" s="17" t="str">
        <f t="shared" si="66"/>
        <v>Pass</v>
      </c>
      <c r="I1445" s="17">
        <v>53.93</v>
      </c>
      <c r="J1445" s="17" t="s">
        <v>2486</v>
      </c>
      <c r="K1445" s="17">
        <v>0</v>
      </c>
      <c r="L1445" s="17">
        <v>120</v>
      </c>
      <c r="M1445" s="18">
        <f>Raw_LIMS_Export!K1445</f>
        <v>45715</v>
      </c>
      <c r="N1445" s="19" t="s">
        <v>2926</v>
      </c>
    </row>
    <row r="1446" spans="1:14" x14ac:dyDescent="0.35">
      <c r="A1446" s="16" t="s">
        <v>1445</v>
      </c>
      <c r="B1446" s="17" t="s">
        <v>2258</v>
      </c>
      <c r="C1446" s="17" t="s">
        <v>2460</v>
      </c>
      <c r="D1446" s="17" t="str">
        <f>_xlfn.XLOOKUP(Raw_LIMS_Export!E1446,'mapping Site table'!$B$4:$B$14,'mapping Site table'!$C$4:$C$14,Raw_LIMS_Export!E1446)</f>
        <v>Vernier CH</v>
      </c>
      <c r="E1446" s="17" t="s">
        <v>2482</v>
      </c>
      <c r="F1446" s="17">
        <f t="shared" si="67"/>
        <v>1</v>
      </c>
      <c r="G1446" s="17" t="str">
        <f t="shared" si="68"/>
        <v>Pass</v>
      </c>
      <c r="H1446" s="17" t="str">
        <f t="shared" si="66"/>
        <v>Pass</v>
      </c>
      <c r="I1446" s="17">
        <v>98.16</v>
      </c>
      <c r="J1446" s="17" t="s">
        <v>2489</v>
      </c>
      <c r="K1446" s="17">
        <v>97</v>
      </c>
      <c r="L1446" s="17">
        <v>100</v>
      </c>
      <c r="M1446" s="18">
        <f>Raw_LIMS_Export!K1446</f>
        <v>45883</v>
      </c>
      <c r="N1446" s="19" t="s">
        <v>2931</v>
      </c>
    </row>
    <row r="1447" spans="1:14" x14ac:dyDescent="0.35">
      <c r="A1447" s="16" t="s">
        <v>1446</v>
      </c>
      <c r="B1447" s="17" t="s">
        <v>2273</v>
      </c>
      <c r="C1447" s="17" t="s">
        <v>2459</v>
      </c>
      <c r="D1447" s="17" t="str">
        <f>_xlfn.XLOOKUP(Raw_LIMS_Export!E1447,'mapping Site table'!$B$4:$B$14,'mapping Site table'!$C$4:$C$14,Raw_LIMS_Export!E1447)</f>
        <v>Budapest</v>
      </c>
      <c r="E1447" s="17" t="s">
        <v>2482</v>
      </c>
      <c r="F1447" s="17">
        <f t="shared" si="67"/>
        <v>1</v>
      </c>
      <c r="G1447" s="17" t="str">
        <f t="shared" si="68"/>
        <v>Pass</v>
      </c>
      <c r="H1447" s="17" t="str">
        <f t="shared" si="66"/>
        <v>Pass</v>
      </c>
      <c r="I1447" s="17">
        <v>97.27</v>
      </c>
      <c r="J1447" s="17" t="s">
        <v>2489</v>
      </c>
      <c r="K1447" s="17">
        <v>97</v>
      </c>
      <c r="L1447" s="17">
        <v>100</v>
      </c>
      <c r="M1447" s="18">
        <f>Raw_LIMS_Export!K1447</f>
        <v>45657</v>
      </c>
      <c r="N1447" s="19" t="s">
        <v>2930</v>
      </c>
    </row>
    <row r="1448" spans="1:14" x14ac:dyDescent="0.35">
      <c r="A1448" s="16" t="s">
        <v>1447</v>
      </c>
      <c r="B1448" s="17" t="s">
        <v>2409</v>
      </c>
      <c r="C1448" s="17" t="s">
        <v>2459</v>
      </c>
      <c r="D1448" s="17" t="str">
        <f>_xlfn.XLOOKUP(Raw_LIMS_Export!E1448,'mapping Site table'!$B$4:$B$14,'mapping Site table'!$C$4:$C$14,Raw_LIMS_Export!E1448)</f>
        <v>East Hanover</v>
      </c>
      <c r="E1448" s="17" t="s">
        <v>2485</v>
      </c>
      <c r="F1448" s="17">
        <f t="shared" si="67"/>
        <v>1</v>
      </c>
      <c r="G1448" s="17" t="str">
        <f t="shared" si="68"/>
        <v>Pass</v>
      </c>
      <c r="H1448" s="17" t="str">
        <f t="shared" si="66"/>
        <v>Pass</v>
      </c>
      <c r="I1448" s="17">
        <v>6.19</v>
      </c>
      <c r="J1448" s="17" t="s">
        <v>2490</v>
      </c>
      <c r="K1448" s="17">
        <v>0</v>
      </c>
      <c r="L1448" s="17">
        <v>100</v>
      </c>
      <c r="M1448" s="18">
        <f>Raw_LIMS_Export!K1448</f>
        <v>45416</v>
      </c>
      <c r="N1448" s="19" t="s">
        <v>2927</v>
      </c>
    </row>
    <row r="1449" spans="1:14" x14ac:dyDescent="0.35">
      <c r="A1449" s="16" t="s">
        <v>1448</v>
      </c>
      <c r="B1449" s="17" t="s">
        <v>2434</v>
      </c>
      <c r="C1449" s="17" t="s">
        <v>2461</v>
      </c>
      <c r="D1449" s="17" t="str">
        <f>_xlfn.XLOOKUP(Raw_LIMS_Export!E1449,'mapping Site table'!$B$4:$B$14,'mapping Site table'!$C$4:$C$14,Raw_LIMS_Export!E1449)</f>
        <v>Vernier CH</v>
      </c>
      <c r="E1449" s="17" t="s">
        <v>2482</v>
      </c>
      <c r="F1449" s="17">
        <f t="shared" si="67"/>
        <v>0</v>
      </c>
      <c r="G1449" s="17" t="str">
        <f t="shared" si="68"/>
        <v>Missing</v>
      </c>
      <c r="H1449" s="17" t="str">
        <f t="shared" si="66"/>
        <v>Pending</v>
      </c>
      <c r="I1449" s="17"/>
      <c r="J1449" s="17" t="s">
        <v>2489</v>
      </c>
      <c r="K1449" s="17">
        <v>97</v>
      </c>
      <c r="L1449" s="17">
        <v>100</v>
      </c>
      <c r="M1449" s="18">
        <f>Raw_LIMS_Export!K1449</f>
        <v>45506</v>
      </c>
      <c r="N1449" s="19" t="s">
        <v>2931</v>
      </c>
    </row>
    <row r="1450" spans="1:14" x14ac:dyDescent="0.35">
      <c r="A1450" s="16" t="s">
        <v>1449</v>
      </c>
      <c r="B1450" s="17" t="s">
        <v>2206</v>
      </c>
      <c r="C1450" s="17" t="s">
        <v>2458</v>
      </c>
      <c r="D1450" s="17" t="str">
        <f>_xlfn.XLOOKUP(Raw_LIMS_Export!E1450,'mapping Site table'!$B$4:$B$14,'mapping Site table'!$C$4:$C$14,Raw_LIMS_Export!E1450)</f>
        <v>Dortmund DE</v>
      </c>
      <c r="E1450" s="17" t="s">
        <v>2483</v>
      </c>
      <c r="F1450" s="17">
        <f t="shared" si="67"/>
        <v>1</v>
      </c>
      <c r="G1450" s="17" t="str">
        <f t="shared" si="68"/>
        <v>Pass</v>
      </c>
      <c r="H1450" s="17" t="str">
        <f t="shared" si="66"/>
        <v>Pass</v>
      </c>
      <c r="I1450" s="17">
        <v>0.46</v>
      </c>
      <c r="J1450" s="17" t="s">
        <v>2489</v>
      </c>
      <c r="K1450" s="17">
        <v>0</v>
      </c>
      <c r="L1450" s="17">
        <v>1</v>
      </c>
      <c r="M1450" s="18">
        <f>Raw_LIMS_Export!K1450</f>
        <v>45814</v>
      </c>
      <c r="N1450" s="19" t="s">
        <v>2925</v>
      </c>
    </row>
    <row r="1451" spans="1:14" x14ac:dyDescent="0.35">
      <c r="A1451" s="16" t="s">
        <v>1450</v>
      </c>
      <c r="B1451" s="17" t="s">
        <v>2454</v>
      </c>
      <c r="C1451" s="17" t="s">
        <v>2461</v>
      </c>
      <c r="D1451" s="17" t="str">
        <f>_xlfn.XLOOKUP(Raw_LIMS_Export!E1451,'mapping Site table'!$B$4:$B$14,'mapping Site table'!$C$4:$C$14,Raw_LIMS_Export!E1451)</f>
        <v>Dortmund DE</v>
      </c>
      <c r="E1451" s="17" t="s">
        <v>2480</v>
      </c>
      <c r="F1451" s="17">
        <f t="shared" si="67"/>
        <v>1</v>
      </c>
      <c r="G1451" s="17" t="str">
        <f t="shared" si="68"/>
        <v>Pass</v>
      </c>
      <c r="H1451" s="17" t="str">
        <f t="shared" si="66"/>
        <v>Fail</v>
      </c>
      <c r="I1451" s="17">
        <v>0.94</v>
      </c>
      <c r="J1451" s="17" t="s">
        <v>2487</v>
      </c>
      <c r="K1451" s="17">
        <v>0.88</v>
      </c>
      <c r="L1451" s="17">
        <v>0.97</v>
      </c>
      <c r="M1451" s="18">
        <f>Raw_LIMS_Export!K1451</f>
        <v>45502</v>
      </c>
      <c r="N1451" s="19" t="s">
        <v>2923</v>
      </c>
    </row>
    <row r="1452" spans="1:14" x14ac:dyDescent="0.35">
      <c r="A1452" s="16" t="s">
        <v>1451</v>
      </c>
      <c r="B1452" s="17" t="s">
        <v>2120</v>
      </c>
      <c r="C1452" s="17" t="s">
        <v>2459</v>
      </c>
      <c r="D1452" s="17" t="str">
        <f>_xlfn.XLOOKUP(Raw_LIMS_Export!E1452,'mapping Site table'!$B$4:$B$14,'mapping Site table'!$C$4:$C$14,Raw_LIMS_Export!E1452)</f>
        <v>Vernier CH</v>
      </c>
      <c r="E1452" s="17" t="s">
        <v>2481</v>
      </c>
      <c r="F1452" s="17">
        <f t="shared" si="67"/>
        <v>1</v>
      </c>
      <c r="G1452" s="17" t="str">
        <f t="shared" si="68"/>
        <v>Pass</v>
      </c>
      <c r="H1452" s="17" t="str">
        <f t="shared" si="66"/>
        <v>Fail</v>
      </c>
      <c r="I1452" s="17">
        <v>294.42</v>
      </c>
      <c r="J1452" s="17" t="s">
        <v>2488</v>
      </c>
      <c r="K1452" s="17">
        <v>150</v>
      </c>
      <c r="L1452" s="17">
        <v>400</v>
      </c>
      <c r="M1452" s="18">
        <f>Raw_LIMS_Export!K1452</f>
        <v>45393</v>
      </c>
      <c r="N1452" s="19" t="s">
        <v>2931</v>
      </c>
    </row>
    <row r="1453" spans="1:14" x14ac:dyDescent="0.35">
      <c r="A1453" s="16" t="s">
        <v>1452</v>
      </c>
      <c r="B1453" s="17" t="s">
        <v>2273</v>
      </c>
      <c r="C1453" s="17" t="s">
        <v>2459</v>
      </c>
      <c r="D1453" s="17" t="str">
        <f>_xlfn.XLOOKUP(Raw_LIMS_Export!E1453,'mapping Site table'!$B$4:$B$14,'mapping Site table'!$C$4:$C$14,Raw_LIMS_Export!E1453)</f>
        <v>Budapest</v>
      </c>
      <c r="E1453" s="17" t="s">
        <v>2481</v>
      </c>
      <c r="F1453" s="17">
        <f t="shared" si="67"/>
        <v>1</v>
      </c>
      <c r="G1453" s="17" t="str">
        <f t="shared" si="68"/>
        <v>Pass</v>
      </c>
      <c r="H1453" s="17" t="str">
        <f t="shared" si="66"/>
        <v>Pass</v>
      </c>
      <c r="I1453" s="17">
        <v>241.3</v>
      </c>
      <c r="J1453" s="17" t="s">
        <v>2488</v>
      </c>
      <c r="K1453" s="17">
        <v>150</v>
      </c>
      <c r="L1453" s="17">
        <v>400</v>
      </c>
      <c r="M1453" s="18">
        <f>Raw_LIMS_Export!K1453</f>
        <v>45657</v>
      </c>
      <c r="N1453" s="19" t="s">
        <v>2929</v>
      </c>
    </row>
    <row r="1454" spans="1:14" x14ac:dyDescent="0.35">
      <c r="A1454" s="16" t="s">
        <v>1453</v>
      </c>
      <c r="B1454" s="17" t="s">
        <v>2089</v>
      </c>
      <c r="C1454" s="17" t="s">
        <v>2460</v>
      </c>
      <c r="D1454" s="17" t="str">
        <f>_xlfn.XLOOKUP(Raw_LIMS_Export!E1454,'mapping Site table'!$B$4:$B$14,'mapping Site table'!$C$4:$C$14,Raw_LIMS_Export!E1454)</f>
        <v>Budapest</v>
      </c>
      <c r="E1454" s="17" t="s">
        <v>2483</v>
      </c>
      <c r="F1454" s="17">
        <f t="shared" si="67"/>
        <v>1</v>
      </c>
      <c r="G1454" s="17" t="str">
        <f t="shared" si="68"/>
        <v>Pass</v>
      </c>
      <c r="H1454" s="17" t="str">
        <f t="shared" si="66"/>
        <v>Pass</v>
      </c>
      <c r="I1454" s="17">
        <v>0.16</v>
      </c>
      <c r="J1454" s="17" t="s">
        <v>2489</v>
      </c>
      <c r="K1454" s="17">
        <v>0</v>
      </c>
      <c r="L1454" s="17">
        <v>1</v>
      </c>
      <c r="M1454" s="18">
        <f>Raw_LIMS_Export!K1454</f>
        <v>45789</v>
      </c>
      <c r="N1454" s="19" t="s">
        <v>2927</v>
      </c>
    </row>
    <row r="1455" spans="1:14" x14ac:dyDescent="0.35">
      <c r="A1455" s="16" t="s">
        <v>1454</v>
      </c>
      <c r="B1455" s="17" t="s">
        <v>2440</v>
      </c>
      <c r="C1455" s="17" t="s">
        <v>2460</v>
      </c>
      <c r="D1455" s="17" t="str">
        <f>_xlfn.XLOOKUP(Raw_LIMS_Export!E1455,'mapping Site table'!$B$4:$B$14,'mapping Site table'!$C$4:$C$14,Raw_LIMS_Export!E1455)</f>
        <v>Budapest</v>
      </c>
      <c r="E1455" s="17" t="s">
        <v>2485</v>
      </c>
      <c r="F1455" s="17">
        <f t="shared" si="67"/>
        <v>1</v>
      </c>
      <c r="G1455" s="17" t="str">
        <f t="shared" si="68"/>
        <v>Pass</v>
      </c>
      <c r="H1455" s="17" t="str">
        <f t="shared" si="66"/>
        <v>Pass</v>
      </c>
      <c r="I1455" s="17">
        <v>7.28</v>
      </c>
      <c r="J1455" s="17" t="s">
        <v>2490</v>
      </c>
      <c r="K1455" s="17">
        <v>0</v>
      </c>
      <c r="L1455" s="17">
        <v>100</v>
      </c>
      <c r="M1455" s="18">
        <f>Raw_LIMS_Export!K1455</f>
        <v>45606</v>
      </c>
      <c r="N1455" s="19" t="s">
        <v>2932</v>
      </c>
    </row>
    <row r="1456" spans="1:14" x14ac:dyDescent="0.35">
      <c r="A1456" s="16" t="s">
        <v>1455</v>
      </c>
      <c r="B1456" s="17" t="s">
        <v>2052</v>
      </c>
      <c r="C1456" s="17" t="s">
        <v>2460</v>
      </c>
      <c r="D1456" s="17" t="str">
        <f>_xlfn.XLOOKUP(Raw_LIMS_Export!E1456,'mapping Site table'!$B$4:$B$14,'mapping Site table'!$C$4:$C$14,Raw_LIMS_Export!E1456)</f>
        <v>East Hanover</v>
      </c>
      <c r="E1456" s="17" t="s">
        <v>2485</v>
      </c>
      <c r="F1456" s="17">
        <f t="shared" si="67"/>
        <v>1</v>
      </c>
      <c r="G1456" s="17" t="str">
        <f t="shared" si="68"/>
        <v>Fail</v>
      </c>
      <c r="H1456" s="17" t="str">
        <f t="shared" si="66"/>
        <v>Fail</v>
      </c>
      <c r="I1456" s="17">
        <v>-24.21</v>
      </c>
      <c r="J1456" s="17" t="s">
        <v>2490</v>
      </c>
      <c r="K1456" s="17">
        <v>0</v>
      </c>
      <c r="L1456" s="17">
        <v>100</v>
      </c>
      <c r="M1456" s="18">
        <f>Raw_LIMS_Export!K1456</f>
        <v>45461</v>
      </c>
      <c r="N1456" s="19" t="s">
        <v>2924</v>
      </c>
    </row>
    <row r="1457" spans="1:14" x14ac:dyDescent="0.35">
      <c r="A1457" s="16" t="s">
        <v>1456</v>
      </c>
      <c r="B1457" s="17" t="s">
        <v>2455</v>
      </c>
      <c r="C1457" s="17" t="s">
        <v>2461</v>
      </c>
      <c r="D1457" s="17" t="str">
        <f>_xlfn.XLOOKUP(Raw_LIMS_Export!E1457,'mapping Site table'!$B$4:$B$14,'mapping Site table'!$C$4:$C$14,Raw_LIMS_Export!E1457)</f>
        <v>Vernier CH</v>
      </c>
      <c r="E1457" s="17" t="s">
        <v>2484</v>
      </c>
      <c r="F1457" s="17">
        <f t="shared" si="67"/>
        <v>1</v>
      </c>
      <c r="G1457" s="17" t="str">
        <f t="shared" si="68"/>
        <v>Pass</v>
      </c>
      <c r="H1457" s="17" t="str">
        <f t="shared" si="66"/>
        <v>Pass</v>
      </c>
      <c r="I1457" s="17">
        <v>7.15</v>
      </c>
      <c r="J1457" s="17"/>
      <c r="K1457" s="17">
        <v>6</v>
      </c>
      <c r="L1457" s="17">
        <v>7.5</v>
      </c>
      <c r="M1457" s="18">
        <f>Raw_LIMS_Export!K1457</f>
        <v>45988</v>
      </c>
      <c r="N1457" s="19" t="s">
        <v>2926</v>
      </c>
    </row>
    <row r="1458" spans="1:14" x14ac:dyDescent="0.35">
      <c r="A1458" s="16" t="s">
        <v>1457</v>
      </c>
      <c r="B1458" s="17" t="s">
        <v>2435</v>
      </c>
      <c r="C1458" s="17" t="s">
        <v>2460</v>
      </c>
      <c r="D1458" s="17" t="str">
        <f>_xlfn.XLOOKUP(Raw_LIMS_Export!E1458,'mapping Site table'!$B$4:$B$14,'mapping Site table'!$C$4:$C$14,Raw_LIMS_Export!E1458)</f>
        <v>Ashford UK</v>
      </c>
      <c r="E1458" s="17" t="s">
        <v>2485</v>
      </c>
      <c r="F1458" s="17">
        <f t="shared" si="67"/>
        <v>1</v>
      </c>
      <c r="G1458" s="17" t="str">
        <f t="shared" si="68"/>
        <v>Pass</v>
      </c>
      <c r="H1458" s="17" t="str">
        <f t="shared" si="66"/>
        <v>Pass</v>
      </c>
      <c r="I1458" s="17">
        <v>3.45</v>
      </c>
      <c r="J1458" s="17" t="s">
        <v>2490</v>
      </c>
      <c r="K1458" s="17">
        <v>0</v>
      </c>
      <c r="L1458" s="17">
        <v>100</v>
      </c>
      <c r="M1458" s="18">
        <f>Raw_LIMS_Export!K1458</f>
        <v>45806</v>
      </c>
      <c r="N1458" s="19" t="s">
        <v>2927</v>
      </c>
    </row>
    <row r="1459" spans="1:14" x14ac:dyDescent="0.35">
      <c r="A1459" s="16" t="s">
        <v>1458</v>
      </c>
      <c r="B1459" s="17" t="s">
        <v>2385</v>
      </c>
      <c r="C1459" s="17" t="s">
        <v>2457</v>
      </c>
      <c r="D1459" s="17" t="str">
        <f>_xlfn.XLOOKUP(Raw_LIMS_Export!E1459,'mapping Site table'!$B$4:$B$14,'mapping Site table'!$C$4:$C$14,Raw_LIMS_Export!E1459)</f>
        <v>East Hanover</v>
      </c>
      <c r="E1459" s="17" t="s">
        <v>2483</v>
      </c>
      <c r="F1459" s="17">
        <f t="shared" si="67"/>
        <v>1</v>
      </c>
      <c r="G1459" s="17" t="str">
        <f t="shared" si="68"/>
        <v>Pass</v>
      </c>
      <c r="H1459" s="17" t="str">
        <f t="shared" si="66"/>
        <v>Pass</v>
      </c>
      <c r="I1459" s="17">
        <v>0.21</v>
      </c>
      <c r="J1459" s="17" t="s">
        <v>2489</v>
      </c>
      <c r="K1459" s="17">
        <v>0</v>
      </c>
      <c r="L1459" s="17">
        <v>1</v>
      </c>
      <c r="M1459" s="18">
        <f>Raw_LIMS_Export!K1459</f>
        <v>45790</v>
      </c>
      <c r="N1459" s="19" t="s">
        <v>2927</v>
      </c>
    </row>
    <row r="1460" spans="1:14" x14ac:dyDescent="0.35">
      <c r="A1460" s="16" t="s">
        <v>1459</v>
      </c>
      <c r="B1460" s="17" t="s">
        <v>2332</v>
      </c>
      <c r="C1460" s="17" t="s">
        <v>2461</v>
      </c>
      <c r="D1460" s="17" t="str">
        <f>_xlfn.XLOOKUP(Raw_LIMS_Export!E1460,'mapping Site table'!$B$4:$B$14,'mapping Site table'!$C$4:$C$14,Raw_LIMS_Export!E1460)</f>
        <v>Ashford UK</v>
      </c>
      <c r="E1460" s="17" t="s">
        <v>2480</v>
      </c>
      <c r="F1460" s="17">
        <f t="shared" si="67"/>
        <v>0</v>
      </c>
      <c r="G1460" s="17" t="str">
        <f t="shared" si="68"/>
        <v>Missing</v>
      </c>
      <c r="H1460" s="17" t="str">
        <f t="shared" si="66"/>
        <v>Pending</v>
      </c>
      <c r="I1460" s="17"/>
      <c r="J1460" s="17" t="s">
        <v>2487</v>
      </c>
      <c r="K1460" s="17">
        <v>0.88</v>
      </c>
      <c r="L1460" s="17">
        <v>0.97</v>
      </c>
      <c r="M1460" s="18">
        <f>Raw_LIMS_Export!K1460</f>
        <v>45649</v>
      </c>
      <c r="N1460" s="19" t="s">
        <v>2924</v>
      </c>
    </row>
    <row r="1461" spans="1:14" x14ac:dyDescent="0.35">
      <c r="A1461" s="16" t="s">
        <v>1460</v>
      </c>
      <c r="B1461" s="17" t="s">
        <v>2422</v>
      </c>
      <c r="C1461" s="17" t="s">
        <v>2461</v>
      </c>
      <c r="D1461" s="17" t="str">
        <f>_xlfn.XLOOKUP(Raw_LIMS_Export!E1461,'mapping Site table'!$B$4:$B$14,'mapping Site table'!$C$4:$C$14,Raw_LIMS_Export!E1461)</f>
        <v>Dortmund DE</v>
      </c>
      <c r="E1461" s="17" t="s">
        <v>2483</v>
      </c>
      <c r="F1461" s="17">
        <f t="shared" si="67"/>
        <v>1</v>
      </c>
      <c r="G1461" s="17" t="str">
        <f t="shared" si="68"/>
        <v>Pass</v>
      </c>
      <c r="H1461" s="17" t="str">
        <f t="shared" si="66"/>
        <v>Fail</v>
      </c>
      <c r="I1461" s="17">
        <v>0.2</v>
      </c>
      <c r="J1461" s="17" t="s">
        <v>2489</v>
      </c>
      <c r="K1461" s="17">
        <v>0</v>
      </c>
      <c r="L1461" s="17">
        <v>1</v>
      </c>
      <c r="M1461" s="18">
        <f>Raw_LIMS_Export!K1461</f>
        <v>45539</v>
      </c>
      <c r="N1461" s="19" t="s">
        <v>2932</v>
      </c>
    </row>
    <row r="1462" spans="1:14" x14ac:dyDescent="0.35">
      <c r="A1462" s="16" t="s">
        <v>1461</v>
      </c>
      <c r="B1462" s="17" t="s">
        <v>2325</v>
      </c>
      <c r="C1462" s="17" t="s">
        <v>2458</v>
      </c>
      <c r="D1462" s="17" t="str">
        <f>_xlfn.XLOOKUP(Raw_LIMS_Export!E1462,'mapping Site table'!$B$4:$B$14,'mapping Site table'!$C$4:$C$14,Raw_LIMS_Export!E1462)</f>
        <v>Vernier CH</v>
      </c>
      <c r="E1462" s="17" t="s">
        <v>2479</v>
      </c>
      <c r="F1462" s="17">
        <f t="shared" si="67"/>
        <v>1</v>
      </c>
      <c r="G1462" s="17" t="str">
        <f t="shared" si="68"/>
        <v>Pass</v>
      </c>
      <c r="H1462" s="17" t="str">
        <f t="shared" si="66"/>
        <v>Pass</v>
      </c>
      <c r="I1462" s="17">
        <v>48.98</v>
      </c>
      <c r="J1462" s="17" t="s">
        <v>2486</v>
      </c>
      <c r="K1462" s="17">
        <v>0</v>
      </c>
      <c r="L1462" s="17">
        <v>120</v>
      </c>
      <c r="M1462" s="18">
        <f>Raw_LIMS_Export!K1462</f>
        <v>45491</v>
      </c>
      <c r="N1462" s="19" t="s">
        <v>2928</v>
      </c>
    </row>
    <row r="1463" spans="1:14" x14ac:dyDescent="0.35">
      <c r="A1463" s="16" t="s">
        <v>1462</v>
      </c>
      <c r="B1463" s="17" t="s">
        <v>2401</v>
      </c>
      <c r="C1463" s="17" t="s">
        <v>2457</v>
      </c>
      <c r="D1463" s="17" t="str">
        <f>_xlfn.XLOOKUP(Raw_LIMS_Export!E1463,'mapping Site table'!$B$4:$B$14,'mapping Site table'!$C$4:$C$14,Raw_LIMS_Export!E1463)</f>
        <v>Budapest</v>
      </c>
      <c r="E1463" s="17" t="s">
        <v>2482</v>
      </c>
      <c r="F1463" s="17">
        <f t="shared" si="67"/>
        <v>1</v>
      </c>
      <c r="G1463" s="17" t="str">
        <f t="shared" si="68"/>
        <v>Pass</v>
      </c>
      <c r="H1463" s="17" t="str">
        <f t="shared" si="66"/>
        <v>Pass</v>
      </c>
      <c r="I1463" s="17">
        <v>98.9</v>
      </c>
      <c r="J1463" s="17" t="s">
        <v>2489</v>
      </c>
      <c r="K1463" s="17">
        <v>97</v>
      </c>
      <c r="L1463" s="17">
        <v>100</v>
      </c>
      <c r="M1463" s="18">
        <f>Raw_LIMS_Export!K1463</f>
        <v>45660</v>
      </c>
      <c r="N1463" s="19" t="s">
        <v>2928</v>
      </c>
    </row>
    <row r="1464" spans="1:14" x14ac:dyDescent="0.35">
      <c r="A1464" s="16" t="s">
        <v>1463</v>
      </c>
      <c r="B1464" s="17" t="s">
        <v>2334</v>
      </c>
      <c r="C1464" s="17" t="s">
        <v>2461</v>
      </c>
      <c r="D1464" s="17" t="str">
        <f>_xlfn.XLOOKUP(Raw_LIMS_Export!E1464,'mapping Site table'!$B$4:$B$14,'mapping Site table'!$C$4:$C$14,Raw_LIMS_Export!E1464)</f>
        <v>East Hanover</v>
      </c>
      <c r="E1464" s="17" t="s">
        <v>2482</v>
      </c>
      <c r="F1464" s="17">
        <f t="shared" si="67"/>
        <v>1</v>
      </c>
      <c r="G1464" s="17" t="str">
        <f t="shared" si="68"/>
        <v>Pass</v>
      </c>
      <c r="H1464" s="17" t="str">
        <f t="shared" si="66"/>
        <v>Fail</v>
      </c>
      <c r="I1464" s="17">
        <v>98.42</v>
      </c>
      <c r="J1464" s="17" t="s">
        <v>2489</v>
      </c>
      <c r="K1464" s="17">
        <v>97</v>
      </c>
      <c r="L1464" s="17">
        <v>100</v>
      </c>
      <c r="M1464" s="18">
        <f>Raw_LIMS_Export!K1464</f>
        <v>45399</v>
      </c>
      <c r="N1464" s="19" t="s">
        <v>2929</v>
      </c>
    </row>
    <row r="1465" spans="1:14" x14ac:dyDescent="0.35">
      <c r="A1465" s="16" t="s">
        <v>1464</v>
      </c>
      <c r="B1465" s="17" t="s">
        <v>2395</v>
      </c>
      <c r="C1465" s="17" t="s">
        <v>2457</v>
      </c>
      <c r="D1465" s="17" t="str">
        <f>_xlfn.XLOOKUP(Raw_LIMS_Export!E1465,'mapping Site table'!$B$4:$B$14,'mapping Site table'!$C$4:$C$14,Raw_LIMS_Export!E1465)</f>
        <v>Budapest</v>
      </c>
      <c r="E1465" s="17" t="s">
        <v>2480</v>
      </c>
      <c r="F1465" s="17">
        <f t="shared" si="67"/>
        <v>1</v>
      </c>
      <c r="G1465" s="17" t="str">
        <f t="shared" si="68"/>
        <v>Pass</v>
      </c>
      <c r="H1465" s="17" t="str">
        <f t="shared" si="66"/>
        <v>Pass</v>
      </c>
      <c r="I1465" s="17">
        <v>0.92</v>
      </c>
      <c r="J1465" s="17" t="s">
        <v>2487</v>
      </c>
      <c r="K1465" s="17">
        <v>0.88</v>
      </c>
      <c r="L1465" s="17">
        <v>0.97</v>
      </c>
      <c r="M1465" s="18">
        <f>Raw_LIMS_Export!K1465</f>
        <v>45737</v>
      </c>
      <c r="N1465" s="19" t="s">
        <v>2923</v>
      </c>
    </row>
    <row r="1466" spans="1:14" x14ac:dyDescent="0.35">
      <c r="A1466" s="16" t="s">
        <v>1465</v>
      </c>
      <c r="B1466" s="17" t="s">
        <v>2373</v>
      </c>
      <c r="C1466" s="17" t="s">
        <v>2458</v>
      </c>
      <c r="D1466" s="17" t="str">
        <f>_xlfn.XLOOKUP(Raw_LIMS_Export!E1466,'mapping Site table'!$B$4:$B$14,'mapping Site table'!$C$4:$C$14,Raw_LIMS_Export!E1466)</f>
        <v>Budapest</v>
      </c>
      <c r="E1466" s="17" t="s">
        <v>2484</v>
      </c>
      <c r="F1466" s="17">
        <f t="shared" si="67"/>
        <v>1</v>
      </c>
      <c r="G1466" s="17" t="str">
        <f t="shared" si="68"/>
        <v>Pass</v>
      </c>
      <c r="H1466" s="17" t="str">
        <f t="shared" si="66"/>
        <v>Fail</v>
      </c>
      <c r="I1466" s="17">
        <v>6.81</v>
      </c>
      <c r="J1466" s="17"/>
      <c r="K1466" s="17">
        <v>6</v>
      </c>
      <c r="L1466" s="17">
        <v>7.5</v>
      </c>
      <c r="M1466" s="18">
        <f>Raw_LIMS_Export!K1466</f>
        <v>45953</v>
      </c>
      <c r="N1466" s="19" t="s">
        <v>2925</v>
      </c>
    </row>
    <row r="1467" spans="1:14" x14ac:dyDescent="0.35">
      <c r="A1467" s="16" t="s">
        <v>1466</v>
      </c>
      <c r="B1467" s="17" t="s">
        <v>2247</v>
      </c>
      <c r="C1467" s="17" t="s">
        <v>2461</v>
      </c>
      <c r="D1467" s="17" t="str">
        <f>_xlfn.XLOOKUP(Raw_LIMS_Export!E1467,'mapping Site table'!$B$4:$B$14,'mapping Site table'!$C$4:$C$14,Raw_LIMS_Export!E1467)</f>
        <v>Ashford UK</v>
      </c>
      <c r="E1467" s="17" t="s">
        <v>2481</v>
      </c>
      <c r="F1467" s="17">
        <f t="shared" si="67"/>
        <v>1</v>
      </c>
      <c r="G1467" s="17" t="str">
        <f t="shared" si="68"/>
        <v>Pass</v>
      </c>
      <c r="H1467" s="17" t="str">
        <f t="shared" si="66"/>
        <v>Fail</v>
      </c>
      <c r="I1467" s="17">
        <v>246.1</v>
      </c>
      <c r="J1467" s="17" t="s">
        <v>2488</v>
      </c>
      <c r="K1467" s="17">
        <v>150</v>
      </c>
      <c r="L1467" s="17">
        <v>400</v>
      </c>
      <c r="M1467" s="18">
        <f>Raw_LIMS_Export!K1467</f>
        <v>45307</v>
      </c>
      <c r="N1467" s="19" t="s">
        <v>2930</v>
      </c>
    </row>
    <row r="1468" spans="1:14" x14ac:dyDescent="0.35">
      <c r="A1468" s="16" t="s">
        <v>1467</v>
      </c>
      <c r="B1468" s="17" t="s">
        <v>2022</v>
      </c>
      <c r="C1468" s="17" t="s">
        <v>2457</v>
      </c>
      <c r="D1468" s="17" t="str">
        <f>_xlfn.XLOOKUP(Raw_LIMS_Export!E1468,'mapping Site table'!$B$4:$B$14,'mapping Site table'!$C$4:$C$14,Raw_LIMS_Export!E1468)</f>
        <v>Vernier CH</v>
      </c>
      <c r="E1468" s="17" t="s">
        <v>2484</v>
      </c>
      <c r="F1468" s="17">
        <f t="shared" si="67"/>
        <v>1</v>
      </c>
      <c r="G1468" s="17" t="str">
        <f t="shared" si="68"/>
        <v>Pass</v>
      </c>
      <c r="H1468" s="17" t="str">
        <f t="shared" si="66"/>
        <v>Pending</v>
      </c>
      <c r="I1468" s="17">
        <v>7.07</v>
      </c>
      <c r="J1468" s="17"/>
      <c r="K1468" s="17">
        <v>6</v>
      </c>
      <c r="L1468" s="17">
        <v>7.5</v>
      </c>
      <c r="M1468" s="18">
        <f>Raw_LIMS_Export!K1468</f>
        <v>45530</v>
      </c>
      <c r="N1468" s="19" t="s">
        <v>2926</v>
      </c>
    </row>
    <row r="1469" spans="1:14" x14ac:dyDescent="0.35">
      <c r="A1469" s="16" t="s">
        <v>1468</v>
      </c>
      <c r="B1469" s="17" t="s">
        <v>2446</v>
      </c>
      <c r="C1469" s="17" t="s">
        <v>2459</v>
      </c>
      <c r="D1469" s="17" t="str">
        <f>_xlfn.XLOOKUP(Raw_LIMS_Export!E1469,'mapping Site table'!$B$4:$B$14,'mapping Site table'!$C$4:$C$14,Raw_LIMS_Export!E1469)</f>
        <v>Vernier CH</v>
      </c>
      <c r="E1469" s="17" t="s">
        <v>2485</v>
      </c>
      <c r="F1469" s="17">
        <f t="shared" si="67"/>
        <v>1</v>
      </c>
      <c r="G1469" s="17" t="str">
        <f t="shared" si="68"/>
        <v>Pass</v>
      </c>
      <c r="H1469" s="17" t="str">
        <f t="shared" si="66"/>
        <v>Pass</v>
      </c>
      <c r="I1469" s="17">
        <v>30.9</v>
      </c>
      <c r="J1469" s="17" t="s">
        <v>2490</v>
      </c>
      <c r="K1469" s="17">
        <v>0</v>
      </c>
      <c r="L1469" s="17">
        <v>100</v>
      </c>
      <c r="M1469" s="18">
        <f>Raw_LIMS_Export!K1469</f>
        <v>46021</v>
      </c>
      <c r="N1469" s="19" t="s">
        <v>2928</v>
      </c>
    </row>
    <row r="1470" spans="1:14" x14ac:dyDescent="0.35">
      <c r="A1470" s="16" t="s">
        <v>1469</v>
      </c>
      <c r="B1470" s="17" t="s">
        <v>2449</v>
      </c>
      <c r="C1470" s="17" t="s">
        <v>2460</v>
      </c>
      <c r="D1470" s="17" t="str">
        <f>_xlfn.XLOOKUP(Raw_LIMS_Export!E1470,'mapping Site table'!$B$4:$B$14,'mapping Site table'!$C$4:$C$14,Raw_LIMS_Export!E1470)</f>
        <v>Budapest</v>
      </c>
      <c r="E1470" s="17" t="s">
        <v>2482</v>
      </c>
      <c r="F1470" s="17">
        <f t="shared" si="67"/>
        <v>1</v>
      </c>
      <c r="G1470" s="17" t="str">
        <f t="shared" si="68"/>
        <v>Pass</v>
      </c>
      <c r="H1470" s="17" t="str">
        <f t="shared" si="66"/>
        <v>Pass</v>
      </c>
      <c r="I1470" s="17">
        <v>98.43</v>
      </c>
      <c r="J1470" s="17" t="s">
        <v>2489</v>
      </c>
      <c r="K1470" s="17">
        <v>97</v>
      </c>
      <c r="L1470" s="17">
        <v>100</v>
      </c>
      <c r="M1470" s="18">
        <f>Raw_LIMS_Export!K1470</f>
        <v>45526</v>
      </c>
      <c r="N1470" s="19" t="s">
        <v>2931</v>
      </c>
    </row>
    <row r="1471" spans="1:14" x14ac:dyDescent="0.35">
      <c r="A1471" s="16" t="s">
        <v>1470</v>
      </c>
      <c r="B1471" s="17" t="s">
        <v>2030</v>
      </c>
      <c r="C1471" s="17" t="s">
        <v>2457</v>
      </c>
      <c r="D1471" s="17" t="str">
        <f>_xlfn.XLOOKUP(Raw_LIMS_Export!E1471,'mapping Site table'!$B$4:$B$14,'mapping Site table'!$C$4:$C$14,Raw_LIMS_Export!E1471)</f>
        <v>Vernier CH</v>
      </c>
      <c r="E1471" s="17" t="s">
        <v>2480</v>
      </c>
      <c r="F1471" s="17">
        <f t="shared" si="67"/>
        <v>1</v>
      </c>
      <c r="G1471" s="17" t="str">
        <f t="shared" si="68"/>
        <v>Pass</v>
      </c>
      <c r="H1471" s="17" t="str">
        <f t="shared" si="66"/>
        <v>Pass</v>
      </c>
      <c r="I1471" s="17">
        <v>0.9</v>
      </c>
      <c r="J1471" s="17" t="s">
        <v>2487</v>
      </c>
      <c r="K1471" s="17">
        <v>0.88</v>
      </c>
      <c r="L1471" s="17">
        <v>0.97</v>
      </c>
      <c r="M1471" s="18">
        <f>Raw_LIMS_Export!K1471</f>
        <v>45613</v>
      </c>
      <c r="N1471" s="19" t="s">
        <v>2926</v>
      </c>
    </row>
    <row r="1472" spans="1:14" x14ac:dyDescent="0.35">
      <c r="A1472" s="16" t="s">
        <v>1471</v>
      </c>
      <c r="B1472" s="17" t="s">
        <v>2344</v>
      </c>
      <c r="C1472" s="17" t="s">
        <v>2461</v>
      </c>
      <c r="D1472" s="17" t="str">
        <f>_xlfn.XLOOKUP(Raw_LIMS_Export!E1472,'mapping Site table'!$B$4:$B$14,'mapping Site table'!$C$4:$C$14,Raw_LIMS_Export!E1472)</f>
        <v>Vernier CH</v>
      </c>
      <c r="E1472" s="17" t="s">
        <v>2481</v>
      </c>
      <c r="F1472" s="17">
        <f t="shared" si="67"/>
        <v>0</v>
      </c>
      <c r="G1472" s="17" t="str">
        <f t="shared" si="68"/>
        <v>Missing</v>
      </c>
      <c r="H1472" s="17" t="str">
        <f t="shared" si="66"/>
        <v>Pending</v>
      </c>
      <c r="I1472" s="17"/>
      <c r="J1472" s="17" t="s">
        <v>2488</v>
      </c>
      <c r="K1472" s="17">
        <v>150</v>
      </c>
      <c r="L1472" s="17">
        <v>400</v>
      </c>
      <c r="M1472" s="18">
        <f>Raw_LIMS_Export!K1472</f>
        <v>45458</v>
      </c>
      <c r="N1472" s="19" t="s">
        <v>2932</v>
      </c>
    </row>
    <row r="1473" spans="1:14" x14ac:dyDescent="0.35">
      <c r="A1473" s="16" t="s">
        <v>1472</v>
      </c>
      <c r="B1473" s="17" t="s">
        <v>2443</v>
      </c>
      <c r="C1473" s="17" t="s">
        <v>2460</v>
      </c>
      <c r="D1473" s="17" t="str">
        <f>_xlfn.XLOOKUP(Raw_LIMS_Export!E1473,'mapping Site table'!$B$4:$B$14,'mapping Site table'!$C$4:$C$14,Raw_LIMS_Export!E1473)</f>
        <v>Ashford UK</v>
      </c>
      <c r="E1473" s="17" t="s">
        <v>2481</v>
      </c>
      <c r="F1473" s="17">
        <f t="shared" si="67"/>
        <v>1</v>
      </c>
      <c r="G1473" s="17" t="str">
        <f t="shared" si="68"/>
        <v>Pass</v>
      </c>
      <c r="H1473" s="17" t="str">
        <f t="shared" si="66"/>
        <v>Pass</v>
      </c>
      <c r="I1473" s="17">
        <v>205.89</v>
      </c>
      <c r="J1473" s="17" t="s">
        <v>2488</v>
      </c>
      <c r="K1473" s="17">
        <v>150</v>
      </c>
      <c r="L1473" s="17">
        <v>400</v>
      </c>
      <c r="M1473" s="18">
        <f>Raw_LIMS_Export!K1473</f>
        <v>45533</v>
      </c>
      <c r="N1473" s="19" t="s">
        <v>2929</v>
      </c>
    </row>
    <row r="1474" spans="1:14" x14ac:dyDescent="0.35">
      <c r="A1474" s="16" t="s">
        <v>1473</v>
      </c>
      <c r="B1474" s="17" t="s">
        <v>2153</v>
      </c>
      <c r="C1474" s="17" t="s">
        <v>2461</v>
      </c>
      <c r="D1474" s="17" t="str">
        <f>_xlfn.XLOOKUP(Raw_LIMS_Export!E1474,'mapping Site table'!$B$4:$B$14,'mapping Site table'!$C$4:$C$14,Raw_LIMS_Export!E1474)</f>
        <v>Budapest</v>
      </c>
      <c r="E1474" s="17" t="s">
        <v>2479</v>
      </c>
      <c r="F1474" s="17">
        <f t="shared" si="67"/>
        <v>1</v>
      </c>
      <c r="G1474" s="17" t="str">
        <f t="shared" si="68"/>
        <v>Pass</v>
      </c>
      <c r="H1474" s="17" t="str">
        <f t="shared" ref="H1474:H1537" si="69">IF(COUNTIFS($B$2:$B$2016,B1474,$G$2:$G$2016,"Fail")&gt;0,"Fail",
  IF(COUNTIFS($B$2:$B$2016,B1474,$G$2:$G$2016,"Missing")&gt;0,"Pending",
    "Pass"))</f>
        <v>Fail</v>
      </c>
      <c r="I1474" s="17">
        <v>31.16</v>
      </c>
      <c r="J1474" s="17" t="s">
        <v>2486</v>
      </c>
      <c r="K1474" s="17">
        <v>0</v>
      </c>
      <c r="L1474" s="17">
        <v>120</v>
      </c>
      <c r="M1474" s="18">
        <f>Raw_LIMS_Export!K1474</f>
        <v>45445</v>
      </c>
      <c r="N1474" s="19" t="s">
        <v>2930</v>
      </c>
    </row>
    <row r="1475" spans="1:14" x14ac:dyDescent="0.35">
      <c r="A1475" s="16" t="s">
        <v>1474</v>
      </c>
      <c r="B1475" s="17" t="s">
        <v>2150</v>
      </c>
      <c r="C1475" s="17" t="s">
        <v>2459</v>
      </c>
      <c r="D1475" s="17" t="str">
        <f>_xlfn.XLOOKUP(Raw_LIMS_Export!E1475,'mapping Site table'!$B$4:$B$14,'mapping Site table'!$C$4:$C$14,Raw_LIMS_Export!E1475)</f>
        <v>Dortmund DE</v>
      </c>
      <c r="E1475" s="17" t="s">
        <v>2483</v>
      </c>
      <c r="F1475" s="17">
        <f t="shared" ref="F1475:F1538" si="70">IF(I1475="",0,1)</f>
        <v>1</v>
      </c>
      <c r="G1475" s="17" t="str">
        <f t="shared" ref="G1475:G1538" si="71">IF(I1475="", "Missing", IF(AND(I1475&gt;=K1475, I1475&lt;=L1475), "Pass", "Fail"))</f>
        <v>Pass</v>
      </c>
      <c r="H1475" s="17" t="str">
        <f t="shared" si="69"/>
        <v>Pass</v>
      </c>
      <c r="I1475" s="17">
        <v>0.35</v>
      </c>
      <c r="J1475" s="17" t="s">
        <v>2489</v>
      </c>
      <c r="K1475" s="17">
        <v>0</v>
      </c>
      <c r="L1475" s="17">
        <v>1</v>
      </c>
      <c r="M1475" s="18">
        <f>Raw_LIMS_Export!K1475</f>
        <v>45787</v>
      </c>
      <c r="N1475" s="19" t="s">
        <v>2932</v>
      </c>
    </row>
    <row r="1476" spans="1:14" x14ac:dyDescent="0.35">
      <c r="A1476" s="16" t="s">
        <v>1475</v>
      </c>
      <c r="B1476" s="17" t="s">
        <v>2396</v>
      </c>
      <c r="C1476" s="17" t="s">
        <v>2461</v>
      </c>
      <c r="D1476" s="17" t="str">
        <f>_xlfn.XLOOKUP(Raw_LIMS_Export!E1476,'mapping Site table'!$B$4:$B$14,'mapping Site table'!$C$4:$C$14,Raw_LIMS_Export!E1476)</f>
        <v>Budapest</v>
      </c>
      <c r="E1476" s="17" t="s">
        <v>2481</v>
      </c>
      <c r="F1476" s="17">
        <f t="shared" si="70"/>
        <v>1</v>
      </c>
      <c r="G1476" s="17" t="str">
        <f t="shared" si="71"/>
        <v>Pass</v>
      </c>
      <c r="H1476" s="17" t="str">
        <f t="shared" si="69"/>
        <v>Pass</v>
      </c>
      <c r="I1476" s="17">
        <v>318.92</v>
      </c>
      <c r="J1476" s="17" t="s">
        <v>2488</v>
      </c>
      <c r="K1476" s="17">
        <v>150</v>
      </c>
      <c r="L1476" s="17">
        <v>400</v>
      </c>
      <c r="M1476" s="18">
        <f>Raw_LIMS_Export!K1476</f>
        <v>45767</v>
      </c>
      <c r="N1476" s="19" t="s">
        <v>2931</v>
      </c>
    </row>
    <row r="1477" spans="1:14" x14ac:dyDescent="0.35">
      <c r="A1477" s="16" t="s">
        <v>1476</v>
      </c>
      <c r="B1477" s="17" t="s">
        <v>2418</v>
      </c>
      <c r="C1477" s="17" t="s">
        <v>2458</v>
      </c>
      <c r="D1477" s="17" t="str">
        <f>_xlfn.XLOOKUP(Raw_LIMS_Export!E1477,'mapping Site table'!$B$4:$B$14,'mapping Site table'!$C$4:$C$14,Raw_LIMS_Export!E1477)</f>
        <v>Vernier CH</v>
      </c>
      <c r="E1477" s="17" t="s">
        <v>2482</v>
      </c>
      <c r="F1477" s="17">
        <f t="shared" si="70"/>
        <v>1</v>
      </c>
      <c r="G1477" s="17" t="str">
        <f t="shared" si="71"/>
        <v>Pass</v>
      </c>
      <c r="H1477" s="17" t="str">
        <f t="shared" si="69"/>
        <v>Pass</v>
      </c>
      <c r="I1477" s="17">
        <v>98.76</v>
      </c>
      <c r="J1477" s="17" t="s">
        <v>2489</v>
      </c>
      <c r="K1477" s="17">
        <v>97</v>
      </c>
      <c r="L1477" s="17">
        <v>100</v>
      </c>
      <c r="M1477" s="18">
        <f>Raw_LIMS_Export!K1477</f>
        <v>45759</v>
      </c>
      <c r="N1477" s="19" t="s">
        <v>2932</v>
      </c>
    </row>
    <row r="1478" spans="1:14" x14ac:dyDescent="0.35">
      <c r="A1478" s="16" t="s">
        <v>1477</v>
      </c>
      <c r="B1478" s="17" t="s">
        <v>2101</v>
      </c>
      <c r="C1478" s="17" t="s">
        <v>2458</v>
      </c>
      <c r="D1478" s="17" t="str">
        <f>_xlfn.XLOOKUP(Raw_LIMS_Export!E1478,'mapping Site table'!$B$4:$B$14,'mapping Site table'!$C$4:$C$14,Raw_LIMS_Export!E1478)</f>
        <v>Dortmund DE</v>
      </c>
      <c r="E1478" s="17" t="s">
        <v>2482</v>
      </c>
      <c r="F1478" s="17">
        <f t="shared" si="70"/>
        <v>1</v>
      </c>
      <c r="G1478" s="17" t="str">
        <f t="shared" si="71"/>
        <v>Pass</v>
      </c>
      <c r="H1478" s="17" t="str">
        <f t="shared" si="69"/>
        <v>Pass</v>
      </c>
      <c r="I1478" s="17">
        <v>98.43</v>
      </c>
      <c r="J1478" s="17" t="s">
        <v>2489</v>
      </c>
      <c r="K1478" s="17">
        <v>97</v>
      </c>
      <c r="L1478" s="17">
        <v>100</v>
      </c>
      <c r="M1478" s="18">
        <f>Raw_LIMS_Export!K1478</f>
        <v>46013</v>
      </c>
      <c r="N1478" s="19" t="s">
        <v>2926</v>
      </c>
    </row>
    <row r="1479" spans="1:14" x14ac:dyDescent="0.35">
      <c r="A1479" s="16" t="s">
        <v>1478</v>
      </c>
      <c r="B1479" s="17" t="s">
        <v>2367</v>
      </c>
      <c r="C1479" s="17" t="s">
        <v>2461</v>
      </c>
      <c r="D1479" s="17" t="str">
        <f>_xlfn.XLOOKUP(Raw_LIMS_Export!E1479,'mapping Site table'!$B$4:$B$14,'mapping Site table'!$C$4:$C$14,Raw_LIMS_Export!E1479)</f>
        <v>Dortmund DE</v>
      </c>
      <c r="E1479" s="17" t="s">
        <v>2482</v>
      </c>
      <c r="F1479" s="17">
        <f t="shared" si="70"/>
        <v>1</v>
      </c>
      <c r="G1479" s="17" t="str">
        <f t="shared" si="71"/>
        <v>Pass</v>
      </c>
      <c r="H1479" s="17" t="str">
        <f t="shared" si="69"/>
        <v>Pass</v>
      </c>
      <c r="I1479" s="17">
        <v>99.53</v>
      </c>
      <c r="J1479" s="17" t="s">
        <v>2489</v>
      </c>
      <c r="K1479" s="17">
        <v>97</v>
      </c>
      <c r="L1479" s="17">
        <v>100</v>
      </c>
      <c r="M1479" s="18">
        <f>Raw_LIMS_Export!K1479</f>
        <v>45794</v>
      </c>
      <c r="N1479" s="19" t="s">
        <v>2932</v>
      </c>
    </row>
    <row r="1480" spans="1:14" x14ac:dyDescent="0.35">
      <c r="A1480" s="16" t="s">
        <v>1479</v>
      </c>
      <c r="B1480" s="17" t="s">
        <v>2059</v>
      </c>
      <c r="C1480" s="17" t="s">
        <v>2459</v>
      </c>
      <c r="D1480" s="17" t="str">
        <f>_xlfn.XLOOKUP(Raw_LIMS_Export!E1480,'mapping Site table'!$B$4:$B$14,'mapping Site table'!$C$4:$C$14,Raw_LIMS_Export!E1480)</f>
        <v>Vernier CH</v>
      </c>
      <c r="E1480" s="17" t="s">
        <v>2484</v>
      </c>
      <c r="F1480" s="17">
        <f t="shared" si="70"/>
        <v>1</v>
      </c>
      <c r="G1480" s="17" t="str">
        <f t="shared" si="71"/>
        <v>Pass</v>
      </c>
      <c r="H1480" s="17" t="str">
        <f t="shared" si="69"/>
        <v>Fail</v>
      </c>
      <c r="I1480" s="17">
        <v>7.02</v>
      </c>
      <c r="J1480" s="17"/>
      <c r="K1480" s="17">
        <v>6</v>
      </c>
      <c r="L1480" s="17">
        <v>7.5</v>
      </c>
      <c r="M1480" s="18">
        <f>Raw_LIMS_Export!K1480</f>
        <v>45743</v>
      </c>
      <c r="N1480" s="19" t="s">
        <v>2931</v>
      </c>
    </row>
    <row r="1481" spans="1:14" x14ac:dyDescent="0.35">
      <c r="A1481" s="16" t="s">
        <v>1480</v>
      </c>
      <c r="B1481" s="17" t="s">
        <v>2424</v>
      </c>
      <c r="C1481" s="17" t="s">
        <v>2457</v>
      </c>
      <c r="D1481" s="17" t="str">
        <f>_xlfn.XLOOKUP(Raw_LIMS_Export!E1481,'mapping Site table'!$B$4:$B$14,'mapping Site table'!$C$4:$C$14,Raw_LIMS_Export!E1481)</f>
        <v>Dortmund DE</v>
      </c>
      <c r="E1481" s="17" t="s">
        <v>2482</v>
      </c>
      <c r="F1481" s="17">
        <f t="shared" si="70"/>
        <v>1</v>
      </c>
      <c r="G1481" s="17" t="str">
        <f t="shared" si="71"/>
        <v>Pass</v>
      </c>
      <c r="H1481" s="17" t="str">
        <f t="shared" si="69"/>
        <v>Pass</v>
      </c>
      <c r="I1481" s="17">
        <v>97.95</v>
      </c>
      <c r="J1481" s="17" t="s">
        <v>2489</v>
      </c>
      <c r="K1481" s="17">
        <v>97</v>
      </c>
      <c r="L1481" s="17">
        <v>100</v>
      </c>
      <c r="M1481" s="18">
        <f>Raw_LIMS_Export!K1481</f>
        <v>45371</v>
      </c>
      <c r="N1481" s="19" t="s">
        <v>2930</v>
      </c>
    </row>
    <row r="1482" spans="1:14" x14ac:dyDescent="0.35">
      <c r="A1482" s="16" t="s">
        <v>1481</v>
      </c>
      <c r="B1482" s="17" t="s">
        <v>2022</v>
      </c>
      <c r="C1482" s="17" t="s">
        <v>2457</v>
      </c>
      <c r="D1482" s="17" t="str">
        <f>_xlfn.XLOOKUP(Raw_LIMS_Export!E1482,'mapping Site table'!$B$4:$B$14,'mapping Site table'!$C$4:$C$14,Raw_LIMS_Export!E1482)</f>
        <v>Vernier CH</v>
      </c>
      <c r="E1482" s="17" t="s">
        <v>2479</v>
      </c>
      <c r="F1482" s="17">
        <f t="shared" si="70"/>
        <v>0</v>
      </c>
      <c r="G1482" s="17" t="str">
        <f t="shared" si="71"/>
        <v>Missing</v>
      </c>
      <c r="H1482" s="17" t="str">
        <f t="shared" si="69"/>
        <v>Pending</v>
      </c>
      <c r="I1482" s="17"/>
      <c r="J1482" s="17" t="s">
        <v>2486</v>
      </c>
      <c r="K1482" s="17">
        <v>0</v>
      </c>
      <c r="L1482" s="17">
        <v>120</v>
      </c>
      <c r="M1482" s="18">
        <f>Raw_LIMS_Export!K1482</f>
        <v>45530</v>
      </c>
      <c r="N1482" s="19" t="s">
        <v>2926</v>
      </c>
    </row>
    <row r="1483" spans="1:14" x14ac:dyDescent="0.35">
      <c r="A1483" s="16" t="s">
        <v>1482</v>
      </c>
      <c r="B1483" s="17" t="s">
        <v>2170</v>
      </c>
      <c r="C1483" s="17" t="s">
        <v>2459</v>
      </c>
      <c r="D1483" s="17" t="str">
        <f>_xlfn.XLOOKUP(Raw_LIMS_Export!E1483,'mapping Site table'!$B$4:$B$14,'mapping Site table'!$C$4:$C$14,Raw_LIMS_Export!E1483)</f>
        <v>Budapest</v>
      </c>
      <c r="E1483" s="17" t="s">
        <v>2481</v>
      </c>
      <c r="F1483" s="17">
        <f t="shared" si="70"/>
        <v>1</v>
      </c>
      <c r="G1483" s="17" t="str">
        <f t="shared" si="71"/>
        <v>Pass</v>
      </c>
      <c r="H1483" s="17" t="str">
        <f t="shared" si="69"/>
        <v>Fail</v>
      </c>
      <c r="I1483" s="17">
        <v>200.23</v>
      </c>
      <c r="J1483" s="17" t="s">
        <v>2488</v>
      </c>
      <c r="K1483" s="17">
        <v>150</v>
      </c>
      <c r="L1483" s="17">
        <v>400</v>
      </c>
      <c r="M1483" s="18">
        <f>Raw_LIMS_Export!K1483</f>
        <v>45737</v>
      </c>
      <c r="N1483" s="19" t="s">
        <v>2923</v>
      </c>
    </row>
    <row r="1484" spans="1:14" x14ac:dyDescent="0.35">
      <c r="A1484" s="16" t="s">
        <v>1483</v>
      </c>
      <c r="B1484" s="17" t="s">
        <v>2440</v>
      </c>
      <c r="C1484" s="17" t="s">
        <v>2460</v>
      </c>
      <c r="D1484" s="17" t="str">
        <f>_xlfn.XLOOKUP(Raw_LIMS_Export!E1484,'mapping Site table'!$B$4:$B$14,'mapping Site table'!$C$4:$C$14,Raw_LIMS_Export!E1484)</f>
        <v>Budapest</v>
      </c>
      <c r="E1484" s="17" t="s">
        <v>2484</v>
      </c>
      <c r="F1484" s="17">
        <f t="shared" si="70"/>
        <v>1</v>
      </c>
      <c r="G1484" s="17" t="str">
        <f t="shared" si="71"/>
        <v>Pass</v>
      </c>
      <c r="H1484" s="17" t="str">
        <f t="shared" si="69"/>
        <v>Pass</v>
      </c>
      <c r="I1484" s="17">
        <v>6</v>
      </c>
      <c r="J1484" s="17"/>
      <c r="K1484" s="17">
        <v>6</v>
      </c>
      <c r="L1484" s="17">
        <v>7.5</v>
      </c>
      <c r="M1484" s="18">
        <f>Raw_LIMS_Export!K1484</f>
        <v>45606</v>
      </c>
      <c r="N1484" s="19" t="s">
        <v>2928</v>
      </c>
    </row>
    <row r="1485" spans="1:14" x14ac:dyDescent="0.35">
      <c r="A1485" s="16" t="s">
        <v>1484</v>
      </c>
      <c r="B1485" s="17" t="s">
        <v>2117</v>
      </c>
      <c r="C1485" s="17" t="s">
        <v>2457</v>
      </c>
      <c r="D1485" s="17" t="str">
        <f>_xlfn.XLOOKUP(Raw_LIMS_Export!E1485,'mapping Site table'!$B$4:$B$14,'mapping Site table'!$C$4:$C$14,Raw_LIMS_Export!E1485)</f>
        <v>Ashford UK</v>
      </c>
      <c r="E1485" s="17" t="s">
        <v>2481</v>
      </c>
      <c r="F1485" s="17">
        <f t="shared" si="70"/>
        <v>1</v>
      </c>
      <c r="G1485" s="17" t="str">
        <f t="shared" si="71"/>
        <v>Pass</v>
      </c>
      <c r="H1485" s="17" t="str">
        <f t="shared" si="69"/>
        <v>Fail</v>
      </c>
      <c r="I1485" s="17">
        <v>288.81</v>
      </c>
      <c r="J1485" s="17" t="s">
        <v>2488</v>
      </c>
      <c r="K1485" s="17">
        <v>150</v>
      </c>
      <c r="L1485" s="17">
        <v>400</v>
      </c>
      <c r="M1485" s="18">
        <f>Raw_LIMS_Export!K1485</f>
        <v>45951</v>
      </c>
      <c r="N1485" s="19" t="s">
        <v>2931</v>
      </c>
    </row>
    <row r="1486" spans="1:14" x14ac:dyDescent="0.35">
      <c r="A1486" s="16" t="s">
        <v>1485</v>
      </c>
      <c r="B1486" s="17" t="s">
        <v>2192</v>
      </c>
      <c r="C1486" s="17" t="s">
        <v>2457</v>
      </c>
      <c r="D1486" s="17" t="str">
        <f>_xlfn.XLOOKUP(Raw_LIMS_Export!E1486,'mapping Site table'!$B$4:$B$14,'mapping Site table'!$C$4:$C$14,Raw_LIMS_Export!E1486)</f>
        <v>Dortmund DE</v>
      </c>
      <c r="E1486" s="17" t="s">
        <v>2485</v>
      </c>
      <c r="F1486" s="17">
        <f t="shared" si="70"/>
        <v>1</v>
      </c>
      <c r="G1486" s="17" t="str">
        <f t="shared" si="71"/>
        <v>Pass</v>
      </c>
      <c r="H1486" s="17" t="str">
        <f t="shared" si="69"/>
        <v>Pass</v>
      </c>
      <c r="I1486" s="17">
        <v>38.19</v>
      </c>
      <c r="J1486" s="17" t="s">
        <v>2490</v>
      </c>
      <c r="K1486" s="17">
        <v>0</v>
      </c>
      <c r="L1486" s="17">
        <v>100</v>
      </c>
      <c r="M1486" s="18">
        <f>Raw_LIMS_Export!K1486</f>
        <v>45661</v>
      </c>
      <c r="N1486" s="19" t="s">
        <v>2927</v>
      </c>
    </row>
    <row r="1487" spans="1:14" x14ac:dyDescent="0.35">
      <c r="A1487" s="16" t="s">
        <v>1486</v>
      </c>
      <c r="B1487" s="17" t="s">
        <v>2189</v>
      </c>
      <c r="C1487" s="17" t="s">
        <v>2461</v>
      </c>
      <c r="D1487" s="17" t="str">
        <f>_xlfn.XLOOKUP(Raw_LIMS_Export!E1487,'mapping Site table'!$B$4:$B$14,'mapping Site table'!$C$4:$C$14,Raw_LIMS_Export!E1487)</f>
        <v>Budapest</v>
      </c>
      <c r="E1487" s="17" t="s">
        <v>2482</v>
      </c>
      <c r="F1487" s="17">
        <f t="shared" si="70"/>
        <v>1</v>
      </c>
      <c r="G1487" s="17" t="str">
        <f t="shared" si="71"/>
        <v>Pass</v>
      </c>
      <c r="H1487" s="17" t="str">
        <f t="shared" si="69"/>
        <v>Pass</v>
      </c>
      <c r="I1487" s="17">
        <v>97.89</v>
      </c>
      <c r="J1487" s="17" t="s">
        <v>2489</v>
      </c>
      <c r="K1487" s="17">
        <v>97</v>
      </c>
      <c r="L1487" s="17">
        <v>100</v>
      </c>
      <c r="M1487" s="18">
        <f>Raw_LIMS_Export!K1487</f>
        <v>45691</v>
      </c>
      <c r="N1487" s="19" t="s">
        <v>2931</v>
      </c>
    </row>
    <row r="1488" spans="1:14" x14ac:dyDescent="0.35">
      <c r="A1488" s="16" t="s">
        <v>1487</v>
      </c>
      <c r="B1488" s="17" t="s">
        <v>2308</v>
      </c>
      <c r="C1488" s="17" t="s">
        <v>2457</v>
      </c>
      <c r="D1488" s="17" t="str">
        <f>_xlfn.XLOOKUP(Raw_LIMS_Export!E1488,'mapping Site table'!$B$4:$B$14,'mapping Site table'!$C$4:$C$14,Raw_LIMS_Export!E1488)</f>
        <v>Budapest</v>
      </c>
      <c r="E1488" s="17" t="s">
        <v>2484</v>
      </c>
      <c r="F1488" s="17">
        <f t="shared" si="70"/>
        <v>1</v>
      </c>
      <c r="G1488" s="17" t="str">
        <f t="shared" si="71"/>
        <v>Pass</v>
      </c>
      <c r="H1488" s="17" t="str">
        <f t="shared" si="69"/>
        <v>Pass</v>
      </c>
      <c r="I1488" s="17">
        <v>6.59</v>
      </c>
      <c r="J1488" s="17"/>
      <c r="K1488" s="17">
        <v>6</v>
      </c>
      <c r="L1488" s="17">
        <v>7.5</v>
      </c>
      <c r="M1488" s="18">
        <f>Raw_LIMS_Export!K1488</f>
        <v>45797</v>
      </c>
      <c r="N1488" s="19" t="s">
        <v>2932</v>
      </c>
    </row>
    <row r="1489" spans="1:14" x14ac:dyDescent="0.35">
      <c r="A1489" s="16" t="s">
        <v>1488</v>
      </c>
      <c r="B1489" s="17" t="s">
        <v>2456</v>
      </c>
      <c r="C1489" s="17" t="s">
        <v>2459</v>
      </c>
      <c r="D1489" s="17" t="str">
        <f>_xlfn.XLOOKUP(Raw_LIMS_Export!E1489,'mapping Site table'!$B$4:$B$14,'mapping Site table'!$C$4:$C$14,Raw_LIMS_Export!E1489)</f>
        <v>Budapest</v>
      </c>
      <c r="E1489" s="17" t="s">
        <v>2482</v>
      </c>
      <c r="F1489" s="17">
        <f t="shared" si="70"/>
        <v>1</v>
      </c>
      <c r="G1489" s="17" t="str">
        <f t="shared" si="71"/>
        <v>Pass</v>
      </c>
      <c r="H1489" s="17" t="str">
        <f t="shared" si="69"/>
        <v>Pass</v>
      </c>
      <c r="I1489" s="17">
        <v>98.9</v>
      </c>
      <c r="J1489" s="17" t="s">
        <v>2489</v>
      </c>
      <c r="K1489" s="17">
        <v>97</v>
      </c>
      <c r="L1489" s="17">
        <v>100</v>
      </c>
      <c r="M1489" s="18">
        <f>Raw_LIMS_Export!K1489</f>
        <v>45779</v>
      </c>
      <c r="N1489" s="19" t="s">
        <v>2930</v>
      </c>
    </row>
    <row r="1490" spans="1:14" x14ac:dyDescent="0.35">
      <c r="A1490" s="16" t="s">
        <v>1489</v>
      </c>
      <c r="B1490" s="17" t="s">
        <v>2334</v>
      </c>
      <c r="C1490" s="17" t="s">
        <v>2461</v>
      </c>
      <c r="D1490" s="17" t="str">
        <f>_xlfn.XLOOKUP(Raw_LIMS_Export!E1490,'mapping Site table'!$B$4:$B$14,'mapping Site table'!$C$4:$C$14,Raw_LIMS_Export!E1490)</f>
        <v>East Hanover</v>
      </c>
      <c r="E1490" s="17" t="s">
        <v>2485</v>
      </c>
      <c r="F1490" s="17">
        <f t="shared" si="70"/>
        <v>1</v>
      </c>
      <c r="G1490" s="17" t="str">
        <f t="shared" si="71"/>
        <v>Fail</v>
      </c>
      <c r="H1490" s="17" t="str">
        <f t="shared" si="69"/>
        <v>Fail</v>
      </c>
      <c r="I1490" s="17">
        <v>-14.9</v>
      </c>
      <c r="J1490" s="17" t="s">
        <v>2490</v>
      </c>
      <c r="K1490" s="17">
        <v>0</v>
      </c>
      <c r="L1490" s="17">
        <v>100</v>
      </c>
      <c r="M1490" s="18">
        <f>Raw_LIMS_Export!K1490</f>
        <v>45399</v>
      </c>
      <c r="N1490" s="19" t="s">
        <v>2932</v>
      </c>
    </row>
    <row r="1491" spans="1:14" x14ac:dyDescent="0.35">
      <c r="A1491" s="16" t="s">
        <v>1490</v>
      </c>
      <c r="B1491" s="17" t="s">
        <v>2147</v>
      </c>
      <c r="C1491" s="17" t="s">
        <v>2458</v>
      </c>
      <c r="D1491" s="17" t="str">
        <f>_xlfn.XLOOKUP(Raw_LIMS_Export!E1491,'mapping Site table'!$B$4:$B$14,'mapping Site table'!$C$4:$C$14,Raw_LIMS_Export!E1491)</f>
        <v>Vernier CH</v>
      </c>
      <c r="E1491" s="17" t="s">
        <v>2481</v>
      </c>
      <c r="F1491" s="17">
        <f t="shared" si="70"/>
        <v>1</v>
      </c>
      <c r="G1491" s="17" t="str">
        <f t="shared" si="71"/>
        <v>Pass</v>
      </c>
      <c r="H1491" s="17" t="str">
        <f t="shared" si="69"/>
        <v>Pending</v>
      </c>
      <c r="I1491" s="17">
        <v>214.89</v>
      </c>
      <c r="J1491" s="17" t="s">
        <v>2488</v>
      </c>
      <c r="K1491" s="17">
        <v>150</v>
      </c>
      <c r="L1491" s="17">
        <v>400</v>
      </c>
      <c r="M1491" s="18">
        <f>Raw_LIMS_Export!K1491</f>
        <v>45371</v>
      </c>
      <c r="N1491" s="19" t="s">
        <v>2923</v>
      </c>
    </row>
    <row r="1492" spans="1:14" x14ac:dyDescent="0.35">
      <c r="A1492" s="16" t="s">
        <v>1491</v>
      </c>
      <c r="B1492" s="17" t="s">
        <v>2444</v>
      </c>
      <c r="C1492" s="17" t="s">
        <v>2459</v>
      </c>
      <c r="D1492" s="17" t="str">
        <f>_xlfn.XLOOKUP(Raw_LIMS_Export!E1492,'mapping Site table'!$B$4:$B$14,'mapping Site table'!$C$4:$C$14,Raw_LIMS_Export!E1492)</f>
        <v>Budapest</v>
      </c>
      <c r="E1492" s="17" t="s">
        <v>2485</v>
      </c>
      <c r="F1492" s="17">
        <f t="shared" si="70"/>
        <v>1</v>
      </c>
      <c r="G1492" s="17" t="str">
        <f t="shared" si="71"/>
        <v>Pass</v>
      </c>
      <c r="H1492" s="17" t="str">
        <f t="shared" si="69"/>
        <v>Pass</v>
      </c>
      <c r="I1492" s="17">
        <v>4.76</v>
      </c>
      <c r="J1492" s="17" t="s">
        <v>2490</v>
      </c>
      <c r="K1492" s="17">
        <v>0</v>
      </c>
      <c r="L1492" s="17">
        <v>100</v>
      </c>
      <c r="M1492" s="18">
        <f>Raw_LIMS_Export!K1492</f>
        <v>45946</v>
      </c>
      <c r="N1492" s="19" t="s">
        <v>2926</v>
      </c>
    </row>
    <row r="1493" spans="1:14" x14ac:dyDescent="0.35">
      <c r="A1493" s="16" t="s">
        <v>1492</v>
      </c>
      <c r="B1493" s="17" t="s">
        <v>2049</v>
      </c>
      <c r="C1493" s="17" t="s">
        <v>2458</v>
      </c>
      <c r="D1493" s="17" t="str">
        <f>_xlfn.XLOOKUP(Raw_LIMS_Export!E1493,'mapping Site table'!$B$4:$B$14,'mapping Site table'!$C$4:$C$14,Raw_LIMS_Export!E1493)</f>
        <v>Dortmund DE</v>
      </c>
      <c r="E1493" s="17" t="s">
        <v>2480</v>
      </c>
      <c r="F1493" s="17">
        <f t="shared" si="70"/>
        <v>1</v>
      </c>
      <c r="G1493" s="17" t="str">
        <f t="shared" si="71"/>
        <v>Pass</v>
      </c>
      <c r="H1493" s="17" t="str">
        <f t="shared" si="69"/>
        <v>Fail</v>
      </c>
      <c r="I1493" s="17">
        <v>0.95</v>
      </c>
      <c r="J1493" s="17" t="s">
        <v>2487</v>
      </c>
      <c r="K1493" s="17">
        <v>0.88</v>
      </c>
      <c r="L1493" s="17">
        <v>0.97</v>
      </c>
      <c r="M1493" s="18">
        <f>Raw_LIMS_Export!K1493</f>
        <v>45452</v>
      </c>
      <c r="N1493" s="19" t="s">
        <v>2929</v>
      </c>
    </row>
    <row r="1494" spans="1:14" x14ac:dyDescent="0.35">
      <c r="A1494" s="16" t="s">
        <v>1493</v>
      </c>
      <c r="B1494" s="17" t="s">
        <v>2298</v>
      </c>
      <c r="C1494" s="17" t="s">
        <v>2458</v>
      </c>
      <c r="D1494" s="17" t="str">
        <f>_xlfn.XLOOKUP(Raw_LIMS_Export!E1494,'mapping Site table'!$B$4:$B$14,'mapping Site table'!$C$4:$C$14,Raw_LIMS_Export!E1494)</f>
        <v>Dortmund DE</v>
      </c>
      <c r="E1494" s="17" t="s">
        <v>2485</v>
      </c>
      <c r="F1494" s="17">
        <f t="shared" si="70"/>
        <v>1</v>
      </c>
      <c r="G1494" s="17" t="str">
        <f t="shared" si="71"/>
        <v>Fail</v>
      </c>
      <c r="H1494" s="17" t="str">
        <f t="shared" si="69"/>
        <v>Fail</v>
      </c>
      <c r="I1494" s="17">
        <v>-7.62</v>
      </c>
      <c r="J1494" s="17" t="s">
        <v>2490</v>
      </c>
      <c r="K1494" s="17">
        <v>0</v>
      </c>
      <c r="L1494" s="17">
        <v>100</v>
      </c>
      <c r="M1494" s="18">
        <f>Raw_LIMS_Export!K1494</f>
        <v>45323</v>
      </c>
      <c r="N1494" s="19" t="s">
        <v>2932</v>
      </c>
    </row>
    <row r="1495" spans="1:14" x14ac:dyDescent="0.35">
      <c r="A1495" s="16" t="s">
        <v>1494</v>
      </c>
      <c r="B1495" s="17" t="s">
        <v>2059</v>
      </c>
      <c r="C1495" s="17" t="s">
        <v>2459</v>
      </c>
      <c r="D1495" s="17" t="str">
        <f>_xlfn.XLOOKUP(Raw_LIMS_Export!E1495,'mapping Site table'!$B$4:$B$14,'mapping Site table'!$C$4:$C$14,Raw_LIMS_Export!E1495)</f>
        <v>Vernier CH</v>
      </c>
      <c r="E1495" s="17" t="s">
        <v>2480</v>
      </c>
      <c r="F1495" s="17">
        <f t="shared" si="70"/>
        <v>1</v>
      </c>
      <c r="G1495" s="17" t="str">
        <f t="shared" si="71"/>
        <v>Fail</v>
      </c>
      <c r="H1495" s="17" t="str">
        <f t="shared" si="69"/>
        <v>Fail</v>
      </c>
      <c r="I1495" s="17">
        <v>1.06</v>
      </c>
      <c r="J1495" s="17" t="s">
        <v>2487</v>
      </c>
      <c r="K1495" s="17">
        <v>0.88</v>
      </c>
      <c r="L1495" s="17">
        <v>0.97</v>
      </c>
      <c r="M1495" s="18">
        <f>Raw_LIMS_Export!K1495</f>
        <v>45743</v>
      </c>
      <c r="N1495" s="19" t="s">
        <v>2929</v>
      </c>
    </row>
    <row r="1496" spans="1:14" x14ac:dyDescent="0.35">
      <c r="A1496" s="16" t="s">
        <v>1495</v>
      </c>
      <c r="B1496" s="17" t="s">
        <v>2429</v>
      </c>
      <c r="C1496" s="17" t="s">
        <v>2460</v>
      </c>
      <c r="D1496" s="17" t="str">
        <f>_xlfn.XLOOKUP(Raw_LIMS_Export!E1496,'mapping Site table'!$B$4:$B$14,'mapping Site table'!$C$4:$C$14,Raw_LIMS_Export!E1496)</f>
        <v>East Hanover</v>
      </c>
      <c r="E1496" s="17" t="s">
        <v>2483</v>
      </c>
      <c r="F1496" s="17">
        <f t="shared" si="70"/>
        <v>1</v>
      </c>
      <c r="G1496" s="17" t="str">
        <f t="shared" si="71"/>
        <v>Pass</v>
      </c>
      <c r="H1496" s="17" t="str">
        <f t="shared" si="69"/>
        <v>Pass</v>
      </c>
      <c r="I1496" s="17">
        <v>0.54</v>
      </c>
      <c r="J1496" s="17" t="s">
        <v>2489</v>
      </c>
      <c r="K1496" s="17">
        <v>0</v>
      </c>
      <c r="L1496" s="17">
        <v>1</v>
      </c>
      <c r="M1496" s="18">
        <f>Raw_LIMS_Export!K1496</f>
        <v>45620</v>
      </c>
      <c r="N1496" s="19" t="s">
        <v>2932</v>
      </c>
    </row>
    <row r="1497" spans="1:14" x14ac:dyDescent="0.35">
      <c r="A1497" s="16" t="s">
        <v>1496</v>
      </c>
      <c r="B1497" s="17" t="s">
        <v>2292</v>
      </c>
      <c r="C1497" s="17" t="s">
        <v>2461</v>
      </c>
      <c r="D1497" s="17" t="str">
        <f>_xlfn.XLOOKUP(Raw_LIMS_Export!E1497,'mapping Site table'!$B$4:$B$14,'mapping Site table'!$C$4:$C$14,Raw_LIMS_Export!E1497)</f>
        <v>Vernier CH</v>
      </c>
      <c r="E1497" s="17" t="s">
        <v>2479</v>
      </c>
      <c r="F1497" s="17">
        <f t="shared" si="70"/>
        <v>1</v>
      </c>
      <c r="G1497" s="17" t="str">
        <f t="shared" si="71"/>
        <v>Pass</v>
      </c>
      <c r="H1497" s="17" t="str">
        <f t="shared" si="69"/>
        <v>Fail</v>
      </c>
      <c r="I1497" s="17">
        <v>62.09</v>
      </c>
      <c r="J1497" s="17" t="s">
        <v>2486</v>
      </c>
      <c r="K1497" s="17">
        <v>0</v>
      </c>
      <c r="L1497" s="17">
        <v>120</v>
      </c>
      <c r="M1497" s="18">
        <f>Raw_LIMS_Export!K1497</f>
        <v>45646</v>
      </c>
      <c r="N1497" s="19" t="s">
        <v>2927</v>
      </c>
    </row>
    <row r="1498" spans="1:14" x14ac:dyDescent="0.35">
      <c r="A1498" s="16" t="s">
        <v>1497</v>
      </c>
      <c r="B1498" s="17" t="s">
        <v>2067</v>
      </c>
      <c r="C1498" s="17" t="s">
        <v>2459</v>
      </c>
      <c r="D1498" s="17" t="str">
        <f>_xlfn.XLOOKUP(Raw_LIMS_Export!E1498,'mapping Site table'!$B$4:$B$14,'mapping Site table'!$C$4:$C$14,Raw_LIMS_Export!E1498)</f>
        <v>Ashford UK</v>
      </c>
      <c r="E1498" s="17" t="s">
        <v>2482</v>
      </c>
      <c r="F1498" s="17">
        <f t="shared" si="70"/>
        <v>1</v>
      </c>
      <c r="G1498" s="17" t="str">
        <f t="shared" si="71"/>
        <v>Pass</v>
      </c>
      <c r="H1498" s="17" t="str">
        <f t="shared" si="69"/>
        <v>Fail</v>
      </c>
      <c r="I1498" s="17">
        <v>99.12</v>
      </c>
      <c r="J1498" s="17" t="s">
        <v>2489</v>
      </c>
      <c r="K1498" s="17">
        <v>97</v>
      </c>
      <c r="L1498" s="17">
        <v>100</v>
      </c>
      <c r="M1498" s="18">
        <f>Raw_LIMS_Export!K1498</f>
        <v>45844</v>
      </c>
      <c r="N1498" s="19" t="s">
        <v>2924</v>
      </c>
    </row>
    <row r="1499" spans="1:14" x14ac:dyDescent="0.35">
      <c r="A1499" s="16" t="s">
        <v>1498</v>
      </c>
      <c r="B1499" s="17" t="s">
        <v>2255</v>
      </c>
      <c r="C1499" s="17" t="s">
        <v>2457</v>
      </c>
      <c r="D1499" s="17" t="str">
        <f>_xlfn.XLOOKUP(Raw_LIMS_Export!E1499,'mapping Site table'!$B$4:$B$14,'mapping Site table'!$C$4:$C$14,Raw_LIMS_Export!E1499)</f>
        <v>Ashford UK</v>
      </c>
      <c r="E1499" s="17" t="s">
        <v>2485</v>
      </c>
      <c r="F1499" s="17">
        <f t="shared" si="70"/>
        <v>1</v>
      </c>
      <c r="G1499" s="17" t="str">
        <f t="shared" si="71"/>
        <v>Pass</v>
      </c>
      <c r="H1499" s="17" t="str">
        <f t="shared" si="69"/>
        <v>Pass</v>
      </c>
      <c r="I1499" s="17">
        <v>24.58</v>
      </c>
      <c r="J1499" s="17" t="s">
        <v>2490</v>
      </c>
      <c r="K1499" s="17">
        <v>0</v>
      </c>
      <c r="L1499" s="17">
        <v>100</v>
      </c>
      <c r="M1499" s="18">
        <f>Raw_LIMS_Export!K1499</f>
        <v>45451</v>
      </c>
      <c r="N1499" s="19" t="s">
        <v>2928</v>
      </c>
    </row>
    <row r="1500" spans="1:14" x14ac:dyDescent="0.35">
      <c r="A1500" s="16" t="s">
        <v>1499</v>
      </c>
      <c r="B1500" s="17" t="s">
        <v>2283</v>
      </c>
      <c r="C1500" s="17" t="s">
        <v>2461</v>
      </c>
      <c r="D1500" s="17" t="str">
        <f>_xlfn.XLOOKUP(Raw_LIMS_Export!E1500,'mapping Site table'!$B$4:$B$14,'mapping Site table'!$C$4:$C$14,Raw_LIMS_Export!E1500)</f>
        <v>Vernier CH</v>
      </c>
      <c r="E1500" s="17" t="s">
        <v>2481</v>
      </c>
      <c r="F1500" s="17">
        <f t="shared" si="70"/>
        <v>1</v>
      </c>
      <c r="G1500" s="17" t="str">
        <f t="shared" si="71"/>
        <v>Pass</v>
      </c>
      <c r="H1500" s="17" t="str">
        <f t="shared" si="69"/>
        <v>Pending</v>
      </c>
      <c r="I1500" s="17">
        <v>307.02</v>
      </c>
      <c r="J1500" s="17" t="s">
        <v>2488</v>
      </c>
      <c r="K1500" s="17">
        <v>150</v>
      </c>
      <c r="L1500" s="17">
        <v>400</v>
      </c>
      <c r="M1500" s="18">
        <f>Raw_LIMS_Export!K1500</f>
        <v>45487</v>
      </c>
      <c r="N1500" s="19" t="s">
        <v>2930</v>
      </c>
    </row>
    <row r="1501" spans="1:14" x14ac:dyDescent="0.35">
      <c r="A1501" s="16" t="s">
        <v>1500</v>
      </c>
      <c r="B1501" s="17" t="s">
        <v>2195</v>
      </c>
      <c r="C1501" s="17" t="s">
        <v>2457</v>
      </c>
      <c r="D1501" s="17" t="str">
        <f>_xlfn.XLOOKUP(Raw_LIMS_Export!E1501,'mapping Site table'!$B$4:$B$14,'mapping Site table'!$C$4:$C$14,Raw_LIMS_Export!E1501)</f>
        <v>Dortmund DE</v>
      </c>
      <c r="E1501" s="17" t="s">
        <v>2482</v>
      </c>
      <c r="F1501" s="17">
        <f t="shared" si="70"/>
        <v>1</v>
      </c>
      <c r="G1501" s="17" t="str">
        <f t="shared" si="71"/>
        <v>Pass</v>
      </c>
      <c r="H1501" s="17" t="str">
        <f t="shared" si="69"/>
        <v>Pass</v>
      </c>
      <c r="I1501" s="17">
        <v>97.41</v>
      </c>
      <c r="J1501" s="17" t="s">
        <v>2489</v>
      </c>
      <c r="K1501" s="17">
        <v>97</v>
      </c>
      <c r="L1501" s="17">
        <v>100</v>
      </c>
      <c r="M1501" s="18">
        <f>Raw_LIMS_Export!K1501</f>
        <v>45588</v>
      </c>
      <c r="N1501" s="19" t="s">
        <v>2923</v>
      </c>
    </row>
    <row r="1502" spans="1:14" x14ac:dyDescent="0.35">
      <c r="A1502" s="16" t="s">
        <v>1501</v>
      </c>
      <c r="B1502" s="17" t="s">
        <v>2107</v>
      </c>
      <c r="C1502" s="17" t="s">
        <v>2459</v>
      </c>
      <c r="D1502" s="17" t="str">
        <f>_xlfn.XLOOKUP(Raw_LIMS_Export!E1502,'mapping Site table'!$B$4:$B$14,'mapping Site table'!$C$4:$C$14,Raw_LIMS_Export!E1502)</f>
        <v>East Hanover</v>
      </c>
      <c r="E1502" s="17" t="s">
        <v>2482</v>
      </c>
      <c r="F1502" s="17">
        <f t="shared" si="70"/>
        <v>1</v>
      </c>
      <c r="G1502" s="17" t="str">
        <f t="shared" si="71"/>
        <v>Pass</v>
      </c>
      <c r="H1502" s="17" t="str">
        <f t="shared" si="69"/>
        <v>Pass</v>
      </c>
      <c r="I1502" s="17">
        <v>97.9</v>
      </c>
      <c r="J1502" s="17" t="s">
        <v>2489</v>
      </c>
      <c r="K1502" s="17">
        <v>97</v>
      </c>
      <c r="L1502" s="17">
        <v>100</v>
      </c>
      <c r="M1502" s="18">
        <f>Raw_LIMS_Export!K1502</f>
        <v>45633</v>
      </c>
      <c r="N1502" s="19" t="s">
        <v>2923</v>
      </c>
    </row>
    <row r="1503" spans="1:14" x14ac:dyDescent="0.35">
      <c r="A1503" s="16" t="s">
        <v>1502</v>
      </c>
      <c r="B1503" s="17" t="s">
        <v>2293</v>
      </c>
      <c r="C1503" s="17" t="s">
        <v>2459</v>
      </c>
      <c r="D1503" s="17" t="str">
        <f>_xlfn.XLOOKUP(Raw_LIMS_Export!E1503,'mapping Site table'!$B$4:$B$14,'mapping Site table'!$C$4:$C$14,Raw_LIMS_Export!E1503)</f>
        <v>East Hanover</v>
      </c>
      <c r="E1503" s="17" t="s">
        <v>2479</v>
      </c>
      <c r="F1503" s="17">
        <f t="shared" si="70"/>
        <v>1</v>
      </c>
      <c r="G1503" s="17" t="str">
        <f t="shared" si="71"/>
        <v>Pass</v>
      </c>
      <c r="H1503" s="17" t="str">
        <f t="shared" si="69"/>
        <v>Pass</v>
      </c>
      <c r="I1503" s="17">
        <v>57.89</v>
      </c>
      <c r="J1503" s="17" t="s">
        <v>2486</v>
      </c>
      <c r="K1503" s="17">
        <v>0</v>
      </c>
      <c r="L1503" s="17">
        <v>120</v>
      </c>
      <c r="M1503" s="18">
        <f>Raw_LIMS_Export!K1503</f>
        <v>45970</v>
      </c>
      <c r="N1503" s="19" t="s">
        <v>2930</v>
      </c>
    </row>
    <row r="1504" spans="1:14" x14ac:dyDescent="0.35">
      <c r="A1504" s="16" t="s">
        <v>1503</v>
      </c>
      <c r="B1504" s="17" t="s">
        <v>2213</v>
      </c>
      <c r="C1504" s="17" t="s">
        <v>2457</v>
      </c>
      <c r="D1504" s="17" t="str">
        <f>_xlfn.XLOOKUP(Raw_LIMS_Export!E1504,'mapping Site table'!$B$4:$B$14,'mapping Site table'!$C$4:$C$14,Raw_LIMS_Export!E1504)</f>
        <v>Ashford UK</v>
      </c>
      <c r="E1504" s="17" t="s">
        <v>2480</v>
      </c>
      <c r="F1504" s="17">
        <f t="shared" si="70"/>
        <v>1</v>
      </c>
      <c r="G1504" s="17" t="str">
        <f t="shared" si="71"/>
        <v>Pass</v>
      </c>
      <c r="H1504" s="17" t="str">
        <f t="shared" si="69"/>
        <v>Pass</v>
      </c>
      <c r="I1504" s="17">
        <v>0.92</v>
      </c>
      <c r="J1504" s="17" t="s">
        <v>2487</v>
      </c>
      <c r="K1504" s="17">
        <v>0.88</v>
      </c>
      <c r="L1504" s="17">
        <v>0.97</v>
      </c>
      <c r="M1504" s="18">
        <f>Raw_LIMS_Export!K1504</f>
        <v>45724</v>
      </c>
      <c r="N1504" s="19" t="s">
        <v>2931</v>
      </c>
    </row>
    <row r="1505" spans="1:14" x14ac:dyDescent="0.35">
      <c r="A1505" s="16" t="s">
        <v>1504</v>
      </c>
      <c r="B1505" s="17" t="s">
        <v>2321</v>
      </c>
      <c r="C1505" s="17" t="s">
        <v>2457</v>
      </c>
      <c r="D1505" s="17" t="str">
        <f>_xlfn.XLOOKUP(Raw_LIMS_Export!E1505,'mapping Site table'!$B$4:$B$14,'mapping Site table'!$C$4:$C$14,Raw_LIMS_Export!E1505)</f>
        <v>Budapest</v>
      </c>
      <c r="E1505" s="17" t="s">
        <v>2484</v>
      </c>
      <c r="F1505" s="17">
        <f t="shared" si="70"/>
        <v>1</v>
      </c>
      <c r="G1505" s="17" t="str">
        <f t="shared" si="71"/>
        <v>Pass</v>
      </c>
      <c r="H1505" s="17" t="str">
        <f t="shared" si="69"/>
        <v>Pass</v>
      </c>
      <c r="I1505" s="17">
        <v>7.43</v>
      </c>
      <c r="J1505" s="17"/>
      <c r="K1505" s="17">
        <v>6</v>
      </c>
      <c r="L1505" s="17">
        <v>7.5</v>
      </c>
      <c r="M1505" s="18">
        <f>Raw_LIMS_Export!K1505</f>
        <v>45491</v>
      </c>
      <c r="N1505" s="19" t="s">
        <v>2930</v>
      </c>
    </row>
    <row r="1506" spans="1:14" x14ac:dyDescent="0.35">
      <c r="A1506" s="16" t="s">
        <v>1505</v>
      </c>
      <c r="B1506" s="17" t="s">
        <v>2285</v>
      </c>
      <c r="C1506" s="17" t="s">
        <v>2457</v>
      </c>
      <c r="D1506" s="17" t="str">
        <f>_xlfn.XLOOKUP(Raw_LIMS_Export!E1506,'mapping Site table'!$B$4:$B$14,'mapping Site table'!$C$4:$C$14,Raw_LIMS_Export!E1506)</f>
        <v>Vernier CH</v>
      </c>
      <c r="E1506" s="17" t="s">
        <v>2485</v>
      </c>
      <c r="F1506" s="17">
        <f t="shared" si="70"/>
        <v>1</v>
      </c>
      <c r="G1506" s="17" t="str">
        <f t="shared" si="71"/>
        <v>Fail</v>
      </c>
      <c r="H1506" s="17" t="str">
        <f t="shared" si="69"/>
        <v>Fail</v>
      </c>
      <c r="I1506" s="17">
        <v>-30.19</v>
      </c>
      <c r="J1506" s="17" t="s">
        <v>2490</v>
      </c>
      <c r="K1506" s="17">
        <v>0</v>
      </c>
      <c r="L1506" s="17">
        <v>100</v>
      </c>
      <c r="M1506" s="18">
        <f>Raw_LIMS_Export!K1506</f>
        <v>45960</v>
      </c>
      <c r="N1506" s="19" t="s">
        <v>2930</v>
      </c>
    </row>
    <row r="1507" spans="1:14" x14ac:dyDescent="0.35">
      <c r="A1507" s="16" t="s">
        <v>1506</v>
      </c>
      <c r="B1507" s="17" t="s">
        <v>2434</v>
      </c>
      <c r="C1507" s="17" t="s">
        <v>2461</v>
      </c>
      <c r="D1507" s="17" t="str">
        <f>_xlfn.XLOOKUP(Raw_LIMS_Export!E1507,'mapping Site table'!$B$4:$B$14,'mapping Site table'!$C$4:$C$14,Raw_LIMS_Export!E1507)</f>
        <v>Vernier CH</v>
      </c>
      <c r="E1507" s="17" t="s">
        <v>2479</v>
      </c>
      <c r="F1507" s="17">
        <f t="shared" si="70"/>
        <v>1</v>
      </c>
      <c r="G1507" s="17" t="str">
        <f t="shared" si="71"/>
        <v>Pass</v>
      </c>
      <c r="H1507" s="17" t="str">
        <f t="shared" si="69"/>
        <v>Pending</v>
      </c>
      <c r="I1507" s="17">
        <v>12.16</v>
      </c>
      <c r="J1507" s="17" t="s">
        <v>2486</v>
      </c>
      <c r="K1507" s="17">
        <v>0</v>
      </c>
      <c r="L1507" s="17">
        <v>120</v>
      </c>
      <c r="M1507" s="18">
        <f>Raw_LIMS_Export!K1507</f>
        <v>45506</v>
      </c>
      <c r="N1507" s="19" t="s">
        <v>2930</v>
      </c>
    </row>
    <row r="1508" spans="1:14" x14ac:dyDescent="0.35">
      <c r="A1508" s="16" t="s">
        <v>1507</v>
      </c>
      <c r="B1508" s="17" t="s">
        <v>2036</v>
      </c>
      <c r="C1508" s="17" t="s">
        <v>2459</v>
      </c>
      <c r="D1508" s="17" t="str">
        <f>_xlfn.XLOOKUP(Raw_LIMS_Export!E1508,'mapping Site table'!$B$4:$B$14,'mapping Site table'!$C$4:$C$14,Raw_LIMS_Export!E1508)</f>
        <v>Vernier CH</v>
      </c>
      <c r="E1508" s="17" t="s">
        <v>2482</v>
      </c>
      <c r="F1508" s="17">
        <f t="shared" si="70"/>
        <v>1</v>
      </c>
      <c r="G1508" s="17" t="str">
        <f t="shared" si="71"/>
        <v>Pass</v>
      </c>
      <c r="H1508" s="17" t="str">
        <f t="shared" si="69"/>
        <v>Pass</v>
      </c>
      <c r="I1508" s="17">
        <v>98.31</v>
      </c>
      <c r="J1508" s="17" t="s">
        <v>2489</v>
      </c>
      <c r="K1508" s="17">
        <v>97</v>
      </c>
      <c r="L1508" s="17">
        <v>100</v>
      </c>
      <c r="M1508" s="18">
        <f>Raw_LIMS_Export!K1508</f>
        <v>45769</v>
      </c>
      <c r="N1508" s="19" t="s">
        <v>2929</v>
      </c>
    </row>
    <row r="1509" spans="1:14" x14ac:dyDescent="0.35">
      <c r="A1509" s="16" t="s">
        <v>1508</v>
      </c>
      <c r="B1509" s="17" t="s">
        <v>2117</v>
      </c>
      <c r="C1509" s="17" t="s">
        <v>2457</v>
      </c>
      <c r="D1509" s="17" t="str">
        <f>_xlfn.XLOOKUP(Raw_LIMS_Export!E1509,'mapping Site table'!$B$4:$B$14,'mapping Site table'!$C$4:$C$14,Raw_LIMS_Export!E1509)</f>
        <v>Ashford UK</v>
      </c>
      <c r="E1509" s="17" t="s">
        <v>2482</v>
      </c>
      <c r="F1509" s="17">
        <f t="shared" si="70"/>
        <v>1</v>
      </c>
      <c r="G1509" s="17" t="str">
        <f t="shared" si="71"/>
        <v>Pass</v>
      </c>
      <c r="H1509" s="17" t="str">
        <f t="shared" si="69"/>
        <v>Fail</v>
      </c>
      <c r="I1509" s="17">
        <v>98.73</v>
      </c>
      <c r="J1509" s="17" t="s">
        <v>2489</v>
      </c>
      <c r="K1509" s="17">
        <v>97</v>
      </c>
      <c r="L1509" s="17">
        <v>100</v>
      </c>
      <c r="M1509" s="18">
        <f>Raw_LIMS_Export!K1509</f>
        <v>45951</v>
      </c>
      <c r="N1509" s="19" t="s">
        <v>2930</v>
      </c>
    </row>
    <row r="1510" spans="1:14" x14ac:dyDescent="0.35">
      <c r="A1510" s="16" t="s">
        <v>1509</v>
      </c>
      <c r="B1510" s="17" t="s">
        <v>2433</v>
      </c>
      <c r="C1510" s="17" t="s">
        <v>2461</v>
      </c>
      <c r="D1510" s="17" t="str">
        <f>_xlfn.XLOOKUP(Raw_LIMS_Export!E1510,'mapping Site table'!$B$4:$B$14,'mapping Site table'!$C$4:$C$14,Raw_LIMS_Export!E1510)</f>
        <v>Vernier CH</v>
      </c>
      <c r="E1510" s="17" t="s">
        <v>2484</v>
      </c>
      <c r="F1510" s="17">
        <f t="shared" si="70"/>
        <v>1</v>
      </c>
      <c r="G1510" s="17" t="str">
        <f t="shared" si="71"/>
        <v>Pass</v>
      </c>
      <c r="H1510" s="17" t="str">
        <f t="shared" si="69"/>
        <v>Pass</v>
      </c>
      <c r="I1510" s="17">
        <v>6.83</v>
      </c>
      <c r="J1510" s="17"/>
      <c r="K1510" s="17">
        <v>6</v>
      </c>
      <c r="L1510" s="17">
        <v>7.5</v>
      </c>
      <c r="M1510" s="18">
        <f>Raw_LIMS_Export!K1510</f>
        <v>45503</v>
      </c>
      <c r="N1510" s="19" t="s">
        <v>2929</v>
      </c>
    </row>
    <row r="1511" spans="1:14" x14ac:dyDescent="0.35">
      <c r="A1511" s="16" t="s">
        <v>1510</v>
      </c>
      <c r="B1511" s="17" t="s">
        <v>2352</v>
      </c>
      <c r="C1511" s="17" t="s">
        <v>2457</v>
      </c>
      <c r="D1511" s="17" t="str">
        <f>_xlfn.XLOOKUP(Raw_LIMS_Export!E1511,'mapping Site table'!$B$4:$B$14,'mapping Site table'!$C$4:$C$14,Raw_LIMS_Export!E1511)</f>
        <v>Dortmund DE</v>
      </c>
      <c r="E1511" s="17" t="s">
        <v>2484</v>
      </c>
      <c r="F1511" s="17">
        <f t="shared" si="70"/>
        <v>1</v>
      </c>
      <c r="G1511" s="17" t="str">
        <f t="shared" si="71"/>
        <v>Pass</v>
      </c>
      <c r="H1511" s="17" t="str">
        <f t="shared" si="69"/>
        <v>Fail</v>
      </c>
      <c r="I1511" s="17">
        <v>6.78</v>
      </c>
      <c r="J1511" s="17"/>
      <c r="K1511" s="17">
        <v>6</v>
      </c>
      <c r="L1511" s="17">
        <v>7.5</v>
      </c>
      <c r="M1511" s="18">
        <f>Raw_LIMS_Export!K1511</f>
        <v>45416</v>
      </c>
      <c r="N1511" s="19" t="s">
        <v>2927</v>
      </c>
    </row>
    <row r="1512" spans="1:14" x14ac:dyDescent="0.35">
      <c r="A1512" s="16" t="s">
        <v>1511</v>
      </c>
      <c r="B1512" s="17" t="s">
        <v>2289</v>
      </c>
      <c r="C1512" s="17" t="s">
        <v>2457</v>
      </c>
      <c r="D1512" s="17" t="str">
        <f>_xlfn.XLOOKUP(Raw_LIMS_Export!E1512,'mapping Site table'!$B$4:$B$14,'mapping Site table'!$C$4:$C$14,Raw_LIMS_Export!E1512)</f>
        <v>Budapest</v>
      </c>
      <c r="E1512" s="17" t="s">
        <v>2480</v>
      </c>
      <c r="F1512" s="17">
        <f t="shared" si="70"/>
        <v>1</v>
      </c>
      <c r="G1512" s="17" t="str">
        <f t="shared" si="71"/>
        <v>Pass</v>
      </c>
      <c r="H1512" s="17" t="str">
        <f t="shared" si="69"/>
        <v>Pass</v>
      </c>
      <c r="I1512" s="17">
        <v>0.93</v>
      </c>
      <c r="J1512" s="17" t="s">
        <v>2487</v>
      </c>
      <c r="K1512" s="17">
        <v>0.88</v>
      </c>
      <c r="L1512" s="17">
        <v>0.97</v>
      </c>
      <c r="M1512" s="18">
        <f>Raw_LIMS_Export!K1512</f>
        <v>45326</v>
      </c>
      <c r="N1512" s="19" t="s">
        <v>2928</v>
      </c>
    </row>
    <row r="1513" spans="1:14" x14ac:dyDescent="0.35">
      <c r="A1513" s="16" t="s">
        <v>1512</v>
      </c>
      <c r="B1513" s="17" t="s">
        <v>2414</v>
      </c>
      <c r="C1513" s="17" t="s">
        <v>2460</v>
      </c>
      <c r="D1513" s="17" t="str">
        <f>_xlfn.XLOOKUP(Raw_LIMS_Export!E1513,'mapping Site table'!$B$4:$B$14,'mapping Site table'!$C$4:$C$14,Raw_LIMS_Export!E1513)</f>
        <v>Ashford UK</v>
      </c>
      <c r="E1513" s="17" t="s">
        <v>2481</v>
      </c>
      <c r="F1513" s="17">
        <f t="shared" si="70"/>
        <v>1</v>
      </c>
      <c r="G1513" s="17" t="str">
        <f t="shared" si="71"/>
        <v>Pass</v>
      </c>
      <c r="H1513" s="17" t="str">
        <f t="shared" si="69"/>
        <v>Pass</v>
      </c>
      <c r="I1513" s="17">
        <v>211.52</v>
      </c>
      <c r="J1513" s="17" t="s">
        <v>2488</v>
      </c>
      <c r="K1513" s="17">
        <v>150</v>
      </c>
      <c r="L1513" s="17">
        <v>400</v>
      </c>
      <c r="M1513" s="18">
        <f>Raw_LIMS_Export!K1513</f>
        <v>45983</v>
      </c>
      <c r="N1513" s="19" t="s">
        <v>2932</v>
      </c>
    </row>
    <row r="1514" spans="1:14" x14ac:dyDescent="0.35">
      <c r="A1514" s="16" t="s">
        <v>1513</v>
      </c>
      <c r="B1514" s="17" t="s">
        <v>2431</v>
      </c>
      <c r="C1514" s="17" t="s">
        <v>2460</v>
      </c>
      <c r="D1514" s="17" t="str">
        <f>_xlfn.XLOOKUP(Raw_LIMS_Export!E1514,'mapping Site table'!$B$4:$B$14,'mapping Site table'!$C$4:$C$14,Raw_LIMS_Export!E1514)</f>
        <v>Ashford UK</v>
      </c>
      <c r="E1514" s="17" t="s">
        <v>2481</v>
      </c>
      <c r="F1514" s="17">
        <f t="shared" si="70"/>
        <v>1</v>
      </c>
      <c r="G1514" s="17" t="str">
        <f t="shared" si="71"/>
        <v>Pass</v>
      </c>
      <c r="H1514" s="17" t="str">
        <f t="shared" si="69"/>
        <v>Pass</v>
      </c>
      <c r="I1514" s="17">
        <v>237.53</v>
      </c>
      <c r="J1514" s="17" t="s">
        <v>2488</v>
      </c>
      <c r="K1514" s="17">
        <v>150</v>
      </c>
      <c r="L1514" s="17">
        <v>400</v>
      </c>
      <c r="M1514" s="18">
        <f>Raw_LIMS_Export!K1514</f>
        <v>45462</v>
      </c>
      <c r="N1514" s="19" t="s">
        <v>2931</v>
      </c>
    </row>
    <row r="1515" spans="1:14" x14ac:dyDescent="0.35">
      <c r="A1515" s="16" t="s">
        <v>1514</v>
      </c>
      <c r="B1515" s="17" t="s">
        <v>2215</v>
      </c>
      <c r="C1515" s="17" t="s">
        <v>2459</v>
      </c>
      <c r="D1515" s="17" t="str">
        <f>_xlfn.XLOOKUP(Raw_LIMS_Export!E1515,'mapping Site table'!$B$4:$B$14,'mapping Site table'!$C$4:$C$14,Raw_LIMS_Export!E1515)</f>
        <v>East Hanover</v>
      </c>
      <c r="E1515" s="17" t="s">
        <v>2482</v>
      </c>
      <c r="F1515" s="17">
        <f t="shared" si="70"/>
        <v>1</v>
      </c>
      <c r="G1515" s="17" t="str">
        <f t="shared" si="71"/>
        <v>Pass</v>
      </c>
      <c r="H1515" s="17" t="str">
        <f t="shared" si="69"/>
        <v>Pass</v>
      </c>
      <c r="I1515" s="17">
        <v>98.26</v>
      </c>
      <c r="J1515" s="17" t="s">
        <v>2489</v>
      </c>
      <c r="K1515" s="17">
        <v>97</v>
      </c>
      <c r="L1515" s="17">
        <v>100</v>
      </c>
      <c r="M1515" s="18">
        <f>Raw_LIMS_Export!K1515</f>
        <v>45945</v>
      </c>
      <c r="N1515" s="19" t="s">
        <v>2929</v>
      </c>
    </row>
    <row r="1516" spans="1:14" x14ac:dyDescent="0.35">
      <c r="A1516" s="16" t="s">
        <v>1515</v>
      </c>
      <c r="B1516" s="17" t="s">
        <v>2048</v>
      </c>
      <c r="C1516" s="17" t="s">
        <v>2458</v>
      </c>
      <c r="D1516" s="17" t="str">
        <f>_xlfn.XLOOKUP(Raw_LIMS_Export!E1516,'mapping Site table'!$B$4:$B$14,'mapping Site table'!$C$4:$C$14,Raw_LIMS_Export!E1516)</f>
        <v>Dortmund DE</v>
      </c>
      <c r="E1516" s="17" t="s">
        <v>2481</v>
      </c>
      <c r="F1516" s="17">
        <f t="shared" si="70"/>
        <v>1</v>
      </c>
      <c r="G1516" s="17" t="str">
        <f t="shared" si="71"/>
        <v>Pass</v>
      </c>
      <c r="H1516" s="17" t="str">
        <f t="shared" si="69"/>
        <v>Fail</v>
      </c>
      <c r="I1516" s="17">
        <v>220.36</v>
      </c>
      <c r="J1516" s="17" t="s">
        <v>2488</v>
      </c>
      <c r="K1516" s="17">
        <v>150</v>
      </c>
      <c r="L1516" s="17">
        <v>400</v>
      </c>
      <c r="M1516" s="18">
        <f>Raw_LIMS_Export!K1516</f>
        <v>45845</v>
      </c>
      <c r="N1516" s="19" t="s">
        <v>2925</v>
      </c>
    </row>
    <row r="1517" spans="1:14" x14ac:dyDescent="0.35">
      <c r="A1517" s="16" t="s">
        <v>1516</v>
      </c>
      <c r="B1517" s="17" t="s">
        <v>2080</v>
      </c>
      <c r="C1517" s="17" t="s">
        <v>2457</v>
      </c>
      <c r="D1517" s="17" t="str">
        <f>_xlfn.XLOOKUP(Raw_LIMS_Export!E1517,'mapping Site table'!$B$4:$B$14,'mapping Site table'!$C$4:$C$14,Raw_LIMS_Export!E1517)</f>
        <v>Budapest</v>
      </c>
      <c r="E1517" s="17" t="s">
        <v>2482</v>
      </c>
      <c r="F1517" s="17">
        <f t="shared" si="70"/>
        <v>1</v>
      </c>
      <c r="G1517" s="17" t="str">
        <f t="shared" si="71"/>
        <v>Pass</v>
      </c>
      <c r="H1517" s="17" t="str">
        <f t="shared" si="69"/>
        <v>Pending</v>
      </c>
      <c r="I1517" s="17">
        <v>99.27</v>
      </c>
      <c r="J1517" s="17" t="s">
        <v>2489</v>
      </c>
      <c r="K1517" s="17">
        <v>97</v>
      </c>
      <c r="L1517" s="17">
        <v>100</v>
      </c>
      <c r="M1517" s="18">
        <f>Raw_LIMS_Export!K1517</f>
        <v>45304</v>
      </c>
      <c r="N1517" s="19" t="s">
        <v>2927</v>
      </c>
    </row>
    <row r="1518" spans="1:14" x14ac:dyDescent="0.35">
      <c r="A1518" s="16" t="s">
        <v>1517</v>
      </c>
      <c r="B1518" s="17" t="s">
        <v>2103</v>
      </c>
      <c r="C1518" s="17" t="s">
        <v>2460</v>
      </c>
      <c r="D1518" s="17" t="str">
        <f>_xlfn.XLOOKUP(Raw_LIMS_Export!E1518,'mapping Site table'!$B$4:$B$14,'mapping Site table'!$C$4:$C$14,Raw_LIMS_Export!E1518)</f>
        <v>Dortmund DE</v>
      </c>
      <c r="E1518" s="17" t="s">
        <v>2479</v>
      </c>
      <c r="F1518" s="17">
        <f t="shared" si="70"/>
        <v>1</v>
      </c>
      <c r="G1518" s="17" t="str">
        <f t="shared" si="71"/>
        <v>Pass</v>
      </c>
      <c r="H1518" s="17" t="str">
        <f t="shared" si="69"/>
        <v>Pass</v>
      </c>
      <c r="I1518" s="17">
        <v>58.11</v>
      </c>
      <c r="J1518" s="17" t="s">
        <v>2486</v>
      </c>
      <c r="K1518" s="17">
        <v>0</v>
      </c>
      <c r="L1518" s="17">
        <v>120</v>
      </c>
      <c r="M1518" s="18">
        <f>Raw_LIMS_Export!K1518</f>
        <v>45573</v>
      </c>
      <c r="N1518" s="19" t="s">
        <v>2931</v>
      </c>
    </row>
    <row r="1519" spans="1:14" x14ac:dyDescent="0.35">
      <c r="A1519" s="16" t="s">
        <v>1518</v>
      </c>
      <c r="B1519" s="17" t="s">
        <v>2226</v>
      </c>
      <c r="C1519" s="17" t="s">
        <v>2457</v>
      </c>
      <c r="D1519" s="17" t="str">
        <f>_xlfn.XLOOKUP(Raw_LIMS_Export!E1519,'mapping Site table'!$B$4:$B$14,'mapping Site table'!$C$4:$C$14,Raw_LIMS_Export!E1519)</f>
        <v>Budapest</v>
      </c>
      <c r="E1519" s="17" t="s">
        <v>2481</v>
      </c>
      <c r="F1519" s="17">
        <f t="shared" si="70"/>
        <v>1</v>
      </c>
      <c r="G1519" s="17" t="str">
        <f t="shared" si="71"/>
        <v>Pass</v>
      </c>
      <c r="H1519" s="17" t="str">
        <f t="shared" si="69"/>
        <v>Pass</v>
      </c>
      <c r="I1519" s="17">
        <v>227.25</v>
      </c>
      <c r="J1519" s="17" t="s">
        <v>2488</v>
      </c>
      <c r="K1519" s="17">
        <v>150</v>
      </c>
      <c r="L1519" s="17">
        <v>400</v>
      </c>
      <c r="M1519" s="18">
        <f>Raw_LIMS_Export!K1519</f>
        <v>45595</v>
      </c>
      <c r="N1519" s="19" t="s">
        <v>2928</v>
      </c>
    </row>
    <row r="1520" spans="1:14" x14ac:dyDescent="0.35">
      <c r="A1520" s="16" t="s">
        <v>1519</v>
      </c>
      <c r="B1520" s="17" t="s">
        <v>2015</v>
      </c>
      <c r="C1520" s="17" t="s">
        <v>2457</v>
      </c>
      <c r="D1520" s="17" t="str">
        <f>_xlfn.XLOOKUP(Raw_LIMS_Export!E1520,'mapping Site table'!$B$4:$B$14,'mapping Site table'!$C$4:$C$14,Raw_LIMS_Export!E1520)</f>
        <v>East Hanover</v>
      </c>
      <c r="E1520" s="17" t="s">
        <v>2481</v>
      </c>
      <c r="F1520" s="17">
        <f t="shared" si="70"/>
        <v>1</v>
      </c>
      <c r="G1520" s="17" t="str">
        <f t="shared" si="71"/>
        <v>Fail</v>
      </c>
      <c r="H1520" s="17" t="str">
        <f t="shared" si="69"/>
        <v>Fail</v>
      </c>
      <c r="I1520" s="17">
        <v>520</v>
      </c>
      <c r="J1520" s="17" t="s">
        <v>2488</v>
      </c>
      <c r="K1520" s="17">
        <v>150</v>
      </c>
      <c r="L1520" s="17">
        <v>400</v>
      </c>
      <c r="M1520" s="18">
        <f>Raw_LIMS_Export!K1520</f>
        <v>45488</v>
      </c>
      <c r="N1520" s="19" t="s">
        <v>2930</v>
      </c>
    </row>
    <row r="1521" spans="1:14" x14ac:dyDescent="0.35">
      <c r="A1521" s="16" t="s">
        <v>1520</v>
      </c>
      <c r="B1521" s="17" t="s">
        <v>2372</v>
      </c>
      <c r="C1521" s="17" t="s">
        <v>2461</v>
      </c>
      <c r="D1521" s="17" t="str">
        <f>_xlfn.XLOOKUP(Raw_LIMS_Export!E1521,'mapping Site table'!$B$4:$B$14,'mapping Site table'!$C$4:$C$14,Raw_LIMS_Export!E1521)</f>
        <v>Ashford UK</v>
      </c>
      <c r="E1521" s="17" t="s">
        <v>2483</v>
      </c>
      <c r="F1521" s="17">
        <f t="shared" si="70"/>
        <v>1</v>
      </c>
      <c r="G1521" s="17" t="str">
        <f t="shared" si="71"/>
        <v>Pass</v>
      </c>
      <c r="H1521" s="17" t="str">
        <f t="shared" si="69"/>
        <v>Pass</v>
      </c>
      <c r="I1521" s="17">
        <v>0.36</v>
      </c>
      <c r="J1521" s="17" t="s">
        <v>2489</v>
      </c>
      <c r="K1521" s="17">
        <v>0</v>
      </c>
      <c r="L1521" s="17">
        <v>1</v>
      </c>
      <c r="M1521" s="18">
        <f>Raw_LIMS_Export!K1521</f>
        <v>45704</v>
      </c>
      <c r="N1521" s="19" t="s">
        <v>2923</v>
      </c>
    </row>
    <row r="1522" spans="1:14" x14ac:dyDescent="0.35">
      <c r="A1522" s="16" t="s">
        <v>1521</v>
      </c>
      <c r="B1522" s="17" t="s">
        <v>2339</v>
      </c>
      <c r="C1522" s="17" t="s">
        <v>2459</v>
      </c>
      <c r="D1522" s="17" t="str">
        <f>_xlfn.XLOOKUP(Raw_LIMS_Export!E1522,'mapping Site table'!$B$4:$B$14,'mapping Site table'!$C$4:$C$14,Raw_LIMS_Export!E1522)</f>
        <v>Dortmund DE</v>
      </c>
      <c r="E1522" s="17" t="s">
        <v>2481</v>
      </c>
      <c r="F1522" s="17">
        <f t="shared" si="70"/>
        <v>1</v>
      </c>
      <c r="G1522" s="17" t="str">
        <f t="shared" si="71"/>
        <v>Pass</v>
      </c>
      <c r="H1522" s="17" t="str">
        <f t="shared" si="69"/>
        <v>Pending</v>
      </c>
      <c r="I1522" s="17">
        <v>268.38</v>
      </c>
      <c r="J1522" s="17" t="s">
        <v>2488</v>
      </c>
      <c r="K1522" s="17">
        <v>150</v>
      </c>
      <c r="L1522" s="17">
        <v>400</v>
      </c>
      <c r="M1522" s="18">
        <f>Raw_LIMS_Export!K1522</f>
        <v>45673</v>
      </c>
      <c r="N1522" s="19" t="s">
        <v>2925</v>
      </c>
    </row>
    <row r="1523" spans="1:14" x14ac:dyDescent="0.35">
      <c r="A1523" s="16" t="s">
        <v>1522</v>
      </c>
      <c r="B1523" s="17" t="s">
        <v>2363</v>
      </c>
      <c r="C1523" s="17" t="s">
        <v>2459</v>
      </c>
      <c r="D1523" s="17" t="str">
        <f>_xlfn.XLOOKUP(Raw_LIMS_Export!E1523,'mapping Site table'!$B$4:$B$14,'mapping Site table'!$C$4:$C$14,Raw_LIMS_Export!E1523)</f>
        <v>Dortmund DE</v>
      </c>
      <c r="E1523" s="17" t="s">
        <v>2480</v>
      </c>
      <c r="F1523" s="17">
        <f t="shared" si="70"/>
        <v>1</v>
      </c>
      <c r="G1523" s="17" t="str">
        <f t="shared" si="71"/>
        <v>Pass</v>
      </c>
      <c r="H1523" s="17" t="str">
        <f t="shared" si="69"/>
        <v>Pass</v>
      </c>
      <c r="I1523" s="17">
        <v>0.92</v>
      </c>
      <c r="J1523" s="17" t="s">
        <v>2487</v>
      </c>
      <c r="K1523" s="17">
        <v>0.88</v>
      </c>
      <c r="L1523" s="17">
        <v>0.97</v>
      </c>
      <c r="M1523" s="18">
        <f>Raw_LIMS_Export!K1523</f>
        <v>45789</v>
      </c>
      <c r="N1523" s="19" t="s">
        <v>2923</v>
      </c>
    </row>
    <row r="1524" spans="1:14" x14ac:dyDescent="0.35">
      <c r="A1524" s="16" t="s">
        <v>1523</v>
      </c>
      <c r="B1524" s="17" t="s">
        <v>2420</v>
      </c>
      <c r="C1524" s="17" t="s">
        <v>2460</v>
      </c>
      <c r="D1524" s="17" t="str">
        <f>_xlfn.XLOOKUP(Raw_LIMS_Export!E1524,'mapping Site table'!$B$4:$B$14,'mapping Site table'!$C$4:$C$14,Raw_LIMS_Export!E1524)</f>
        <v>Dortmund DE</v>
      </c>
      <c r="E1524" s="17" t="s">
        <v>2479</v>
      </c>
      <c r="F1524" s="17">
        <f t="shared" si="70"/>
        <v>1</v>
      </c>
      <c r="G1524" s="17" t="str">
        <f t="shared" si="71"/>
        <v>Pass</v>
      </c>
      <c r="H1524" s="17" t="str">
        <f t="shared" si="69"/>
        <v>Fail</v>
      </c>
      <c r="I1524" s="17">
        <v>92.94</v>
      </c>
      <c r="J1524" s="17" t="s">
        <v>2486</v>
      </c>
      <c r="K1524" s="17">
        <v>0</v>
      </c>
      <c r="L1524" s="17">
        <v>120</v>
      </c>
      <c r="M1524" s="18">
        <f>Raw_LIMS_Export!K1524</f>
        <v>45962</v>
      </c>
      <c r="N1524" s="19" t="s">
        <v>2926</v>
      </c>
    </row>
    <row r="1525" spans="1:14" x14ac:dyDescent="0.35">
      <c r="A1525" s="16" t="s">
        <v>1524</v>
      </c>
      <c r="B1525" s="17" t="s">
        <v>2349</v>
      </c>
      <c r="C1525" s="17" t="s">
        <v>2461</v>
      </c>
      <c r="D1525" s="17" t="str">
        <f>_xlfn.XLOOKUP(Raw_LIMS_Export!E1525,'mapping Site table'!$B$4:$B$14,'mapping Site table'!$C$4:$C$14,Raw_LIMS_Export!E1525)</f>
        <v>East Hanover</v>
      </c>
      <c r="E1525" s="17" t="s">
        <v>2484</v>
      </c>
      <c r="F1525" s="17">
        <f t="shared" si="70"/>
        <v>1</v>
      </c>
      <c r="G1525" s="17" t="str">
        <f t="shared" si="71"/>
        <v>Pass</v>
      </c>
      <c r="H1525" s="17" t="str">
        <f t="shared" si="69"/>
        <v>Pass</v>
      </c>
      <c r="I1525" s="17">
        <v>7</v>
      </c>
      <c r="J1525" s="17"/>
      <c r="K1525" s="17">
        <v>6</v>
      </c>
      <c r="L1525" s="17">
        <v>7.5</v>
      </c>
      <c r="M1525" s="18">
        <f>Raw_LIMS_Export!K1525</f>
        <v>45451</v>
      </c>
      <c r="N1525" s="19" t="s">
        <v>2924</v>
      </c>
    </row>
    <row r="1526" spans="1:14" x14ac:dyDescent="0.35">
      <c r="A1526" s="16" t="s">
        <v>1525</v>
      </c>
      <c r="B1526" s="17" t="s">
        <v>2197</v>
      </c>
      <c r="C1526" s="17" t="s">
        <v>2459</v>
      </c>
      <c r="D1526" s="17" t="str">
        <f>_xlfn.XLOOKUP(Raw_LIMS_Export!E1526,'mapping Site table'!$B$4:$B$14,'mapping Site table'!$C$4:$C$14,Raw_LIMS_Export!E1526)</f>
        <v>East Hanover</v>
      </c>
      <c r="E1526" s="17" t="s">
        <v>2481</v>
      </c>
      <c r="F1526" s="17">
        <f t="shared" si="70"/>
        <v>0</v>
      </c>
      <c r="G1526" s="17" t="str">
        <f t="shared" si="71"/>
        <v>Missing</v>
      </c>
      <c r="H1526" s="17" t="str">
        <f t="shared" si="69"/>
        <v>Pending</v>
      </c>
      <c r="I1526" s="17"/>
      <c r="J1526" s="17" t="s">
        <v>2488</v>
      </c>
      <c r="K1526" s="17">
        <v>150</v>
      </c>
      <c r="L1526" s="17">
        <v>400</v>
      </c>
      <c r="M1526" s="18">
        <f>Raw_LIMS_Export!K1526</f>
        <v>45854</v>
      </c>
      <c r="N1526" s="19" t="s">
        <v>2927</v>
      </c>
    </row>
    <row r="1527" spans="1:14" x14ac:dyDescent="0.35">
      <c r="A1527" s="16" t="s">
        <v>1526</v>
      </c>
      <c r="B1527" s="17" t="s">
        <v>2014</v>
      </c>
      <c r="C1527" s="17" t="s">
        <v>2459</v>
      </c>
      <c r="D1527" s="17" t="str">
        <f>_xlfn.XLOOKUP(Raw_LIMS_Export!E1527,'mapping Site table'!$B$4:$B$14,'mapping Site table'!$C$4:$C$14,Raw_LIMS_Export!E1527)</f>
        <v>Vernier CH</v>
      </c>
      <c r="E1527" s="17" t="s">
        <v>2484</v>
      </c>
      <c r="F1527" s="17">
        <f t="shared" si="70"/>
        <v>1</v>
      </c>
      <c r="G1527" s="17" t="str">
        <f t="shared" si="71"/>
        <v>Pass</v>
      </c>
      <c r="H1527" s="17" t="str">
        <f t="shared" si="69"/>
        <v>Pass</v>
      </c>
      <c r="I1527" s="17">
        <v>7.06</v>
      </c>
      <c r="J1527" s="17"/>
      <c r="K1527" s="17">
        <v>6</v>
      </c>
      <c r="L1527" s="17">
        <v>7.5</v>
      </c>
      <c r="M1527" s="18">
        <f>Raw_LIMS_Export!K1527</f>
        <v>45982</v>
      </c>
      <c r="N1527" s="19" t="s">
        <v>2931</v>
      </c>
    </row>
    <row r="1528" spans="1:14" x14ac:dyDescent="0.35">
      <c r="A1528" s="16" t="s">
        <v>1527</v>
      </c>
      <c r="B1528" s="17" t="s">
        <v>2363</v>
      </c>
      <c r="C1528" s="17" t="s">
        <v>2459</v>
      </c>
      <c r="D1528" s="17" t="str">
        <f>_xlfn.XLOOKUP(Raw_LIMS_Export!E1528,'mapping Site table'!$B$4:$B$14,'mapping Site table'!$C$4:$C$14,Raw_LIMS_Export!E1528)</f>
        <v>Dortmund DE</v>
      </c>
      <c r="E1528" s="17" t="s">
        <v>2482</v>
      </c>
      <c r="F1528" s="17">
        <f t="shared" si="70"/>
        <v>1</v>
      </c>
      <c r="G1528" s="17" t="str">
        <f t="shared" si="71"/>
        <v>Pass</v>
      </c>
      <c r="H1528" s="17" t="str">
        <f t="shared" si="69"/>
        <v>Pass</v>
      </c>
      <c r="I1528" s="17">
        <v>98.3</v>
      </c>
      <c r="J1528" s="17" t="s">
        <v>2489</v>
      </c>
      <c r="K1528" s="17">
        <v>97</v>
      </c>
      <c r="L1528" s="17">
        <v>100</v>
      </c>
      <c r="M1528" s="18">
        <f>Raw_LIMS_Export!K1528</f>
        <v>45789</v>
      </c>
      <c r="N1528" s="19" t="s">
        <v>2928</v>
      </c>
    </row>
    <row r="1529" spans="1:14" x14ac:dyDescent="0.35">
      <c r="A1529" s="16" t="s">
        <v>1528</v>
      </c>
      <c r="B1529" s="17" t="s">
        <v>2415</v>
      </c>
      <c r="C1529" s="17" t="s">
        <v>2460</v>
      </c>
      <c r="D1529" s="17" t="str">
        <f>_xlfn.XLOOKUP(Raw_LIMS_Export!E1529,'mapping Site table'!$B$4:$B$14,'mapping Site table'!$C$4:$C$14,Raw_LIMS_Export!E1529)</f>
        <v>Vernier CH</v>
      </c>
      <c r="E1529" s="17" t="s">
        <v>2481</v>
      </c>
      <c r="F1529" s="17">
        <f t="shared" si="70"/>
        <v>1</v>
      </c>
      <c r="G1529" s="17" t="str">
        <f t="shared" si="71"/>
        <v>Pass</v>
      </c>
      <c r="H1529" s="17" t="str">
        <f t="shared" si="69"/>
        <v>Pass</v>
      </c>
      <c r="I1529" s="17">
        <v>237.85</v>
      </c>
      <c r="J1529" s="17" t="s">
        <v>2488</v>
      </c>
      <c r="K1529" s="17">
        <v>150</v>
      </c>
      <c r="L1529" s="17">
        <v>400</v>
      </c>
      <c r="M1529" s="18">
        <f>Raw_LIMS_Export!K1529</f>
        <v>45618</v>
      </c>
      <c r="N1529" s="19" t="s">
        <v>2928</v>
      </c>
    </row>
    <row r="1530" spans="1:14" x14ac:dyDescent="0.35">
      <c r="A1530" s="16" t="s">
        <v>1529</v>
      </c>
      <c r="B1530" s="17" t="s">
        <v>2100</v>
      </c>
      <c r="C1530" s="17" t="s">
        <v>2461</v>
      </c>
      <c r="D1530" s="17" t="str">
        <f>_xlfn.XLOOKUP(Raw_LIMS_Export!E1530,'mapping Site table'!$B$4:$B$14,'mapping Site table'!$C$4:$C$14,Raw_LIMS_Export!E1530)</f>
        <v>Budapest</v>
      </c>
      <c r="E1530" s="17" t="s">
        <v>2479</v>
      </c>
      <c r="F1530" s="17">
        <f t="shared" si="70"/>
        <v>1</v>
      </c>
      <c r="G1530" s="17" t="str">
        <f t="shared" si="71"/>
        <v>Pass</v>
      </c>
      <c r="H1530" s="17" t="str">
        <f t="shared" si="69"/>
        <v>Pass</v>
      </c>
      <c r="I1530" s="17">
        <v>44.54</v>
      </c>
      <c r="J1530" s="17" t="s">
        <v>2486</v>
      </c>
      <c r="K1530" s="17">
        <v>0</v>
      </c>
      <c r="L1530" s="17">
        <v>120</v>
      </c>
      <c r="M1530" s="18">
        <f>Raw_LIMS_Export!K1530</f>
        <v>45413</v>
      </c>
      <c r="N1530" s="19" t="s">
        <v>2932</v>
      </c>
    </row>
    <row r="1531" spans="1:14" x14ac:dyDescent="0.35">
      <c r="A1531" s="16" t="s">
        <v>1530</v>
      </c>
      <c r="B1531" s="17" t="s">
        <v>2421</v>
      </c>
      <c r="C1531" s="17" t="s">
        <v>2460</v>
      </c>
      <c r="D1531" s="17" t="str">
        <f>_xlfn.XLOOKUP(Raw_LIMS_Export!E1531,'mapping Site table'!$B$4:$B$14,'mapping Site table'!$C$4:$C$14,Raw_LIMS_Export!E1531)</f>
        <v>Ashford UK</v>
      </c>
      <c r="E1531" s="17" t="s">
        <v>2484</v>
      </c>
      <c r="F1531" s="17">
        <f t="shared" si="70"/>
        <v>1</v>
      </c>
      <c r="G1531" s="17" t="str">
        <f t="shared" si="71"/>
        <v>Pass</v>
      </c>
      <c r="H1531" s="17" t="str">
        <f t="shared" si="69"/>
        <v>Pass</v>
      </c>
      <c r="I1531" s="17">
        <v>7.01</v>
      </c>
      <c r="J1531" s="17"/>
      <c r="K1531" s="17">
        <v>6</v>
      </c>
      <c r="L1531" s="17">
        <v>7.5</v>
      </c>
      <c r="M1531" s="18">
        <f>Raw_LIMS_Export!K1531</f>
        <v>45404</v>
      </c>
      <c r="N1531" s="19" t="s">
        <v>2928</v>
      </c>
    </row>
    <row r="1532" spans="1:14" x14ac:dyDescent="0.35">
      <c r="A1532" s="16" t="s">
        <v>1531</v>
      </c>
      <c r="B1532" s="17" t="s">
        <v>2211</v>
      </c>
      <c r="C1532" s="17" t="s">
        <v>2457</v>
      </c>
      <c r="D1532" s="17" t="str">
        <f>_xlfn.XLOOKUP(Raw_LIMS_Export!E1532,'mapping Site table'!$B$4:$B$14,'mapping Site table'!$C$4:$C$14,Raw_LIMS_Export!E1532)</f>
        <v>Budapest</v>
      </c>
      <c r="E1532" s="17" t="s">
        <v>2480</v>
      </c>
      <c r="F1532" s="17">
        <f t="shared" si="70"/>
        <v>1</v>
      </c>
      <c r="G1532" s="17" t="str">
        <f t="shared" si="71"/>
        <v>Pass</v>
      </c>
      <c r="H1532" s="17" t="str">
        <f t="shared" si="69"/>
        <v>Fail</v>
      </c>
      <c r="I1532" s="17">
        <v>0.93</v>
      </c>
      <c r="J1532" s="17" t="s">
        <v>2487</v>
      </c>
      <c r="K1532" s="17">
        <v>0.88</v>
      </c>
      <c r="L1532" s="17">
        <v>0.97</v>
      </c>
      <c r="M1532" s="18">
        <f>Raw_LIMS_Export!K1532</f>
        <v>45540</v>
      </c>
      <c r="N1532" s="19" t="s">
        <v>2927</v>
      </c>
    </row>
    <row r="1533" spans="1:14" x14ac:dyDescent="0.35">
      <c r="A1533" s="16" t="s">
        <v>1532</v>
      </c>
      <c r="B1533" s="17" t="s">
        <v>2420</v>
      </c>
      <c r="C1533" s="17" t="s">
        <v>2460</v>
      </c>
      <c r="D1533" s="17" t="str">
        <f>_xlfn.XLOOKUP(Raw_LIMS_Export!E1533,'mapping Site table'!$B$4:$B$14,'mapping Site table'!$C$4:$C$14,Raw_LIMS_Export!E1533)</f>
        <v>Dortmund DE</v>
      </c>
      <c r="E1533" s="17" t="s">
        <v>2482</v>
      </c>
      <c r="F1533" s="17">
        <f t="shared" si="70"/>
        <v>1</v>
      </c>
      <c r="G1533" s="17" t="str">
        <f t="shared" si="71"/>
        <v>Pass</v>
      </c>
      <c r="H1533" s="17" t="str">
        <f t="shared" si="69"/>
        <v>Fail</v>
      </c>
      <c r="I1533" s="17">
        <v>98.92</v>
      </c>
      <c r="J1533" s="17" t="s">
        <v>2489</v>
      </c>
      <c r="K1533" s="17">
        <v>97</v>
      </c>
      <c r="L1533" s="17">
        <v>100</v>
      </c>
      <c r="M1533" s="18">
        <f>Raw_LIMS_Export!K1533</f>
        <v>45962</v>
      </c>
      <c r="N1533" s="19" t="s">
        <v>2925</v>
      </c>
    </row>
    <row r="1534" spans="1:14" x14ac:dyDescent="0.35">
      <c r="A1534" s="16" t="s">
        <v>1533</v>
      </c>
      <c r="B1534" s="17" t="s">
        <v>2077</v>
      </c>
      <c r="C1534" s="17" t="s">
        <v>2461</v>
      </c>
      <c r="D1534" s="17" t="str">
        <f>_xlfn.XLOOKUP(Raw_LIMS_Export!E1534,'mapping Site table'!$B$4:$B$14,'mapping Site table'!$C$4:$C$14,Raw_LIMS_Export!E1534)</f>
        <v>Ashford UK</v>
      </c>
      <c r="E1534" s="17" t="s">
        <v>2484</v>
      </c>
      <c r="F1534" s="17">
        <f t="shared" si="70"/>
        <v>1</v>
      </c>
      <c r="G1534" s="17" t="str">
        <f t="shared" si="71"/>
        <v>Pass</v>
      </c>
      <c r="H1534" s="17" t="str">
        <f t="shared" si="69"/>
        <v>Pass</v>
      </c>
      <c r="I1534" s="17">
        <v>7.27</v>
      </c>
      <c r="J1534" s="17"/>
      <c r="K1534" s="17">
        <v>6</v>
      </c>
      <c r="L1534" s="17">
        <v>7.5</v>
      </c>
      <c r="M1534" s="18">
        <f>Raw_LIMS_Export!K1534</f>
        <v>45885</v>
      </c>
      <c r="N1534" s="19" t="s">
        <v>2928</v>
      </c>
    </row>
    <row r="1535" spans="1:14" x14ac:dyDescent="0.35">
      <c r="A1535" s="16" t="s">
        <v>1534</v>
      </c>
      <c r="B1535" s="17" t="s">
        <v>2286</v>
      </c>
      <c r="C1535" s="17" t="s">
        <v>2458</v>
      </c>
      <c r="D1535" s="17" t="str">
        <f>_xlfn.XLOOKUP(Raw_LIMS_Export!E1535,'mapping Site table'!$B$4:$B$14,'mapping Site table'!$C$4:$C$14,Raw_LIMS_Export!E1535)</f>
        <v>Dortmund DE</v>
      </c>
      <c r="E1535" s="17" t="s">
        <v>2481</v>
      </c>
      <c r="F1535" s="17">
        <f t="shared" si="70"/>
        <v>1</v>
      </c>
      <c r="G1535" s="17" t="str">
        <f t="shared" si="71"/>
        <v>Fail</v>
      </c>
      <c r="H1535" s="17" t="str">
        <f t="shared" si="69"/>
        <v>Fail</v>
      </c>
      <c r="I1535" s="17">
        <v>124.25</v>
      </c>
      <c r="J1535" s="17" t="s">
        <v>2488</v>
      </c>
      <c r="K1535" s="17">
        <v>150</v>
      </c>
      <c r="L1535" s="17">
        <v>400</v>
      </c>
      <c r="M1535" s="18">
        <f>Raw_LIMS_Export!K1535</f>
        <v>45739</v>
      </c>
      <c r="N1535" s="19" t="s">
        <v>2929</v>
      </c>
    </row>
    <row r="1536" spans="1:14" x14ac:dyDescent="0.35">
      <c r="A1536" s="16" t="s">
        <v>1535</v>
      </c>
      <c r="B1536" s="17" t="s">
        <v>2445</v>
      </c>
      <c r="C1536" s="17" t="s">
        <v>2461</v>
      </c>
      <c r="D1536" s="17" t="str">
        <f>_xlfn.XLOOKUP(Raw_LIMS_Export!E1536,'mapping Site table'!$B$4:$B$14,'mapping Site table'!$C$4:$C$14,Raw_LIMS_Export!E1536)</f>
        <v>East Hanover</v>
      </c>
      <c r="E1536" s="17" t="s">
        <v>2481</v>
      </c>
      <c r="F1536" s="17">
        <f t="shared" si="70"/>
        <v>1</v>
      </c>
      <c r="G1536" s="17" t="str">
        <f t="shared" si="71"/>
        <v>Pass</v>
      </c>
      <c r="H1536" s="17" t="str">
        <f t="shared" si="69"/>
        <v>Pass</v>
      </c>
      <c r="I1536" s="17">
        <v>220.39</v>
      </c>
      <c r="J1536" s="17" t="s">
        <v>2488</v>
      </c>
      <c r="K1536" s="17">
        <v>150</v>
      </c>
      <c r="L1536" s="17">
        <v>400</v>
      </c>
      <c r="M1536" s="18">
        <f>Raw_LIMS_Export!K1536</f>
        <v>45725</v>
      </c>
      <c r="N1536" s="19" t="s">
        <v>2926</v>
      </c>
    </row>
    <row r="1537" spans="1:14" x14ac:dyDescent="0.35">
      <c r="A1537" s="16" t="s">
        <v>1536</v>
      </c>
      <c r="B1537" s="17" t="s">
        <v>2124</v>
      </c>
      <c r="C1537" s="17" t="s">
        <v>2457</v>
      </c>
      <c r="D1537" s="17" t="str">
        <f>_xlfn.XLOOKUP(Raw_LIMS_Export!E1537,'mapping Site table'!$B$4:$B$14,'mapping Site table'!$C$4:$C$14,Raw_LIMS_Export!E1537)</f>
        <v>Dortmund DE</v>
      </c>
      <c r="E1537" s="17" t="s">
        <v>2485</v>
      </c>
      <c r="F1537" s="17">
        <f t="shared" si="70"/>
        <v>1</v>
      </c>
      <c r="G1537" s="17" t="str">
        <f t="shared" si="71"/>
        <v>Pass</v>
      </c>
      <c r="H1537" s="17" t="str">
        <f t="shared" si="69"/>
        <v>Pass</v>
      </c>
      <c r="I1537" s="17">
        <v>14.03</v>
      </c>
      <c r="J1537" s="17" t="s">
        <v>2490</v>
      </c>
      <c r="K1537" s="17">
        <v>0</v>
      </c>
      <c r="L1537" s="17">
        <v>100</v>
      </c>
      <c r="M1537" s="18">
        <f>Raw_LIMS_Export!K1537</f>
        <v>45733</v>
      </c>
      <c r="N1537" s="19" t="s">
        <v>2927</v>
      </c>
    </row>
    <row r="1538" spans="1:14" x14ac:dyDescent="0.35">
      <c r="A1538" s="16" t="s">
        <v>1537</v>
      </c>
      <c r="B1538" s="17" t="s">
        <v>2149</v>
      </c>
      <c r="C1538" s="17" t="s">
        <v>2458</v>
      </c>
      <c r="D1538" s="17" t="str">
        <f>_xlfn.XLOOKUP(Raw_LIMS_Export!E1538,'mapping Site table'!$B$4:$B$14,'mapping Site table'!$C$4:$C$14,Raw_LIMS_Export!E1538)</f>
        <v>Vernier CH</v>
      </c>
      <c r="E1538" s="17" t="s">
        <v>2485</v>
      </c>
      <c r="F1538" s="17">
        <f t="shared" si="70"/>
        <v>1</v>
      </c>
      <c r="G1538" s="17" t="str">
        <f t="shared" si="71"/>
        <v>Fail</v>
      </c>
      <c r="H1538" s="17" t="str">
        <f t="shared" ref="H1538:H1601" si="72">IF(COUNTIFS($B$2:$B$2016,B1538,$G$2:$G$2016,"Fail")&gt;0,"Fail",
  IF(COUNTIFS($B$2:$B$2016,B1538,$G$2:$G$2016,"Missing")&gt;0,"Pending",
    "Pass"))</f>
        <v>Fail</v>
      </c>
      <c r="I1538" s="17">
        <v>-13.07</v>
      </c>
      <c r="J1538" s="17" t="s">
        <v>2490</v>
      </c>
      <c r="K1538" s="17">
        <v>0</v>
      </c>
      <c r="L1538" s="17">
        <v>100</v>
      </c>
      <c r="M1538" s="18">
        <f>Raw_LIMS_Export!K1538</f>
        <v>45916</v>
      </c>
      <c r="N1538" s="19" t="s">
        <v>2929</v>
      </c>
    </row>
    <row r="1539" spans="1:14" x14ac:dyDescent="0.35">
      <c r="A1539" s="16" t="s">
        <v>1538</v>
      </c>
      <c r="B1539" s="17" t="s">
        <v>2103</v>
      </c>
      <c r="C1539" s="17" t="s">
        <v>2460</v>
      </c>
      <c r="D1539" s="17" t="str">
        <f>_xlfn.XLOOKUP(Raw_LIMS_Export!E1539,'mapping Site table'!$B$4:$B$14,'mapping Site table'!$C$4:$C$14,Raw_LIMS_Export!E1539)</f>
        <v>Dortmund DE</v>
      </c>
      <c r="E1539" s="17" t="s">
        <v>2484</v>
      </c>
      <c r="F1539" s="17">
        <f t="shared" ref="F1539:F1602" si="73">IF(I1539="",0,1)</f>
        <v>1</v>
      </c>
      <c r="G1539" s="17" t="str">
        <f t="shared" ref="G1539:G1602" si="74">IF(I1539="", "Missing", IF(AND(I1539&gt;=K1539, I1539&lt;=L1539), "Pass", "Fail"))</f>
        <v>Pass</v>
      </c>
      <c r="H1539" s="17" t="str">
        <f t="shared" si="72"/>
        <v>Pass</v>
      </c>
      <c r="I1539" s="17">
        <v>6.86</v>
      </c>
      <c r="J1539" s="17"/>
      <c r="K1539" s="17">
        <v>6</v>
      </c>
      <c r="L1539" s="17">
        <v>7.5</v>
      </c>
      <c r="M1539" s="18">
        <f>Raw_LIMS_Export!K1539</f>
        <v>45573</v>
      </c>
      <c r="N1539" s="19" t="s">
        <v>2928</v>
      </c>
    </row>
    <row r="1540" spans="1:14" x14ac:dyDescent="0.35">
      <c r="A1540" s="16" t="s">
        <v>1539</v>
      </c>
      <c r="B1540" s="17" t="s">
        <v>2186</v>
      </c>
      <c r="C1540" s="17" t="s">
        <v>2457</v>
      </c>
      <c r="D1540" s="17" t="str">
        <f>_xlfn.XLOOKUP(Raw_LIMS_Export!E1540,'mapping Site table'!$B$4:$B$14,'mapping Site table'!$C$4:$C$14,Raw_LIMS_Export!E1540)</f>
        <v>Budapest</v>
      </c>
      <c r="E1540" s="17" t="s">
        <v>2481</v>
      </c>
      <c r="F1540" s="17">
        <f t="shared" si="73"/>
        <v>1</v>
      </c>
      <c r="G1540" s="17" t="str">
        <f t="shared" si="74"/>
        <v>Pass</v>
      </c>
      <c r="H1540" s="17" t="str">
        <f t="shared" si="72"/>
        <v>Pass</v>
      </c>
      <c r="I1540" s="17">
        <v>263.79000000000002</v>
      </c>
      <c r="J1540" s="17" t="s">
        <v>2488</v>
      </c>
      <c r="K1540" s="17">
        <v>150</v>
      </c>
      <c r="L1540" s="17">
        <v>400</v>
      </c>
      <c r="M1540" s="18">
        <f>Raw_LIMS_Export!K1540</f>
        <v>45579</v>
      </c>
      <c r="N1540" s="19" t="s">
        <v>2932</v>
      </c>
    </row>
    <row r="1541" spans="1:14" x14ac:dyDescent="0.35">
      <c r="A1541" s="16" t="s">
        <v>1540</v>
      </c>
      <c r="B1541" s="17" t="s">
        <v>2270</v>
      </c>
      <c r="C1541" s="17" t="s">
        <v>2459</v>
      </c>
      <c r="D1541" s="17" t="str">
        <f>_xlfn.XLOOKUP(Raw_LIMS_Export!E1541,'mapping Site table'!$B$4:$B$14,'mapping Site table'!$C$4:$C$14,Raw_LIMS_Export!E1541)</f>
        <v>East Hanover</v>
      </c>
      <c r="E1541" s="17" t="s">
        <v>2481</v>
      </c>
      <c r="F1541" s="17">
        <f t="shared" si="73"/>
        <v>1</v>
      </c>
      <c r="G1541" s="17" t="str">
        <f t="shared" si="74"/>
        <v>Pass</v>
      </c>
      <c r="H1541" s="17" t="str">
        <f t="shared" si="72"/>
        <v>Pending</v>
      </c>
      <c r="I1541" s="17">
        <v>232</v>
      </c>
      <c r="J1541" s="17" t="s">
        <v>2488</v>
      </c>
      <c r="K1541" s="17">
        <v>150</v>
      </c>
      <c r="L1541" s="17">
        <v>400</v>
      </c>
      <c r="M1541" s="18">
        <f>Raw_LIMS_Export!K1541</f>
        <v>45799</v>
      </c>
      <c r="N1541" s="19" t="s">
        <v>2929</v>
      </c>
    </row>
    <row r="1542" spans="1:14" x14ac:dyDescent="0.35">
      <c r="A1542" s="16" t="s">
        <v>1541</v>
      </c>
      <c r="B1542" s="17" t="s">
        <v>2121</v>
      </c>
      <c r="C1542" s="17" t="s">
        <v>2457</v>
      </c>
      <c r="D1542" s="17" t="str">
        <f>_xlfn.XLOOKUP(Raw_LIMS_Export!E1542,'mapping Site table'!$B$4:$B$14,'mapping Site table'!$C$4:$C$14,Raw_LIMS_Export!E1542)</f>
        <v>East Hanover</v>
      </c>
      <c r="E1542" s="17" t="s">
        <v>2479</v>
      </c>
      <c r="F1542" s="17">
        <f t="shared" si="73"/>
        <v>1</v>
      </c>
      <c r="G1542" s="17" t="str">
        <f t="shared" si="74"/>
        <v>Pass</v>
      </c>
      <c r="H1542" s="17" t="str">
        <f t="shared" si="72"/>
        <v>Fail</v>
      </c>
      <c r="I1542" s="17">
        <v>5.58</v>
      </c>
      <c r="J1542" s="17" t="s">
        <v>2486</v>
      </c>
      <c r="K1542" s="17">
        <v>0</v>
      </c>
      <c r="L1542" s="17">
        <v>120</v>
      </c>
      <c r="M1542" s="18">
        <f>Raw_LIMS_Export!K1542</f>
        <v>45690</v>
      </c>
      <c r="N1542" s="19" t="s">
        <v>2923</v>
      </c>
    </row>
    <row r="1543" spans="1:14" x14ac:dyDescent="0.35">
      <c r="A1543" s="16" t="s">
        <v>1542</v>
      </c>
      <c r="B1543" s="17" t="s">
        <v>2011</v>
      </c>
      <c r="C1543" s="17" t="s">
        <v>2457</v>
      </c>
      <c r="D1543" s="17" t="str">
        <f>_xlfn.XLOOKUP(Raw_LIMS_Export!E1543,'mapping Site table'!$B$4:$B$14,'mapping Site table'!$C$4:$C$14,Raw_LIMS_Export!E1543)</f>
        <v>Ashford UK</v>
      </c>
      <c r="E1543" s="17" t="s">
        <v>2483</v>
      </c>
      <c r="F1543" s="17">
        <f t="shared" si="73"/>
        <v>1</v>
      </c>
      <c r="G1543" s="17" t="str">
        <f t="shared" si="74"/>
        <v>Pass</v>
      </c>
      <c r="H1543" s="17" t="str">
        <f t="shared" si="72"/>
        <v>Pending</v>
      </c>
      <c r="I1543" s="17">
        <v>0.32</v>
      </c>
      <c r="J1543" s="17" t="s">
        <v>2489</v>
      </c>
      <c r="K1543" s="17">
        <v>0</v>
      </c>
      <c r="L1543" s="17">
        <v>1</v>
      </c>
      <c r="M1543" s="18">
        <f>Raw_LIMS_Export!K1543</f>
        <v>45350</v>
      </c>
      <c r="N1543" s="19" t="s">
        <v>2930</v>
      </c>
    </row>
    <row r="1544" spans="1:14" x14ac:dyDescent="0.35">
      <c r="A1544" s="16" t="s">
        <v>1543</v>
      </c>
      <c r="B1544" s="17" t="s">
        <v>2410</v>
      </c>
      <c r="C1544" s="17" t="s">
        <v>2457</v>
      </c>
      <c r="D1544" s="17" t="str">
        <f>_xlfn.XLOOKUP(Raw_LIMS_Export!E1544,'mapping Site table'!$B$4:$B$14,'mapping Site table'!$C$4:$C$14,Raw_LIMS_Export!E1544)</f>
        <v>Dortmund DE</v>
      </c>
      <c r="E1544" s="17" t="s">
        <v>2485</v>
      </c>
      <c r="F1544" s="17">
        <f t="shared" si="73"/>
        <v>1</v>
      </c>
      <c r="G1544" s="17" t="str">
        <f t="shared" si="74"/>
        <v>Fail</v>
      </c>
      <c r="H1544" s="17" t="str">
        <f t="shared" si="72"/>
        <v>Fail</v>
      </c>
      <c r="I1544" s="17">
        <v>-4</v>
      </c>
      <c r="J1544" s="17" t="s">
        <v>2490</v>
      </c>
      <c r="K1544" s="17">
        <v>0</v>
      </c>
      <c r="L1544" s="17">
        <v>100</v>
      </c>
      <c r="M1544" s="18">
        <f>Raw_LIMS_Export!K1544</f>
        <v>45832</v>
      </c>
      <c r="N1544" s="19" t="s">
        <v>2926</v>
      </c>
    </row>
    <row r="1545" spans="1:14" x14ac:dyDescent="0.35">
      <c r="A1545" s="16" t="s">
        <v>1544</v>
      </c>
      <c r="B1545" s="17" t="s">
        <v>2035</v>
      </c>
      <c r="C1545" s="17" t="s">
        <v>2461</v>
      </c>
      <c r="D1545" s="17" t="str">
        <f>_xlfn.XLOOKUP(Raw_LIMS_Export!E1545,'mapping Site table'!$B$4:$B$14,'mapping Site table'!$C$4:$C$14,Raw_LIMS_Export!E1545)</f>
        <v>Ashford UK</v>
      </c>
      <c r="E1545" s="17" t="s">
        <v>2485</v>
      </c>
      <c r="F1545" s="17">
        <f t="shared" si="73"/>
        <v>1</v>
      </c>
      <c r="G1545" s="17" t="str">
        <f t="shared" si="74"/>
        <v>Pass</v>
      </c>
      <c r="H1545" s="17" t="str">
        <f t="shared" si="72"/>
        <v>Pending</v>
      </c>
      <c r="I1545" s="17">
        <v>18.98</v>
      </c>
      <c r="J1545" s="17" t="s">
        <v>2490</v>
      </c>
      <c r="K1545" s="17">
        <v>0</v>
      </c>
      <c r="L1545" s="17">
        <v>100</v>
      </c>
      <c r="M1545" s="18">
        <f>Raw_LIMS_Export!K1545</f>
        <v>45853</v>
      </c>
      <c r="N1545" s="19" t="s">
        <v>2930</v>
      </c>
    </row>
    <row r="1546" spans="1:14" x14ac:dyDescent="0.35">
      <c r="A1546" s="16" t="s">
        <v>1545</v>
      </c>
      <c r="B1546" s="17" t="s">
        <v>2196</v>
      </c>
      <c r="C1546" s="17" t="s">
        <v>2457</v>
      </c>
      <c r="D1546" s="17" t="str">
        <f>_xlfn.XLOOKUP(Raw_LIMS_Export!E1546,'mapping Site table'!$B$4:$B$14,'mapping Site table'!$C$4:$C$14,Raw_LIMS_Export!E1546)</f>
        <v>Vernier CH</v>
      </c>
      <c r="E1546" s="17" t="s">
        <v>2480</v>
      </c>
      <c r="F1546" s="17">
        <f t="shared" si="73"/>
        <v>1</v>
      </c>
      <c r="G1546" s="17" t="str">
        <f t="shared" si="74"/>
        <v>Pass</v>
      </c>
      <c r="H1546" s="17" t="str">
        <f t="shared" si="72"/>
        <v>Pass</v>
      </c>
      <c r="I1546" s="17">
        <v>0.91</v>
      </c>
      <c r="J1546" s="17" t="s">
        <v>2487</v>
      </c>
      <c r="K1546" s="17">
        <v>0.88</v>
      </c>
      <c r="L1546" s="17">
        <v>0.97</v>
      </c>
      <c r="M1546" s="18">
        <f>Raw_LIMS_Export!K1546</f>
        <v>45740</v>
      </c>
      <c r="N1546" s="19" t="s">
        <v>2930</v>
      </c>
    </row>
    <row r="1547" spans="1:14" x14ac:dyDescent="0.35">
      <c r="A1547" s="16" t="s">
        <v>1546</v>
      </c>
      <c r="B1547" s="17" t="s">
        <v>2042</v>
      </c>
      <c r="C1547" s="17" t="s">
        <v>2460</v>
      </c>
      <c r="D1547" s="17" t="str">
        <f>_xlfn.XLOOKUP(Raw_LIMS_Export!E1547,'mapping Site table'!$B$4:$B$14,'mapping Site table'!$C$4:$C$14,Raw_LIMS_Export!E1547)</f>
        <v>Vernier CH</v>
      </c>
      <c r="E1547" s="17" t="s">
        <v>2479</v>
      </c>
      <c r="F1547" s="17">
        <f t="shared" si="73"/>
        <v>1</v>
      </c>
      <c r="G1547" s="17" t="str">
        <f t="shared" si="74"/>
        <v>Pass</v>
      </c>
      <c r="H1547" s="17" t="str">
        <f t="shared" si="72"/>
        <v>Fail</v>
      </c>
      <c r="I1547" s="17">
        <v>71.73</v>
      </c>
      <c r="J1547" s="17" t="s">
        <v>2486</v>
      </c>
      <c r="K1547" s="17">
        <v>0</v>
      </c>
      <c r="L1547" s="17">
        <v>120</v>
      </c>
      <c r="M1547" s="18">
        <f>Raw_LIMS_Export!K1547</f>
        <v>45774</v>
      </c>
      <c r="N1547" s="19" t="s">
        <v>2930</v>
      </c>
    </row>
    <row r="1548" spans="1:14" x14ac:dyDescent="0.35">
      <c r="A1548" s="16" t="s">
        <v>1547</v>
      </c>
      <c r="B1548" s="17" t="s">
        <v>2400</v>
      </c>
      <c r="C1548" s="17" t="s">
        <v>2457</v>
      </c>
      <c r="D1548" s="17" t="str">
        <f>_xlfn.XLOOKUP(Raw_LIMS_Export!E1548,'mapping Site table'!$B$4:$B$14,'mapping Site table'!$C$4:$C$14,Raw_LIMS_Export!E1548)</f>
        <v>Dortmund DE</v>
      </c>
      <c r="E1548" s="17" t="s">
        <v>2483</v>
      </c>
      <c r="F1548" s="17">
        <f t="shared" si="73"/>
        <v>1</v>
      </c>
      <c r="G1548" s="17" t="str">
        <f t="shared" si="74"/>
        <v>Pass</v>
      </c>
      <c r="H1548" s="17" t="str">
        <f t="shared" si="72"/>
        <v>Fail</v>
      </c>
      <c r="I1548" s="17">
        <v>0.24</v>
      </c>
      <c r="J1548" s="17" t="s">
        <v>2489</v>
      </c>
      <c r="K1548" s="17">
        <v>0</v>
      </c>
      <c r="L1548" s="17">
        <v>1</v>
      </c>
      <c r="M1548" s="18">
        <f>Raw_LIMS_Export!K1548</f>
        <v>45810</v>
      </c>
      <c r="N1548" s="19" t="s">
        <v>2925</v>
      </c>
    </row>
    <row r="1549" spans="1:14" x14ac:dyDescent="0.35">
      <c r="A1549" s="16" t="s">
        <v>1548</v>
      </c>
      <c r="B1549" s="17" t="s">
        <v>2238</v>
      </c>
      <c r="C1549" s="17" t="s">
        <v>2460</v>
      </c>
      <c r="D1549" s="17" t="str">
        <f>_xlfn.XLOOKUP(Raw_LIMS_Export!E1549,'mapping Site table'!$B$4:$B$14,'mapping Site table'!$C$4:$C$14,Raw_LIMS_Export!E1549)</f>
        <v>Budapest</v>
      </c>
      <c r="E1549" s="17" t="s">
        <v>2479</v>
      </c>
      <c r="F1549" s="17">
        <f t="shared" si="73"/>
        <v>1</v>
      </c>
      <c r="G1549" s="17" t="str">
        <f t="shared" si="74"/>
        <v>Pass</v>
      </c>
      <c r="H1549" s="17" t="str">
        <f t="shared" si="72"/>
        <v>Pass</v>
      </c>
      <c r="I1549" s="17">
        <v>21.08</v>
      </c>
      <c r="J1549" s="17" t="s">
        <v>2486</v>
      </c>
      <c r="K1549" s="17">
        <v>0</v>
      </c>
      <c r="L1549" s="17">
        <v>120</v>
      </c>
      <c r="M1549" s="18">
        <f>Raw_LIMS_Export!K1549</f>
        <v>45698</v>
      </c>
      <c r="N1549" s="19" t="s">
        <v>2923</v>
      </c>
    </row>
    <row r="1550" spans="1:14" x14ac:dyDescent="0.35">
      <c r="A1550" s="16" t="s">
        <v>1549</v>
      </c>
      <c r="B1550" s="17" t="s">
        <v>2429</v>
      </c>
      <c r="C1550" s="17" t="s">
        <v>2460</v>
      </c>
      <c r="D1550" s="17" t="str">
        <f>_xlfn.XLOOKUP(Raw_LIMS_Export!E1550,'mapping Site table'!$B$4:$B$14,'mapping Site table'!$C$4:$C$14,Raw_LIMS_Export!E1550)</f>
        <v>East Hanover</v>
      </c>
      <c r="E1550" s="17" t="s">
        <v>2482</v>
      </c>
      <c r="F1550" s="17">
        <f t="shared" si="73"/>
        <v>1</v>
      </c>
      <c r="G1550" s="17" t="str">
        <f t="shared" si="74"/>
        <v>Pass</v>
      </c>
      <c r="H1550" s="17" t="str">
        <f t="shared" si="72"/>
        <v>Pass</v>
      </c>
      <c r="I1550" s="17">
        <v>98.33</v>
      </c>
      <c r="J1550" s="17" t="s">
        <v>2489</v>
      </c>
      <c r="K1550" s="17">
        <v>97</v>
      </c>
      <c r="L1550" s="17">
        <v>100</v>
      </c>
      <c r="M1550" s="18">
        <f>Raw_LIMS_Export!K1550</f>
        <v>45620</v>
      </c>
      <c r="N1550" s="19" t="s">
        <v>2932</v>
      </c>
    </row>
    <row r="1551" spans="1:14" x14ac:dyDescent="0.35">
      <c r="A1551" s="16" t="s">
        <v>1550</v>
      </c>
      <c r="B1551" s="17" t="s">
        <v>2015</v>
      </c>
      <c r="C1551" s="17" t="s">
        <v>2457</v>
      </c>
      <c r="D1551" s="17" t="str">
        <f>_xlfn.XLOOKUP(Raw_LIMS_Export!E1551,'mapping Site table'!$B$4:$B$14,'mapping Site table'!$C$4:$C$14,Raw_LIMS_Export!E1551)</f>
        <v>East Hanover</v>
      </c>
      <c r="E1551" s="17" t="s">
        <v>2480</v>
      </c>
      <c r="F1551" s="17">
        <f t="shared" si="73"/>
        <v>1</v>
      </c>
      <c r="G1551" s="17" t="str">
        <f t="shared" si="74"/>
        <v>Fail</v>
      </c>
      <c r="H1551" s="17" t="str">
        <f t="shared" si="72"/>
        <v>Fail</v>
      </c>
      <c r="I1551" s="17">
        <v>1.06</v>
      </c>
      <c r="J1551" s="17" t="s">
        <v>2487</v>
      </c>
      <c r="K1551" s="17">
        <v>0.88</v>
      </c>
      <c r="L1551" s="17">
        <v>0.97</v>
      </c>
      <c r="M1551" s="18">
        <f>Raw_LIMS_Export!K1551</f>
        <v>45488</v>
      </c>
      <c r="N1551" s="19" t="s">
        <v>2928</v>
      </c>
    </row>
    <row r="1552" spans="1:14" x14ac:dyDescent="0.35">
      <c r="A1552" s="16" t="s">
        <v>1551</v>
      </c>
      <c r="B1552" s="17" t="s">
        <v>2299</v>
      </c>
      <c r="C1552" s="17" t="s">
        <v>2459</v>
      </c>
      <c r="D1552" s="17" t="str">
        <f>_xlfn.XLOOKUP(Raw_LIMS_Export!E1552,'mapping Site table'!$B$4:$B$14,'mapping Site table'!$C$4:$C$14,Raw_LIMS_Export!E1552)</f>
        <v>Ashford UK</v>
      </c>
      <c r="E1552" s="17" t="s">
        <v>2481</v>
      </c>
      <c r="F1552" s="17">
        <f t="shared" si="73"/>
        <v>1</v>
      </c>
      <c r="G1552" s="17" t="str">
        <f t="shared" si="74"/>
        <v>Pass</v>
      </c>
      <c r="H1552" s="17" t="str">
        <f t="shared" si="72"/>
        <v>Fail</v>
      </c>
      <c r="I1552" s="17">
        <v>289.5</v>
      </c>
      <c r="J1552" s="17" t="s">
        <v>2488</v>
      </c>
      <c r="K1552" s="17">
        <v>150</v>
      </c>
      <c r="L1552" s="17">
        <v>400</v>
      </c>
      <c r="M1552" s="18">
        <f>Raw_LIMS_Export!K1552</f>
        <v>45508</v>
      </c>
      <c r="N1552" s="19" t="s">
        <v>2928</v>
      </c>
    </row>
    <row r="1553" spans="1:14" x14ac:dyDescent="0.35">
      <c r="A1553" s="16" t="s">
        <v>1552</v>
      </c>
      <c r="B1553" s="17" t="s">
        <v>2423</v>
      </c>
      <c r="C1553" s="17" t="s">
        <v>2461</v>
      </c>
      <c r="D1553" s="17" t="str">
        <f>_xlfn.XLOOKUP(Raw_LIMS_Export!E1553,'mapping Site table'!$B$4:$B$14,'mapping Site table'!$C$4:$C$14,Raw_LIMS_Export!E1553)</f>
        <v>East Hanover</v>
      </c>
      <c r="E1553" s="17" t="s">
        <v>2483</v>
      </c>
      <c r="F1553" s="17">
        <f t="shared" si="73"/>
        <v>1</v>
      </c>
      <c r="G1553" s="17" t="str">
        <f t="shared" si="74"/>
        <v>Pass</v>
      </c>
      <c r="H1553" s="17" t="str">
        <f t="shared" si="72"/>
        <v>Pass</v>
      </c>
      <c r="I1553" s="17">
        <v>0.19</v>
      </c>
      <c r="J1553" s="17" t="s">
        <v>2489</v>
      </c>
      <c r="K1553" s="17">
        <v>0</v>
      </c>
      <c r="L1553" s="17">
        <v>1</v>
      </c>
      <c r="M1553" s="18">
        <f>Raw_LIMS_Export!K1553</f>
        <v>45916</v>
      </c>
      <c r="N1553" s="19" t="s">
        <v>2925</v>
      </c>
    </row>
    <row r="1554" spans="1:14" x14ac:dyDescent="0.35">
      <c r="A1554" s="16" t="s">
        <v>1553</v>
      </c>
      <c r="B1554" s="17" t="s">
        <v>2269</v>
      </c>
      <c r="C1554" s="17" t="s">
        <v>2458</v>
      </c>
      <c r="D1554" s="17" t="str">
        <f>_xlfn.XLOOKUP(Raw_LIMS_Export!E1554,'mapping Site table'!$B$4:$B$14,'mapping Site table'!$C$4:$C$14,Raw_LIMS_Export!E1554)</f>
        <v>East Hanover</v>
      </c>
      <c r="E1554" s="17" t="s">
        <v>2481</v>
      </c>
      <c r="F1554" s="17">
        <f t="shared" si="73"/>
        <v>1</v>
      </c>
      <c r="G1554" s="17" t="str">
        <f t="shared" si="74"/>
        <v>Pass</v>
      </c>
      <c r="H1554" s="17" t="str">
        <f t="shared" si="72"/>
        <v>Fail</v>
      </c>
      <c r="I1554" s="17">
        <v>254.72</v>
      </c>
      <c r="J1554" s="17" t="s">
        <v>2488</v>
      </c>
      <c r="K1554" s="17">
        <v>150</v>
      </c>
      <c r="L1554" s="17">
        <v>400</v>
      </c>
      <c r="M1554" s="18">
        <f>Raw_LIMS_Export!K1554</f>
        <v>45638</v>
      </c>
      <c r="N1554" s="19" t="s">
        <v>2929</v>
      </c>
    </row>
    <row r="1555" spans="1:14" x14ac:dyDescent="0.35">
      <c r="A1555" s="16" t="s">
        <v>1554</v>
      </c>
      <c r="B1555" s="17" t="s">
        <v>2112</v>
      </c>
      <c r="C1555" s="17" t="s">
        <v>2457</v>
      </c>
      <c r="D1555" s="17" t="str">
        <f>_xlfn.XLOOKUP(Raw_LIMS_Export!E1555,'mapping Site table'!$B$4:$B$14,'mapping Site table'!$C$4:$C$14,Raw_LIMS_Export!E1555)</f>
        <v>Dortmund DE</v>
      </c>
      <c r="E1555" s="17" t="s">
        <v>2484</v>
      </c>
      <c r="F1555" s="17">
        <f t="shared" si="73"/>
        <v>1</v>
      </c>
      <c r="G1555" s="17" t="str">
        <f t="shared" si="74"/>
        <v>Pass</v>
      </c>
      <c r="H1555" s="17" t="str">
        <f t="shared" si="72"/>
        <v>Pass</v>
      </c>
      <c r="I1555" s="17">
        <v>6.31</v>
      </c>
      <c r="J1555" s="17"/>
      <c r="K1555" s="17">
        <v>6</v>
      </c>
      <c r="L1555" s="17">
        <v>7.5</v>
      </c>
      <c r="M1555" s="18">
        <f>Raw_LIMS_Export!K1555</f>
        <v>45993</v>
      </c>
      <c r="N1555" s="19" t="s">
        <v>2926</v>
      </c>
    </row>
    <row r="1556" spans="1:14" x14ac:dyDescent="0.35">
      <c r="A1556" s="16" t="s">
        <v>1555</v>
      </c>
      <c r="B1556" s="17" t="s">
        <v>2331</v>
      </c>
      <c r="C1556" s="17" t="s">
        <v>2457</v>
      </c>
      <c r="D1556" s="17" t="str">
        <f>_xlfn.XLOOKUP(Raw_LIMS_Export!E1556,'mapping Site table'!$B$4:$B$14,'mapping Site table'!$C$4:$C$14,Raw_LIMS_Export!E1556)</f>
        <v>Budapest</v>
      </c>
      <c r="E1556" s="17" t="s">
        <v>2479</v>
      </c>
      <c r="F1556" s="17">
        <f t="shared" si="73"/>
        <v>1</v>
      </c>
      <c r="G1556" s="17" t="str">
        <f t="shared" si="74"/>
        <v>Pass</v>
      </c>
      <c r="H1556" s="17" t="str">
        <f t="shared" si="72"/>
        <v>Pass</v>
      </c>
      <c r="I1556" s="17">
        <v>35.49</v>
      </c>
      <c r="J1556" s="17" t="s">
        <v>2486</v>
      </c>
      <c r="K1556" s="17">
        <v>0</v>
      </c>
      <c r="L1556" s="17">
        <v>120</v>
      </c>
      <c r="M1556" s="18">
        <f>Raw_LIMS_Export!K1556</f>
        <v>46019</v>
      </c>
      <c r="N1556" s="19" t="s">
        <v>2931</v>
      </c>
    </row>
    <row r="1557" spans="1:14" x14ac:dyDescent="0.35">
      <c r="A1557" s="16" t="s">
        <v>1556</v>
      </c>
      <c r="B1557" s="17" t="s">
        <v>2307</v>
      </c>
      <c r="C1557" s="17" t="s">
        <v>2460</v>
      </c>
      <c r="D1557" s="17" t="str">
        <f>_xlfn.XLOOKUP(Raw_LIMS_Export!E1557,'mapping Site table'!$B$4:$B$14,'mapping Site table'!$C$4:$C$14,Raw_LIMS_Export!E1557)</f>
        <v>Vernier CH</v>
      </c>
      <c r="E1557" s="17" t="s">
        <v>2483</v>
      </c>
      <c r="F1557" s="17">
        <f t="shared" si="73"/>
        <v>1</v>
      </c>
      <c r="G1557" s="17" t="str">
        <f t="shared" si="74"/>
        <v>Pass</v>
      </c>
      <c r="H1557" s="17" t="str">
        <f t="shared" si="72"/>
        <v>Fail</v>
      </c>
      <c r="I1557" s="17">
        <v>0.36</v>
      </c>
      <c r="J1557" s="17" t="s">
        <v>2489</v>
      </c>
      <c r="K1557" s="17">
        <v>0</v>
      </c>
      <c r="L1557" s="17">
        <v>1</v>
      </c>
      <c r="M1557" s="18">
        <f>Raw_LIMS_Export!K1557</f>
        <v>45622</v>
      </c>
      <c r="N1557" s="19" t="s">
        <v>2931</v>
      </c>
    </row>
    <row r="1558" spans="1:14" x14ac:dyDescent="0.35">
      <c r="A1558" s="16" t="s">
        <v>1557</v>
      </c>
      <c r="B1558" s="17" t="s">
        <v>2260</v>
      </c>
      <c r="C1558" s="17" t="s">
        <v>2461</v>
      </c>
      <c r="D1558" s="17" t="str">
        <f>_xlfn.XLOOKUP(Raw_LIMS_Export!E1558,'mapping Site table'!$B$4:$B$14,'mapping Site table'!$C$4:$C$14,Raw_LIMS_Export!E1558)</f>
        <v>Budapest</v>
      </c>
      <c r="E1558" s="17" t="s">
        <v>2483</v>
      </c>
      <c r="F1558" s="17">
        <f t="shared" si="73"/>
        <v>1</v>
      </c>
      <c r="G1558" s="17" t="str">
        <f t="shared" si="74"/>
        <v>Pass</v>
      </c>
      <c r="H1558" s="17" t="str">
        <f t="shared" si="72"/>
        <v>Pass</v>
      </c>
      <c r="I1558" s="17">
        <v>0.46</v>
      </c>
      <c r="J1558" s="17" t="s">
        <v>2489</v>
      </c>
      <c r="K1558" s="17">
        <v>0</v>
      </c>
      <c r="L1558" s="17">
        <v>1</v>
      </c>
      <c r="M1558" s="18">
        <f>Raw_LIMS_Export!K1558</f>
        <v>45623</v>
      </c>
      <c r="N1558" s="19" t="s">
        <v>2928</v>
      </c>
    </row>
    <row r="1559" spans="1:14" x14ac:dyDescent="0.35">
      <c r="A1559" s="16" t="s">
        <v>1558</v>
      </c>
      <c r="B1559" s="17" t="s">
        <v>2210</v>
      </c>
      <c r="C1559" s="17" t="s">
        <v>2457</v>
      </c>
      <c r="D1559" s="17" t="str">
        <f>_xlfn.XLOOKUP(Raw_LIMS_Export!E1559,'mapping Site table'!$B$4:$B$14,'mapping Site table'!$C$4:$C$14,Raw_LIMS_Export!E1559)</f>
        <v>Budapest</v>
      </c>
      <c r="E1559" s="17" t="s">
        <v>2479</v>
      </c>
      <c r="F1559" s="17">
        <f t="shared" si="73"/>
        <v>0</v>
      </c>
      <c r="G1559" s="17" t="str">
        <f t="shared" si="74"/>
        <v>Missing</v>
      </c>
      <c r="H1559" s="17" t="str">
        <f t="shared" si="72"/>
        <v>Pending</v>
      </c>
      <c r="I1559" s="17"/>
      <c r="J1559" s="17" t="s">
        <v>2486</v>
      </c>
      <c r="K1559" s="17">
        <v>0</v>
      </c>
      <c r="L1559" s="17">
        <v>120</v>
      </c>
      <c r="M1559" s="18">
        <f>Raw_LIMS_Export!K1559</f>
        <v>45960</v>
      </c>
      <c r="N1559" s="19" t="s">
        <v>2930</v>
      </c>
    </row>
    <row r="1560" spans="1:14" x14ac:dyDescent="0.35">
      <c r="A1560" s="16" t="s">
        <v>1559</v>
      </c>
      <c r="B1560" s="17" t="s">
        <v>2274</v>
      </c>
      <c r="C1560" s="17" t="s">
        <v>2458</v>
      </c>
      <c r="D1560" s="17" t="str">
        <f>_xlfn.XLOOKUP(Raw_LIMS_Export!E1560,'mapping Site table'!$B$4:$B$14,'mapping Site table'!$C$4:$C$14,Raw_LIMS_Export!E1560)</f>
        <v>East Hanover</v>
      </c>
      <c r="E1560" s="17" t="s">
        <v>2482</v>
      </c>
      <c r="F1560" s="17">
        <f t="shared" si="73"/>
        <v>1</v>
      </c>
      <c r="G1560" s="17" t="str">
        <f t="shared" si="74"/>
        <v>Pass</v>
      </c>
      <c r="H1560" s="17" t="str">
        <f t="shared" si="72"/>
        <v>Pass</v>
      </c>
      <c r="I1560" s="17">
        <v>99.4</v>
      </c>
      <c r="J1560" s="17" t="s">
        <v>2489</v>
      </c>
      <c r="K1560" s="17">
        <v>97</v>
      </c>
      <c r="L1560" s="17">
        <v>100</v>
      </c>
      <c r="M1560" s="18">
        <f>Raw_LIMS_Export!K1560</f>
        <v>45910</v>
      </c>
      <c r="N1560" s="19" t="s">
        <v>2929</v>
      </c>
    </row>
    <row r="1561" spans="1:14" x14ac:dyDescent="0.35">
      <c r="A1561" s="16" t="s">
        <v>1560</v>
      </c>
      <c r="B1561" s="17" t="s">
        <v>2410</v>
      </c>
      <c r="C1561" s="17" t="s">
        <v>2457</v>
      </c>
      <c r="D1561" s="17" t="str">
        <f>_xlfn.XLOOKUP(Raw_LIMS_Export!E1561,'mapping Site table'!$B$4:$B$14,'mapping Site table'!$C$4:$C$14,Raw_LIMS_Export!E1561)</f>
        <v>Dortmund DE</v>
      </c>
      <c r="E1561" s="17" t="s">
        <v>2482</v>
      </c>
      <c r="F1561" s="17">
        <f t="shared" si="73"/>
        <v>1</v>
      </c>
      <c r="G1561" s="17" t="str">
        <f t="shared" si="74"/>
        <v>Pass</v>
      </c>
      <c r="H1561" s="17" t="str">
        <f t="shared" si="72"/>
        <v>Fail</v>
      </c>
      <c r="I1561" s="17">
        <v>98.82</v>
      </c>
      <c r="J1561" s="17" t="s">
        <v>2489</v>
      </c>
      <c r="K1561" s="17">
        <v>97</v>
      </c>
      <c r="L1561" s="17">
        <v>100</v>
      </c>
      <c r="M1561" s="18">
        <f>Raw_LIMS_Export!K1561</f>
        <v>45832</v>
      </c>
      <c r="N1561" s="19" t="s">
        <v>2924</v>
      </c>
    </row>
    <row r="1562" spans="1:14" x14ac:dyDescent="0.35">
      <c r="A1562" s="16" t="s">
        <v>1561</v>
      </c>
      <c r="B1562" s="17" t="s">
        <v>2105</v>
      </c>
      <c r="C1562" s="17" t="s">
        <v>2457</v>
      </c>
      <c r="D1562" s="17" t="str">
        <f>_xlfn.XLOOKUP(Raw_LIMS_Export!E1562,'mapping Site table'!$B$4:$B$14,'mapping Site table'!$C$4:$C$14,Raw_LIMS_Export!E1562)</f>
        <v>Ashford UK</v>
      </c>
      <c r="E1562" s="17" t="s">
        <v>2485</v>
      </c>
      <c r="F1562" s="17">
        <f t="shared" si="73"/>
        <v>1</v>
      </c>
      <c r="G1562" s="17" t="str">
        <f t="shared" si="74"/>
        <v>Pass</v>
      </c>
      <c r="H1562" s="17" t="str">
        <f t="shared" si="72"/>
        <v>Pass</v>
      </c>
      <c r="I1562" s="17">
        <v>42.76</v>
      </c>
      <c r="J1562" s="17" t="s">
        <v>2490</v>
      </c>
      <c r="K1562" s="17">
        <v>0</v>
      </c>
      <c r="L1562" s="17">
        <v>100</v>
      </c>
      <c r="M1562" s="18">
        <f>Raw_LIMS_Export!K1562</f>
        <v>45358</v>
      </c>
      <c r="N1562" s="19" t="s">
        <v>2924</v>
      </c>
    </row>
    <row r="1563" spans="1:14" x14ac:dyDescent="0.35">
      <c r="A1563" s="16" t="s">
        <v>1562</v>
      </c>
      <c r="B1563" s="17" t="s">
        <v>2194</v>
      </c>
      <c r="C1563" s="17" t="s">
        <v>2457</v>
      </c>
      <c r="D1563" s="17" t="str">
        <f>_xlfn.XLOOKUP(Raw_LIMS_Export!E1563,'mapping Site table'!$B$4:$B$14,'mapping Site table'!$C$4:$C$14,Raw_LIMS_Export!E1563)</f>
        <v>Budapest</v>
      </c>
      <c r="E1563" s="17" t="s">
        <v>2483</v>
      </c>
      <c r="F1563" s="17">
        <f t="shared" si="73"/>
        <v>1</v>
      </c>
      <c r="G1563" s="17" t="str">
        <f t="shared" si="74"/>
        <v>Pass</v>
      </c>
      <c r="H1563" s="17" t="str">
        <f t="shared" si="72"/>
        <v>Pending</v>
      </c>
      <c r="I1563" s="17">
        <v>0.39</v>
      </c>
      <c r="J1563" s="17" t="s">
        <v>2489</v>
      </c>
      <c r="K1563" s="17">
        <v>0</v>
      </c>
      <c r="L1563" s="17">
        <v>1</v>
      </c>
      <c r="M1563" s="18">
        <f>Raw_LIMS_Export!K1563</f>
        <v>45645</v>
      </c>
      <c r="N1563" s="19" t="s">
        <v>2926</v>
      </c>
    </row>
    <row r="1564" spans="1:14" x14ac:dyDescent="0.35">
      <c r="A1564" s="16" t="s">
        <v>1563</v>
      </c>
      <c r="B1564" s="17" t="s">
        <v>2098</v>
      </c>
      <c r="C1564" s="17" t="s">
        <v>2460</v>
      </c>
      <c r="D1564" s="17" t="str">
        <f>_xlfn.XLOOKUP(Raw_LIMS_Export!E1564,'mapping Site table'!$B$4:$B$14,'mapping Site table'!$C$4:$C$14,Raw_LIMS_Export!E1564)</f>
        <v>East Hanover</v>
      </c>
      <c r="E1564" s="17" t="s">
        <v>2480</v>
      </c>
      <c r="F1564" s="17">
        <f t="shared" si="73"/>
        <v>1</v>
      </c>
      <c r="G1564" s="17" t="str">
        <f t="shared" si="74"/>
        <v>Pass</v>
      </c>
      <c r="H1564" s="17" t="str">
        <f t="shared" si="72"/>
        <v>Pass</v>
      </c>
      <c r="I1564" s="17">
        <v>0.94</v>
      </c>
      <c r="J1564" s="17" t="s">
        <v>2487</v>
      </c>
      <c r="K1564" s="17">
        <v>0.88</v>
      </c>
      <c r="L1564" s="17">
        <v>0.97</v>
      </c>
      <c r="M1564" s="18">
        <f>Raw_LIMS_Export!K1564</f>
        <v>45460</v>
      </c>
      <c r="N1564" s="19" t="s">
        <v>2925</v>
      </c>
    </row>
    <row r="1565" spans="1:14" x14ac:dyDescent="0.35">
      <c r="A1565" s="16" t="s">
        <v>1564</v>
      </c>
      <c r="B1565" s="17" t="s">
        <v>2107</v>
      </c>
      <c r="C1565" s="17" t="s">
        <v>2459</v>
      </c>
      <c r="D1565" s="17" t="str">
        <f>_xlfn.XLOOKUP(Raw_LIMS_Export!E1565,'mapping Site table'!$B$4:$B$14,'mapping Site table'!$C$4:$C$14,Raw_LIMS_Export!E1565)</f>
        <v>East Hanover</v>
      </c>
      <c r="E1565" s="17" t="s">
        <v>2484</v>
      </c>
      <c r="F1565" s="17">
        <f t="shared" si="73"/>
        <v>1</v>
      </c>
      <c r="G1565" s="17" t="str">
        <f t="shared" si="74"/>
        <v>Pass</v>
      </c>
      <c r="H1565" s="17" t="str">
        <f t="shared" si="72"/>
        <v>Pass</v>
      </c>
      <c r="I1565" s="17">
        <v>6.52</v>
      </c>
      <c r="J1565" s="17"/>
      <c r="K1565" s="17">
        <v>6</v>
      </c>
      <c r="L1565" s="17">
        <v>7.5</v>
      </c>
      <c r="M1565" s="18">
        <f>Raw_LIMS_Export!K1565</f>
        <v>45633</v>
      </c>
      <c r="N1565" s="19" t="s">
        <v>2928</v>
      </c>
    </row>
    <row r="1566" spans="1:14" x14ac:dyDescent="0.35">
      <c r="A1566" s="16" t="s">
        <v>1565</v>
      </c>
      <c r="B1566" s="17" t="s">
        <v>2072</v>
      </c>
      <c r="C1566" s="17" t="s">
        <v>2460</v>
      </c>
      <c r="D1566" s="17" t="str">
        <f>_xlfn.XLOOKUP(Raw_LIMS_Export!E1566,'mapping Site table'!$B$4:$B$14,'mapping Site table'!$C$4:$C$14,Raw_LIMS_Export!E1566)</f>
        <v>Dortmund DE</v>
      </c>
      <c r="E1566" s="17" t="s">
        <v>2480</v>
      </c>
      <c r="F1566" s="17">
        <f t="shared" si="73"/>
        <v>1</v>
      </c>
      <c r="G1566" s="17" t="str">
        <f t="shared" si="74"/>
        <v>Pass</v>
      </c>
      <c r="H1566" s="17" t="str">
        <f t="shared" si="72"/>
        <v>Pass</v>
      </c>
      <c r="I1566" s="17">
        <v>0.89</v>
      </c>
      <c r="J1566" s="17" t="s">
        <v>2487</v>
      </c>
      <c r="K1566" s="17">
        <v>0.88</v>
      </c>
      <c r="L1566" s="17">
        <v>0.97</v>
      </c>
      <c r="M1566" s="18">
        <f>Raw_LIMS_Export!K1566</f>
        <v>45544</v>
      </c>
      <c r="N1566" s="19" t="s">
        <v>2930</v>
      </c>
    </row>
    <row r="1567" spans="1:14" x14ac:dyDescent="0.35">
      <c r="A1567" s="16" t="s">
        <v>1566</v>
      </c>
      <c r="B1567" s="17" t="s">
        <v>2412</v>
      </c>
      <c r="C1567" s="17" t="s">
        <v>2461</v>
      </c>
      <c r="D1567" s="17" t="str">
        <f>_xlfn.XLOOKUP(Raw_LIMS_Export!E1567,'mapping Site table'!$B$4:$B$14,'mapping Site table'!$C$4:$C$14,Raw_LIMS_Export!E1567)</f>
        <v>Vernier CH</v>
      </c>
      <c r="E1567" s="17" t="s">
        <v>2479</v>
      </c>
      <c r="F1567" s="17">
        <f t="shared" si="73"/>
        <v>1</v>
      </c>
      <c r="G1567" s="17" t="str">
        <f t="shared" si="74"/>
        <v>Pass</v>
      </c>
      <c r="H1567" s="17" t="str">
        <f t="shared" si="72"/>
        <v>Pass</v>
      </c>
      <c r="I1567" s="17">
        <v>52.24</v>
      </c>
      <c r="J1567" s="17" t="s">
        <v>2486</v>
      </c>
      <c r="K1567" s="17">
        <v>0</v>
      </c>
      <c r="L1567" s="17">
        <v>120</v>
      </c>
      <c r="M1567" s="18">
        <f>Raw_LIMS_Export!K1567</f>
        <v>45937</v>
      </c>
      <c r="N1567" s="19" t="s">
        <v>2924</v>
      </c>
    </row>
    <row r="1568" spans="1:14" x14ac:dyDescent="0.35">
      <c r="A1568" s="16" t="s">
        <v>1567</v>
      </c>
      <c r="B1568" s="17" t="s">
        <v>2344</v>
      </c>
      <c r="C1568" s="17" t="s">
        <v>2461</v>
      </c>
      <c r="D1568" s="17" t="str">
        <f>_xlfn.XLOOKUP(Raw_LIMS_Export!E1568,'mapping Site table'!$B$4:$B$14,'mapping Site table'!$C$4:$C$14,Raw_LIMS_Export!E1568)</f>
        <v>Vernier CH</v>
      </c>
      <c r="E1568" s="17" t="s">
        <v>2480</v>
      </c>
      <c r="F1568" s="17">
        <f t="shared" si="73"/>
        <v>1</v>
      </c>
      <c r="G1568" s="17" t="str">
        <f t="shared" si="74"/>
        <v>Pass</v>
      </c>
      <c r="H1568" s="17" t="str">
        <f t="shared" si="72"/>
        <v>Pending</v>
      </c>
      <c r="I1568" s="17">
        <v>0.9</v>
      </c>
      <c r="J1568" s="17" t="s">
        <v>2487</v>
      </c>
      <c r="K1568" s="17">
        <v>0.88</v>
      </c>
      <c r="L1568" s="17">
        <v>0.97</v>
      </c>
      <c r="M1568" s="18">
        <f>Raw_LIMS_Export!K1568</f>
        <v>45458</v>
      </c>
      <c r="N1568" s="19" t="s">
        <v>2929</v>
      </c>
    </row>
    <row r="1569" spans="1:14" x14ac:dyDescent="0.35">
      <c r="A1569" s="16" t="s">
        <v>1568</v>
      </c>
      <c r="B1569" s="17" t="s">
        <v>2453</v>
      </c>
      <c r="C1569" s="17" t="s">
        <v>2459</v>
      </c>
      <c r="D1569" s="17" t="str">
        <f>_xlfn.XLOOKUP(Raw_LIMS_Export!E1569,'mapping Site table'!$B$4:$B$14,'mapping Site table'!$C$4:$C$14,Raw_LIMS_Export!E1569)</f>
        <v>Ashford UK</v>
      </c>
      <c r="E1569" s="17" t="s">
        <v>2479</v>
      </c>
      <c r="F1569" s="17">
        <f t="shared" si="73"/>
        <v>0</v>
      </c>
      <c r="G1569" s="17" t="str">
        <f t="shared" si="74"/>
        <v>Missing</v>
      </c>
      <c r="H1569" s="17" t="str">
        <f t="shared" si="72"/>
        <v>Pending</v>
      </c>
      <c r="I1569" s="17"/>
      <c r="J1569" s="17" t="s">
        <v>2486</v>
      </c>
      <c r="K1569" s="17">
        <v>0</v>
      </c>
      <c r="L1569" s="17">
        <v>120</v>
      </c>
      <c r="M1569" s="18">
        <f>Raw_LIMS_Export!K1569</f>
        <v>46013</v>
      </c>
      <c r="N1569" s="19" t="s">
        <v>2929</v>
      </c>
    </row>
    <row r="1570" spans="1:14" x14ac:dyDescent="0.35">
      <c r="A1570" s="16" t="s">
        <v>1569</v>
      </c>
      <c r="B1570" s="17" t="s">
        <v>2119</v>
      </c>
      <c r="C1570" s="17" t="s">
        <v>2459</v>
      </c>
      <c r="D1570" s="17" t="str">
        <f>_xlfn.XLOOKUP(Raw_LIMS_Export!E1570,'mapping Site table'!$B$4:$B$14,'mapping Site table'!$C$4:$C$14,Raw_LIMS_Export!E1570)</f>
        <v>Vernier CH</v>
      </c>
      <c r="E1570" s="17" t="s">
        <v>2480</v>
      </c>
      <c r="F1570" s="17">
        <f t="shared" si="73"/>
        <v>1</v>
      </c>
      <c r="G1570" s="17" t="str">
        <f t="shared" si="74"/>
        <v>Pass</v>
      </c>
      <c r="H1570" s="17" t="str">
        <f t="shared" si="72"/>
        <v>Pass</v>
      </c>
      <c r="I1570" s="17">
        <v>0.97</v>
      </c>
      <c r="J1570" s="17" t="s">
        <v>2487</v>
      </c>
      <c r="K1570" s="17">
        <v>0.88</v>
      </c>
      <c r="L1570" s="17">
        <v>0.97</v>
      </c>
      <c r="M1570" s="18">
        <f>Raw_LIMS_Export!K1570</f>
        <v>45348</v>
      </c>
      <c r="N1570" s="19" t="s">
        <v>2932</v>
      </c>
    </row>
    <row r="1571" spans="1:14" x14ac:dyDescent="0.35">
      <c r="A1571" s="16" t="s">
        <v>1570</v>
      </c>
      <c r="B1571" s="17" t="s">
        <v>2223</v>
      </c>
      <c r="C1571" s="17" t="s">
        <v>2458</v>
      </c>
      <c r="D1571" s="17" t="str">
        <f>_xlfn.XLOOKUP(Raw_LIMS_Export!E1571,'mapping Site table'!$B$4:$B$14,'mapping Site table'!$C$4:$C$14,Raw_LIMS_Export!E1571)</f>
        <v>East Hanover</v>
      </c>
      <c r="E1571" s="17" t="s">
        <v>2482</v>
      </c>
      <c r="F1571" s="17">
        <f t="shared" si="73"/>
        <v>1</v>
      </c>
      <c r="G1571" s="17" t="str">
        <f t="shared" si="74"/>
        <v>Pass</v>
      </c>
      <c r="H1571" s="17" t="str">
        <f t="shared" si="72"/>
        <v>Fail</v>
      </c>
      <c r="I1571" s="17">
        <v>99.11</v>
      </c>
      <c r="J1571" s="17" t="s">
        <v>2489</v>
      </c>
      <c r="K1571" s="17">
        <v>97</v>
      </c>
      <c r="L1571" s="17">
        <v>100</v>
      </c>
      <c r="M1571" s="18">
        <f>Raw_LIMS_Export!K1571</f>
        <v>45496</v>
      </c>
      <c r="N1571" s="19" t="s">
        <v>2931</v>
      </c>
    </row>
    <row r="1572" spans="1:14" x14ac:dyDescent="0.35">
      <c r="A1572" s="16" t="s">
        <v>1571</v>
      </c>
      <c r="B1572" s="17" t="s">
        <v>2386</v>
      </c>
      <c r="C1572" s="17" t="s">
        <v>2459</v>
      </c>
      <c r="D1572" s="17" t="str">
        <f>_xlfn.XLOOKUP(Raw_LIMS_Export!E1572,'mapping Site table'!$B$4:$B$14,'mapping Site table'!$C$4:$C$14,Raw_LIMS_Export!E1572)</f>
        <v>East Hanover</v>
      </c>
      <c r="E1572" s="17" t="s">
        <v>2484</v>
      </c>
      <c r="F1572" s="17">
        <f t="shared" si="73"/>
        <v>1</v>
      </c>
      <c r="G1572" s="17" t="str">
        <f t="shared" si="74"/>
        <v>Pass</v>
      </c>
      <c r="H1572" s="17" t="str">
        <f t="shared" si="72"/>
        <v>Pass</v>
      </c>
      <c r="I1572" s="17">
        <v>6.94</v>
      </c>
      <c r="J1572" s="17"/>
      <c r="K1572" s="17">
        <v>6</v>
      </c>
      <c r="L1572" s="17">
        <v>7.5</v>
      </c>
      <c r="M1572" s="18">
        <f>Raw_LIMS_Export!K1572</f>
        <v>45609</v>
      </c>
      <c r="N1572" s="19" t="s">
        <v>2927</v>
      </c>
    </row>
    <row r="1573" spans="1:14" x14ac:dyDescent="0.35">
      <c r="A1573" s="16" t="s">
        <v>1572</v>
      </c>
      <c r="B1573" s="17" t="s">
        <v>2408</v>
      </c>
      <c r="C1573" s="17" t="s">
        <v>2461</v>
      </c>
      <c r="D1573" s="17" t="str">
        <f>_xlfn.XLOOKUP(Raw_LIMS_Export!E1573,'mapping Site table'!$B$4:$B$14,'mapping Site table'!$C$4:$C$14,Raw_LIMS_Export!E1573)</f>
        <v>Vernier CH</v>
      </c>
      <c r="E1573" s="17" t="s">
        <v>2482</v>
      </c>
      <c r="F1573" s="17">
        <f t="shared" si="73"/>
        <v>1</v>
      </c>
      <c r="G1573" s="17" t="str">
        <f t="shared" si="74"/>
        <v>Pass</v>
      </c>
      <c r="H1573" s="17" t="str">
        <f t="shared" si="72"/>
        <v>Pass</v>
      </c>
      <c r="I1573" s="17">
        <v>98.65</v>
      </c>
      <c r="J1573" s="17" t="s">
        <v>2489</v>
      </c>
      <c r="K1573" s="17">
        <v>97</v>
      </c>
      <c r="L1573" s="17">
        <v>100</v>
      </c>
      <c r="M1573" s="18">
        <f>Raw_LIMS_Export!K1573</f>
        <v>45702</v>
      </c>
      <c r="N1573" s="19" t="s">
        <v>2925</v>
      </c>
    </row>
    <row r="1574" spans="1:14" x14ac:dyDescent="0.35">
      <c r="A1574" s="16" t="s">
        <v>1573</v>
      </c>
      <c r="B1574" s="17" t="s">
        <v>2236</v>
      </c>
      <c r="C1574" s="17" t="s">
        <v>2457</v>
      </c>
      <c r="D1574" s="17" t="str">
        <f>_xlfn.XLOOKUP(Raw_LIMS_Export!E1574,'mapping Site table'!$B$4:$B$14,'mapping Site table'!$C$4:$C$14,Raw_LIMS_Export!E1574)</f>
        <v>Budapest</v>
      </c>
      <c r="E1574" s="17" t="s">
        <v>2484</v>
      </c>
      <c r="F1574" s="17">
        <f t="shared" si="73"/>
        <v>1</v>
      </c>
      <c r="G1574" s="17" t="str">
        <f t="shared" si="74"/>
        <v>Pass</v>
      </c>
      <c r="H1574" s="17" t="str">
        <f t="shared" si="72"/>
        <v>Pass</v>
      </c>
      <c r="I1574" s="17">
        <v>7.3</v>
      </c>
      <c r="J1574" s="17"/>
      <c r="K1574" s="17">
        <v>6</v>
      </c>
      <c r="L1574" s="17">
        <v>7.5</v>
      </c>
      <c r="M1574" s="18">
        <f>Raw_LIMS_Export!K1574</f>
        <v>45536</v>
      </c>
      <c r="N1574" s="19" t="s">
        <v>2924</v>
      </c>
    </row>
    <row r="1575" spans="1:14" x14ac:dyDescent="0.35">
      <c r="A1575" s="16" t="s">
        <v>1574</v>
      </c>
      <c r="B1575" s="17" t="s">
        <v>2158</v>
      </c>
      <c r="C1575" s="17" t="s">
        <v>2459</v>
      </c>
      <c r="D1575" s="17" t="str">
        <f>_xlfn.XLOOKUP(Raw_LIMS_Export!E1575,'mapping Site table'!$B$4:$B$14,'mapping Site table'!$C$4:$C$14,Raw_LIMS_Export!E1575)</f>
        <v>East Hanover</v>
      </c>
      <c r="E1575" s="17" t="s">
        <v>2481</v>
      </c>
      <c r="F1575" s="17">
        <f t="shared" si="73"/>
        <v>1</v>
      </c>
      <c r="G1575" s="17" t="str">
        <f t="shared" si="74"/>
        <v>Pass</v>
      </c>
      <c r="H1575" s="17" t="str">
        <f t="shared" si="72"/>
        <v>Pass</v>
      </c>
      <c r="I1575" s="17">
        <v>248.74</v>
      </c>
      <c r="J1575" s="17" t="s">
        <v>2488</v>
      </c>
      <c r="K1575" s="17">
        <v>150</v>
      </c>
      <c r="L1575" s="17">
        <v>400</v>
      </c>
      <c r="M1575" s="18">
        <f>Raw_LIMS_Export!K1575</f>
        <v>45374</v>
      </c>
      <c r="N1575" s="19" t="s">
        <v>2929</v>
      </c>
    </row>
    <row r="1576" spans="1:14" x14ac:dyDescent="0.35">
      <c r="A1576" s="16" t="s">
        <v>1575</v>
      </c>
      <c r="B1576" s="17" t="s">
        <v>2047</v>
      </c>
      <c r="C1576" s="17" t="s">
        <v>2460</v>
      </c>
      <c r="D1576" s="17" t="str">
        <f>_xlfn.XLOOKUP(Raw_LIMS_Export!E1576,'mapping Site table'!$B$4:$B$14,'mapping Site table'!$C$4:$C$14,Raw_LIMS_Export!E1576)</f>
        <v>Budapest</v>
      </c>
      <c r="E1576" s="17" t="s">
        <v>2481</v>
      </c>
      <c r="F1576" s="17">
        <f t="shared" si="73"/>
        <v>1</v>
      </c>
      <c r="G1576" s="17" t="str">
        <f t="shared" si="74"/>
        <v>Pass</v>
      </c>
      <c r="H1576" s="17" t="str">
        <f t="shared" si="72"/>
        <v>Pass</v>
      </c>
      <c r="I1576" s="17">
        <v>229.68</v>
      </c>
      <c r="J1576" s="17" t="s">
        <v>2488</v>
      </c>
      <c r="K1576" s="17">
        <v>150</v>
      </c>
      <c r="L1576" s="17">
        <v>400</v>
      </c>
      <c r="M1576" s="18">
        <f>Raw_LIMS_Export!K1576</f>
        <v>45543</v>
      </c>
      <c r="N1576" s="19" t="s">
        <v>2928</v>
      </c>
    </row>
    <row r="1577" spans="1:14" x14ac:dyDescent="0.35">
      <c r="A1577" s="16" t="s">
        <v>1576</v>
      </c>
      <c r="B1577" s="17" t="s">
        <v>2287</v>
      </c>
      <c r="C1577" s="17" t="s">
        <v>2460</v>
      </c>
      <c r="D1577" s="17" t="str">
        <f>_xlfn.XLOOKUP(Raw_LIMS_Export!E1577,'mapping Site table'!$B$4:$B$14,'mapping Site table'!$C$4:$C$14,Raw_LIMS_Export!E1577)</f>
        <v>Vernier CH</v>
      </c>
      <c r="E1577" s="17" t="s">
        <v>2482</v>
      </c>
      <c r="F1577" s="17">
        <f t="shared" si="73"/>
        <v>1</v>
      </c>
      <c r="G1577" s="17" t="str">
        <f t="shared" si="74"/>
        <v>Pass</v>
      </c>
      <c r="H1577" s="17" t="str">
        <f t="shared" si="72"/>
        <v>Fail</v>
      </c>
      <c r="I1577" s="17">
        <v>98.61</v>
      </c>
      <c r="J1577" s="17" t="s">
        <v>2489</v>
      </c>
      <c r="K1577" s="17">
        <v>97</v>
      </c>
      <c r="L1577" s="17">
        <v>100</v>
      </c>
      <c r="M1577" s="18">
        <f>Raw_LIMS_Export!K1577</f>
        <v>45448</v>
      </c>
      <c r="N1577" s="19" t="s">
        <v>2929</v>
      </c>
    </row>
    <row r="1578" spans="1:14" x14ac:dyDescent="0.35">
      <c r="A1578" s="16" t="s">
        <v>1577</v>
      </c>
      <c r="B1578" s="17" t="s">
        <v>2390</v>
      </c>
      <c r="C1578" s="17" t="s">
        <v>2459</v>
      </c>
      <c r="D1578" s="17" t="str">
        <f>_xlfn.XLOOKUP(Raw_LIMS_Export!E1578,'mapping Site table'!$B$4:$B$14,'mapping Site table'!$C$4:$C$14,Raw_LIMS_Export!E1578)</f>
        <v>Vernier CH</v>
      </c>
      <c r="E1578" s="17" t="s">
        <v>2480</v>
      </c>
      <c r="F1578" s="17">
        <f t="shared" si="73"/>
        <v>0</v>
      </c>
      <c r="G1578" s="17" t="str">
        <f t="shared" si="74"/>
        <v>Missing</v>
      </c>
      <c r="H1578" s="17" t="str">
        <f t="shared" si="72"/>
        <v>Pending</v>
      </c>
      <c r="I1578" s="17"/>
      <c r="J1578" s="17" t="s">
        <v>2487</v>
      </c>
      <c r="K1578" s="17">
        <v>0.88</v>
      </c>
      <c r="L1578" s="17">
        <v>0.97</v>
      </c>
      <c r="M1578" s="18">
        <f>Raw_LIMS_Export!K1578</f>
        <v>45571</v>
      </c>
      <c r="N1578" s="19" t="s">
        <v>2931</v>
      </c>
    </row>
    <row r="1579" spans="1:14" x14ac:dyDescent="0.35">
      <c r="A1579" s="16" t="s">
        <v>1578</v>
      </c>
      <c r="B1579" s="17" t="s">
        <v>2281</v>
      </c>
      <c r="C1579" s="17" t="s">
        <v>2458</v>
      </c>
      <c r="D1579" s="17" t="str">
        <f>_xlfn.XLOOKUP(Raw_LIMS_Export!E1579,'mapping Site table'!$B$4:$B$14,'mapping Site table'!$C$4:$C$14,Raw_LIMS_Export!E1579)</f>
        <v>East Hanover</v>
      </c>
      <c r="E1579" s="17" t="s">
        <v>2482</v>
      </c>
      <c r="F1579" s="17">
        <f t="shared" si="73"/>
        <v>1</v>
      </c>
      <c r="G1579" s="17" t="str">
        <f t="shared" si="74"/>
        <v>Pass</v>
      </c>
      <c r="H1579" s="17" t="str">
        <f t="shared" si="72"/>
        <v>Pass</v>
      </c>
      <c r="I1579" s="17">
        <v>99.28</v>
      </c>
      <c r="J1579" s="17" t="s">
        <v>2489</v>
      </c>
      <c r="K1579" s="17">
        <v>97</v>
      </c>
      <c r="L1579" s="17">
        <v>100</v>
      </c>
      <c r="M1579" s="18">
        <f>Raw_LIMS_Export!K1579</f>
        <v>45759</v>
      </c>
      <c r="N1579" s="19" t="s">
        <v>2925</v>
      </c>
    </row>
    <row r="1580" spans="1:14" x14ac:dyDescent="0.35">
      <c r="A1580" s="16" t="s">
        <v>1579</v>
      </c>
      <c r="B1580" s="17" t="s">
        <v>2421</v>
      </c>
      <c r="C1580" s="17" t="s">
        <v>2460</v>
      </c>
      <c r="D1580" s="17" t="str">
        <f>_xlfn.XLOOKUP(Raw_LIMS_Export!E1580,'mapping Site table'!$B$4:$B$14,'mapping Site table'!$C$4:$C$14,Raw_LIMS_Export!E1580)</f>
        <v>Ashford UK</v>
      </c>
      <c r="E1580" s="17" t="s">
        <v>2483</v>
      </c>
      <c r="F1580" s="17">
        <f t="shared" si="73"/>
        <v>1</v>
      </c>
      <c r="G1580" s="17" t="str">
        <f t="shared" si="74"/>
        <v>Pass</v>
      </c>
      <c r="H1580" s="17" t="str">
        <f t="shared" si="72"/>
        <v>Pass</v>
      </c>
      <c r="I1580" s="17">
        <v>0.31</v>
      </c>
      <c r="J1580" s="17" t="s">
        <v>2489</v>
      </c>
      <c r="K1580" s="17">
        <v>0</v>
      </c>
      <c r="L1580" s="17">
        <v>1</v>
      </c>
      <c r="M1580" s="18">
        <f>Raw_LIMS_Export!K1580</f>
        <v>45404</v>
      </c>
      <c r="N1580" s="19" t="s">
        <v>2929</v>
      </c>
    </row>
    <row r="1581" spans="1:14" x14ac:dyDescent="0.35">
      <c r="A1581" s="16" t="s">
        <v>1580</v>
      </c>
      <c r="B1581" s="17" t="s">
        <v>2163</v>
      </c>
      <c r="C1581" s="17" t="s">
        <v>2460</v>
      </c>
      <c r="D1581" s="17" t="str">
        <f>_xlfn.XLOOKUP(Raw_LIMS_Export!E1581,'mapping Site table'!$B$4:$B$14,'mapping Site table'!$C$4:$C$14,Raw_LIMS_Export!E1581)</f>
        <v>East Hanover</v>
      </c>
      <c r="E1581" s="17" t="s">
        <v>2481</v>
      </c>
      <c r="F1581" s="17">
        <f t="shared" si="73"/>
        <v>1</v>
      </c>
      <c r="G1581" s="17" t="str">
        <f t="shared" si="74"/>
        <v>Pass</v>
      </c>
      <c r="H1581" s="17" t="str">
        <f t="shared" si="72"/>
        <v>Fail</v>
      </c>
      <c r="I1581" s="17">
        <v>227.14</v>
      </c>
      <c r="J1581" s="17" t="s">
        <v>2488</v>
      </c>
      <c r="K1581" s="17">
        <v>150</v>
      </c>
      <c r="L1581" s="17">
        <v>400</v>
      </c>
      <c r="M1581" s="18">
        <f>Raw_LIMS_Export!K1581</f>
        <v>45698</v>
      </c>
      <c r="N1581" s="19" t="s">
        <v>2931</v>
      </c>
    </row>
    <row r="1582" spans="1:14" x14ac:dyDescent="0.35">
      <c r="A1582" s="16" t="s">
        <v>1581</v>
      </c>
      <c r="B1582" s="17" t="s">
        <v>2452</v>
      </c>
      <c r="C1582" s="17" t="s">
        <v>2461</v>
      </c>
      <c r="D1582" s="17" t="str">
        <f>_xlfn.XLOOKUP(Raw_LIMS_Export!E1582,'mapping Site table'!$B$4:$B$14,'mapping Site table'!$C$4:$C$14,Raw_LIMS_Export!E1582)</f>
        <v>Dortmund DE</v>
      </c>
      <c r="E1582" s="17" t="s">
        <v>2485</v>
      </c>
      <c r="F1582" s="17">
        <f t="shared" si="73"/>
        <v>1</v>
      </c>
      <c r="G1582" s="17" t="str">
        <f t="shared" si="74"/>
        <v>Fail</v>
      </c>
      <c r="H1582" s="17" t="str">
        <f t="shared" si="72"/>
        <v>Fail</v>
      </c>
      <c r="I1582" s="17">
        <v>-18.13</v>
      </c>
      <c r="J1582" s="17" t="s">
        <v>2490</v>
      </c>
      <c r="K1582" s="17">
        <v>0</v>
      </c>
      <c r="L1582" s="17">
        <v>100</v>
      </c>
      <c r="M1582" s="18">
        <f>Raw_LIMS_Export!K1582</f>
        <v>45452</v>
      </c>
      <c r="N1582" s="19" t="s">
        <v>2931</v>
      </c>
    </row>
    <row r="1583" spans="1:14" x14ac:dyDescent="0.35">
      <c r="A1583" s="16" t="s">
        <v>1582</v>
      </c>
      <c r="B1583" s="17" t="s">
        <v>2195</v>
      </c>
      <c r="C1583" s="17" t="s">
        <v>2457</v>
      </c>
      <c r="D1583" s="17" t="str">
        <f>_xlfn.XLOOKUP(Raw_LIMS_Export!E1583,'mapping Site table'!$B$4:$B$14,'mapping Site table'!$C$4:$C$14,Raw_LIMS_Export!E1583)</f>
        <v>Dortmund DE</v>
      </c>
      <c r="E1583" s="17" t="s">
        <v>2480</v>
      </c>
      <c r="F1583" s="17">
        <f t="shared" si="73"/>
        <v>1</v>
      </c>
      <c r="G1583" s="17" t="str">
        <f t="shared" si="74"/>
        <v>Pass</v>
      </c>
      <c r="H1583" s="17" t="str">
        <f t="shared" si="72"/>
        <v>Pass</v>
      </c>
      <c r="I1583" s="17">
        <v>0.95</v>
      </c>
      <c r="J1583" s="17" t="s">
        <v>2487</v>
      </c>
      <c r="K1583" s="17">
        <v>0.88</v>
      </c>
      <c r="L1583" s="17">
        <v>0.97</v>
      </c>
      <c r="M1583" s="18">
        <f>Raw_LIMS_Export!K1583</f>
        <v>45588</v>
      </c>
      <c r="N1583" s="19" t="s">
        <v>2930</v>
      </c>
    </row>
    <row r="1584" spans="1:14" x14ac:dyDescent="0.35">
      <c r="A1584" s="16" t="s">
        <v>1583</v>
      </c>
      <c r="B1584" s="17" t="s">
        <v>2389</v>
      </c>
      <c r="C1584" s="17" t="s">
        <v>2460</v>
      </c>
      <c r="D1584" s="17" t="str">
        <f>_xlfn.XLOOKUP(Raw_LIMS_Export!E1584,'mapping Site table'!$B$4:$B$14,'mapping Site table'!$C$4:$C$14,Raw_LIMS_Export!E1584)</f>
        <v>Dortmund DE</v>
      </c>
      <c r="E1584" s="17" t="s">
        <v>2482</v>
      </c>
      <c r="F1584" s="17">
        <f t="shared" si="73"/>
        <v>1</v>
      </c>
      <c r="G1584" s="17" t="str">
        <f t="shared" si="74"/>
        <v>Pass</v>
      </c>
      <c r="H1584" s="17" t="str">
        <f t="shared" si="72"/>
        <v>Pass</v>
      </c>
      <c r="I1584" s="17">
        <v>99.16</v>
      </c>
      <c r="J1584" s="17" t="s">
        <v>2489</v>
      </c>
      <c r="K1584" s="17">
        <v>97</v>
      </c>
      <c r="L1584" s="17">
        <v>100</v>
      </c>
      <c r="M1584" s="18">
        <f>Raw_LIMS_Export!K1584</f>
        <v>45546</v>
      </c>
      <c r="N1584" s="19" t="s">
        <v>2930</v>
      </c>
    </row>
    <row r="1585" spans="1:14" x14ac:dyDescent="0.35">
      <c r="A1585" s="16" t="s">
        <v>1584</v>
      </c>
      <c r="B1585" s="17" t="s">
        <v>2392</v>
      </c>
      <c r="C1585" s="17" t="s">
        <v>2461</v>
      </c>
      <c r="D1585" s="17" t="str">
        <f>_xlfn.XLOOKUP(Raw_LIMS_Export!E1585,'mapping Site table'!$B$4:$B$14,'mapping Site table'!$C$4:$C$14,Raw_LIMS_Export!E1585)</f>
        <v>Ashford UK</v>
      </c>
      <c r="E1585" s="17" t="s">
        <v>2484</v>
      </c>
      <c r="F1585" s="17">
        <f t="shared" si="73"/>
        <v>1</v>
      </c>
      <c r="G1585" s="17" t="str">
        <f t="shared" si="74"/>
        <v>Pass</v>
      </c>
      <c r="H1585" s="17" t="str">
        <f t="shared" si="72"/>
        <v>Pass</v>
      </c>
      <c r="I1585" s="17">
        <v>6.53</v>
      </c>
      <c r="J1585" s="17"/>
      <c r="K1585" s="17">
        <v>6</v>
      </c>
      <c r="L1585" s="17">
        <v>7.5</v>
      </c>
      <c r="M1585" s="18">
        <f>Raw_LIMS_Export!K1585</f>
        <v>45923</v>
      </c>
      <c r="N1585" s="19" t="s">
        <v>2927</v>
      </c>
    </row>
    <row r="1586" spans="1:14" x14ac:dyDescent="0.35">
      <c r="A1586" s="16" t="s">
        <v>1585</v>
      </c>
      <c r="B1586" s="17" t="s">
        <v>2185</v>
      </c>
      <c r="C1586" s="17" t="s">
        <v>2461</v>
      </c>
      <c r="D1586" s="17" t="str">
        <f>_xlfn.XLOOKUP(Raw_LIMS_Export!E1586,'mapping Site table'!$B$4:$B$14,'mapping Site table'!$C$4:$C$14,Raw_LIMS_Export!E1586)</f>
        <v>East Hanover</v>
      </c>
      <c r="E1586" s="17" t="s">
        <v>2482</v>
      </c>
      <c r="F1586" s="17">
        <f t="shared" si="73"/>
        <v>1</v>
      </c>
      <c r="G1586" s="17" t="str">
        <f t="shared" si="74"/>
        <v>Pass</v>
      </c>
      <c r="H1586" s="17" t="str">
        <f t="shared" si="72"/>
        <v>Pass</v>
      </c>
      <c r="I1586" s="17">
        <v>99.22</v>
      </c>
      <c r="J1586" s="17" t="s">
        <v>2489</v>
      </c>
      <c r="K1586" s="17">
        <v>97</v>
      </c>
      <c r="L1586" s="17">
        <v>100</v>
      </c>
      <c r="M1586" s="18">
        <f>Raw_LIMS_Export!K1586</f>
        <v>45830</v>
      </c>
      <c r="N1586" s="19" t="s">
        <v>2931</v>
      </c>
    </row>
    <row r="1587" spans="1:14" x14ac:dyDescent="0.35">
      <c r="A1587" s="16" t="s">
        <v>1586</v>
      </c>
      <c r="B1587" s="17" t="s">
        <v>2113</v>
      </c>
      <c r="C1587" s="17" t="s">
        <v>2458</v>
      </c>
      <c r="D1587" s="17" t="str">
        <f>_xlfn.XLOOKUP(Raw_LIMS_Export!E1587,'mapping Site table'!$B$4:$B$14,'mapping Site table'!$C$4:$C$14,Raw_LIMS_Export!E1587)</f>
        <v>East Hanover</v>
      </c>
      <c r="E1587" s="17" t="s">
        <v>2481</v>
      </c>
      <c r="F1587" s="17">
        <f t="shared" si="73"/>
        <v>1</v>
      </c>
      <c r="G1587" s="17" t="str">
        <f t="shared" si="74"/>
        <v>Fail</v>
      </c>
      <c r="H1587" s="17" t="str">
        <f t="shared" si="72"/>
        <v>Fail</v>
      </c>
      <c r="I1587" s="17">
        <v>520</v>
      </c>
      <c r="J1587" s="17" t="s">
        <v>2488</v>
      </c>
      <c r="K1587" s="17">
        <v>150</v>
      </c>
      <c r="L1587" s="17">
        <v>400</v>
      </c>
      <c r="M1587" s="18">
        <f>Raw_LIMS_Export!K1587</f>
        <v>45345</v>
      </c>
      <c r="N1587" s="19" t="s">
        <v>2927</v>
      </c>
    </row>
    <row r="1588" spans="1:14" x14ac:dyDescent="0.35">
      <c r="A1588" s="16" t="s">
        <v>1587</v>
      </c>
      <c r="B1588" s="17" t="s">
        <v>2148</v>
      </c>
      <c r="C1588" s="17" t="s">
        <v>2460</v>
      </c>
      <c r="D1588" s="17" t="str">
        <f>_xlfn.XLOOKUP(Raw_LIMS_Export!E1588,'mapping Site table'!$B$4:$B$14,'mapping Site table'!$C$4:$C$14,Raw_LIMS_Export!E1588)</f>
        <v>Vernier CH</v>
      </c>
      <c r="E1588" s="17" t="s">
        <v>2480</v>
      </c>
      <c r="F1588" s="17">
        <f t="shared" si="73"/>
        <v>1</v>
      </c>
      <c r="G1588" s="17" t="str">
        <f t="shared" si="74"/>
        <v>Fail</v>
      </c>
      <c r="H1588" s="17" t="str">
        <f t="shared" si="72"/>
        <v>Fail</v>
      </c>
      <c r="I1588" s="17">
        <v>1.06</v>
      </c>
      <c r="J1588" s="17" t="s">
        <v>2487</v>
      </c>
      <c r="K1588" s="17">
        <v>0.88</v>
      </c>
      <c r="L1588" s="17">
        <v>0.97</v>
      </c>
      <c r="M1588" s="18">
        <f>Raw_LIMS_Export!K1588</f>
        <v>45840</v>
      </c>
      <c r="N1588" s="19" t="s">
        <v>2932</v>
      </c>
    </row>
    <row r="1589" spans="1:14" x14ac:dyDescent="0.35">
      <c r="A1589" s="16" t="s">
        <v>1588</v>
      </c>
      <c r="B1589" s="17" t="s">
        <v>2437</v>
      </c>
      <c r="C1589" s="17" t="s">
        <v>2457</v>
      </c>
      <c r="D1589" s="17" t="str">
        <f>_xlfn.XLOOKUP(Raw_LIMS_Export!E1589,'mapping Site table'!$B$4:$B$14,'mapping Site table'!$C$4:$C$14,Raw_LIMS_Export!E1589)</f>
        <v>Dortmund DE</v>
      </c>
      <c r="E1589" s="17" t="s">
        <v>2483</v>
      </c>
      <c r="F1589" s="17">
        <f t="shared" si="73"/>
        <v>1</v>
      </c>
      <c r="G1589" s="17" t="str">
        <f t="shared" si="74"/>
        <v>Pass</v>
      </c>
      <c r="H1589" s="17" t="str">
        <f t="shared" si="72"/>
        <v>Fail</v>
      </c>
      <c r="I1589" s="17">
        <v>0.35</v>
      </c>
      <c r="J1589" s="17" t="s">
        <v>2489</v>
      </c>
      <c r="K1589" s="17">
        <v>0</v>
      </c>
      <c r="L1589" s="17">
        <v>1</v>
      </c>
      <c r="M1589" s="18">
        <f>Raw_LIMS_Export!K1589</f>
        <v>45366</v>
      </c>
      <c r="N1589" s="19" t="s">
        <v>2928</v>
      </c>
    </row>
    <row r="1590" spans="1:14" x14ac:dyDescent="0.35">
      <c r="A1590" s="16" t="s">
        <v>1589</v>
      </c>
      <c r="B1590" s="17" t="s">
        <v>2343</v>
      </c>
      <c r="C1590" s="17" t="s">
        <v>2457</v>
      </c>
      <c r="D1590" s="17" t="str">
        <f>_xlfn.XLOOKUP(Raw_LIMS_Export!E1590,'mapping Site table'!$B$4:$B$14,'mapping Site table'!$C$4:$C$14,Raw_LIMS_Export!E1590)</f>
        <v>East Hanover</v>
      </c>
      <c r="E1590" s="17" t="s">
        <v>2481</v>
      </c>
      <c r="F1590" s="17">
        <f t="shared" si="73"/>
        <v>1</v>
      </c>
      <c r="G1590" s="17" t="str">
        <f t="shared" si="74"/>
        <v>Pass</v>
      </c>
      <c r="H1590" s="17" t="str">
        <f t="shared" si="72"/>
        <v>Pass</v>
      </c>
      <c r="I1590" s="17">
        <v>379.65</v>
      </c>
      <c r="J1590" s="17" t="s">
        <v>2488</v>
      </c>
      <c r="K1590" s="17">
        <v>150</v>
      </c>
      <c r="L1590" s="17">
        <v>400</v>
      </c>
      <c r="M1590" s="18">
        <f>Raw_LIMS_Export!K1590</f>
        <v>45531</v>
      </c>
      <c r="N1590" s="19" t="s">
        <v>2929</v>
      </c>
    </row>
    <row r="1591" spans="1:14" x14ac:dyDescent="0.35">
      <c r="A1591" s="16" t="s">
        <v>1590</v>
      </c>
      <c r="B1591" s="17" t="s">
        <v>2197</v>
      </c>
      <c r="C1591" s="17" t="s">
        <v>2459</v>
      </c>
      <c r="D1591" s="17" t="str">
        <f>_xlfn.XLOOKUP(Raw_LIMS_Export!E1591,'mapping Site table'!$B$4:$B$14,'mapping Site table'!$C$4:$C$14,Raw_LIMS_Export!E1591)</f>
        <v>East Hanover</v>
      </c>
      <c r="E1591" s="17" t="s">
        <v>2480</v>
      </c>
      <c r="F1591" s="17">
        <f t="shared" si="73"/>
        <v>1</v>
      </c>
      <c r="G1591" s="17" t="str">
        <f t="shared" si="74"/>
        <v>Pass</v>
      </c>
      <c r="H1591" s="17" t="str">
        <f t="shared" si="72"/>
        <v>Pending</v>
      </c>
      <c r="I1591" s="17">
        <v>0.94</v>
      </c>
      <c r="J1591" s="17" t="s">
        <v>2487</v>
      </c>
      <c r="K1591" s="17">
        <v>0.88</v>
      </c>
      <c r="L1591" s="17">
        <v>0.97</v>
      </c>
      <c r="M1591" s="18">
        <f>Raw_LIMS_Export!K1591</f>
        <v>45854</v>
      </c>
      <c r="N1591" s="19" t="s">
        <v>2923</v>
      </c>
    </row>
    <row r="1592" spans="1:14" x14ac:dyDescent="0.35">
      <c r="A1592" s="16" t="s">
        <v>1591</v>
      </c>
      <c r="B1592" s="17" t="s">
        <v>2104</v>
      </c>
      <c r="C1592" s="17" t="s">
        <v>2458</v>
      </c>
      <c r="D1592" s="17" t="str">
        <f>_xlfn.XLOOKUP(Raw_LIMS_Export!E1592,'mapping Site table'!$B$4:$B$14,'mapping Site table'!$C$4:$C$14,Raw_LIMS_Export!E1592)</f>
        <v>Ashford UK</v>
      </c>
      <c r="E1592" s="17" t="s">
        <v>2482</v>
      </c>
      <c r="F1592" s="17">
        <f t="shared" si="73"/>
        <v>0</v>
      </c>
      <c r="G1592" s="17" t="str">
        <f t="shared" si="74"/>
        <v>Missing</v>
      </c>
      <c r="H1592" s="17" t="str">
        <f t="shared" si="72"/>
        <v>Fail</v>
      </c>
      <c r="I1592" s="17"/>
      <c r="J1592" s="17" t="s">
        <v>2489</v>
      </c>
      <c r="K1592" s="17">
        <v>97</v>
      </c>
      <c r="L1592" s="17">
        <v>100</v>
      </c>
      <c r="M1592" s="18">
        <f>Raw_LIMS_Export!K1592</f>
        <v>45831</v>
      </c>
      <c r="N1592" s="19" t="s">
        <v>2923</v>
      </c>
    </row>
    <row r="1593" spans="1:14" x14ac:dyDescent="0.35">
      <c r="A1593" s="16" t="s">
        <v>1592</v>
      </c>
      <c r="B1593" s="17" t="s">
        <v>2380</v>
      </c>
      <c r="C1593" s="17" t="s">
        <v>2457</v>
      </c>
      <c r="D1593" s="17" t="str">
        <f>_xlfn.XLOOKUP(Raw_LIMS_Export!E1593,'mapping Site table'!$B$4:$B$14,'mapping Site table'!$C$4:$C$14,Raw_LIMS_Export!E1593)</f>
        <v>Dortmund DE</v>
      </c>
      <c r="E1593" s="17" t="s">
        <v>2483</v>
      </c>
      <c r="F1593" s="17">
        <f t="shared" si="73"/>
        <v>1</v>
      </c>
      <c r="G1593" s="17" t="str">
        <f t="shared" si="74"/>
        <v>Pass</v>
      </c>
      <c r="H1593" s="17" t="str">
        <f t="shared" si="72"/>
        <v>Pass</v>
      </c>
      <c r="I1593" s="17">
        <v>0.19</v>
      </c>
      <c r="J1593" s="17" t="s">
        <v>2489</v>
      </c>
      <c r="K1593" s="17">
        <v>0</v>
      </c>
      <c r="L1593" s="17">
        <v>1</v>
      </c>
      <c r="M1593" s="18">
        <f>Raw_LIMS_Export!K1593</f>
        <v>45787</v>
      </c>
      <c r="N1593" s="19" t="s">
        <v>2932</v>
      </c>
    </row>
    <row r="1594" spans="1:14" x14ac:dyDescent="0.35">
      <c r="A1594" s="16" t="s">
        <v>1593</v>
      </c>
      <c r="B1594" s="17" t="s">
        <v>2419</v>
      </c>
      <c r="C1594" s="17" t="s">
        <v>2458</v>
      </c>
      <c r="D1594" s="17" t="str">
        <f>_xlfn.XLOOKUP(Raw_LIMS_Export!E1594,'mapping Site table'!$B$4:$B$14,'mapping Site table'!$C$4:$C$14,Raw_LIMS_Export!E1594)</f>
        <v>Dortmund DE</v>
      </c>
      <c r="E1594" s="17" t="s">
        <v>2481</v>
      </c>
      <c r="F1594" s="17">
        <f t="shared" si="73"/>
        <v>1</v>
      </c>
      <c r="G1594" s="17" t="str">
        <f t="shared" si="74"/>
        <v>Pass</v>
      </c>
      <c r="H1594" s="17" t="str">
        <f t="shared" si="72"/>
        <v>Pending</v>
      </c>
      <c r="I1594" s="17">
        <v>191.82</v>
      </c>
      <c r="J1594" s="17" t="s">
        <v>2488</v>
      </c>
      <c r="K1594" s="17">
        <v>150</v>
      </c>
      <c r="L1594" s="17">
        <v>400</v>
      </c>
      <c r="M1594" s="18">
        <f>Raw_LIMS_Export!K1594</f>
        <v>45881</v>
      </c>
      <c r="N1594" s="19" t="s">
        <v>2927</v>
      </c>
    </row>
    <row r="1595" spans="1:14" x14ac:dyDescent="0.35">
      <c r="A1595" s="16" t="s">
        <v>1594</v>
      </c>
      <c r="B1595" s="17" t="s">
        <v>2054</v>
      </c>
      <c r="C1595" s="17" t="s">
        <v>2457</v>
      </c>
      <c r="D1595" s="17" t="str">
        <f>_xlfn.XLOOKUP(Raw_LIMS_Export!E1595,'mapping Site table'!$B$4:$B$14,'mapping Site table'!$C$4:$C$14,Raw_LIMS_Export!E1595)</f>
        <v>Vernier CH</v>
      </c>
      <c r="E1595" s="17" t="s">
        <v>2484</v>
      </c>
      <c r="F1595" s="17">
        <f t="shared" si="73"/>
        <v>1</v>
      </c>
      <c r="G1595" s="17" t="str">
        <f t="shared" si="74"/>
        <v>Fail</v>
      </c>
      <c r="H1595" s="17" t="str">
        <f t="shared" si="72"/>
        <v>Fail</v>
      </c>
      <c r="I1595" s="17">
        <v>5.72</v>
      </c>
      <c r="J1595" s="17"/>
      <c r="K1595" s="17">
        <v>6</v>
      </c>
      <c r="L1595" s="17">
        <v>7.5</v>
      </c>
      <c r="M1595" s="18">
        <f>Raw_LIMS_Export!K1595</f>
        <v>45510</v>
      </c>
      <c r="N1595" s="19" t="s">
        <v>2925</v>
      </c>
    </row>
    <row r="1596" spans="1:14" x14ac:dyDescent="0.35">
      <c r="A1596" s="16" t="s">
        <v>1595</v>
      </c>
      <c r="B1596" s="17" t="s">
        <v>2321</v>
      </c>
      <c r="C1596" s="17" t="s">
        <v>2457</v>
      </c>
      <c r="D1596" s="17" t="str">
        <f>_xlfn.XLOOKUP(Raw_LIMS_Export!E1596,'mapping Site table'!$B$4:$B$14,'mapping Site table'!$C$4:$C$14,Raw_LIMS_Export!E1596)</f>
        <v>Budapest</v>
      </c>
      <c r="E1596" s="17" t="s">
        <v>2482</v>
      </c>
      <c r="F1596" s="17">
        <f t="shared" si="73"/>
        <v>1</v>
      </c>
      <c r="G1596" s="17" t="str">
        <f t="shared" si="74"/>
        <v>Pass</v>
      </c>
      <c r="H1596" s="17" t="str">
        <f t="shared" si="72"/>
        <v>Pass</v>
      </c>
      <c r="I1596" s="17">
        <v>98.18</v>
      </c>
      <c r="J1596" s="17" t="s">
        <v>2489</v>
      </c>
      <c r="K1596" s="17">
        <v>97</v>
      </c>
      <c r="L1596" s="17">
        <v>100</v>
      </c>
      <c r="M1596" s="18">
        <f>Raw_LIMS_Export!K1596</f>
        <v>45491</v>
      </c>
      <c r="N1596" s="19" t="s">
        <v>2928</v>
      </c>
    </row>
    <row r="1597" spans="1:14" x14ac:dyDescent="0.35">
      <c r="A1597" s="16" t="s">
        <v>1596</v>
      </c>
      <c r="B1597" s="17" t="s">
        <v>2031</v>
      </c>
      <c r="C1597" s="17" t="s">
        <v>2459</v>
      </c>
      <c r="D1597" s="17" t="str">
        <f>_xlfn.XLOOKUP(Raw_LIMS_Export!E1597,'mapping Site table'!$B$4:$B$14,'mapping Site table'!$C$4:$C$14,Raw_LIMS_Export!E1597)</f>
        <v>Dortmund DE</v>
      </c>
      <c r="E1597" s="17" t="s">
        <v>2482</v>
      </c>
      <c r="F1597" s="17">
        <f t="shared" si="73"/>
        <v>1</v>
      </c>
      <c r="G1597" s="17" t="str">
        <f t="shared" si="74"/>
        <v>Fail</v>
      </c>
      <c r="H1597" s="17" t="str">
        <f t="shared" si="72"/>
        <v>Fail</v>
      </c>
      <c r="I1597" s="17">
        <v>100.19</v>
      </c>
      <c r="J1597" s="17" t="s">
        <v>2489</v>
      </c>
      <c r="K1597" s="17">
        <v>97</v>
      </c>
      <c r="L1597" s="17">
        <v>100</v>
      </c>
      <c r="M1597" s="18">
        <f>Raw_LIMS_Export!K1597</f>
        <v>45887</v>
      </c>
      <c r="N1597" s="19" t="s">
        <v>2924</v>
      </c>
    </row>
    <row r="1598" spans="1:14" x14ac:dyDescent="0.35">
      <c r="A1598" s="16" t="s">
        <v>1597</v>
      </c>
      <c r="B1598" s="17" t="s">
        <v>2109</v>
      </c>
      <c r="C1598" s="17" t="s">
        <v>2461</v>
      </c>
      <c r="D1598" s="17" t="str">
        <f>_xlfn.XLOOKUP(Raw_LIMS_Export!E1598,'mapping Site table'!$B$4:$B$14,'mapping Site table'!$C$4:$C$14,Raw_LIMS_Export!E1598)</f>
        <v>Budapest</v>
      </c>
      <c r="E1598" s="17" t="s">
        <v>2484</v>
      </c>
      <c r="F1598" s="17">
        <f t="shared" si="73"/>
        <v>0</v>
      </c>
      <c r="G1598" s="17" t="str">
        <f t="shared" si="74"/>
        <v>Missing</v>
      </c>
      <c r="H1598" s="17" t="str">
        <f t="shared" si="72"/>
        <v>Pending</v>
      </c>
      <c r="I1598" s="17"/>
      <c r="J1598" s="17"/>
      <c r="K1598" s="17">
        <v>6</v>
      </c>
      <c r="L1598" s="17">
        <v>7.5</v>
      </c>
      <c r="M1598" s="18">
        <f>Raw_LIMS_Export!K1598</f>
        <v>45596</v>
      </c>
      <c r="N1598" s="19" t="s">
        <v>2923</v>
      </c>
    </row>
    <row r="1599" spans="1:14" x14ac:dyDescent="0.35">
      <c r="A1599" s="16" t="s">
        <v>1598</v>
      </c>
      <c r="B1599" s="17" t="s">
        <v>2190</v>
      </c>
      <c r="C1599" s="17" t="s">
        <v>2458</v>
      </c>
      <c r="D1599" s="17" t="str">
        <f>_xlfn.XLOOKUP(Raw_LIMS_Export!E1599,'mapping Site table'!$B$4:$B$14,'mapping Site table'!$C$4:$C$14,Raw_LIMS_Export!E1599)</f>
        <v>East Hanover</v>
      </c>
      <c r="E1599" s="17" t="s">
        <v>2482</v>
      </c>
      <c r="F1599" s="17">
        <f t="shared" si="73"/>
        <v>1</v>
      </c>
      <c r="G1599" s="17" t="str">
        <f t="shared" si="74"/>
        <v>Pass</v>
      </c>
      <c r="H1599" s="17" t="str">
        <f t="shared" si="72"/>
        <v>Pass</v>
      </c>
      <c r="I1599" s="17">
        <v>98.62</v>
      </c>
      <c r="J1599" s="17" t="s">
        <v>2489</v>
      </c>
      <c r="K1599" s="17">
        <v>97</v>
      </c>
      <c r="L1599" s="17">
        <v>100</v>
      </c>
      <c r="M1599" s="18">
        <f>Raw_LIMS_Export!K1599</f>
        <v>45428</v>
      </c>
      <c r="N1599" s="19" t="s">
        <v>2924</v>
      </c>
    </row>
    <row r="1600" spans="1:14" x14ac:dyDescent="0.35">
      <c r="A1600" s="16" t="s">
        <v>1599</v>
      </c>
      <c r="B1600" s="17" t="s">
        <v>2184</v>
      </c>
      <c r="C1600" s="17" t="s">
        <v>2461</v>
      </c>
      <c r="D1600" s="17" t="str">
        <f>_xlfn.XLOOKUP(Raw_LIMS_Export!E1600,'mapping Site table'!$B$4:$B$14,'mapping Site table'!$C$4:$C$14,Raw_LIMS_Export!E1600)</f>
        <v>Ashford UK</v>
      </c>
      <c r="E1600" s="17" t="s">
        <v>2482</v>
      </c>
      <c r="F1600" s="17">
        <f t="shared" si="73"/>
        <v>1</v>
      </c>
      <c r="G1600" s="17" t="str">
        <f t="shared" si="74"/>
        <v>Pass</v>
      </c>
      <c r="H1600" s="17" t="str">
        <f t="shared" si="72"/>
        <v>Pass</v>
      </c>
      <c r="I1600" s="17">
        <v>98.71</v>
      </c>
      <c r="J1600" s="17" t="s">
        <v>2489</v>
      </c>
      <c r="K1600" s="17">
        <v>97</v>
      </c>
      <c r="L1600" s="17">
        <v>100</v>
      </c>
      <c r="M1600" s="18">
        <f>Raw_LIMS_Export!K1600</f>
        <v>45662</v>
      </c>
      <c r="N1600" s="19" t="s">
        <v>2931</v>
      </c>
    </row>
    <row r="1601" spans="1:14" x14ac:dyDescent="0.35">
      <c r="A1601" s="16" t="s">
        <v>1600</v>
      </c>
      <c r="B1601" s="17" t="s">
        <v>2413</v>
      </c>
      <c r="C1601" s="17" t="s">
        <v>2458</v>
      </c>
      <c r="D1601" s="17" t="str">
        <f>_xlfn.XLOOKUP(Raw_LIMS_Export!E1601,'mapping Site table'!$B$4:$B$14,'mapping Site table'!$C$4:$C$14,Raw_LIMS_Export!E1601)</f>
        <v>Ashford UK</v>
      </c>
      <c r="E1601" s="17" t="s">
        <v>2481</v>
      </c>
      <c r="F1601" s="17">
        <f t="shared" si="73"/>
        <v>1</v>
      </c>
      <c r="G1601" s="17" t="str">
        <f t="shared" si="74"/>
        <v>Pass</v>
      </c>
      <c r="H1601" s="17" t="str">
        <f t="shared" si="72"/>
        <v>Fail</v>
      </c>
      <c r="I1601" s="17">
        <v>233.23</v>
      </c>
      <c r="J1601" s="17" t="s">
        <v>2488</v>
      </c>
      <c r="K1601" s="17">
        <v>150</v>
      </c>
      <c r="L1601" s="17">
        <v>400</v>
      </c>
      <c r="M1601" s="18">
        <f>Raw_LIMS_Export!K1601</f>
        <v>45419</v>
      </c>
      <c r="N1601" s="19" t="s">
        <v>2925</v>
      </c>
    </row>
    <row r="1602" spans="1:14" x14ac:dyDescent="0.35">
      <c r="A1602" s="16" t="s">
        <v>1601</v>
      </c>
      <c r="B1602" s="17" t="s">
        <v>2404</v>
      </c>
      <c r="C1602" s="17" t="s">
        <v>2458</v>
      </c>
      <c r="D1602" s="17" t="str">
        <f>_xlfn.XLOOKUP(Raw_LIMS_Export!E1602,'mapping Site table'!$B$4:$B$14,'mapping Site table'!$C$4:$C$14,Raw_LIMS_Export!E1602)</f>
        <v>Dortmund DE</v>
      </c>
      <c r="E1602" s="17" t="s">
        <v>2482</v>
      </c>
      <c r="F1602" s="17">
        <f t="shared" si="73"/>
        <v>1</v>
      </c>
      <c r="G1602" s="17" t="str">
        <f t="shared" si="74"/>
        <v>Pass</v>
      </c>
      <c r="H1602" s="17" t="str">
        <f t="shared" ref="H1602:H1665" si="75">IF(COUNTIFS($B$2:$B$2016,B1602,$G$2:$G$2016,"Fail")&gt;0,"Fail",
  IF(COUNTIFS($B$2:$B$2016,B1602,$G$2:$G$2016,"Missing")&gt;0,"Pending",
    "Pass"))</f>
        <v>Pass</v>
      </c>
      <c r="I1602" s="17">
        <v>97.5</v>
      </c>
      <c r="J1602" s="17" t="s">
        <v>2489</v>
      </c>
      <c r="K1602" s="17">
        <v>97</v>
      </c>
      <c r="L1602" s="17">
        <v>100</v>
      </c>
      <c r="M1602" s="18">
        <f>Raw_LIMS_Export!K1602</f>
        <v>45368</v>
      </c>
      <c r="N1602" s="19" t="s">
        <v>2923</v>
      </c>
    </row>
    <row r="1603" spans="1:14" x14ac:dyDescent="0.35">
      <c r="A1603" s="16" t="s">
        <v>1602</v>
      </c>
      <c r="B1603" s="17" t="s">
        <v>2264</v>
      </c>
      <c r="C1603" s="17" t="s">
        <v>2459</v>
      </c>
      <c r="D1603" s="17" t="str">
        <f>_xlfn.XLOOKUP(Raw_LIMS_Export!E1603,'mapping Site table'!$B$4:$B$14,'mapping Site table'!$C$4:$C$14,Raw_LIMS_Export!E1603)</f>
        <v>Dortmund DE</v>
      </c>
      <c r="E1603" s="17" t="s">
        <v>2481</v>
      </c>
      <c r="F1603" s="17">
        <f t="shared" ref="F1603:F1666" si="76">IF(I1603="",0,1)</f>
        <v>1</v>
      </c>
      <c r="G1603" s="17" t="str">
        <f t="shared" ref="G1603:G1666" si="77">IF(I1603="", "Missing", IF(AND(I1603&gt;=K1603, I1603&lt;=L1603), "Pass", "Fail"))</f>
        <v>Pass</v>
      </c>
      <c r="H1603" s="17" t="str">
        <f t="shared" si="75"/>
        <v>Fail</v>
      </c>
      <c r="I1603" s="17">
        <v>247.28</v>
      </c>
      <c r="J1603" s="17" t="s">
        <v>2488</v>
      </c>
      <c r="K1603" s="17">
        <v>150</v>
      </c>
      <c r="L1603" s="17">
        <v>400</v>
      </c>
      <c r="M1603" s="18">
        <f>Raw_LIMS_Export!K1603</f>
        <v>45795</v>
      </c>
      <c r="N1603" s="19" t="s">
        <v>2923</v>
      </c>
    </row>
    <row r="1604" spans="1:14" x14ac:dyDescent="0.35">
      <c r="A1604" s="16" t="s">
        <v>1603</v>
      </c>
      <c r="B1604" s="17" t="s">
        <v>2441</v>
      </c>
      <c r="C1604" s="17" t="s">
        <v>2461</v>
      </c>
      <c r="D1604" s="17" t="str">
        <f>_xlfn.XLOOKUP(Raw_LIMS_Export!E1604,'mapping Site table'!$B$4:$B$14,'mapping Site table'!$C$4:$C$14,Raw_LIMS_Export!E1604)</f>
        <v>East Hanover</v>
      </c>
      <c r="E1604" s="17" t="s">
        <v>2485</v>
      </c>
      <c r="F1604" s="17">
        <f t="shared" si="76"/>
        <v>1</v>
      </c>
      <c r="G1604" s="17" t="str">
        <f t="shared" si="77"/>
        <v>Pass</v>
      </c>
      <c r="H1604" s="17" t="str">
        <f t="shared" si="75"/>
        <v>Pass</v>
      </c>
      <c r="I1604" s="17">
        <v>35.33</v>
      </c>
      <c r="J1604" s="17" t="s">
        <v>2490</v>
      </c>
      <c r="K1604" s="17">
        <v>0</v>
      </c>
      <c r="L1604" s="17">
        <v>100</v>
      </c>
      <c r="M1604" s="18">
        <f>Raw_LIMS_Export!K1604</f>
        <v>45870</v>
      </c>
      <c r="N1604" s="19" t="s">
        <v>2923</v>
      </c>
    </row>
    <row r="1605" spans="1:14" x14ac:dyDescent="0.35">
      <c r="A1605" s="16" t="s">
        <v>1604</v>
      </c>
      <c r="B1605" s="17" t="s">
        <v>2240</v>
      </c>
      <c r="C1605" s="17" t="s">
        <v>2457</v>
      </c>
      <c r="D1605" s="17" t="str">
        <f>_xlfn.XLOOKUP(Raw_LIMS_Export!E1605,'mapping Site table'!$B$4:$B$14,'mapping Site table'!$C$4:$C$14,Raw_LIMS_Export!E1605)</f>
        <v>Budapest</v>
      </c>
      <c r="E1605" s="17" t="s">
        <v>2481</v>
      </c>
      <c r="F1605" s="17">
        <f t="shared" si="76"/>
        <v>1</v>
      </c>
      <c r="G1605" s="17" t="str">
        <f t="shared" si="77"/>
        <v>Pass</v>
      </c>
      <c r="H1605" s="17" t="str">
        <f t="shared" si="75"/>
        <v>Pass</v>
      </c>
      <c r="I1605" s="17">
        <v>227.08</v>
      </c>
      <c r="J1605" s="17" t="s">
        <v>2488</v>
      </c>
      <c r="K1605" s="17">
        <v>150</v>
      </c>
      <c r="L1605" s="17">
        <v>400</v>
      </c>
      <c r="M1605" s="18">
        <f>Raw_LIMS_Export!K1605</f>
        <v>45904</v>
      </c>
      <c r="N1605" s="19" t="s">
        <v>2925</v>
      </c>
    </row>
    <row r="1606" spans="1:14" x14ac:dyDescent="0.35">
      <c r="A1606" s="16" t="s">
        <v>1605</v>
      </c>
      <c r="B1606" s="17" t="s">
        <v>2140</v>
      </c>
      <c r="C1606" s="17" t="s">
        <v>2460</v>
      </c>
      <c r="D1606" s="17" t="str">
        <f>_xlfn.XLOOKUP(Raw_LIMS_Export!E1606,'mapping Site table'!$B$4:$B$14,'mapping Site table'!$C$4:$C$14,Raw_LIMS_Export!E1606)</f>
        <v>Budapest</v>
      </c>
      <c r="E1606" s="17" t="s">
        <v>2480</v>
      </c>
      <c r="F1606" s="17">
        <f t="shared" si="76"/>
        <v>1</v>
      </c>
      <c r="G1606" s="17" t="str">
        <f t="shared" si="77"/>
        <v>Pass</v>
      </c>
      <c r="H1606" s="17" t="str">
        <f t="shared" si="75"/>
        <v>Fail</v>
      </c>
      <c r="I1606" s="17">
        <v>0.91</v>
      </c>
      <c r="J1606" s="17" t="s">
        <v>2487</v>
      </c>
      <c r="K1606" s="17">
        <v>0.88</v>
      </c>
      <c r="L1606" s="17">
        <v>0.97</v>
      </c>
      <c r="M1606" s="18">
        <f>Raw_LIMS_Export!K1606</f>
        <v>45891</v>
      </c>
      <c r="N1606" s="19" t="s">
        <v>2928</v>
      </c>
    </row>
    <row r="1607" spans="1:14" x14ac:dyDescent="0.35">
      <c r="A1607" s="16" t="s">
        <v>1606</v>
      </c>
      <c r="B1607" s="17" t="s">
        <v>2428</v>
      </c>
      <c r="C1607" s="17" t="s">
        <v>2458</v>
      </c>
      <c r="D1607" s="17" t="str">
        <f>_xlfn.XLOOKUP(Raw_LIMS_Export!E1607,'mapping Site table'!$B$4:$B$14,'mapping Site table'!$C$4:$C$14,Raw_LIMS_Export!E1607)</f>
        <v>Vernier CH</v>
      </c>
      <c r="E1607" s="17" t="s">
        <v>2484</v>
      </c>
      <c r="F1607" s="17">
        <f t="shared" si="76"/>
        <v>1</v>
      </c>
      <c r="G1607" s="17" t="str">
        <f t="shared" si="77"/>
        <v>Pass</v>
      </c>
      <c r="H1607" s="17" t="str">
        <f t="shared" si="75"/>
        <v>Fail</v>
      </c>
      <c r="I1607" s="17">
        <v>6.32</v>
      </c>
      <c r="J1607" s="17"/>
      <c r="K1607" s="17">
        <v>6</v>
      </c>
      <c r="L1607" s="17">
        <v>7.5</v>
      </c>
      <c r="M1607" s="18">
        <f>Raw_LIMS_Export!K1607</f>
        <v>45343</v>
      </c>
      <c r="N1607" s="19" t="s">
        <v>2925</v>
      </c>
    </row>
    <row r="1608" spans="1:14" x14ac:dyDescent="0.35">
      <c r="A1608" s="16" t="s">
        <v>1607</v>
      </c>
      <c r="B1608" s="17" t="s">
        <v>2411</v>
      </c>
      <c r="C1608" s="17" t="s">
        <v>2457</v>
      </c>
      <c r="D1608" s="17" t="str">
        <f>_xlfn.XLOOKUP(Raw_LIMS_Export!E1608,'mapping Site table'!$B$4:$B$14,'mapping Site table'!$C$4:$C$14,Raw_LIMS_Export!E1608)</f>
        <v>East Hanover</v>
      </c>
      <c r="E1608" s="17" t="s">
        <v>2481</v>
      </c>
      <c r="F1608" s="17">
        <f t="shared" si="76"/>
        <v>1</v>
      </c>
      <c r="G1608" s="17" t="str">
        <f t="shared" si="77"/>
        <v>Pass</v>
      </c>
      <c r="H1608" s="17" t="str">
        <f t="shared" si="75"/>
        <v>Pass</v>
      </c>
      <c r="I1608" s="17">
        <v>265.75</v>
      </c>
      <c r="J1608" s="17" t="s">
        <v>2488</v>
      </c>
      <c r="K1608" s="17">
        <v>150</v>
      </c>
      <c r="L1608" s="17">
        <v>400</v>
      </c>
      <c r="M1608" s="18">
        <f>Raw_LIMS_Export!K1608</f>
        <v>45612</v>
      </c>
      <c r="N1608" s="19" t="s">
        <v>2930</v>
      </c>
    </row>
    <row r="1609" spans="1:14" x14ac:dyDescent="0.35">
      <c r="A1609" s="16" t="s">
        <v>1608</v>
      </c>
      <c r="B1609" s="17" t="s">
        <v>2336</v>
      </c>
      <c r="C1609" s="17" t="s">
        <v>2460</v>
      </c>
      <c r="D1609" s="17" t="str">
        <f>_xlfn.XLOOKUP(Raw_LIMS_Export!E1609,'mapping Site table'!$B$4:$B$14,'mapping Site table'!$C$4:$C$14,Raw_LIMS_Export!E1609)</f>
        <v>Vernier CH</v>
      </c>
      <c r="E1609" s="17" t="s">
        <v>2480</v>
      </c>
      <c r="F1609" s="17">
        <f t="shared" si="76"/>
        <v>1</v>
      </c>
      <c r="G1609" s="17" t="str">
        <f t="shared" si="77"/>
        <v>Fail</v>
      </c>
      <c r="H1609" s="17" t="str">
        <f t="shared" si="75"/>
        <v>Fail</v>
      </c>
      <c r="I1609" s="17">
        <v>0.84</v>
      </c>
      <c r="J1609" s="17" t="s">
        <v>2487</v>
      </c>
      <c r="K1609" s="17">
        <v>0.88</v>
      </c>
      <c r="L1609" s="17">
        <v>0.97</v>
      </c>
      <c r="M1609" s="18">
        <f>Raw_LIMS_Export!K1609</f>
        <v>45661</v>
      </c>
      <c r="N1609" s="19" t="s">
        <v>2926</v>
      </c>
    </row>
    <row r="1610" spans="1:14" x14ac:dyDescent="0.35">
      <c r="A1610" s="16" t="s">
        <v>1609</v>
      </c>
      <c r="B1610" s="17" t="s">
        <v>2316</v>
      </c>
      <c r="C1610" s="17" t="s">
        <v>2460</v>
      </c>
      <c r="D1610" s="17" t="str">
        <f>_xlfn.XLOOKUP(Raw_LIMS_Export!E1610,'mapping Site table'!$B$4:$B$14,'mapping Site table'!$C$4:$C$14,Raw_LIMS_Export!E1610)</f>
        <v>Dortmund DE</v>
      </c>
      <c r="E1610" s="17" t="s">
        <v>2482</v>
      </c>
      <c r="F1610" s="17">
        <f t="shared" si="76"/>
        <v>1</v>
      </c>
      <c r="G1610" s="17" t="str">
        <f t="shared" si="77"/>
        <v>Pass</v>
      </c>
      <c r="H1610" s="17" t="str">
        <f t="shared" si="75"/>
        <v>Fail</v>
      </c>
      <c r="I1610" s="17">
        <v>97.94</v>
      </c>
      <c r="J1610" s="17" t="s">
        <v>2489</v>
      </c>
      <c r="K1610" s="17">
        <v>97</v>
      </c>
      <c r="L1610" s="17">
        <v>100</v>
      </c>
      <c r="M1610" s="18">
        <f>Raw_LIMS_Export!K1610</f>
        <v>45524</v>
      </c>
      <c r="N1610" s="19" t="s">
        <v>2923</v>
      </c>
    </row>
    <row r="1611" spans="1:14" x14ac:dyDescent="0.35">
      <c r="A1611" s="16" t="s">
        <v>1610</v>
      </c>
      <c r="B1611" s="17" t="s">
        <v>2386</v>
      </c>
      <c r="C1611" s="17" t="s">
        <v>2459</v>
      </c>
      <c r="D1611" s="17" t="str">
        <f>_xlfn.XLOOKUP(Raw_LIMS_Export!E1611,'mapping Site table'!$B$4:$B$14,'mapping Site table'!$C$4:$C$14,Raw_LIMS_Export!E1611)</f>
        <v>East Hanover</v>
      </c>
      <c r="E1611" s="17" t="s">
        <v>2481</v>
      </c>
      <c r="F1611" s="17">
        <f t="shared" si="76"/>
        <v>1</v>
      </c>
      <c r="G1611" s="17" t="str">
        <f t="shared" si="77"/>
        <v>Pass</v>
      </c>
      <c r="H1611" s="17" t="str">
        <f t="shared" si="75"/>
        <v>Pass</v>
      </c>
      <c r="I1611" s="17">
        <v>309.83</v>
      </c>
      <c r="J1611" s="17" t="s">
        <v>2488</v>
      </c>
      <c r="K1611" s="17">
        <v>150</v>
      </c>
      <c r="L1611" s="17">
        <v>400</v>
      </c>
      <c r="M1611" s="18">
        <f>Raw_LIMS_Export!K1611</f>
        <v>45609</v>
      </c>
      <c r="N1611" s="19" t="s">
        <v>2925</v>
      </c>
    </row>
    <row r="1612" spans="1:14" x14ac:dyDescent="0.35">
      <c r="A1612" s="16" t="s">
        <v>1611</v>
      </c>
      <c r="B1612" s="17" t="s">
        <v>2285</v>
      </c>
      <c r="C1612" s="17" t="s">
        <v>2457</v>
      </c>
      <c r="D1612" s="17" t="str">
        <f>_xlfn.XLOOKUP(Raw_LIMS_Export!E1612,'mapping Site table'!$B$4:$B$14,'mapping Site table'!$C$4:$C$14,Raw_LIMS_Export!E1612)</f>
        <v>Vernier CH</v>
      </c>
      <c r="E1612" s="17" t="s">
        <v>2479</v>
      </c>
      <c r="F1612" s="17">
        <f t="shared" si="76"/>
        <v>1</v>
      </c>
      <c r="G1612" s="17" t="str">
        <f t="shared" si="77"/>
        <v>Pass</v>
      </c>
      <c r="H1612" s="17" t="str">
        <f t="shared" si="75"/>
        <v>Fail</v>
      </c>
      <c r="I1612" s="17">
        <v>75.34</v>
      </c>
      <c r="J1612" s="17" t="s">
        <v>2486</v>
      </c>
      <c r="K1612" s="17">
        <v>0</v>
      </c>
      <c r="L1612" s="17">
        <v>120</v>
      </c>
      <c r="M1612" s="18">
        <f>Raw_LIMS_Export!K1612</f>
        <v>45960</v>
      </c>
      <c r="N1612" s="19" t="s">
        <v>2932</v>
      </c>
    </row>
    <row r="1613" spans="1:14" x14ac:dyDescent="0.35">
      <c r="A1613" s="16" t="s">
        <v>1612</v>
      </c>
      <c r="B1613" s="17" t="s">
        <v>2392</v>
      </c>
      <c r="C1613" s="17" t="s">
        <v>2461</v>
      </c>
      <c r="D1613" s="17" t="str">
        <f>_xlfn.XLOOKUP(Raw_LIMS_Export!E1613,'mapping Site table'!$B$4:$B$14,'mapping Site table'!$C$4:$C$14,Raw_LIMS_Export!E1613)</f>
        <v>Ashford UK</v>
      </c>
      <c r="E1613" s="17" t="s">
        <v>2485</v>
      </c>
      <c r="F1613" s="17">
        <f t="shared" si="76"/>
        <v>1</v>
      </c>
      <c r="G1613" s="17" t="str">
        <f t="shared" si="77"/>
        <v>Pass</v>
      </c>
      <c r="H1613" s="17" t="str">
        <f t="shared" si="75"/>
        <v>Pass</v>
      </c>
      <c r="I1613" s="17">
        <v>6.84</v>
      </c>
      <c r="J1613" s="17" t="s">
        <v>2490</v>
      </c>
      <c r="K1613" s="17">
        <v>0</v>
      </c>
      <c r="L1613" s="17">
        <v>100</v>
      </c>
      <c r="M1613" s="18">
        <f>Raw_LIMS_Export!K1613</f>
        <v>45923</v>
      </c>
      <c r="N1613" s="19" t="s">
        <v>2923</v>
      </c>
    </row>
    <row r="1614" spans="1:14" x14ac:dyDescent="0.35">
      <c r="A1614" s="16" t="s">
        <v>1613</v>
      </c>
      <c r="B1614" s="17" t="s">
        <v>2180</v>
      </c>
      <c r="C1614" s="17" t="s">
        <v>2461</v>
      </c>
      <c r="D1614" s="17" t="str">
        <f>_xlfn.XLOOKUP(Raw_LIMS_Export!E1614,'mapping Site table'!$B$4:$B$14,'mapping Site table'!$C$4:$C$14,Raw_LIMS_Export!E1614)</f>
        <v>East Hanover</v>
      </c>
      <c r="E1614" s="17" t="s">
        <v>2479</v>
      </c>
      <c r="F1614" s="17">
        <f t="shared" si="76"/>
        <v>1</v>
      </c>
      <c r="G1614" s="17" t="str">
        <f t="shared" si="77"/>
        <v>Pass</v>
      </c>
      <c r="H1614" s="17" t="str">
        <f t="shared" si="75"/>
        <v>Pass</v>
      </c>
      <c r="I1614" s="17">
        <v>80.510000000000005</v>
      </c>
      <c r="J1614" s="17" t="s">
        <v>2486</v>
      </c>
      <c r="K1614" s="17">
        <v>0</v>
      </c>
      <c r="L1614" s="17">
        <v>120</v>
      </c>
      <c r="M1614" s="18">
        <f>Raw_LIMS_Export!K1614</f>
        <v>45649</v>
      </c>
      <c r="N1614" s="19" t="s">
        <v>2923</v>
      </c>
    </row>
    <row r="1615" spans="1:14" x14ac:dyDescent="0.35">
      <c r="A1615" s="16" t="s">
        <v>1614</v>
      </c>
      <c r="B1615" s="17" t="s">
        <v>2246</v>
      </c>
      <c r="C1615" s="17" t="s">
        <v>2460</v>
      </c>
      <c r="D1615" s="17" t="str">
        <f>_xlfn.XLOOKUP(Raw_LIMS_Export!E1615,'mapping Site table'!$B$4:$B$14,'mapping Site table'!$C$4:$C$14,Raw_LIMS_Export!E1615)</f>
        <v>Vernier CH</v>
      </c>
      <c r="E1615" s="17" t="s">
        <v>2480</v>
      </c>
      <c r="F1615" s="17">
        <f t="shared" si="76"/>
        <v>1</v>
      </c>
      <c r="G1615" s="17" t="str">
        <f t="shared" si="77"/>
        <v>Pass</v>
      </c>
      <c r="H1615" s="17" t="str">
        <f t="shared" si="75"/>
        <v>Pass</v>
      </c>
      <c r="I1615" s="17">
        <v>0.92</v>
      </c>
      <c r="J1615" s="17" t="s">
        <v>2487</v>
      </c>
      <c r="K1615" s="17">
        <v>0.88</v>
      </c>
      <c r="L1615" s="17">
        <v>0.97</v>
      </c>
      <c r="M1615" s="18">
        <f>Raw_LIMS_Export!K1615</f>
        <v>45884</v>
      </c>
      <c r="N1615" s="19" t="s">
        <v>2923</v>
      </c>
    </row>
    <row r="1616" spans="1:14" x14ac:dyDescent="0.35">
      <c r="A1616" s="16" t="s">
        <v>1615</v>
      </c>
      <c r="B1616" s="17" t="s">
        <v>2407</v>
      </c>
      <c r="C1616" s="17" t="s">
        <v>2461</v>
      </c>
      <c r="D1616" s="17" t="str">
        <f>_xlfn.XLOOKUP(Raw_LIMS_Export!E1616,'mapping Site table'!$B$4:$B$14,'mapping Site table'!$C$4:$C$14,Raw_LIMS_Export!E1616)</f>
        <v>East Hanover</v>
      </c>
      <c r="E1616" s="17" t="s">
        <v>2483</v>
      </c>
      <c r="F1616" s="17">
        <f t="shared" si="76"/>
        <v>1</v>
      </c>
      <c r="G1616" s="17" t="str">
        <f t="shared" si="77"/>
        <v>Pass</v>
      </c>
      <c r="H1616" s="17" t="str">
        <f t="shared" si="75"/>
        <v>Pass</v>
      </c>
      <c r="I1616" s="17">
        <v>0.28999999999999998</v>
      </c>
      <c r="J1616" s="17" t="s">
        <v>2489</v>
      </c>
      <c r="K1616" s="17">
        <v>0</v>
      </c>
      <c r="L1616" s="17">
        <v>1</v>
      </c>
      <c r="M1616" s="18">
        <f>Raw_LIMS_Export!K1616</f>
        <v>45527</v>
      </c>
      <c r="N1616" s="19" t="s">
        <v>2929</v>
      </c>
    </row>
    <row r="1617" spans="1:14" x14ac:dyDescent="0.35">
      <c r="A1617" s="16" t="s">
        <v>1616</v>
      </c>
      <c r="B1617" s="17" t="s">
        <v>2355</v>
      </c>
      <c r="C1617" s="17" t="s">
        <v>2457</v>
      </c>
      <c r="D1617" s="17" t="str">
        <f>_xlfn.XLOOKUP(Raw_LIMS_Export!E1617,'mapping Site table'!$B$4:$B$14,'mapping Site table'!$C$4:$C$14,Raw_LIMS_Export!E1617)</f>
        <v>Budapest</v>
      </c>
      <c r="E1617" s="17" t="s">
        <v>2479</v>
      </c>
      <c r="F1617" s="17">
        <f t="shared" si="76"/>
        <v>0</v>
      </c>
      <c r="G1617" s="17" t="str">
        <f t="shared" si="77"/>
        <v>Missing</v>
      </c>
      <c r="H1617" s="17" t="str">
        <f t="shared" si="75"/>
        <v>Fail</v>
      </c>
      <c r="I1617" s="17"/>
      <c r="J1617" s="17" t="s">
        <v>2486</v>
      </c>
      <c r="K1617" s="17">
        <v>0</v>
      </c>
      <c r="L1617" s="17">
        <v>120</v>
      </c>
      <c r="M1617" s="18">
        <f>Raw_LIMS_Export!K1617</f>
        <v>45598</v>
      </c>
      <c r="N1617" s="19" t="s">
        <v>2926</v>
      </c>
    </row>
    <row r="1618" spans="1:14" x14ac:dyDescent="0.35">
      <c r="A1618" s="16" t="s">
        <v>1617</v>
      </c>
      <c r="B1618" s="17" t="s">
        <v>2411</v>
      </c>
      <c r="C1618" s="17" t="s">
        <v>2457</v>
      </c>
      <c r="D1618" s="17" t="str">
        <f>_xlfn.XLOOKUP(Raw_LIMS_Export!E1618,'mapping Site table'!$B$4:$B$14,'mapping Site table'!$C$4:$C$14,Raw_LIMS_Export!E1618)</f>
        <v>East Hanover</v>
      </c>
      <c r="E1618" s="17" t="s">
        <v>2483</v>
      </c>
      <c r="F1618" s="17">
        <f t="shared" si="76"/>
        <v>1</v>
      </c>
      <c r="G1618" s="17" t="str">
        <f t="shared" si="77"/>
        <v>Pass</v>
      </c>
      <c r="H1618" s="17" t="str">
        <f t="shared" si="75"/>
        <v>Pass</v>
      </c>
      <c r="I1618" s="17">
        <v>0.16</v>
      </c>
      <c r="J1618" s="17" t="s">
        <v>2489</v>
      </c>
      <c r="K1618" s="17">
        <v>0</v>
      </c>
      <c r="L1618" s="17">
        <v>1</v>
      </c>
      <c r="M1618" s="18">
        <f>Raw_LIMS_Export!K1618</f>
        <v>45612</v>
      </c>
      <c r="N1618" s="19" t="s">
        <v>2924</v>
      </c>
    </row>
    <row r="1619" spans="1:14" x14ac:dyDescent="0.35">
      <c r="A1619" s="16" t="s">
        <v>1618</v>
      </c>
      <c r="B1619" s="17" t="s">
        <v>2168</v>
      </c>
      <c r="C1619" s="17" t="s">
        <v>2459</v>
      </c>
      <c r="D1619" s="17" t="str">
        <f>_xlfn.XLOOKUP(Raw_LIMS_Export!E1619,'mapping Site table'!$B$4:$B$14,'mapping Site table'!$C$4:$C$14,Raw_LIMS_Export!E1619)</f>
        <v>Budapest</v>
      </c>
      <c r="E1619" s="17" t="s">
        <v>2484</v>
      </c>
      <c r="F1619" s="17">
        <f t="shared" si="76"/>
        <v>1</v>
      </c>
      <c r="G1619" s="17" t="str">
        <f t="shared" si="77"/>
        <v>Pass</v>
      </c>
      <c r="H1619" s="17" t="str">
        <f t="shared" si="75"/>
        <v>Pass</v>
      </c>
      <c r="I1619" s="17">
        <v>6.38</v>
      </c>
      <c r="J1619" s="17"/>
      <c r="K1619" s="17">
        <v>6</v>
      </c>
      <c r="L1619" s="17">
        <v>7.5</v>
      </c>
      <c r="M1619" s="18">
        <f>Raw_LIMS_Export!K1619</f>
        <v>45558</v>
      </c>
      <c r="N1619" s="19" t="s">
        <v>2923</v>
      </c>
    </row>
    <row r="1620" spans="1:14" x14ac:dyDescent="0.35">
      <c r="A1620" s="16" t="s">
        <v>1619</v>
      </c>
      <c r="B1620" s="17" t="s">
        <v>2331</v>
      </c>
      <c r="C1620" s="17" t="s">
        <v>2457</v>
      </c>
      <c r="D1620" s="17" t="str">
        <f>_xlfn.XLOOKUP(Raw_LIMS_Export!E1620,'mapping Site table'!$B$4:$B$14,'mapping Site table'!$C$4:$C$14,Raw_LIMS_Export!E1620)</f>
        <v>Budapest</v>
      </c>
      <c r="E1620" s="17" t="s">
        <v>2483</v>
      </c>
      <c r="F1620" s="17">
        <f t="shared" si="76"/>
        <v>1</v>
      </c>
      <c r="G1620" s="17" t="str">
        <f t="shared" si="77"/>
        <v>Pass</v>
      </c>
      <c r="H1620" s="17" t="str">
        <f t="shared" si="75"/>
        <v>Pass</v>
      </c>
      <c r="I1620" s="17">
        <v>0.4</v>
      </c>
      <c r="J1620" s="17" t="s">
        <v>2489</v>
      </c>
      <c r="K1620" s="17">
        <v>0</v>
      </c>
      <c r="L1620" s="17">
        <v>1</v>
      </c>
      <c r="M1620" s="18">
        <f>Raw_LIMS_Export!K1620</f>
        <v>46019</v>
      </c>
      <c r="N1620" s="19" t="s">
        <v>2926</v>
      </c>
    </row>
    <row r="1621" spans="1:14" x14ac:dyDescent="0.35">
      <c r="A1621" s="16" t="s">
        <v>1620</v>
      </c>
      <c r="B1621" s="17" t="s">
        <v>2203</v>
      </c>
      <c r="C1621" s="17" t="s">
        <v>2458</v>
      </c>
      <c r="D1621" s="17" t="str">
        <f>_xlfn.XLOOKUP(Raw_LIMS_Export!E1621,'mapping Site table'!$B$4:$B$14,'mapping Site table'!$C$4:$C$14,Raw_LIMS_Export!E1621)</f>
        <v>Dortmund DE</v>
      </c>
      <c r="E1621" s="17" t="s">
        <v>2482</v>
      </c>
      <c r="F1621" s="17">
        <f t="shared" si="76"/>
        <v>1</v>
      </c>
      <c r="G1621" s="17" t="str">
        <f t="shared" si="77"/>
        <v>Pass</v>
      </c>
      <c r="H1621" s="17" t="str">
        <f t="shared" si="75"/>
        <v>Fail</v>
      </c>
      <c r="I1621" s="17">
        <v>99.05</v>
      </c>
      <c r="J1621" s="17" t="s">
        <v>2489</v>
      </c>
      <c r="K1621" s="17">
        <v>97</v>
      </c>
      <c r="L1621" s="17">
        <v>100</v>
      </c>
      <c r="M1621" s="18">
        <f>Raw_LIMS_Export!K1621</f>
        <v>45911</v>
      </c>
      <c r="N1621" s="19" t="s">
        <v>2929</v>
      </c>
    </row>
    <row r="1622" spans="1:14" x14ac:dyDescent="0.35">
      <c r="A1622" s="16" t="s">
        <v>1621</v>
      </c>
      <c r="B1622" s="17" t="s">
        <v>2020</v>
      </c>
      <c r="C1622" s="17" t="s">
        <v>2458</v>
      </c>
      <c r="D1622" s="17" t="str">
        <f>_xlfn.XLOOKUP(Raw_LIMS_Export!E1622,'mapping Site table'!$B$4:$B$14,'mapping Site table'!$C$4:$C$14,Raw_LIMS_Export!E1622)</f>
        <v>Budapest</v>
      </c>
      <c r="E1622" s="17" t="s">
        <v>2481</v>
      </c>
      <c r="F1622" s="17">
        <f t="shared" si="76"/>
        <v>1</v>
      </c>
      <c r="G1622" s="17" t="str">
        <f t="shared" si="77"/>
        <v>Pass</v>
      </c>
      <c r="H1622" s="17" t="str">
        <f t="shared" si="75"/>
        <v>Pass</v>
      </c>
      <c r="I1622" s="17">
        <v>272.79000000000002</v>
      </c>
      <c r="J1622" s="17" t="s">
        <v>2488</v>
      </c>
      <c r="K1622" s="17">
        <v>150</v>
      </c>
      <c r="L1622" s="17">
        <v>400</v>
      </c>
      <c r="M1622" s="18">
        <f>Raw_LIMS_Export!K1622</f>
        <v>45655</v>
      </c>
      <c r="N1622" s="19" t="s">
        <v>2932</v>
      </c>
    </row>
    <row r="1623" spans="1:14" x14ac:dyDescent="0.35">
      <c r="A1623" s="16" t="s">
        <v>1622</v>
      </c>
      <c r="B1623" s="17" t="s">
        <v>2115</v>
      </c>
      <c r="C1623" s="17" t="s">
        <v>2457</v>
      </c>
      <c r="D1623" s="17" t="str">
        <f>_xlfn.XLOOKUP(Raw_LIMS_Export!E1623,'mapping Site table'!$B$4:$B$14,'mapping Site table'!$C$4:$C$14,Raw_LIMS_Export!E1623)</f>
        <v>Budapest</v>
      </c>
      <c r="E1623" s="17" t="s">
        <v>2481</v>
      </c>
      <c r="F1623" s="17">
        <f t="shared" si="76"/>
        <v>1</v>
      </c>
      <c r="G1623" s="17" t="str">
        <f t="shared" si="77"/>
        <v>Pass</v>
      </c>
      <c r="H1623" s="17" t="str">
        <f t="shared" si="75"/>
        <v>Pass</v>
      </c>
      <c r="I1623" s="17">
        <v>250.96</v>
      </c>
      <c r="J1623" s="17" t="s">
        <v>2488</v>
      </c>
      <c r="K1623" s="17">
        <v>150</v>
      </c>
      <c r="L1623" s="17">
        <v>400</v>
      </c>
      <c r="M1623" s="18">
        <f>Raw_LIMS_Export!K1623</f>
        <v>45931</v>
      </c>
      <c r="N1623" s="19" t="s">
        <v>2927</v>
      </c>
    </row>
    <row r="1624" spans="1:14" x14ac:dyDescent="0.35">
      <c r="A1624" s="16" t="s">
        <v>1623</v>
      </c>
      <c r="B1624" s="17" t="s">
        <v>2394</v>
      </c>
      <c r="C1624" s="17" t="s">
        <v>2460</v>
      </c>
      <c r="D1624" s="17" t="str">
        <f>_xlfn.XLOOKUP(Raw_LIMS_Export!E1624,'mapping Site table'!$B$4:$B$14,'mapping Site table'!$C$4:$C$14,Raw_LIMS_Export!E1624)</f>
        <v>Vernier CH</v>
      </c>
      <c r="E1624" s="17" t="s">
        <v>2481</v>
      </c>
      <c r="F1624" s="17">
        <f t="shared" si="76"/>
        <v>1</v>
      </c>
      <c r="G1624" s="17" t="str">
        <f t="shared" si="77"/>
        <v>Pass</v>
      </c>
      <c r="H1624" s="17" t="str">
        <f t="shared" si="75"/>
        <v>Fail</v>
      </c>
      <c r="I1624" s="17">
        <v>238.78</v>
      </c>
      <c r="J1624" s="17" t="s">
        <v>2488</v>
      </c>
      <c r="K1624" s="17">
        <v>150</v>
      </c>
      <c r="L1624" s="17">
        <v>400</v>
      </c>
      <c r="M1624" s="18">
        <f>Raw_LIMS_Export!K1624</f>
        <v>45499</v>
      </c>
      <c r="N1624" s="19" t="s">
        <v>2925</v>
      </c>
    </row>
    <row r="1625" spans="1:14" x14ac:dyDescent="0.35">
      <c r="A1625" s="16" t="s">
        <v>1624</v>
      </c>
      <c r="B1625" s="17" t="s">
        <v>2337</v>
      </c>
      <c r="C1625" s="17" t="s">
        <v>2461</v>
      </c>
      <c r="D1625" s="17" t="str">
        <f>_xlfn.XLOOKUP(Raw_LIMS_Export!E1625,'mapping Site table'!$B$4:$B$14,'mapping Site table'!$C$4:$C$14,Raw_LIMS_Export!E1625)</f>
        <v>East Hanover</v>
      </c>
      <c r="E1625" s="17" t="s">
        <v>2479</v>
      </c>
      <c r="F1625" s="17">
        <f t="shared" si="76"/>
        <v>1</v>
      </c>
      <c r="G1625" s="17" t="str">
        <f t="shared" si="77"/>
        <v>Pass</v>
      </c>
      <c r="H1625" s="17" t="str">
        <f t="shared" si="75"/>
        <v>Pass</v>
      </c>
      <c r="I1625" s="17">
        <v>37.19</v>
      </c>
      <c r="J1625" s="17" t="s">
        <v>2486</v>
      </c>
      <c r="K1625" s="17">
        <v>0</v>
      </c>
      <c r="L1625" s="17">
        <v>120</v>
      </c>
      <c r="M1625" s="18">
        <f>Raw_LIMS_Export!K1625</f>
        <v>45545</v>
      </c>
      <c r="N1625" s="19" t="s">
        <v>2931</v>
      </c>
    </row>
    <row r="1626" spans="1:14" x14ac:dyDescent="0.35">
      <c r="A1626" s="16" t="s">
        <v>1625</v>
      </c>
      <c r="B1626" s="17" t="s">
        <v>2443</v>
      </c>
      <c r="C1626" s="17" t="s">
        <v>2460</v>
      </c>
      <c r="D1626" s="17" t="str">
        <f>_xlfn.XLOOKUP(Raw_LIMS_Export!E1626,'mapping Site table'!$B$4:$B$14,'mapping Site table'!$C$4:$C$14,Raw_LIMS_Export!E1626)</f>
        <v>Ashford UK</v>
      </c>
      <c r="E1626" s="17" t="s">
        <v>2479</v>
      </c>
      <c r="F1626" s="17">
        <f t="shared" si="76"/>
        <v>1</v>
      </c>
      <c r="G1626" s="17" t="str">
        <f t="shared" si="77"/>
        <v>Pass</v>
      </c>
      <c r="H1626" s="17" t="str">
        <f t="shared" si="75"/>
        <v>Pass</v>
      </c>
      <c r="I1626" s="17">
        <v>55.8</v>
      </c>
      <c r="J1626" s="17" t="s">
        <v>2486</v>
      </c>
      <c r="K1626" s="17">
        <v>0</v>
      </c>
      <c r="L1626" s="17">
        <v>120</v>
      </c>
      <c r="M1626" s="18">
        <f>Raw_LIMS_Export!K1626</f>
        <v>45533</v>
      </c>
      <c r="N1626" s="19" t="s">
        <v>2930</v>
      </c>
    </row>
    <row r="1627" spans="1:14" x14ac:dyDescent="0.35">
      <c r="A1627" s="16" t="s">
        <v>1626</v>
      </c>
      <c r="B1627" s="17" t="s">
        <v>2051</v>
      </c>
      <c r="C1627" s="17" t="s">
        <v>2461</v>
      </c>
      <c r="D1627" s="17" t="str">
        <f>_xlfn.XLOOKUP(Raw_LIMS_Export!E1627,'mapping Site table'!$B$4:$B$14,'mapping Site table'!$C$4:$C$14,Raw_LIMS_Export!E1627)</f>
        <v>Dortmund DE</v>
      </c>
      <c r="E1627" s="17" t="s">
        <v>2479</v>
      </c>
      <c r="F1627" s="17">
        <f t="shared" si="76"/>
        <v>1</v>
      </c>
      <c r="G1627" s="17" t="str">
        <f t="shared" si="77"/>
        <v>Pass</v>
      </c>
      <c r="H1627" s="17" t="str">
        <f t="shared" si="75"/>
        <v>Fail</v>
      </c>
      <c r="I1627" s="17">
        <v>59.79</v>
      </c>
      <c r="J1627" s="17" t="s">
        <v>2486</v>
      </c>
      <c r="K1627" s="17">
        <v>0</v>
      </c>
      <c r="L1627" s="17">
        <v>120</v>
      </c>
      <c r="M1627" s="18">
        <f>Raw_LIMS_Export!K1627</f>
        <v>45564</v>
      </c>
      <c r="N1627" s="19" t="s">
        <v>2931</v>
      </c>
    </row>
    <row r="1628" spans="1:14" x14ac:dyDescent="0.35">
      <c r="A1628" s="16" t="s">
        <v>1627</v>
      </c>
      <c r="B1628" s="17" t="s">
        <v>2276</v>
      </c>
      <c r="C1628" s="17" t="s">
        <v>2457</v>
      </c>
      <c r="D1628" s="17" t="str">
        <f>_xlfn.XLOOKUP(Raw_LIMS_Export!E1628,'mapping Site table'!$B$4:$B$14,'mapping Site table'!$C$4:$C$14,Raw_LIMS_Export!E1628)</f>
        <v>Budapest</v>
      </c>
      <c r="E1628" s="17" t="s">
        <v>2485</v>
      </c>
      <c r="F1628" s="17">
        <f t="shared" si="76"/>
        <v>1</v>
      </c>
      <c r="G1628" s="17" t="str">
        <f t="shared" si="77"/>
        <v>Pass</v>
      </c>
      <c r="H1628" s="17" t="str">
        <f t="shared" si="75"/>
        <v>Pass</v>
      </c>
      <c r="I1628" s="17">
        <v>60.04</v>
      </c>
      <c r="J1628" s="17" t="s">
        <v>2490</v>
      </c>
      <c r="K1628" s="17">
        <v>0</v>
      </c>
      <c r="L1628" s="17">
        <v>100</v>
      </c>
      <c r="M1628" s="18">
        <f>Raw_LIMS_Export!K1628</f>
        <v>45685</v>
      </c>
      <c r="N1628" s="19" t="s">
        <v>2923</v>
      </c>
    </row>
    <row r="1629" spans="1:14" x14ac:dyDescent="0.35">
      <c r="A1629" s="16" t="s">
        <v>1628</v>
      </c>
      <c r="B1629" s="17" t="s">
        <v>2280</v>
      </c>
      <c r="C1629" s="17" t="s">
        <v>2460</v>
      </c>
      <c r="D1629" s="17" t="str">
        <f>_xlfn.XLOOKUP(Raw_LIMS_Export!E1629,'mapping Site table'!$B$4:$B$14,'mapping Site table'!$C$4:$C$14,Raw_LIMS_Export!E1629)</f>
        <v>East Hanover</v>
      </c>
      <c r="E1629" s="17" t="s">
        <v>2483</v>
      </c>
      <c r="F1629" s="17">
        <f t="shared" si="76"/>
        <v>1</v>
      </c>
      <c r="G1629" s="17" t="str">
        <f t="shared" si="77"/>
        <v>Pass</v>
      </c>
      <c r="H1629" s="17" t="str">
        <f t="shared" si="75"/>
        <v>Pass</v>
      </c>
      <c r="I1629" s="17">
        <v>0.63</v>
      </c>
      <c r="J1629" s="17" t="s">
        <v>2489</v>
      </c>
      <c r="K1629" s="17">
        <v>0</v>
      </c>
      <c r="L1629" s="17">
        <v>1</v>
      </c>
      <c r="M1629" s="18">
        <f>Raw_LIMS_Export!K1629</f>
        <v>45685</v>
      </c>
      <c r="N1629" s="19" t="s">
        <v>2926</v>
      </c>
    </row>
    <row r="1630" spans="1:14" x14ac:dyDescent="0.35">
      <c r="A1630" s="16" t="s">
        <v>1629</v>
      </c>
      <c r="B1630" s="17" t="s">
        <v>2360</v>
      </c>
      <c r="C1630" s="17" t="s">
        <v>2458</v>
      </c>
      <c r="D1630" s="17" t="str">
        <f>_xlfn.XLOOKUP(Raw_LIMS_Export!E1630,'mapping Site table'!$B$4:$B$14,'mapping Site table'!$C$4:$C$14,Raw_LIMS_Export!E1630)</f>
        <v>Ashford UK</v>
      </c>
      <c r="E1630" s="17" t="s">
        <v>2481</v>
      </c>
      <c r="F1630" s="17">
        <f t="shared" si="76"/>
        <v>1</v>
      </c>
      <c r="G1630" s="17" t="str">
        <f t="shared" si="77"/>
        <v>Pass</v>
      </c>
      <c r="H1630" s="17" t="str">
        <f t="shared" si="75"/>
        <v>Pass</v>
      </c>
      <c r="I1630" s="17">
        <v>283.47000000000003</v>
      </c>
      <c r="J1630" s="17" t="s">
        <v>2488</v>
      </c>
      <c r="K1630" s="17">
        <v>150</v>
      </c>
      <c r="L1630" s="17">
        <v>400</v>
      </c>
      <c r="M1630" s="18">
        <f>Raw_LIMS_Export!K1630</f>
        <v>45509</v>
      </c>
      <c r="N1630" s="19" t="s">
        <v>2925</v>
      </c>
    </row>
    <row r="1631" spans="1:14" x14ac:dyDescent="0.35">
      <c r="A1631" s="16" t="s">
        <v>1630</v>
      </c>
      <c r="B1631" s="17" t="s">
        <v>2338</v>
      </c>
      <c r="C1631" s="17" t="s">
        <v>2458</v>
      </c>
      <c r="D1631" s="17" t="str">
        <f>_xlfn.XLOOKUP(Raw_LIMS_Export!E1631,'mapping Site table'!$B$4:$B$14,'mapping Site table'!$C$4:$C$14,Raw_LIMS_Export!E1631)</f>
        <v>Budapest</v>
      </c>
      <c r="E1631" s="17" t="s">
        <v>2482</v>
      </c>
      <c r="F1631" s="17">
        <f t="shared" si="76"/>
        <v>0</v>
      </c>
      <c r="G1631" s="17" t="str">
        <f t="shared" si="77"/>
        <v>Missing</v>
      </c>
      <c r="H1631" s="17" t="str">
        <f t="shared" si="75"/>
        <v>Pending</v>
      </c>
      <c r="I1631" s="17"/>
      <c r="J1631" s="17" t="s">
        <v>2489</v>
      </c>
      <c r="K1631" s="17">
        <v>97</v>
      </c>
      <c r="L1631" s="17">
        <v>100</v>
      </c>
      <c r="M1631" s="18">
        <f>Raw_LIMS_Export!K1631</f>
        <v>45311</v>
      </c>
      <c r="N1631" s="19" t="s">
        <v>2924</v>
      </c>
    </row>
    <row r="1632" spans="1:14" x14ac:dyDescent="0.35">
      <c r="A1632" s="16" t="s">
        <v>1631</v>
      </c>
      <c r="B1632" s="17" t="s">
        <v>2335</v>
      </c>
      <c r="C1632" s="17" t="s">
        <v>2459</v>
      </c>
      <c r="D1632" s="17" t="str">
        <f>_xlfn.XLOOKUP(Raw_LIMS_Export!E1632,'mapping Site table'!$B$4:$B$14,'mapping Site table'!$C$4:$C$14,Raw_LIMS_Export!E1632)</f>
        <v>East Hanover</v>
      </c>
      <c r="E1632" s="17" t="s">
        <v>2481</v>
      </c>
      <c r="F1632" s="17">
        <f t="shared" si="76"/>
        <v>0</v>
      </c>
      <c r="G1632" s="17" t="str">
        <f t="shared" si="77"/>
        <v>Missing</v>
      </c>
      <c r="H1632" s="17" t="str">
        <f t="shared" si="75"/>
        <v>Pending</v>
      </c>
      <c r="I1632" s="17"/>
      <c r="J1632" s="17" t="s">
        <v>2488</v>
      </c>
      <c r="K1632" s="17">
        <v>150</v>
      </c>
      <c r="L1632" s="17">
        <v>400</v>
      </c>
      <c r="M1632" s="18">
        <f>Raw_LIMS_Export!K1632</f>
        <v>45419</v>
      </c>
      <c r="N1632" s="19" t="s">
        <v>2932</v>
      </c>
    </row>
    <row r="1633" spans="1:14" x14ac:dyDescent="0.35">
      <c r="A1633" s="16" t="s">
        <v>1632</v>
      </c>
      <c r="B1633" s="17" t="s">
        <v>2409</v>
      </c>
      <c r="C1633" s="17" t="s">
        <v>2459</v>
      </c>
      <c r="D1633" s="17" t="str">
        <f>_xlfn.XLOOKUP(Raw_LIMS_Export!E1633,'mapping Site table'!$B$4:$B$14,'mapping Site table'!$C$4:$C$14,Raw_LIMS_Export!E1633)</f>
        <v>East Hanover</v>
      </c>
      <c r="E1633" s="17" t="s">
        <v>2483</v>
      </c>
      <c r="F1633" s="17">
        <f t="shared" si="76"/>
        <v>1</v>
      </c>
      <c r="G1633" s="17" t="str">
        <f t="shared" si="77"/>
        <v>Pass</v>
      </c>
      <c r="H1633" s="17" t="str">
        <f t="shared" si="75"/>
        <v>Pass</v>
      </c>
      <c r="I1633" s="17">
        <v>0.5</v>
      </c>
      <c r="J1633" s="17" t="s">
        <v>2489</v>
      </c>
      <c r="K1633" s="17">
        <v>0</v>
      </c>
      <c r="L1633" s="17">
        <v>1</v>
      </c>
      <c r="M1633" s="18">
        <f>Raw_LIMS_Export!K1633</f>
        <v>45416</v>
      </c>
      <c r="N1633" s="19" t="s">
        <v>2924</v>
      </c>
    </row>
    <row r="1634" spans="1:14" x14ac:dyDescent="0.35">
      <c r="A1634" s="16" t="s">
        <v>1633</v>
      </c>
      <c r="B1634" s="17" t="s">
        <v>2307</v>
      </c>
      <c r="C1634" s="17" t="s">
        <v>2460</v>
      </c>
      <c r="D1634" s="17" t="str">
        <f>_xlfn.XLOOKUP(Raw_LIMS_Export!E1634,'mapping Site table'!$B$4:$B$14,'mapping Site table'!$C$4:$C$14,Raw_LIMS_Export!E1634)</f>
        <v>Vernier CH</v>
      </c>
      <c r="E1634" s="17" t="s">
        <v>2480</v>
      </c>
      <c r="F1634" s="17">
        <f t="shared" si="76"/>
        <v>1</v>
      </c>
      <c r="G1634" s="17" t="str">
        <f t="shared" si="77"/>
        <v>Pass</v>
      </c>
      <c r="H1634" s="17" t="str">
        <f t="shared" si="75"/>
        <v>Fail</v>
      </c>
      <c r="I1634" s="17">
        <v>0.9</v>
      </c>
      <c r="J1634" s="17" t="s">
        <v>2487</v>
      </c>
      <c r="K1634" s="17">
        <v>0.88</v>
      </c>
      <c r="L1634" s="17">
        <v>0.97</v>
      </c>
      <c r="M1634" s="18">
        <f>Raw_LIMS_Export!K1634</f>
        <v>45622</v>
      </c>
      <c r="N1634" s="19" t="s">
        <v>2931</v>
      </c>
    </row>
    <row r="1635" spans="1:14" x14ac:dyDescent="0.35">
      <c r="A1635" s="16" t="s">
        <v>1634</v>
      </c>
      <c r="B1635" s="17" t="s">
        <v>2186</v>
      </c>
      <c r="C1635" s="17" t="s">
        <v>2457</v>
      </c>
      <c r="D1635" s="17" t="str">
        <f>_xlfn.XLOOKUP(Raw_LIMS_Export!E1635,'mapping Site table'!$B$4:$B$14,'mapping Site table'!$C$4:$C$14,Raw_LIMS_Export!E1635)</f>
        <v>Budapest</v>
      </c>
      <c r="E1635" s="17" t="s">
        <v>2482</v>
      </c>
      <c r="F1635" s="17">
        <f t="shared" si="76"/>
        <v>1</v>
      </c>
      <c r="G1635" s="17" t="str">
        <f t="shared" si="77"/>
        <v>Pass</v>
      </c>
      <c r="H1635" s="17" t="str">
        <f t="shared" si="75"/>
        <v>Pass</v>
      </c>
      <c r="I1635" s="17">
        <v>98.73</v>
      </c>
      <c r="J1635" s="17" t="s">
        <v>2489</v>
      </c>
      <c r="K1635" s="17">
        <v>97</v>
      </c>
      <c r="L1635" s="17">
        <v>100</v>
      </c>
      <c r="M1635" s="18">
        <f>Raw_LIMS_Export!K1635</f>
        <v>45579</v>
      </c>
      <c r="N1635" s="19" t="s">
        <v>2929</v>
      </c>
    </row>
    <row r="1636" spans="1:14" x14ac:dyDescent="0.35">
      <c r="A1636" s="16" t="s">
        <v>1635</v>
      </c>
      <c r="B1636" s="17" t="s">
        <v>2137</v>
      </c>
      <c r="C1636" s="17" t="s">
        <v>2460</v>
      </c>
      <c r="D1636" s="17" t="str">
        <f>_xlfn.XLOOKUP(Raw_LIMS_Export!E1636,'mapping Site table'!$B$4:$B$14,'mapping Site table'!$C$4:$C$14,Raw_LIMS_Export!E1636)</f>
        <v>Ashford UK</v>
      </c>
      <c r="E1636" s="17" t="s">
        <v>2483</v>
      </c>
      <c r="F1636" s="17">
        <f t="shared" si="76"/>
        <v>1</v>
      </c>
      <c r="G1636" s="17" t="str">
        <f t="shared" si="77"/>
        <v>Pass</v>
      </c>
      <c r="H1636" s="17" t="str">
        <f t="shared" si="75"/>
        <v>Pass</v>
      </c>
      <c r="I1636" s="17">
        <v>0.6</v>
      </c>
      <c r="J1636" s="17" t="s">
        <v>2489</v>
      </c>
      <c r="K1636" s="17">
        <v>0</v>
      </c>
      <c r="L1636" s="17">
        <v>1</v>
      </c>
      <c r="M1636" s="18">
        <f>Raw_LIMS_Export!K1636</f>
        <v>45661</v>
      </c>
      <c r="N1636" s="19" t="s">
        <v>2930</v>
      </c>
    </row>
    <row r="1637" spans="1:14" x14ac:dyDescent="0.35">
      <c r="A1637" s="16" t="s">
        <v>1636</v>
      </c>
      <c r="B1637" s="17" t="s">
        <v>2396</v>
      </c>
      <c r="C1637" s="17" t="s">
        <v>2461</v>
      </c>
      <c r="D1637" s="17" t="str">
        <f>_xlfn.XLOOKUP(Raw_LIMS_Export!E1637,'mapping Site table'!$B$4:$B$14,'mapping Site table'!$C$4:$C$14,Raw_LIMS_Export!E1637)</f>
        <v>Budapest</v>
      </c>
      <c r="E1637" s="17" t="s">
        <v>2483</v>
      </c>
      <c r="F1637" s="17">
        <f t="shared" si="76"/>
        <v>1</v>
      </c>
      <c r="G1637" s="17" t="str">
        <f t="shared" si="77"/>
        <v>Pass</v>
      </c>
      <c r="H1637" s="17" t="str">
        <f t="shared" si="75"/>
        <v>Pass</v>
      </c>
      <c r="I1637" s="17">
        <v>0.4</v>
      </c>
      <c r="J1637" s="17" t="s">
        <v>2489</v>
      </c>
      <c r="K1637" s="17">
        <v>0</v>
      </c>
      <c r="L1637" s="17">
        <v>1</v>
      </c>
      <c r="M1637" s="18">
        <f>Raw_LIMS_Export!K1637</f>
        <v>45767</v>
      </c>
      <c r="N1637" s="19" t="s">
        <v>2926</v>
      </c>
    </row>
    <row r="1638" spans="1:14" x14ac:dyDescent="0.35">
      <c r="A1638" s="16" t="s">
        <v>1637</v>
      </c>
      <c r="B1638" s="17" t="s">
        <v>2070</v>
      </c>
      <c r="C1638" s="17" t="s">
        <v>2460</v>
      </c>
      <c r="D1638" s="17" t="str">
        <f>_xlfn.XLOOKUP(Raw_LIMS_Export!E1638,'mapping Site table'!$B$4:$B$14,'mapping Site table'!$C$4:$C$14,Raw_LIMS_Export!E1638)</f>
        <v>Vernier CH</v>
      </c>
      <c r="E1638" s="17" t="s">
        <v>2481</v>
      </c>
      <c r="F1638" s="17">
        <f t="shared" si="76"/>
        <v>1</v>
      </c>
      <c r="G1638" s="17" t="str">
        <f t="shared" si="77"/>
        <v>Pass</v>
      </c>
      <c r="H1638" s="17" t="str">
        <f t="shared" si="75"/>
        <v>Pass</v>
      </c>
      <c r="I1638" s="17">
        <v>187.55</v>
      </c>
      <c r="J1638" s="17" t="s">
        <v>2488</v>
      </c>
      <c r="K1638" s="17">
        <v>150</v>
      </c>
      <c r="L1638" s="17">
        <v>400</v>
      </c>
      <c r="M1638" s="18">
        <f>Raw_LIMS_Export!K1638</f>
        <v>45300</v>
      </c>
      <c r="N1638" s="19" t="s">
        <v>2930</v>
      </c>
    </row>
    <row r="1639" spans="1:14" x14ac:dyDescent="0.35">
      <c r="A1639" s="16" t="s">
        <v>1638</v>
      </c>
      <c r="B1639" s="17" t="s">
        <v>2449</v>
      </c>
      <c r="C1639" s="17" t="s">
        <v>2460</v>
      </c>
      <c r="D1639" s="17" t="str">
        <f>_xlfn.XLOOKUP(Raw_LIMS_Export!E1639,'mapping Site table'!$B$4:$B$14,'mapping Site table'!$C$4:$C$14,Raw_LIMS_Export!E1639)</f>
        <v>Budapest</v>
      </c>
      <c r="E1639" s="17" t="s">
        <v>2485</v>
      </c>
      <c r="F1639" s="17">
        <f t="shared" si="76"/>
        <v>1</v>
      </c>
      <c r="G1639" s="17" t="str">
        <f t="shared" si="77"/>
        <v>Pass</v>
      </c>
      <c r="H1639" s="17" t="str">
        <f t="shared" si="75"/>
        <v>Pass</v>
      </c>
      <c r="I1639" s="17">
        <v>21.82</v>
      </c>
      <c r="J1639" s="17" t="s">
        <v>2490</v>
      </c>
      <c r="K1639" s="17">
        <v>0</v>
      </c>
      <c r="L1639" s="17">
        <v>100</v>
      </c>
      <c r="M1639" s="18">
        <f>Raw_LIMS_Export!K1639</f>
        <v>45526</v>
      </c>
      <c r="N1639" s="19" t="s">
        <v>2925</v>
      </c>
    </row>
    <row r="1640" spans="1:14" x14ac:dyDescent="0.35">
      <c r="A1640" s="16" t="s">
        <v>1639</v>
      </c>
      <c r="B1640" s="17" t="s">
        <v>2066</v>
      </c>
      <c r="C1640" s="17" t="s">
        <v>2459</v>
      </c>
      <c r="D1640" s="17" t="str">
        <f>_xlfn.XLOOKUP(Raw_LIMS_Export!E1640,'mapping Site table'!$B$4:$B$14,'mapping Site table'!$C$4:$C$14,Raw_LIMS_Export!E1640)</f>
        <v>Ashford UK</v>
      </c>
      <c r="E1640" s="17" t="s">
        <v>2482</v>
      </c>
      <c r="F1640" s="17">
        <f t="shared" si="76"/>
        <v>1</v>
      </c>
      <c r="G1640" s="17" t="str">
        <f t="shared" si="77"/>
        <v>Pass</v>
      </c>
      <c r="H1640" s="17" t="str">
        <f t="shared" si="75"/>
        <v>Pass</v>
      </c>
      <c r="I1640" s="17">
        <v>99.24</v>
      </c>
      <c r="J1640" s="17" t="s">
        <v>2489</v>
      </c>
      <c r="K1640" s="17">
        <v>97</v>
      </c>
      <c r="L1640" s="17">
        <v>100</v>
      </c>
      <c r="M1640" s="18">
        <f>Raw_LIMS_Export!K1640</f>
        <v>45566</v>
      </c>
      <c r="N1640" s="19" t="s">
        <v>2928</v>
      </c>
    </row>
    <row r="1641" spans="1:14" x14ac:dyDescent="0.35">
      <c r="A1641" s="16" t="s">
        <v>1640</v>
      </c>
      <c r="B1641" s="17" t="s">
        <v>2436</v>
      </c>
      <c r="C1641" s="17" t="s">
        <v>2461</v>
      </c>
      <c r="D1641" s="17" t="str">
        <f>_xlfn.XLOOKUP(Raw_LIMS_Export!E1641,'mapping Site table'!$B$4:$B$14,'mapping Site table'!$C$4:$C$14,Raw_LIMS_Export!E1641)</f>
        <v>Ashford UK</v>
      </c>
      <c r="E1641" s="17" t="s">
        <v>2485</v>
      </c>
      <c r="F1641" s="17">
        <f t="shared" si="76"/>
        <v>1</v>
      </c>
      <c r="G1641" s="17" t="str">
        <f t="shared" si="77"/>
        <v>Pass</v>
      </c>
      <c r="H1641" s="17" t="str">
        <f t="shared" si="75"/>
        <v>Fail</v>
      </c>
      <c r="I1641" s="17">
        <v>29.5</v>
      </c>
      <c r="J1641" s="17" t="s">
        <v>2490</v>
      </c>
      <c r="K1641" s="17">
        <v>0</v>
      </c>
      <c r="L1641" s="17">
        <v>100</v>
      </c>
      <c r="M1641" s="18">
        <f>Raw_LIMS_Export!K1641</f>
        <v>45332</v>
      </c>
      <c r="N1641" s="19" t="s">
        <v>2932</v>
      </c>
    </row>
    <row r="1642" spans="1:14" x14ac:dyDescent="0.35">
      <c r="A1642" s="16" t="s">
        <v>1641</v>
      </c>
      <c r="B1642" s="17" t="s">
        <v>2193</v>
      </c>
      <c r="C1642" s="17" t="s">
        <v>2460</v>
      </c>
      <c r="D1642" s="17" t="str">
        <f>_xlfn.XLOOKUP(Raw_LIMS_Export!E1642,'mapping Site table'!$B$4:$B$14,'mapping Site table'!$C$4:$C$14,Raw_LIMS_Export!E1642)</f>
        <v>Ashford UK</v>
      </c>
      <c r="E1642" s="17" t="s">
        <v>2483</v>
      </c>
      <c r="F1642" s="17">
        <f t="shared" si="76"/>
        <v>1</v>
      </c>
      <c r="G1642" s="17" t="str">
        <f t="shared" si="77"/>
        <v>Pass</v>
      </c>
      <c r="H1642" s="17" t="str">
        <f t="shared" si="75"/>
        <v>Pass</v>
      </c>
      <c r="I1642" s="17">
        <v>0.4</v>
      </c>
      <c r="J1642" s="17" t="s">
        <v>2489</v>
      </c>
      <c r="K1642" s="17">
        <v>0</v>
      </c>
      <c r="L1642" s="17">
        <v>1</v>
      </c>
      <c r="M1642" s="18">
        <f>Raw_LIMS_Export!K1642</f>
        <v>45552</v>
      </c>
      <c r="N1642" s="19" t="s">
        <v>2926</v>
      </c>
    </row>
    <row r="1643" spans="1:14" x14ac:dyDescent="0.35">
      <c r="A1643" s="16" t="s">
        <v>1642</v>
      </c>
      <c r="B1643" s="17" t="s">
        <v>2091</v>
      </c>
      <c r="C1643" s="17" t="s">
        <v>2460</v>
      </c>
      <c r="D1643" s="17" t="str">
        <f>_xlfn.XLOOKUP(Raw_LIMS_Export!E1643,'mapping Site table'!$B$4:$B$14,'mapping Site table'!$C$4:$C$14,Raw_LIMS_Export!E1643)</f>
        <v>Vernier CH</v>
      </c>
      <c r="E1643" s="17" t="s">
        <v>2479</v>
      </c>
      <c r="F1643" s="17">
        <f t="shared" si="76"/>
        <v>1</v>
      </c>
      <c r="G1643" s="17" t="str">
        <f t="shared" si="77"/>
        <v>Pass</v>
      </c>
      <c r="H1643" s="17" t="str">
        <f t="shared" si="75"/>
        <v>Pass</v>
      </c>
      <c r="I1643" s="17">
        <v>86.42</v>
      </c>
      <c r="J1643" s="17" t="s">
        <v>2486</v>
      </c>
      <c r="K1643" s="17">
        <v>0</v>
      </c>
      <c r="L1643" s="17">
        <v>120</v>
      </c>
      <c r="M1643" s="18">
        <f>Raw_LIMS_Export!K1643</f>
        <v>45517</v>
      </c>
      <c r="N1643" s="19" t="s">
        <v>2932</v>
      </c>
    </row>
    <row r="1644" spans="1:14" x14ac:dyDescent="0.35">
      <c r="A1644" s="16" t="s">
        <v>1643</v>
      </c>
      <c r="B1644" s="17" t="s">
        <v>2204</v>
      </c>
      <c r="C1644" s="17" t="s">
        <v>2460</v>
      </c>
      <c r="D1644" s="17" t="str">
        <f>_xlfn.XLOOKUP(Raw_LIMS_Export!E1644,'mapping Site table'!$B$4:$B$14,'mapping Site table'!$C$4:$C$14,Raw_LIMS_Export!E1644)</f>
        <v>Vernier CH</v>
      </c>
      <c r="E1644" s="17" t="s">
        <v>2482</v>
      </c>
      <c r="F1644" s="17">
        <f t="shared" si="76"/>
        <v>1</v>
      </c>
      <c r="G1644" s="17" t="str">
        <f t="shared" si="77"/>
        <v>Pass</v>
      </c>
      <c r="H1644" s="17" t="str">
        <f t="shared" si="75"/>
        <v>Fail</v>
      </c>
      <c r="I1644" s="17">
        <v>98.67</v>
      </c>
      <c r="J1644" s="17" t="s">
        <v>2489</v>
      </c>
      <c r="K1644" s="17">
        <v>97</v>
      </c>
      <c r="L1644" s="17">
        <v>100</v>
      </c>
      <c r="M1644" s="18">
        <f>Raw_LIMS_Export!K1644</f>
        <v>45445</v>
      </c>
      <c r="N1644" s="19" t="s">
        <v>2924</v>
      </c>
    </row>
    <row r="1645" spans="1:14" x14ac:dyDescent="0.35">
      <c r="A1645" s="16" t="s">
        <v>1644</v>
      </c>
      <c r="B1645" s="17" t="s">
        <v>2062</v>
      </c>
      <c r="C1645" s="17" t="s">
        <v>2458</v>
      </c>
      <c r="D1645" s="17" t="str">
        <f>_xlfn.XLOOKUP(Raw_LIMS_Export!E1645,'mapping Site table'!$B$4:$B$14,'mapping Site table'!$C$4:$C$14,Raw_LIMS_Export!E1645)</f>
        <v>East Hanover</v>
      </c>
      <c r="E1645" s="17" t="s">
        <v>2481</v>
      </c>
      <c r="F1645" s="17">
        <f t="shared" si="76"/>
        <v>1</v>
      </c>
      <c r="G1645" s="17" t="str">
        <f t="shared" si="77"/>
        <v>Pass</v>
      </c>
      <c r="H1645" s="17" t="str">
        <f t="shared" si="75"/>
        <v>Pass</v>
      </c>
      <c r="I1645" s="17">
        <v>307.24</v>
      </c>
      <c r="J1645" s="17" t="s">
        <v>2488</v>
      </c>
      <c r="K1645" s="17">
        <v>150</v>
      </c>
      <c r="L1645" s="17">
        <v>400</v>
      </c>
      <c r="M1645" s="18">
        <f>Raw_LIMS_Export!K1645</f>
        <v>45845</v>
      </c>
      <c r="N1645" s="19" t="s">
        <v>2925</v>
      </c>
    </row>
    <row r="1646" spans="1:14" x14ac:dyDescent="0.35">
      <c r="A1646" s="16" t="s">
        <v>1645</v>
      </c>
      <c r="B1646" s="17" t="s">
        <v>2319</v>
      </c>
      <c r="C1646" s="17" t="s">
        <v>2458</v>
      </c>
      <c r="D1646" s="17" t="str">
        <f>_xlfn.XLOOKUP(Raw_LIMS_Export!E1646,'mapping Site table'!$B$4:$B$14,'mapping Site table'!$C$4:$C$14,Raw_LIMS_Export!E1646)</f>
        <v>Dortmund DE</v>
      </c>
      <c r="E1646" s="17" t="s">
        <v>2480</v>
      </c>
      <c r="F1646" s="17">
        <f t="shared" si="76"/>
        <v>1</v>
      </c>
      <c r="G1646" s="17" t="str">
        <f t="shared" si="77"/>
        <v>Pass</v>
      </c>
      <c r="H1646" s="17" t="str">
        <f t="shared" si="75"/>
        <v>Pass</v>
      </c>
      <c r="I1646" s="17">
        <v>0.96</v>
      </c>
      <c r="J1646" s="17" t="s">
        <v>2487</v>
      </c>
      <c r="K1646" s="17">
        <v>0.88</v>
      </c>
      <c r="L1646" s="17">
        <v>0.97</v>
      </c>
      <c r="M1646" s="18">
        <f>Raw_LIMS_Export!K1646</f>
        <v>45477</v>
      </c>
      <c r="N1646" s="19" t="s">
        <v>2923</v>
      </c>
    </row>
    <row r="1647" spans="1:14" x14ac:dyDescent="0.35">
      <c r="A1647" s="16" t="s">
        <v>1646</v>
      </c>
      <c r="B1647" s="17" t="s">
        <v>2340</v>
      </c>
      <c r="C1647" s="17" t="s">
        <v>2460</v>
      </c>
      <c r="D1647" s="17" t="str">
        <f>_xlfn.XLOOKUP(Raw_LIMS_Export!E1647,'mapping Site table'!$B$4:$B$14,'mapping Site table'!$C$4:$C$14,Raw_LIMS_Export!E1647)</f>
        <v>Vernier CH</v>
      </c>
      <c r="E1647" s="17" t="s">
        <v>2481</v>
      </c>
      <c r="F1647" s="17">
        <f t="shared" si="76"/>
        <v>1</v>
      </c>
      <c r="G1647" s="17" t="str">
        <f t="shared" si="77"/>
        <v>Pass</v>
      </c>
      <c r="H1647" s="17" t="str">
        <f t="shared" si="75"/>
        <v>Pass</v>
      </c>
      <c r="I1647" s="17">
        <v>257.91000000000003</v>
      </c>
      <c r="J1647" s="17" t="s">
        <v>2488</v>
      </c>
      <c r="K1647" s="17">
        <v>150</v>
      </c>
      <c r="L1647" s="17">
        <v>400</v>
      </c>
      <c r="M1647" s="18">
        <f>Raw_LIMS_Export!K1647</f>
        <v>45890</v>
      </c>
      <c r="N1647" s="19" t="s">
        <v>2928</v>
      </c>
    </row>
    <row r="1648" spans="1:14" x14ac:dyDescent="0.35">
      <c r="A1648" s="16" t="s">
        <v>1647</v>
      </c>
      <c r="B1648" s="17" t="s">
        <v>2054</v>
      </c>
      <c r="C1648" s="17" t="s">
        <v>2457</v>
      </c>
      <c r="D1648" s="17" t="str">
        <f>_xlfn.XLOOKUP(Raw_LIMS_Export!E1648,'mapping Site table'!$B$4:$B$14,'mapping Site table'!$C$4:$C$14,Raw_LIMS_Export!E1648)</f>
        <v>Vernier CH</v>
      </c>
      <c r="E1648" s="17" t="s">
        <v>2485</v>
      </c>
      <c r="F1648" s="17">
        <f t="shared" si="76"/>
        <v>1</v>
      </c>
      <c r="G1648" s="17" t="str">
        <f t="shared" si="77"/>
        <v>Pass</v>
      </c>
      <c r="H1648" s="17" t="str">
        <f t="shared" si="75"/>
        <v>Fail</v>
      </c>
      <c r="I1648" s="17">
        <v>34.549999999999997</v>
      </c>
      <c r="J1648" s="17" t="s">
        <v>2490</v>
      </c>
      <c r="K1648" s="17">
        <v>0</v>
      </c>
      <c r="L1648" s="17">
        <v>100</v>
      </c>
      <c r="M1648" s="18">
        <f>Raw_LIMS_Export!K1648</f>
        <v>45510</v>
      </c>
      <c r="N1648" s="19" t="s">
        <v>2932</v>
      </c>
    </row>
    <row r="1649" spans="1:14" x14ac:dyDescent="0.35">
      <c r="A1649" s="16" t="s">
        <v>1648</v>
      </c>
      <c r="B1649" s="17" t="s">
        <v>2264</v>
      </c>
      <c r="C1649" s="17" t="s">
        <v>2459</v>
      </c>
      <c r="D1649" s="17" t="str">
        <f>_xlfn.XLOOKUP(Raw_LIMS_Export!E1649,'mapping Site table'!$B$4:$B$14,'mapping Site table'!$C$4:$C$14,Raw_LIMS_Export!E1649)</f>
        <v>Dortmund DE</v>
      </c>
      <c r="E1649" s="17" t="s">
        <v>2484</v>
      </c>
      <c r="F1649" s="17">
        <f t="shared" si="76"/>
        <v>1</v>
      </c>
      <c r="G1649" s="17" t="str">
        <f t="shared" si="77"/>
        <v>Pass</v>
      </c>
      <c r="H1649" s="17" t="str">
        <f t="shared" si="75"/>
        <v>Fail</v>
      </c>
      <c r="I1649" s="17">
        <v>6.22</v>
      </c>
      <c r="J1649" s="17"/>
      <c r="K1649" s="17">
        <v>6</v>
      </c>
      <c r="L1649" s="17">
        <v>7.5</v>
      </c>
      <c r="M1649" s="18">
        <f>Raw_LIMS_Export!K1649</f>
        <v>45795</v>
      </c>
      <c r="N1649" s="19" t="s">
        <v>2928</v>
      </c>
    </row>
    <row r="1650" spans="1:14" x14ac:dyDescent="0.35">
      <c r="A1650" s="16" t="s">
        <v>1649</v>
      </c>
      <c r="B1650" s="17" t="s">
        <v>2300</v>
      </c>
      <c r="C1650" s="17" t="s">
        <v>2459</v>
      </c>
      <c r="D1650" s="17" t="str">
        <f>_xlfn.XLOOKUP(Raw_LIMS_Export!E1650,'mapping Site table'!$B$4:$B$14,'mapping Site table'!$C$4:$C$14,Raw_LIMS_Export!E1650)</f>
        <v>Vernier CH</v>
      </c>
      <c r="E1650" s="17" t="s">
        <v>2481</v>
      </c>
      <c r="F1650" s="17">
        <f t="shared" si="76"/>
        <v>1</v>
      </c>
      <c r="G1650" s="17" t="str">
        <f t="shared" si="77"/>
        <v>Pass</v>
      </c>
      <c r="H1650" s="17" t="str">
        <f t="shared" si="75"/>
        <v>Pass</v>
      </c>
      <c r="I1650" s="17">
        <v>243.21</v>
      </c>
      <c r="J1650" s="17" t="s">
        <v>2488</v>
      </c>
      <c r="K1650" s="17">
        <v>150</v>
      </c>
      <c r="L1650" s="17">
        <v>400</v>
      </c>
      <c r="M1650" s="18">
        <f>Raw_LIMS_Export!K1650</f>
        <v>45595</v>
      </c>
      <c r="N1650" s="19" t="s">
        <v>2925</v>
      </c>
    </row>
    <row r="1651" spans="1:14" x14ac:dyDescent="0.35">
      <c r="A1651" s="16" t="s">
        <v>1650</v>
      </c>
      <c r="B1651" s="17" t="s">
        <v>2273</v>
      </c>
      <c r="C1651" s="17" t="s">
        <v>2459</v>
      </c>
      <c r="D1651" s="17" t="str">
        <f>_xlfn.XLOOKUP(Raw_LIMS_Export!E1651,'mapping Site table'!$B$4:$B$14,'mapping Site table'!$C$4:$C$14,Raw_LIMS_Export!E1651)</f>
        <v>Budapest</v>
      </c>
      <c r="E1651" s="17" t="s">
        <v>2485</v>
      </c>
      <c r="F1651" s="17">
        <f t="shared" si="76"/>
        <v>1</v>
      </c>
      <c r="G1651" s="17" t="str">
        <f t="shared" si="77"/>
        <v>Pass</v>
      </c>
      <c r="H1651" s="17" t="str">
        <f t="shared" si="75"/>
        <v>Pass</v>
      </c>
      <c r="I1651" s="17">
        <v>52.67</v>
      </c>
      <c r="J1651" s="17" t="s">
        <v>2490</v>
      </c>
      <c r="K1651" s="17">
        <v>0</v>
      </c>
      <c r="L1651" s="17">
        <v>100</v>
      </c>
      <c r="M1651" s="18">
        <f>Raw_LIMS_Export!K1651</f>
        <v>45657</v>
      </c>
      <c r="N1651" s="19" t="s">
        <v>2926</v>
      </c>
    </row>
    <row r="1652" spans="1:14" x14ac:dyDescent="0.35">
      <c r="A1652" s="16" t="s">
        <v>1651</v>
      </c>
      <c r="B1652" s="17" t="s">
        <v>2179</v>
      </c>
      <c r="C1652" s="17" t="s">
        <v>2460</v>
      </c>
      <c r="D1652" s="17" t="str">
        <f>_xlfn.XLOOKUP(Raw_LIMS_Export!E1652,'mapping Site table'!$B$4:$B$14,'mapping Site table'!$C$4:$C$14,Raw_LIMS_Export!E1652)</f>
        <v>Dortmund DE</v>
      </c>
      <c r="E1652" s="17" t="s">
        <v>2485</v>
      </c>
      <c r="F1652" s="17">
        <f t="shared" si="76"/>
        <v>1</v>
      </c>
      <c r="G1652" s="17" t="str">
        <f t="shared" si="77"/>
        <v>Pass</v>
      </c>
      <c r="H1652" s="17" t="str">
        <f t="shared" si="75"/>
        <v>Pass</v>
      </c>
      <c r="I1652" s="17">
        <v>25.79</v>
      </c>
      <c r="J1652" s="17" t="s">
        <v>2490</v>
      </c>
      <c r="K1652" s="17">
        <v>0</v>
      </c>
      <c r="L1652" s="17">
        <v>100</v>
      </c>
      <c r="M1652" s="18">
        <f>Raw_LIMS_Export!K1652</f>
        <v>45693</v>
      </c>
      <c r="N1652" s="19" t="s">
        <v>2923</v>
      </c>
    </row>
    <row r="1653" spans="1:14" x14ac:dyDescent="0.35">
      <c r="A1653" s="16" t="s">
        <v>1652</v>
      </c>
      <c r="B1653" s="17" t="s">
        <v>2049</v>
      </c>
      <c r="C1653" s="17" t="s">
        <v>2458</v>
      </c>
      <c r="D1653" s="17" t="str">
        <f>_xlfn.XLOOKUP(Raw_LIMS_Export!E1653,'mapping Site table'!$B$4:$B$14,'mapping Site table'!$C$4:$C$14,Raw_LIMS_Export!E1653)</f>
        <v>Dortmund DE</v>
      </c>
      <c r="E1653" s="17" t="s">
        <v>2483</v>
      </c>
      <c r="F1653" s="17">
        <f t="shared" si="76"/>
        <v>1</v>
      </c>
      <c r="G1653" s="17" t="str">
        <f t="shared" si="77"/>
        <v>Pass</v>
      </c>
      <c r="H1653" s="17" t="str">
        <f t="shared" si="75"/>
        <v>Fail</v>
      </c>
      <c r="I1653" s="17">
        <v>0.08</v>
      </c>
      <c r="J1653" s="17" t="s">
        <v>2489</v>
      </c>
      <c r="K1653" s="17">
        <v>0</v>
      </c>
      <c r="L1653" s="17">
        <v>1</v>
      </c>
      <c r="M1653" s="18">
        <f>Raw_LIMS_Export!K1653</f>
        <v>45452</v>
      </c>
      <c r="N1653" s="19" t="s">
        <v>2927</v>
      </c>
    </row>
    <row r="1654" spans="1:14" x14ac:dyDescent="0.35">
      <c r="A1654" s="16" t="s">
        <v>1653</v>
      </c>
      <c r="B1654" s="17" t="s">
        <v>2181</v>
      </c>
      <c r="C1654" s="17" t="s">
        <v>2459</v>
      </c>
      <c r="D1654" s="17" t="str">
        <f>_xlfn.XLOOKUP(Raw_LIMS_Export!E1654,'mapping Site table'!$B$4:$B$14,'mapping Site table'!$C$4:$C$14,Raw_LIMS_Export!E1654)</f>
        <v>Vernier CH</v>
      </c>
      <c r="E1654" s="17" t="s">
        <v>2483</v>
      </c>
      <c r="F1654" s="17">
        <f t="shared" si="76"/>
        <v>1</v>
      </c>
      <c r="G1654" s="17" t="str">
        <f t="shared" si="77"/>
        <v>Pass</v>
      </c>
      <c r="H1654" s="17" t="str">
        <f t="shared" si="75"/>
        <v>Fail</v>
      </c>
      <c r="I1654" s="17">
        <v>0.62</v>
      </c>
      <c r="J1654" s="17" t="s">
        <v>2489</v>
      </c>
      <c r="K1654" s="17">
        <v>0</v>
      </c>
      <c r="L1654" s="17">
        <v>1</v>
      </c>
      <c r="M1654" s="18">
        <f>Raw_LIMS_Export!K1654</f>
        <v>45500</v>
      </c>
      <c r="N1654" s="19" t="s">
        <v>2924</v>
      </c>
    </row>
    <row r="1655" spans="1:14" x14ac:dyDescent="0.35">
      <c r="A1655" s="16" t="s">
        <v>1654</v>
      </c>
      <c r="B1655" s="17" t="s">
        <v>2089</v>
      </c>
      <c r="C1655" s="17" t="s">
        <v>2460</v>
      </c>
      <c r="D1655" s="17" t="str">
        <f>_xlfn.XLOOKUP(Raw_LIMS_Export!E1655,'mapping Site table'!$B$4:$B$14,'mapping Site table'!$C$4:$C$14,Raw_LIMS_Export!E1655)</f>
        <v>Budapest</v>
      </c>
      <c r="E1655" s="17" t="s">
        <v>2479</v>
      </c>
      <c r="F1655" s="17">
        <f t="shared" si="76"/>
        <v>1</v>
      </c>
      <c r="G1655" s="17" t="str">
        <f t="shared" si="77"/>
        <v>Pass</v>
      </c>
      <c r="H1655" s="17" t="str">
        <f t="shared" si="75"/>
        <v>Pass</v>
      </c>
      <c r="I1655" s="17">
        <v>69.58</v>
      </c>
      <c r="J1655" s="17" t="s">
        <v>2486</v>
      </c>
      <c r="K1655" s="17">
        <v>0</v>
      </c>
      <c r="L1655" s="17">
        <v>120</v>
      </c>
      <c r="M1655" s="18">
        <f>Raw_LIMS_Export!K1655</f>
        <v>45789</v>
      </c>
      <c r="N1655" s="19" t="s">
        <v>2924</v>
      </c>
    </row>
    <row r="1656" spans="1:14" x14ac:dyDescent="0.35">
      <c r="A1656" s="16" t="s">
        <v>1655</v>
      </c>
      <c r="B1656" s="17" t="s">
        <v>2456</v>
      </c>
      <c r="C1656" s="17" t="s">
        <v>2459</v>
      </c>
      <c r="D1656" s="17" t="str">
        <f>_xlfn.XLOOKUP(Raw_LIMS_Export!E1656,'mapping Site table'!$B$4:$B$14,'mapping Site table'!$C$4:$C$14,Raw_LIMS_Export!E1656)</f>
        <v>Budapest</v>
      </c>
      <c r="E1656" s="17" t="s">
        <v>2479</v>
      </c>
      <c r="F1656" s="17">
        <f t="shared" si="76"/>
        <v>1</v>
      </c>
      <c r="G1656" s="17" t="str">
        <f t="shared" si="77"/>
        <v>Pass</v>
      </c>
      <c r="H1656" s="17" t="str">
        <f t="shared" si="75"/>
        <v>Pass</v>
      </c>
      <c r="I1656" s="17">
        <v>33.81</v>
      </c>
      <c r="J1656" s="17" t="s">
        <v>2486</v>
      </c>
      <c r="K1656" s="17">
        <v>0</v>
      </c>
      <c r="L1656" s="17">
        <v>120</v>
      </c>
      <c r="M1656" s="18">
        <f>Raw_LIMS_Export!K1656</f>
        <v>45779</v>
      </c>
      <c r="N1656" s="19" t="s">
        <v>2930</v>
      </c>
    </row>
    <row r="1657" spans="1:14" x14ac:dyDescent="0.35">
      <c r="A1657" s="16" t="s">
        <v>1656</v>
      </c>
      <c r="B1657" s="17" t="s">
        <v>2429</v>
      </c>
      <c r="C1657" s="17" t="s">
        <v>2460</v>
      </c>
      <c r="D1657" s="17" t="str">
        <f>_xlfn.XLOOKUP(Raw_LIMS_Export!E1657,'mapping Site table'!$B$4:$B$14,'mapping Site table'!$C$4:$C$14,Raw_LIMS_Export!E1657)</f>
        <v>East Hanover</v>
      </c>
      <c r="E1657" s="17" t="s">
        <v>2480</v>
      </c>
      <c r="F1657" s="17">
        <f t="shared" si="76"/>
        <v>1</v>
      </c>
      <c r="G1657" s="17" t="str">
        <f t="shared" si="77"/>
        <v>Pass</v>
      </c>
      <c r="H1657" s="17" t="str">
        <f t="shared" si="75"/>
        <v>Pass</v>
      </c>
      <c r="I1657" s="17">
        <v>0.95</v>
      </c>
      <c r="J1657" s="17" t="s">
        <v>2487</v>
      </c>
      <c r="K1657" s="17">
        <v>0.88</v>
      </c>
      <c r="L1657" s="17">
        <v>0.97</v>
      </c>
      <c r="M1657" s="18">
        <f>Raw_LIMS_Export!K1657</f>
        <v>45620</v>
      </c>
      <c r="N1657" s="19" t="s">
        <v>2924</v>
      </c>
    </row>
    <row r="1658" spans="1:14" x14ac:dyDescent="0.35">
      <c r="A1658" s="16" t="s">
        <v>1657</v>
      </c>
      <c r="B1658" s="17" t="s">
        <v>2156</v>
      </c>
      <c r="C1658" s="17" t="s">
        <v>2460</v>
      </c>
      <c r="D1658" s="17" t="str">
        <f>_xlfn.XLOOKUP(Raw_LIMS_Export!E1658,'mapping Site table'!$B$4:$B$14,'mapping Site table'!$C$4:$C$14,Raw_LIMS_Export!E1658)</f>
        <v>Vernier CH</v>
      </c>
      <c r="E1658" s="17" t="s">
        <v>2484</v>
      </c>
      <c r="F1658" s="17">
        <f t="shared" si="76"/>
        <v>1</v>
      </c>
      <c r="G1658" s="17" t="str">
        <f t="shared" si="77"/>
        <v>Fail</v>
      </c>
      <c r="H1658" s="17" t="str">
        <f t="shared" si="75"/>
        <v>Fail</v>
      </c>
      <c r="I1658" s="17">
        <v>5.98</v>
      </c>
      <c r="J1658" s="17"/>
      <c r="K1658" s="17">
        <v>6</v>
      </c>
      <c r="L1658" s="17">
        <v>7.5</v>
      </c>
      <c r="M1658" s="18">
        <f>Raw_LIMS_Export!K1658</f>
        <v>45404</v>
      </c>
      <c r="N1658" s="19" t="s">
        <v>2932</v>
      </c>
    </row>
    <row r="1659" spans="1:14" x14ac:dyDescent="0.35">
      <c r="A1659" s="16" t="s">
        <v>1658</v>
      </c>
      <c r="B1659" s="17" t="s">
        <v>2450</v>
      </c>
      <c r="C1659" s="17" t="s">
        <v>2458</v>
      </c>
      <c r="D1659" s="17" t="str">
        <f>_xlfn.XLOOKUP(Raw_LIMS_Export!E1659,'mapping Site table'!$B$4:$B$14,'mapping Site table'!$C$4:$C$14,Raw_LIMS_Export!E1659)</f>
        <v>Budapest</v>
      </c>
      <c r="E1659" s="17" t="s">
        <v>2479</v>
      </c>
      <c r="F1659" s="17">
        <f t="shared" si="76"/>
        <v>1</v>
      </c>
      <c r="G1659" s="17" t="str">
        <f t="shared" si="77"/>
        <v>Pass</v>
      </c>
      <c r="H1659" s="17" t="str">
        <f t="shared" si="75"/>
        <v>Pass</v>
      </c>
      <c r="I1659" s="17">
        <v>11.97</v>
      </c>
      <c r="J1659" s="17" t="s">
        <v>2486</v>
      </c>
      <c r="K1659" s="17">
        <v>0</v>
      </c>
      <c r="L1659" s="17">
        <v>120</v>
      </c>
      <c r="M1659" s="18">
        <f>Raw_LIMS_Export!K1659</f>
        <v>45352</v>
      </c>
      <c r="N1659" s="19" t="s">
        <v>2930</v>
      </c>
    </row>
    <row r="1660" spans="1:14" x14ac:dyDescent="0.35">
      <c r="A1660" s="16" t="s">
        <v>1659</v>
      </c>
      <c r="B1660" s="17" t="s">
        <v>2087</v>
      </c>
      <c r="C1660" s="17" t="s">
        <v>2459</v>
      </c>
      <c r="D1660" s="17" t="str">
        <f>_xlfn.XLOOKUP(Raw_LIMS_Export!E1660,'mapping Site table'!$B$4:$B$14,'mapping Site table'!$C$4:$C$14,Raw_LIMS_Export!E1660)</f>
        <v>Ashford UK</v>
      </c>
      <c r="E1660" s="17" t="s">
        <v>2481</v>
      </c>
      <c r="F1660" s="17">
        <f t="shared" si="76"/>
        <v>1</v>
      </c>
      <c r="G1660" s="17" t="str">
        <f t="shared" si="77"/>
        <v>Pass</v>
      </c>
      <c r="H1660" s="17" t="str">
        <f t="shared" si="75"/>
        <v>Pass</v>
      </c>
      <c r="I1660" s="17">
        <v>280.20999999999998</v>
      </c>
      <c r="J1660" s="17" t="s">
        <v>2488</v>
      </c>
      <c r="K1660" s="17">
        <v>150</v>
      </c>
      <c r="L1660" s="17">
        <v>400</v>
      </c>
      <c r="M1660" s="18">
        <f>Raw_LIMS_Export!K1660</f>
        <v>45399</v>
      </c>
      <c r="N1660" s="19" t="s">
        <v>2924</v>
      </c>
    </row>
    <row r="1661" spans="1:14" x14ac:dyDescent="0.35">
      <c r="A1661" s="16" t="s">
        <v>1660</v>
      </c>
      <c r="B1661" s="17" t="s">
        <v>2264</v>
      </c>
      <c r="C1661" s="17" t="s">
        <v>2459</v>
      </c>
      <c r="D1661" s="17" t="str">
        <f>_xlfn.XLOOKUP(Raw_LIMS_Export!E1661,'mapping Site table'!$B$4:$B$14,'mapping Site table'!$C$4:$C$14,Raw_LIMS_Export!E1661)</f>
        <v>Dortmund DE</v>
      </c>
      <c r="E1661" s="17" t="s">
        <v>2479</v>
      </c>
      <c r="F1661" s="17">
        <f t="shared" si="76"/>
        <v>1</v>
      </c>
      <c r="G1661" s="17" t="str">
        <f t="shared" si="77"/>
        <v>Pass</v>
      </c>
      <c r="H1661" s="17" t="str">
        <f t="shared" si="75"/>
        <v>Fail</v>
      </c>
      <c r="I1661" s="17">
        <v>31.94</v>
      </c>
      <c r="J1661" s="17" t="s">
        <v>2486</v>
      </c>
      <c r="K1661" s="17">
        <v>0</v>
      </c>
      <c r="L1661" s="17">
        <v>120</v>
      </c>
      <c r="M1661" s="18">
        <f>Raw_LIMS_Export!K1661</f>
        <v>45795</v>
      </c>
      <c r="N1661" s="19" t="s">
        <v>2927</v>
      </c>
    </row>
    <row r="1662" spans="1:14" x14ac:dyDescent="0.35">
      <c r="A1662" s="16" t="s">
        <v>1661</v>
      </c>
      <c r="B1662" s="17" t="s">
        <v>2173</v>
      </c>
      <c r="C1662" s="17" t="s">
        <v>2460</v>
      </c>
      <c r="D1662" s="17" t="str">
        <f>_xlfn.XLOOKUP(Raw_LIMS_Export!E1662,'mapping Site table'!$B$4:$B$14,'mapping Site table'!$C$4:$C$14,Raw_LIMS_Export!E1662)</f>
        <v>East Hanover</v>
      </c>
      <c r="E1662" s="17" t="s">
        <v>2485</v>
      </c>
      <c r="F1662" s="17">
        <f t="shared" si="76"/>
        <v>1</v>
      </c>
      <c r="G1662" s="17" t="str">
        <f t="shared" si="77"/>
        <v>Pass</v>
      </c>
      <c r="H1662" s="17" t="str">
        <f t="shared" si="75"/>
        <v>Pass</v>
      </c>
      <c r="I1662" s="17">
        <v>35.11</v>
      </c>
      <c r="J1662" s="17" t="s">
        <v>2490</v>
      </c>
      <c r="K1662" s="17">
        <v>0</v>
      </c>
      <c r="L1662" s="17">
        <v>100</v>
      </c>
      <c r="M1662" s="18">
        <f>Raw_LIMS_Export!K1662</f>
        <v>45609</v>
      </c>
      <c r="N1662" s="19" t="s">
        <v>2925</v>
      </c>
    </row>
    <row r="1663" spans="1:14" x14ac:dyDescent="0.35">
      <c r="A1663" s="16" t="s">
        <v>1662</v>
      </c>
      <c r="B1663" s="17" t="s">
        <v>2234</v>
      </c>
      <c r="C1663" s="17" t="s">
        <v>2457</v>
      </c>
      <c r="D1663" s="17" t="str">
        <f>_xlfn.XLOOKUP(Raw_LIMS_Export!E1663,'mapping Site table'!$B$4:$B$14,'mapping Site table'!$C$4:$C$14,Raw_LIMS_Export!E1663)</f>
        <v>Budapest</v>
      </c>
      <c r="E1663" s="17" t="s">
        <v>2480</v>
      </c>
      <c r="F1663" s="17">
        <f t="shared" si="76"/>
        <v>1</v>
      </c>
      <c r="G1663" s="17" t="str">
        <f t="shared" si="77"/>
        <v>Pass</v>
      </c>
      <c r="H1663" s="17" t="str">
        <f t="shared" si="75"/>
        <v>Pass</v>
      </c>
      <c r="I1663" s="17">
        <v>0.88</v>
      </c>
      <c r="J1663" s="17" t="s">
        <v>2487</v>
      </c>
      <c r="K1663" s="17">
        <v>0.88</v>
      </c>
      <c r="L1663" s="17">
        <v>0.97</v>
      </c>
      <c r="M1663" s="18">
        <f>Raw_LIMS_Export!K1663</f>
        <v>45774</v>
      </c>
      <c r="N1663" s="19" t="s">
        <v>2928</v>
      </c>
    </row>
    <row r="1664" spans="1:14" x14ac:dyDescent="0.35">
      <c r="A1664" s="16" t="s">
        <v>1663</v>
      </c>
      <c r="B1664" s="17" t="s">
        <v>2050</v>
      </c>
      <c r="C1664" s="17" t="s">
        <v>2461</v>
      </c>
      <c r="D1664" s="17" t="str">
        <f>_xlfn.XLOOKUP(Raw_LIMS_Export!E1664,'mapping Site table'!$B$4:$B$14,'mapping Site table'!$C$4:$C$14,Raw_LIMS_Export!E1664)</f>
        <v>East Hanover</v>
      </c>
      <c r="E1664" s="17" t="s">
        <v>2484</v>
      </c>
      <c r="F1664" s="17">
        <f t="shared" si="76"/>
        <v>1</v>
      </c>
      <c r="G1664" s="17" t="str">
        <f t="shared" si="77"/>
        <v>Pass</v>
      </c>
      <c r="H1664" s="17" t="str">
        <f t="shared" si="75"/>
        <v>Pass</v>
      </c>
      <c r="I1664" s="17">
        <v>6.4</v>
      </c>
      <c r="J1664" s="17"/>
      <c r="K1664" s="17">
        <v>6</v>
      </c>
      <c r="L1664" s="17">
        <v>7.5</v>
      </c>
      <c r="M1664" s="18">
        <f>Raw_LIMS_Export!K1664</f>
        <v>45398</v>
      </c>
      <c r="N1664" s="19" t="s">
        <v>2931</v>
      </c>
    </row>
    <row r="1665" spans="1:14" x14ac:dyDescent="0.35">
      <c r="A1665" s="16" t="s">
        <v>1664</v>
      </c>
      <c r="B1665" s="17" t="s">
        <v>2111</v>
      </c>
      <c r="C1665" s="17" t="s">
        <v>2461</v>
      </c>
      <c r="D1665" s="17" t="str">
        <f>_xlfn.XLOOKUP(Raw_LIMS_Export!E1665,'mapping Site table'!$B$4:$B$14,'mapping Site table'!$C$4:$C$14,Raw_LIMS_Export!E1665)</f>
        <v>Vernier CH</v>
      </c>
      <c r="E1665" s="17" t="s">
        <v>2479</v>
      </c>
      <c r="F1665" s="17">
        <f t="shared" si="76"/>
        <v>1</v>
      </c>
      <c r="G1665" s="17" t="str">
        <f t="shared" si="77"/>
        <v>Pass</v>
      </c>
      <c r="H1665" s="17" t="str">
        <f t="shared" si="75"/>
        <v>Pass</v>
      </c>
      <c r="I1665" s="17">
        <v>58.92</v>
      </c>
      <c r="J1665" s="17" t="s">
        <v>2486</v>
      </c>
      <c r="K1665" s="17">
        <v>0</v>
      </c>
      <c r="L1665" s="17">
        <v>120</v>
      </c>
      <c r="M1665" s="18">
        <f>Raw_LIMS_Export!K1665</f>
        <v>45547</v>
      </c>
      <c r="N1665" s="19" t="s">
        <v>2931</v>
      </c>
    </row>
    <row r="1666" spans="1:14" x14ac:dyDescent="0.35">
      <c r="A1666" s="16" t="s">
        <v>1665</v>
      </c>
      <c r="B1666" s="17" t="s">
        <v>2453</v>
      </c>
      <c r="C1666" s="17" t="s">
        <v>2459</v>
      </c>
      <c r="D1666" s="17" t="str">
        <f>_xlfn.XLOOKUP(Raw_LIMS_Export!E1666,'mapping Site table'!$B$4:$B$14,'mapping Site table'!$C$4:$C$14,Raw_LIMS_Export!E1666)</f>
        <v>Ashford UK</v>
      </c>
      <c r="E1666" s="17" t="s">
        <v>2481</v>
      </c>
      <c r="F1666" s="17">
        <f t="shared" si="76"/>
        <v>1</v>
      </c>
      <c r="G1666" s="17" t="str">
        <f t="shared" si="77"/>
        <v>Pass</v>
      </c>
      <c r="H1666" s="17" t="str">
        <f t="shared" ref="H1666:H1729" si="78">IF(COUNTIFS($B$2:$B$2016,B1666,$G$2:$G$2016,"Fail")&gt;0,"Fail",
  IF(COUNTIFS($B$2:$B$2016,B1666,$G$2:$G$2016,"Missing")&gt;0,"Pending",
    "Pass"))</f>
        <v>Pending</v>
      </c>
      <c r="I1666" s="17">
        <v>369.85</v>
      </c>
      <c r="J1666" s="17" t="s">
        <v>2488</v>
      </c>
      <c r="K1666" s="17">
        <v>150</v>
      </c>
      <c r="L1666" s="17">
        <v>400</v>
      </c>
      <c r="M1666" s="18">
        <f>Raw_LIMS_Export!K1666</f>
        <v>46013</v>
      </c>
      <c r="N1666" s="19" t="s">
        <v>2924</v>
      </c>
    </row>
    <row r="1667" spans="1:14" x14ac:dyDescent="0.35">
      <c r="A1667" s="16" t="s">
        <v>1666</v>
      </c>
      <c r="B1667" s="17" t="s">
        <v>2033</v>
      </c>
      <c r="C1667" s="17" t="s">
        <v>2459</v>
      </c>
      <c r="D1667" s="17" t="str">
        <f>_xlfn.XLOOKUP(Raw_LIMS_Export!E1667,'mapping Site table'!$B$4:$B$14,'mapping Site table'!$C$4:$C$14,Raw_LIMS_Export!E1667)</f>
        <v>East Hanover</v>
      </c>
      <c r="E1667" s="17" t="s">
        <v>2484</v>
      </c>
      <c r="F1667" s="17">
        <f t="shared" ref="F1667:F1730" si="79">IF(I1667="",0,1)</f>
        <v>1</v>
      </c>
      <c r="G1667" s="17" t="str">
        <f t="shared" ref="G1667:G1730" si="80">IF(I1667="", "Missing", IF(AND(I1667&gt;=K1667, I1667&lt;=L1667), "Pass", "Fail"))</f>
        <v>Pass</v>
      </c>
      <c r="H1667" s="17" t="str">
        <f t="shared" si="78"/>
        <v>Fail</v>
      </c>
      <c r="I1667" s="17">
        <v>7.15</v>
      </c>
      <c r="J1667" s="17"/>
      <c r="K1667" s="17">
        <v>6</v>
      </c>
      <c r="L1667" s="17">
        <v>7.5</v>
      </c>
      <c r="M1667" s="18">
        <f>Raw_LIMS_Export!K1667</f>
        <v>45330</v>
      </c>
      <c r="N1667" s="19" t="s">
        <v>2930</v>
      </c>
    </row>
    <row r="1668" spans="1:14" x14ac:dyDescent="0.35">
      <c r="A1668" s="16" t="s">
        <v>1667</v>
      </c>
      <c r="B1668" s="17" t="s">
        <v>2090</v>
      </c>
      <c r="C1668" s="17" t="s">
        <v>2457</v>
      </c>
      <c r="D1668" s="17" t="str">
        <f>_xlfn.XLOOKUP(Raw_LIMS_Export!E1668,'mapping Site table'!$B$4:$B$14,'mapping Site table'!$C$4:$C$14,Raw_LIMS_Export!E1668)</f>
        <v>Ashford UK</v>
      </c>
      <c r="E1668" s="17" t="s">
        <v>2481</v>
      </c>
      <c r="F1668" s="17">
        <f t="shared" si="79"/>
        <v>1</v>
      </c>
      <c r="G1668" s="17" t="str">
        <f t="shared" si="80"/>
        <v>Pass</v>
      </c>
      <c r="H1668" s="17" t="str">
        <f t="shared" si="78"/>
        <v>Fail</v>
      </c>
      <c r="I1668" s="17">
        <v>362</v>
      </c>
      <c r="J1668" s="17" t="s">
        <v>2488</v>
      </c>
      <c r="K1668" s="17">
        <v>150</v>
      </c>
      <c r="L1668" s="17">
        <v>400</v>
      </c>
      <c r="M1668" s="18">
        <f>Raw_LIMS_Export!K1668</f>
        <v>45534</v>
      </c>
      <c r="N1668" s="19" t="s">
        <v>2932</v>
      </c>
    </row>
    <row r="1669" spans="1:14" x14ac:dyDescent="0.35">
      <c r="A1669" s="16" t="s">
        <v>1668</v>
      </c>
      <c r="B1669" s="17" t="s">
        <v>2339</v>
      </c>
      <c r="C1669" s="17" t="s">
        <v>2459</v>
      </c>
      <c r="D1669" s="17" t="str">
        <f>_xlfn.XLOOKUP(Raw_LIMS_Export!E1669,'mapping Site table'!$B$4:$B$14,'mapping Site table'!$C$4:$C$14,Raw_LIMS_Export!E1669)</f>
        <v>Dortmund DE</v>
      </c>
      <c r="E1669" s="17" t="s">
        <v>2479</v>
      </c>
      <c r="F1669" s="17">
        <f t="shared" si="79"/>
        <v>1</v>
      </c>
      <c r="G1669" s="17" t="str">
        <f t="shared" si="80"/>
        <v>Pass</v>
      </c>
      <c r="H1669" s="17" t="str">
        <f t="shared" si="78"/>
        <v>Pending</v>
      </c>
      <c r="I1669" s="17">
        <v>53.14</v>
      </c>
      <c r="J1669" s="17" t="s">
        <v>2486</v>
      </c>
      <c r="K1669" s="17">
        <v>0</v>
      </c>
      <c r="L1669" s="17">
        <v>120</v>
      </c>
      <c r="M1669" s="18">
        <f>Raw_LIMS_Export!K1669</f>
        <v>45673</v>
      </c>
      <c r="N1669" s="19" t="s">
        <v>2929</v>
      </c>
    </row>
    <row r="1670" spans="1:14" x14ac:dyDescent="0.35">
      <c r="A1670" s="16" t="s">
        <v>1669</v>
      </c>
      <c r="B1670" s="17" t="s">
        <v>2130</v>
      </c>
      <c r="C1670" s="17" t="s">
        <v>2457</v>
      </c>
      <c r="D1670" s="17" t="str">
        <f>_xlfn.XLOOKUP(Raw_LIMS_Export!E1670,'mapping Site table'!$B$4:$B$14,'mapping Site table'!$C$4:$C$14,Raw_LIMS_Export!E1670)</f>
        <v>East Hanover</v>
      </c>
      <c r="E1670" s="17" t="s">
        <v>2483</v>
      </c>
      <c r="F1670" s="17">
        <f t="shared" si="79"/>
        <v>1</v>
      </c>
      <c r="G1670" s="17" t="str">
        <f t="shared" si="80"/>
        <v>Pass</v>
      </c>
      <c r="H1670" s="17" t="str">
        <f t="shared" si="78"/>
        <v>Pass</v>
      </c>
      <c r="I1670" s="17">
        <v>0.52</v>
      </c>
      <c r="J1670" s="17" t="s">
        <v>2489</v>
      </c>
      <c r="K1670" s="17">
        <v>0</v>
      </c>
      <c r="L1670" s="17">
        <v>1</v>
      </c>
      <c r="M1670" s="18">
        <f>Raw_LIMS_Export!K1670</f>
        <v>45943</v>
      </c>
      <c r="N1670" s="19" t="s">
        <v>2931</v>
      </c>
    </row>
    <row r="1671" spans="1:14" x14ac:dyDescent="0.35">
      <c r="A1671" s="16" t="s">
        <v>1670</v>
      </c>
      <c r="B1671" s="17" t="s">
        <v>2393</v>
      </c>
      <c r="C1671" s="17" t="s">
        <v>2460</v>
      </c>
      <c r="D1671" s="17" t="str">
        <f>_xlfn.XLOOKUP(Raw_LIMS_Export!E1671,'mapping Site table'!$B$4:$B$14,'mapping Site table'!$C$4:$C$14,Raw_LIMS_Export!E1671)</f>
        <v>Vernier CH</v>
      </c>
      <c r="E1671" s="17" t="s">
        <v>2480</v>
      </c>
      <c r="F1671" s="17">
        <f t="shared" si="79"/>
        <v>1</v>
      </c>
      <c r="G1671" s="17" t="str">
        <f t="shared" si="80"/>
        <v>Pass</v>
      </c>
      <c r="H1671" s="17" t="str">
        <f t="shared" si="78"/>
        <v>Pass</v>
      </c>
      <c r="I1671" s="17">
        <v>0.9</v>
      </c>
      <c r="J1671" s="17" t="s">
        <v>2487</v>
      </c>
      <c r="K1671" s="17">
        <v>0.88</v>
      </c>
      <c r="L1671" s="17">
        <v>0.97</v>
      </c>
      <c r="M1671" s="18">
        <f>Raw_LIMS_Export!K1671</f>
        <v>45942</v>
      </c>
      <c r="N1671" s="19" t="s">
        <v>2927</v>
      </c>
    </row>
    <row r="1672" spans="1:14" x14ac:dyDescent="0.35">
      <c r="A1672" s="16" t="s">
        <v>1671</v>
      </c>
      <c r="B1672" s="17" t="s">
        <v>2193</v>
      </c>
      <c r="C1672" s="17" t="s">
        <v>2460</v>
      </c>
      <c r="D1672" s="17" t="str">
        <f>_xlfn.XLOOKUP(Raw_LIMS_Export!E1672,'mapping Site table'!$B$4:$B$14,'mapping Site table'!$C$4:$C$14,Raw_LIMS_Export!E1672)</f>
        <v>Ashford UK</v>
      </c>
      <c r="E1672" s="17" t="s">
        <v>2480</v>
      </c>
      <c r="F1672" s="17">
        <f t="shared" si="79"/>
        <v>1</v>
      </c>
      <c r="G1672" s="17" t="str">
        <f t="shared" si="80"/>
        <v>Pass</v>
      </c>
      <c r="H1672" s="17" t="str">
        <f t="shared" si="78"/>
        <v>Pass</v>
      </c>
      <c r="I1672" s="17">
        <v>0.94</v>
      </c>
      <c r="J1672" s="17" t="s">
        <v>2487</v>
      </c>
      <c r="K1672" s="17">
        <v>0.88</v>
      </c>
      <c r="L1672" s="17">
        <v>0.97</v>
      </c>
      <c r="M1672" s="18">
        <f>Raw_LIMS_Export!K1672</f>
        <v>45552</v>
      </c>
      <c r="N1672" s="19" t="s">
        <v>2929</v>
      </c>
    </row>
    <row r="1673" spans="1:14" x14ac:dyDescent="0.35">
      <c r="A1673" s="16" t="s">
        <v>1672</v>
      </c>
      <c r="B1673" s="17" t="s">
        <v>2238</v>
      </c>
      <c r="C1673" s="17" t="s">
        <v>2460</v>
      </c>
      <c r="D1673" s="17" t="str">
        <f>_xlfn.XLOOKUP(Raw_LIMS_Export!E1673,'mapping Site table'!$B$4:$B$14,'mapping Site table'!$C$4:$C$14,Raw_LIMS_Export!E1673)</f>
        <v>Budapest</v>
      </c>
      <c r="E1673" s="17" t="s">
        <v>2481</v>
      </c>
      <c r="F1673" s="17">
        <f t="shared" si="79"/>
        <v>1</v>
      </c>
      <c r="G1673" s="17" t="str">
        <f t="shared" si="80"/>
        <v>Pass</v>
      </c>
      <c r="H1673" s="17" t="str">
        <f t="shared" si="78"/>
        <v>Pass</v>
      </c>
      <c r="I1673" s="17">
        <v>234.87</v>
      </c>
      <c r="J1673" s="17" t="s">
        <v>2488</v>
      </c>
      <c r="K1673" s="17">
        <v>150</v>
      </c>
      <c r="L1673" s="17">
        <v>400</v>
      </c>
      <c r="M1673" s="18">
        <f>Raw_LIMS_Export!K1673</f>
        <v>45698</v>
      </c>
      <c r="N1673" s="19" t="s">
        <v>2924</v>
      </c>
    </row>
    <row r="1674" spans="1:14" x14ac:dyDescent="0.35">
      <c r="A1674" s="16" t="s">
        <v>1673</v>
      </c>
      <c r="B1674" s="17" t="s">
        <v>2099</v>
      </c>
      <c r="C1674" s="17" t="s">
        <v>2457</v>
      </c>
      <c r="D1674" s="17" t="str">
        <f>_xlfn.XLOOKUP(Raw_LIMS_Export!E1674,'mapping Site table'!$B$4:$B$14,'mapping Site table'!$C$4:$C$14,Raw_LIMS_Export!E1674)</f>
        <v>Dortmund DE</v>
      </c>
      <c r="E1674" s="17" t="s">
        <v>2482</v>
      </c>
      <c r="F1674" s="17">
        <f t="shared" si="79"/>
        <v>1</v>
      </c>
      <c r="G1674" s="17" t="str">
        <f t="shared" si="80"/>
        <v>Pass</v>
      </c>
      <c r="H1674" s="17" t="str">
        <f t="shared" si="78"/>
        <v>Pass</v>
      </c>
      <c r="I1674" s="17">
        <v>98.96</v>
      </c>
      <c r="J1674" s="17" t="s">
        <v>2489</v>
      </c>
      <c r="K1674" s="17">
        <v>97</v>
      </c>
      <c r="L1674" s="17">
        <v>100</v>
      </c>
      <c r="M1674" s="18">
        <f>Raw_LIMS_Export!K1674</f>
        <v>45915</v>
      </c>
      <c r="N1674" s="19" t="s">
        <v>2930</v>
      </c>
    </row>
    <row r="1675" spans="1:14" x14ac:dyDescent="0.35">
      <c r="A1675" s="16" t="s">
        <v>1674</v>
      </c>
      <c r="B1675" s="17" t="s">
        <v>2324</v>
      </c>
      <c r="C1675" s="17" t="s">
        <v>2459</v>
      </c>
      <c r="D1675" s="17" t="str">
        <f>_xlfn.XLOOKUP(Raw_LIMS_Export!E1675,'mapping Site table'!$B$4:$B$14,'mapping Site table'!$C$4:$C$14,Raw_LIMS_Export!E1675)</f>
        <v>Ashford UK</v>
      </c>
      <c r="E1675" s="17" t="s">
        <v>2481</v>
      </c>
      <c r="F1675" s="17">
        <f t="shared" si="79"/>
        <v>1</v>
      </c>
      <c r="G1675" s="17" t="str">
        <f t="shared" si="80"/>
        <v>Pass</v>
      </c>
      <c r="H1675" s="17" t="str">
        <f t="shared" si="78"/>
        <v>Pass</v>
      </c>
      <c r="I1675" s="17">
        <v>185.37</v>
      </c>
      <c r="J1675" s="17" t="s">
        <v>2488</v>
      </c>
      <c r="K1675" s="17">
        <v>150</v>
      </c>
      <c r="L1675" s="17">
        <v>400</v>
      </c>
      <c r="M1675" s="18">
        <f>Raw_LIMS_Export!K1675</f>
        <v>45828</v>
      </c>
      <c r="N1675" s="19" t="s">
        <v>2928</v>
      </c>
    </row>
    <row r="1676" spans="1:14" x14ac:dyDescent="0.35">
      <c r="A1676" s="16" t="s">
        <v>1675</v>
      </c>
      <c r="B1676" s="17" t="s">
        <v>2183</v>
      </c>
      <c r="C1676" s="17" t="s">
        <v>2457</v>
      </c>
      <c r="D1676" s="17" t="str">
        <f>_xlfn.XLOOKUP(Raw_LIMS_Export!E1676,'mapping Site table'!$B$4:$B$14,'mapping Site table'!$C$4:$C$14,Raw_LIMS_Export!E1676)</f>
        <v>East Hanover</v>
      </c>
      <c r="E1676" s="17" t="s">
        <v>2484</v>
      </c>
      <c r="F1676" s="17">
        <f t="shared" si="79"/>
        <v>1</v>
      </c>
      <c r="G1676" s="17" t="str">
        <f t="shared" si="80"/>
        <v>Pass</v>
      </c>
      <c r="H1676" s="17" t="str">
        <f t="shared" si="78"/>
        <v>Pass</v>
      </c>
      <c r="I1676" s="17">
        <v>7.14</v>
      </c>
      <c r="J1676" s="17"/>
      <c r="K1676" s="17">
        <v>6</v>
      </c>
      <c r="L1676" s="17">
        <v>7.5</v>
      </c>
      <c r="M1676" s="18">
        <f>Raw_LIMS_Export!K1676</f>
        <v>45810</v>
      </c>
      <c r="N1676" s="19" t="s">
        <v>2925</v>
      </c>
    </row>
    <row r="1677" spans="1:14" x14ac:dyDescent="0.35">
      <c r="A1677" s="16" t="s">
        <v>1676</v>
      </c>
      <c r="B1677" s="17" t="s">
        <v>2242</v>
      </c>
      <c r="C1677" s="17" t="s">
        <v>2460</v>
      </c>
      <c r="D1677" s="17" t="str">
        <f>_xlfn.XLOOKUP(Raw_LIMS_Export!E1677,'mapping Site table'!$B$4:$B$14,'mapping Site table'!$C$4:$C$14,Raw_LIMS_Export!E1677)</f>
        <v>Budapest</v>
      </c>
      <c r="E1677" s="17" t="s">
        <v>2481</v>
      </c>
      <c r="F1677" s="17">
        <f t="shared" si="79"/>
        <v>1</v>
      </c>
      <c r="G1677" s="17" t="str">
        <f t="shared" si="80"/>
        <v>Pass</v>
      </c>
      <c r="H1677" s="17" t="str">
        <f t="shared" si="78"/>
        <v>Pass</v>
      </c>
      <c r="I1677" s="17">
        <v>266.64</v>
      </c>
      <c r="J1677" s="17" t="s">
        <v>2488</v>
      </c>
      <c r="K1677" s="17">
        <v>150</v>
      </c>
      <c r="L1677" s="17">
        <v>400</v>
      </c>
      <c r="M1677" s="18">
        <f>Raw_LIMS_Export!K1677</f>
        <v>45704</v>
      </c>
      <c r="N1677" s="19" t="s">
        <v>2927</v>
      </c>
    </row>
    <row r="1678" spans="1:14" x14ac:dyDescent="0.35">
      <c r="A1678" s="16" t="s">
        <v>1677</v>
      </c>
      <c r="B1678" s="17" t="s">
        <v>2265</v>
      </c>
      <c r="C1678" s="17" t="s">
        <v>2460</v>
      </c>
      <c r="D1678" s="17" t="str">
        <f>_xlfn.XLOOKUP(Raw_LIMS_Export!E1678,'mapping Site table'!$B$4:$B$14,'mapping Site table'!$C$4:$C$14,Raw_LIMS_Export!E1678)</f>
        <v>Budapest</v>
      </c>
      <c r="E1678" s="17" t="s">
        <v>2482</v>
      </c>
      <c r="F1678" s="17">
        <f t="shared" si="79"/>
        <v>1</v>
      </c>
      <c r="G1678" s="17" t="str">
        <f t="shared" si="80"/>
        <v>Pass</v>
      </c>
      <c r="H1678" s="17" t="str">
        <f t="shared" si="78"/>
        <v>Pass</v>
      </c>
      <c r="I1678" s="17">
        <v>98.31</v>
      </c>
      <c r="J1678" s="17" t="s">
        <v>2489</v>
      </c>
      <c r="K1678" s="17">
        <v>97</v>
      </c>
      <c r="L1678" s="17">
        <v>100</v>
      </c>
      <c r="M1678" s="18">
        <f>Raw_LIMS_Export!K1678</f>
        <v>45521</v>
      </c>
      <c r="N1678" s="19" t="s">
        <v>2928</v>
      </c>
    </row>
    <row r="1679" spans="1:14" x14ac:dyDescent="0.35">
      <c r="A1679" s="16" t="s">
        <v>1678</v>
      </c>
      <c r="B1679" s="17" t="s">
        <v>2229</v>
      </c>
      <c r="C1679" s="17" t="s">
        <v>2460</v>
      </c>
      <c r="D1679" s="17" t="str">
        <f>_xlfn.XLOOKUP(Raw_LIMS_Export!E1679,'mapping Site table'!$B$4:$B$14,'mapping Site table'!$C$4:$C$14,Raw_LIMS_Export!E1679)</f>
        <v>Dortmund DE</v>
      </c>
      <c r="E1679" s="17" t="s">
        <v>2481</v>
      </c>
      <c r="F1679" s="17">
        <f t="shared" si="79"/>
        <v>1</v>
      </c>
      <c r="G1679" s="17" t="str">
        <f t="shared" si="80"/>
        <v>Pass</v>
      </c>
      <c r="H1679" s="17" t="str">
        <f t="shared" si="78"/>
        <v>Fail</v>
      </c>
      <c r="I1679" s="17">
        <v>224.23</v>
      </c>
      <c r="J1679" s="17" t="s">
        <v>2488</v>
      </c>
      <c r="K1679" s="17">
        <v>150</v>
      </c>
      <c r="L1679" s="17">
        <v>400</v>
      </c>
      <c r="M1679" s="18">
        <f>Raw_LIMS_Export!K1679</f>
        <v>45990</v>
      </c>
      <c r="N1679" s="19" t="s">
        <v>2929</v>
      </c>
    </row>
    <row r="1680" spans="1:14" x14ac:dyDescent="0.35">
      <c r="A1680" s="16" t="s">
        <v>1679</v>
      </c>
      <c r="B1680" s="17" t="s">
        <v>2294</v>
      </c>
      <c r="C1680" s="17" t="s">
        <v>2460</v>
      </c>
      <c r="D1680" s="17" t="str">
        <f>_xlfn.XLOOKUP(Raw_LIMS_Export!E1680,'mapping Site table'!$B$4:$B$14,'mapping Site table'!$C$4:$C$14,Raw_LIMS_Export!E1680)</f>
        <v>Budapest</v>
      </c>
      <c r="E1680" s="17" t="s">
        <v>2483</v>
      </c>
      <c r="F1680" s="17">
        <f t="shared" si="79"/>
        <v>1</v>
      </c>
      <c r="G1680" s="17" t="str">
        <f t="shared" si="80"/>
        <v>Pass</v>
      </c>
      <c r="H1680" s="17" t="str">
        <f t="shared" si="78"/>
        <v>Pass</v>
      </c>
      <c r="I1680" s="17">
        <v>0.23</v>
      </c>
      <c r="J1680" s="17" t="s">
        <v>2489</v>
      </c>
      <c r="K1680" s="17">
        <v>0</v>
      </c>
      <c r="L1680" s="17">
        <v>1</v>
      </c>
      <c r="M1680" s="18">
        <f>Raw_LIMS_Export!K1680</f>
        <v>45560</v>
      </c>
      <c r="N1680" s="19" t="s">
        <v>2928</v>
      </c>
    </row>
    <row r="1681" spans="1:14" x14ac:dyDescent="0.35">
      <c r="A1681" s="16" t="s">
        <v>1680</v>
      </c>
      <c r="B1681" s="17" t="s">
        <v>2246</v>
      </c>
      <c r="C1681" s="17" t="s">
        <v>2460</v>
      </c>
      <c r="D1681" s="17" t="str">
        <f>_xlfn.XLOOKUP(Raw_LIMS_Export!E1681,'mapping Site table'!$B$4:$B$14,'mapping Site table'!$C$4:$C$14,Raw_LIMS_Export!E1681)</f>
        <v>Vernier CH</v>
      </c>
      <c r="E1681" s="17" t="s">
        <v>2482</v>
      </c>
      <c r="F1681" s="17">
        <f t="shared" si="79"/>
        <v>1</v>
      </c>
      <c r="G1681" s="17" t="str">
        <f t="shared" si="80"/>
        <v>Pass</v>
      </c>
      <c r="H1681" s="17" t="str">
        <f t="shared" si="78"/>
        <v>Pass</v>
      </c>
      <c r="I1681" s="17">
        <v>98.65</v>
      </c>
      <c r="J1681" s="17" t="s">
        <v>2489</v>
      </c>
      <c r="K1681" s="17">
        <v>97</v>
      </c>
      <c r="L1681" s="17">
        <v>100</v>
      </c>
      <c r="M1681" s="18">
        <f>Raw_LIMS_Export!K1681</f>
        <v>45884</v>
      </c>
      <c r="N1681" s="19" t="s">
        <v>2931</v>
      </c>
    </row>
    <row r="1682" spans="1:14" x14ac:dyDescent="0.35">
      <c r="A1682" s="16" t="s">
        <v>1681</v>
      </c>
      <c r="B1682" s="17" t="s">
        <v>2208</v>
      </c>
      <c r="C1682" s="17" t="s">
        <v>2460</v>
      </c>
      <c r="D1682" s="17" t="str">
        <f>_xlfn.XLOOKUP(Raw_LIMS_Export!E1682,'mapping Site table'!$B$4:$B$14,'mapping Site table'!$C$4:$C$14,Raw_LIMS_Export!E1682)</f>
        <v>Ashford UK</v>
      </c>
      <c r="E1682" s="17" t="s">
        <v>2485</v>
      </c>
      <c r="F1682" s="17">
        <f t="shared" si="79"/>
        <v>1</v>
      </c>
      <c r="G1682" s="17" t="str">
        <f t="shared" si="80"/>
        <v>Pass</v>
      </c>
      <c r="H1682" s="17" t="str">
        <f t="shared" si="78"/>
        <v>Pass</v>
      </c>
      <c r="I1682" s="17">
        <v>28.31</v>
      </c>
      <c r="J1682" s="17" t="s">
        <v>2490</v>
      </c>
      <c r="K1682" s="17">
        <v>0</v>
      </c>
      <c r="L1682" s="17">
        <v>100</v>
      </c>
      <c r="M1682" s="18">
        <f>Raw_LIMS_Export!K1682</f>
        <v>45505</v>
      </c>
      <c r="N1682" s="19" t="s">
        <v>2925</v>
      </c>
    </row>
    <row r="1683" spans="1:14" x14ac:dyDescent="0.35">
      <c r="A1683" s="16" t="s">
        <v>1682</v>
      </c>
      <c r="B1683" s="17" t="s">
        <v>2174</v>
      </c>
      <c r="C1683" s="17" t="s">
        <v>2459</v>
      </c>
      <c r="D1683" s="17" t="str">
        <f>_xlfn.XLOOKUP(Raw_LIMS_Export!E1683,'mapping Site table'!$B$4:$B$14,'mapping Site table'!$C$4:$C$14,Raw_LIMS_Export!E1683)</f>
        <v>East Hanover</v>
      </c>
      <c r="E1683" s="17" t="s">
        <v>2480</v>
      </c>
      <c r="F1683" s="17">
        <f t="shared" si="79"/>
        <v>1</v>
      </c>
      <c r="G1683" s="17" t="str">
        <f t="shared" si="80"/>
        <v>Pass</v>
      </c>
      <c r="H1683" s="17" t="str">
        <f t="shared" si="78"/>
        <v>Pass</v>
      </c>
      <c r="I1683" s="17">
        <v>0.9</v>
      </c>
      <c r="J1683" s="17" t="s">
        <v>2487</v>
      </c>
      <c r="K1683" s="17">
        <v>0.88</v>
      </c>
      <c r="L1683" s="17">
        <v>0.97</v>
      </c>
      <c r="M1683" s="18">
        <f>Raw_LIMS_Export!K1683</f>
        <v>45634</v>
      </c>
      <c r="N1683" s="19" t="s">
        <v>2926</v>
      </c>
    </row>
    <row r="1684" spans="1:14" x14ac:dyDescent="0.35">
      <c r="A1684" s="16" t="s">
        <v>1683</v>
      </c>
      <c r="B1684" s="17" t="s">
        <v>2447</v>
      </c>
      <c r="C1684" s="17" t="s">
        <v>2457</v>
      </c>
      <c r="D1684" s="17" t="str">
        <f>_xlfn.XLOOKUP(Raw_LIMS_Export!E1684,'mapping Site table'!$B$4:$B$14,'mapping Site table'!$C$4:$C$14,Raw_LIMS_Export!E1684)</f>
        <v>Dortmund DE</v>
      </c>
      <c r="E1684" s="17" t="s">
        <v>2480</v>
      </c>
      <c r="F1684" s="17">
        <f t="shared" si="79"/>
        <v>1</v>
      </c>
      <c r="G1684" s="17" t="str">
        <f t="shared" si="80"/>
        <v>Pass</v>
      </c>
      <c r="H1684" s="17" t="str">
        <f t="shared" si="78"/>
        <v>Pass</v>
      </c>
      <c r="I1684" s="17">
        <v>0.93</v>
      </c>
      <c r="J1684" s="17" t="s">
        <v>2487</v>
      </c>
      <c r="K1684" s="17">
        <v>0.88</v>
      </c>
      <c r="L1684" s="17">
        <v>0.97</v>
      </c>
      <c r="M1684" s="18">
        <f>Raw_LIMS_Export!K1684</f>
        <v>45888</v>
      </c>
      <c r="N1684" s="19" t="s">
        <v>2932</v>
      </c>
    </row>
    <row r="1685" spans="1:14" x14ac:dyDescent="0.35">
      <c r="A1685" s="16" t="s">
        <v>1684</v>
      </c>
      <c r="B1685" s="17" t="s">
        <v>2336</v>
      </c>
      <c r="C1685" s="17" t="s">
        <v>2460</v>
      </c>
      <c r="D1685" s="17" t="str">
        <f>_xlfn.XLOOKUP(Raw_LIMS_Export!E1685,'mapping Site table'!$B$4:$B$14,'mapping Site table'!$C$4:$C$14,Raw_LIMS_Export!E1685)</f>
        <v>Vernier CH</v>
      </c>
      <c r="E1685" s="17" t="s">
        <v>2479</v>
      </c>
      <c r="F1685" s="17">
        <f t="shared" si="79"/>
        <v>1</v>
      </c>
      <c r="G1685" s="17" t="str">
        <f t="shared" si="80"/>
        <v>Pass</v>
      </c>
      <c r="H1685" s="17" t="str">
        <f t="shared" si="78"/>
        <v>Fail</v>
      </c>
      <c r="I1685" s="17">
        <v>45.72</v>
      </c>
      <c r="J1685" s="17" t="s">
        <v>2486</v>
      </c>
      <c r="K1685" s="17">
        <v>0</v>
      </c>
      <c r="L1685" s="17">
        <v>120</v>
      </c>
      <c r="M1685" s="18">
        <f>Raw_LIMS_Export!K1685</f>
        <v>45661</v>
      </c>
      <c r="N1685" s="19" t="s">
        <v>2926</v>
      </c>
    </row>
    <row r="1686" spans="1:14" x14ac:dyDescent="0.35">
      <c r="A1686" s="16" t="s">
        <v>1685</v>
      </c>
      <c r="B1686" s="17" t="s">
        <v>2196</v>
      </c>
      <c r="C1686" s="17" t="s">
        <v>2457</v>
      </c>
      <c r="D1686" s="17" t="str">
        <f>_xlfn.XLOOKUP(Raw_LIMS_Export!E1686,'mapping Site table'!$B$4:$B$14,'mapping Site table'!$C$4:$C$14,Raw_LIMS_Export!E1686)</f>
        <v>Vernier CH</v>
      </c>
      <c r="E1686" s="17" t="s">
        <v>2481</v>
      </c>
      <c r="F1686" s="17">
        <f t="shared" si="79"/>
        <v>1</v>
      </c>
      <c r="G1686" s="17" t="str">
        <f t="shared" si="80"/>
        <v>Pass</v>
      </c>
      <c r="H1686" s="17" t="str">
        <f t="shared" si="78"/>
        <v>Pass</v>
      </c>
      <c r="I1686" s="17">
        <v>247.63</v>
      </c>
      <c r="J1686" s="17" t="s">
        <v>2488</v>
      </c>
      <c r="K1686" s="17">
        <v>150</v>
      </c>
      <c r="L1686" s="17">
        <v>400</v>
      </c>
      <c r="M1686" s="18">
        <f>Raw_LIMS_Export!K1686</f>
        <v>45740</v>
      </c>
      <c r="N1686" s="19" t="s">
        <v>2923</v>
      </c>
    </row>
    <row r="1687" spans="1:14" x14ac:dyDescent="0.35">
      <c r="A1687" s="16" t="s">
        <v>1686</v>
      </c>
      <c r="B1687" s="17" t="s">
        <v>2110</v>
      </c>
      <c r="C1687" s="17" t="s">
        <v>2460</v>
      </c>
      <c r="D1687" s="17" t="str">
        <f>_xlfn.XLOOKUP(Raw_LIMS_Export!E1687,'mapping Site table'!$B$4:$B$14,'mapping Site table'!$C$4:$C$14,Raw_LIMS_Export!E1687)</f>
        <v>Vernier CH</v>
      </c>
      <c r="E1687" s="17" t="s">
        <v>2481</v>
      </c>
      <c r="F1687" s="17">
        <f t="shared" si="79"/>
        <v>1</v>
      </c>
      <c r="G1687" s="17" t="str">
        <f t="shared" si="80"/>
        <v>Pass</v>
      </c>
      <c r="H1687" s="17" t="str">
        <f t="shared" si="78"/>
        <v>Fail</v>
      </c>
      <c r="I1687" s="17">
        <v>263.60000000000002</v>
      </c>
      <c r="J1687" s="17" t="s">
        <v>2488</v>
      </c>
      <c r="K1687" s="17">
        <v>150</v>
      </c>
      <c r="L1687" s="17">
        <v>400</v>
      </c>
      <c r="M1687" s="18">
        <f>Raw_LIMS_Export!K1687</f>
        <v>45860</v>
      </c>
      <c r="N1687" s="19" t="s">
        <v>2924</v>
      </c>
    </row>
    <row r="1688" spans="1:14" x14ac:dyDescent="0.35">
      <c r="A1688" s="16" t="s">
        <v>1687</v>
      </c>
      <c r="B1688" s="17" t="s">
        <v>2355</v>
      </c>
      <c r="C1688" s="17" t="s">
        <v>2457</v>
      </c>
      <c r="D1688" s="17" t="str">
        <f>_xlfn.XLOOKUP(Raw_LIMS_Export!E1688,'mapping Site table'!$B$4:$B$14,'mapping Site table'!$C$4:$C$14,Raw_LIMS_Export!E1688)</f>
        <v>Budapest</v>
      </c>
      <c r="E1688" s="17" t="s">
        <v>2483</v>
      </c>
      <c r="F1688" s="17">
        <f t="shared" si="79"/>
        <v>1</v>
      </c>
      <c r="G1688" s="17" t="str">
        <f t="shared" si="80"/>
        <v>Pass</v>
      </c>
      <c r="H1688" s="17" t="str">
        <f t="shared" si="78"/>
        <v>Fail</v>
      </c>
      <c r="I1688" s="17">
        <v>0.19</v>
      </c>
      <c r="J1688" s="17" t="s">
        <v>2489</v>
      </c>
      <c r="K1688" s="17">
        <v>0</v>
      </c>
      <c r="L1688" s="17">
        <v>1</v>
      </c>
      <c r="M1688" s="18">
        <f>Raw_LIMS_Export!K1688</f>
        <v>45598</v>
      </c>
      <c r="N1688" s="19" t="s">
        <v>2930</v>
      </c>
    </row>
    <row r="1689" spans="1:14" x14ac:dyDescent="0.35">
      <c r="A1689" s="16" t="s">
        <v>1688</v>
      </c>
      <c r="B1689" s="17" t="s">
        <v>2172</v>
      </c>
      <c r="C1689" s="17" t="s">
        <v>2459</v>
      </c>
      <c r="D1689" s="17" t="str">
        <f>_xlfn.XLOOKUP(Raw_LIMS_Export!E1689,'mapping Site table'!$B$4:$B$14,'mapping Site table'!$C$4:$C$14,Raw_LIMS_Export!E1689)</f>
        <v>Dortmund DE</v>
      </c>
      <c r="E1689" s="17" t="s">
        <v>2484</v>
      </c>
      <c r="F1689" s="17">
        <f t="shared" si="79"/>
        <v>1</v>
      </c>
      <c r="G1689" s="17" t="str">
        <f t="shared" si="80"/>
        <v>Fail</v>
      </c>
      <c r="H1689" s="17" t="str">
        <f t="shared" si="78"/>
        <v>Fail</v>
      </c>
      <c r="I1689" s="17">
        <v>7.54</v>
      </c>
      <c r="J1689" s="17"/>
      <c r="K1689" s="17">
        <v>6</v>
      </c>
      <c r="L1689" s="17">
        <v>7.5</v>
      </c>
      <c r="M1689" s="18">
        <f>Raw_LIMS_Export!K1689</f>
        <v>45453</v>
      </c>
      <c r="N1689" s="19" t="s">
        <v>2925</v>
      </c>
    </row>
    <row r="1690" spans="1:14" x14ac:dyDescent="0.35">
      <c r="A1690" s="16" t="s">
        <v>1689</v>
      </c>
      <c r="B1690" s="17" t="s">
        <v>2141</v>
      </c>
      <c r="C1690" s="17" t="s">
        <v>2458</v>
      </c>
      <c r="D1690" s="17" t="str">
        <f>_xlfn.XLOOKUP(Raw_LIMS_Export!E1690,'mapping Site table'!$B$4:$B$14,'mapping Site table'!$C$4:$C$14,Raw_LIMS_Export!E1690)</f>
        <v>Vernier CH</v>
      </c>
      <c r="E1690" s="17" t="s">
        <v>2482</v>
      </c>
      <c r="F1690" s="17">
        <f t="shared" si="79"/>
        <v>1</v>
      </c>
      <c r="G1690" s="17" t="str">
        <f t="shared" si="80"/>
        <v>Pass</v>
      </c>
      <c r="H1690" s="17" t="str">
        <f t="shared" si="78"/>
        <v>Pass</v>
      </c>
      <c r="I1690" s="17">
        <v>98.38</v>
      </c>
      <c r="J1690" s="17" t="s">
        <v>2489</v>
      </c>
      <c r="K1690" s="17">
        <v>97</v>
      </c>
      <c r="L1690" s="17">
        <v>100</v>
      </c>
      <c r="M1690" s="18">
        <f>Raw_LIMS_Export!K1690</f>
        <v>45936</v>
      </c>
      <c r="N1690" s="19" t="s">
        <v>2930</v>
      </c>
    </row>
    <row r="1691" spans="1:14" x14ac:dyDescent="0.35">
      <c r="A1691" s="16" t="s">
        <v>1690</v>
      </c>
      <c r="B1691" s="17" t="s">
        <v>2374</v>
      </c>
      <c r="C1691" s="17" t="s">
        <v>2460</v>
      </c>
      <c r="D1691" s="17" t="str">
        <f>_xlfn.XLOOKUP(Raw_LIMS_Export!E1691,'mapping Site table'!$B$4:$B$14,'mapping Site table'!$C$4:$C$14,Raw_LIMS_Export!E1691)</f>
        <v>Ashford UK</v>
      </c>
      <c r="E1691" s="17" t="s">
        <v>2483</v>
      </c>
      <c r="F1691" s="17">
        <f t="shared" si="79"/>
        <v>1</v>
      </c>
      <c r="G1691" s="17" t="str">
        <f t="shared" si="80"/>
        <v>Pass</v>
      </c>
      <c r="H1691" s="17" t="str">
        <f t="shared" si="78"/>
        <v>Fail</v>
      </c>
      <c r="I1691" s="17">
        <v>0.44</v>
      </c>
      <c r="J1691" s="17" t="s">
        <v>2489</v>
      </c>
      <c r="K1691" s="17">
        <v>0</v>
      </c>
      <c r="L1691" s="17">
        <v>1</v>
      </c>
      <c r="M1691" s="18">
        <f>Raw_LIMS_Export!K1691</f>
        <v>45494</v>
      </c>
      <c r="N1691" s="19" t="s">
        <v>2930</v>
      </c>
    </row>
    <row r="1692" spans="1:14" x14ac:dyDescent="0.35">
      <c r="A1692" s="16" t="s">
        <v>1691</v>
      </c>
      <c r="B1692" s="17" t="s">
        <v>2405</v>
      </c>
      <c r="C1692" s="17" t="s">
        <v>2457</v>
      </c>
      <c r="D1692" s="17" t="str">
        <f>_xlfn.XLOOKUP(Raw_LIMS_Export!E1692,'mapping Site table'!$B$4:$B$14,'mapping Site table'!$C$4:$C$14,Raw_LIMS_Export!E1692)</f>
        <v>East Hanover</v>
      </c>
      <c r="E1692" s="17" t="s">
        <v>2480</v>
      </c>
      <c r="F1692" s="17">
        <f t="shared" si="79"/>
        <v>1</v>
      </c>
      <c r="G1692" s="17" t="str">
        <f t="shared" si="80"/>
        <v>Pass</v>
      </c>
      <c r="H1692" s="17" t="str">
        <f t="shared" si="78"/>
        <v>Pass</v>
      </c>
      <c r="I1692" s="17">
        <v>0.92</v>
      </c>
      <c r="J1692" s="17" t="s">
        <v>2487</v>
      </c>
      <c r="K1692" s="17">
        <v>0.88</v>
      </c>
      <c r="L1692" s="17">
        <v>0.97</v>
      </c>
      <c r="M1692" s="18">
        <f>Raw_LIMS_Export!K1692</f>
        <v>45926</v>
      </c>
      <c r="N1692" s="19" t="s">
        <v>2932</v>
      </c>
    </row>
    <row r="1693" spans="1:14" x14ac:dyDescent="0.35">
      <c r="A1693" s="16" t="s">
        <v>1692</v>
      </c>
      <c r="B1693" s="17" t="s">
        <v>2382</v>
      </c>
      <c r="C1693" s="17" t="s">
        <v>2459</v>
      </c>
      <c r="D1693" s="17" t="str">
        <f>_xlfn.XLOOKUP(Raw_LIMS_Export!E1693,'mapping Site table'!$B$4:$B$14,'mapping Site table'!$C$4:$C$14,Raw_LIMS_Export!E1693)</f>
        <v>East Hanover</v>
      </c>
      <c r="E1693" s="17" t="s">
        <v>2485</v>
      </c>
      <c r="F1693" s="17">
        <f t="shared" si="79"/>
        <v>1</v>
      </c>
      <c r="G1693" s="17" t="str">
        <f t="shared" si="80"/>
        <v>Pass</v>
      </c>
      <c r="H1693" s="17" t="str">
        <f t="shared" si="78"/>
        <v>Pass</v>
      </c>
      <c r="I1693" s="17">
        <v>19.96</v>
      </c>
      <c r="J1693" s="17" t="s">
        <v>2490</v>
      </c>
      <c r="K1693" s="17">
        <v>0</v>
      </c>
      <c r="L1693" s="17">
        <v>100</v>
      </c>
      <c r="M1693" s="18">
        <f>Raw_LIMS_Export!K1693</f>
        <v>45831</v>
      </c>
      <c r="N1693" s="19" t="s">
        <v>2924</v>
      </c>
    </row>
    <row r="1694" spans="1:14" x14ac:dyDescent="0.35">
      <c r="A1694" s="16" t="s">
        <v>1693</v>
      </c>
      <c r="B1694" s="17" t="s">
        <v>2220</v>
      </c>
      <c r="C1694" s="17" t="s">
        <v>2457</v>
      </c>
      <c r="D1694" s="17" t="str">
        <f>_xlfn.XLOOKUP(Raw_LIMS_Export!E1694,'mapping Site table'!$B$4:$B$14,'mapping Site table'!$C$4:$C$14,Raw_LIMS_Export!E1694)</f>
        <v>Vernier CH</v>
      </c>
      <c r="E1694" s="17" t="s">
        <v>2481</v>
      </c>
      <c r="F1694" s="17">
        <f t="shared" si="79"/>
        <v>1</v>
      </c>
      <c r="G1694" s="17" t="str">
        <f t="shared" si="80"/>
        <v>Pass</v>
      </c>
      <c r="H1694" s="17" t="str">
        <f t="shared" si="78"/>
        <v>Pass</v>
      </c>
      <c r="I1694" s="17">
        <v>228.95</v>
      </c>
      <c r="J1694" s="17" t="s">
        <v>2488</v>
      </c>
      <c r="K1694" s="17">
        <v>150</v>
      </c>
      <c r="L1694" s="17">
        <v>400</v>
      </c>
      <c r="M1694" s="18">
        <f>Raw_LIMS_Export!K1694</f>
        <v>45889</v>
      </c>
      <c r="N1694" s="19" t="s">
        <v>2928</v>
      </c>
    </row>
    <row r="1695" spans="1:14" x14ac:dyDescent="0.35">
      <c r="A1695" s="16" t="s">
        <v>1694</v>
      </c>
      <c r="B1695" s="17" t="s">
        <v>2377</v>
      </c>
      <c r="C1695" s="17" t="s">
        <v>2460</v>
      </c>
      <c r="D1695" s="17" t="str">
        <f>_xlfn.XLOOKUP(Raw_LIMS_Export!E1695,'mapping Site table'!$B$4:$B$14,'mapping Site table'!$C$4:$C$14,Raw_LIMS_Export!E1695)</f>
        <v>Vernier CH</v>
      </c>
      <c r="E1695" s="17" t="s">
        <v>2480</v>
      </c>
      <c r="F1695" s="17">
        <f t="shared" si="79"/>
        <v>1</v>
      </c>
      <c r="G1695" s="17" t="str">
        <f t="shared" si="80"/>
        <v>Fail</v>
      </c>
      <c r="H1695" s="17" t="str">
        <f t="shared" si="78"/>
        <v>Fail</v>
      </c>
      <c r="I1695" s="17">
        <v>0.99</v>
      </c>
      <c r="J1695" s="17" t="s">
        <v>2487</v>
      </c>
      <c r="K1695" s="17">
        <v>0.88</v>
      </c>
      <c r="L1695" s="17">
        <v>0.97</v>
      </c>
      <c r="M1695" s="18">
        <f>Raw_LIMS_Export!K1695</f>
        <v>45398</v>
      </c>
      <c r="N1695" s="19" t="s">
        <v>2924</v>
      </c>
    </row>
    <row r="1696" spans="1:14" x14ac:dyDescent="0.35">
      <c r="A1696" s="16" t="s">
        <v>1695</v>
      </c>
      <c r="B1696" s="17" t="s">
        <v>2015</v>
      </c>
      <c r="C1696" s="17" t="s">
        <v>2457</v>
      </c>
      <c r="D1696" s="17" t="str">
        <f>_xlfn.XLOOKUP(Raw_LIMS_Export!E1696,'mapping Site table'!$B$4:$B$14,'mapping Site table'!$C$4:$C$14,Raw_LIMS_Export!E1696)</f>
        <v>East Hanover</v>
      </c>
      <c r="E1696" s="17" t="s">
        <v>2484</v>
      </c>
      <c r="F1696" s="17">
        <f t="shared" si="79"/>
        <v>1</v>
      </c>
      <c r="G1696" s="17" t="str">
        <f t="shared" si="80"/>
        <v>Pass</v>
      </c>
      <c r="H1696" s="17" t="str">
        <f t="shared" si="78"/>
        <v>Fail</v>
      </c>
      <c r="I1696" s="17">
        <v>6.88</v>
      </c>
      <c r="J1696" s="17"/>
      <c r="K1696" s="17">
        <v>6</v>
      </c>
      <c r="L1696" s="17">
        <v>7.5</v>
      </c>
      <c r="M1696" s="18">
        <f>Raw_LIMS_Export!K1696</f>
        <v>45488</v>
      </c>
      <c r="N1696" s="19" t="s">
        <v>2927</v>
      </c>
    </row>
    <row r="1697" spans="1:14" x14ac:dyDescent="0.35">
      <c r="A1697" s="16" t="s">
        <v>1696</v>
      </c>
      <c r="B1697" s="17" t="s">
        <v>2354</v>
      </c>
      <c r="C1697" s="17" t="s">
        <v>2458</v>
      </c>
      <c r="D1697" s="17" t="str">
        <f>_xlfn.XLOOKUP(Raw_LIMS_Export!E1697,'mapping Site table'!$B$4:$B$14,'mapping Site table'!$C$4:$C$14,Raw_LIMS_Export!E1697)</f>
        <v>Budapest</v>
      </c>
      <c r="E1697" s="17" t="s">
        <v>2482</v>
      </c>
      <c r="F1697" s="17">
        <f t="shared" si="79"/>
        <v>1</v>
      </c>
      <c r="G1697" s="17" t="str">
        <f t="shared" si="80"/>
        <v>Pass</v>
      </c>
      <c r="H1697" s="17" t="str">
        <f t="shared" si="78"/>
        <v>Pending</v>
      </c>
      <c r="I1697" s="17">
        <v>98.39</v>
      </c>
      <c r="J1697" s="17" t="s">
        <v>2489</v>
      </c>
      <c r="K1697" s="17">
        <v>97</v>
      </c>
      <c r="L1697" s="17">
        <v>100</v>
      </c>
      <c r="M1697" s="18">
        <f>Raw_LIMS_Export!K1697</f>
        <v>45587</v>
      </c>
      <c r="N1697" s="19" t="s">
        <v>2926</v>
      </c>
    </row>
    <row r="1698" spans="1:14" x14ac:dyDescent="0.35">
      <c r="A1698" s="16" t="s">
        <v>1697</v>
      </c>
      <c r="B1698" s="17" t="s">
        <v>2391</v>
      </c>
      <c r="C1698" s="17" t="s">
        <v>2458</v>
      </c>
      <c r="D1698" s="17" t="str">
        <f>_xlfn.XLOOKUP(Raw_LIMS_Export!E1698,'mapping Site table'!$B$4:$B$14,'mapping Site table'!$C$4:$C$14,Raw_LIMS_Export!E1698)</f>
        <v>Ashford UK</v>
      </c>
      <c r="E1698" s="17" t="s">
        <v>2485</v>
      </c>
      <c r="F1698" s="17">
        <f t="shared" si="79"/>
        <v>1</v>
      </c>
      <c r="G1698" s="17" t="str">
        <f t="shared" si="80"/>
        <v>Pass</v>
      </c>
      <c r="H1698" s="17" t="str">
        <f t="shared" si="78"/>
        <v>Pass</v>
      </c>
      <c r="I1698" s="17">
        <v>41.55</v>
      </c>
      <c r="J1698" s="17" t="s">
        <v>2490</v>
      </c>
      <c r="K1698" s="17">
        <v>0</v>
      </c>
      <c r="L1698" s="17">
        <v>100</v>
      </c>
      <c r="M1698" s="18">
        <f>Raw_LIMS_Export!K1698</f>
        <v>45743</v>
      </c>
      <c r="N1698" s="19" t="s">
        <v>2925</v>
      </c>
    </row>
    <row r="1699" spans="1:14" x14ac:dyDescent="0.35">
      <c r="A1699" s="16" t="s">
        <v>1698</v>
      </c>
      <c r="B1699" s="17" t="s">
        <v>2107</v>
      </c>
      <c r="C1699" s="17" t="s">
        <v>2459</v>
      </c>
      <c r="D1699" s="17" t="str">
        <f>_xlfn.XLOOKUP(Raw_LIMS_Export!E1699,'mapping Site table'!$B$4:$B$14,'mapping Site table'!$C$4:$C$14,Raw_LIMS_Export!E1699)</f>
        <v>East Hanover</v>
      </c>
      <c r="E1699" s="17" t="s">
        <v>2485</v>
      </c>
      <c r="F1699" s="17">
        <f t="shared" si="79"/>
        <v>1</v>
      </c>
      <c r="G1699" s="17" t="str">
        <f t="shared" si="80"/>
        <v>Pass</v>
      </c>
      <c r="H1699" s="17" t="str">
        <f t="shared" si="78"/>
        <v>Pass</v>
      </c>
      <c r="I1699" s="17">
        <v>34.72</v>
      </c>
      <c r="J1699" s="17" t="s">
        <v>2490</v>
      </c>
      <c r="K1699" s="17">
        <v>0</v>
      </c>
      <c r="L1699" s="17">
        <v>100</v>
      </c>
      <c r="M1699" s="18">
        <f>Raw_LIMS_Export!K1699</f>
        <v>45633</v>
      </c>
      <c r="N1699" s="19" t="s">
        <v>2930</v>
      </c>
    </row>
    <row r="1700" spans="1:14" x14ac:dyDescent="0.35">
      <c r="A1700" s="16" t="s">
        <v>1699</v>
      </c>
      <c r="B1700" s="17" t="s">
        <v>2412</v>
      </c>
      <c r="C1700" s="17" t="s">
        <v>2461</v>
      </c>
      <c r="D1700" s="17" t="str">
        <f>_xlfn.XLOOKUP(Raw_LIMS_Export!E1700,'mapping Site table'!$B$4:$B$14,'mapping Site table'!$C$4:$C$14,Raw_LIMS_Export!E1700)</f>
        <v>Vernier CH</v>
      </c>
      <c r="E1700" s="17" t="s">
        <v>2481</v>
      </c>
      <c r="F1700" s="17">
        <f t="shared" si="79"/>
        <v>1</v>
      </c>
      <c r="G1700" s="17" t="str">
        <f t="shared" si="80"/>
        <v>Pass</v>
      </c>
      <c r="H1700" s="17" t="str">
        <f t="shared" si="78"/>
        <v>Pass</v>
      </c>
      <c r="I1700" s="17">
        <v>223.83</v>
      </c>
      <c r="J1700" s="17" t="s">
        <v>2488</v>
      </c>
      <c r="K1700" s="17">
        <v>150</v>
      </c>
      <c r="L1700" s="17">
        <v>400</v>
      </c>
      <c r="M1700" s="18">
        <f>Raw_LIMS_Export!K1700</f>
        <v>45937</v>
      </c>
      <c r="N1700" s="19" t="s">
        <v>2930</v>
      </c>
    </row>
    <row r="1701" spans="1:14" x14ac:dyDescent="0.35">
      <c r="A1701" s="16" t="s">
        <v>1700</v>
      </c>
      <c r="B1701" s="17" t="s">
        <v>2297</v>
      </c>
      <c r="C1701" s="17" t="s">
        <v>2458</v>
      </c>
      <c r="D1701" s="17" t="str">
        <f>_xlfn.XLOOKUP(Raw_LIMS_Export!E1701,'mapping Site table'!$B$4:$B$14,'mapping Site table'!$C$4:$C$14,Raw_LIMS_Export!E1701)</f>
        <v>East Hanover</v>
      </c>
      <c r="E1701" s="17" t="s">
        <v>2483</v>
      </c>
      <c r="F1701" s="17">
        <f t="shared" si="79"/>
        <v>1</v>
      </c>
      <c r="G1701" s="17" t="str">
        <f t="shared" si="80"/>
        <v>Pass</v>
      </c>
      <c r="H1701" s="17" t="str">
        <f t="shared" si="78"/>
        <v>Pass</v>
      </c>
      <c r="I1701" s="17">
        <v>0.18</v>
      </c>
      <c r="J1701" s="17" t="s">
        <v>2489</v>
      </c>
      <c r="K1701" s="17">
        <v>0</v>
      </c>
      <c r="L1701" s="17">
        <v>1</v>
      </c>
      <c r="M1701" s="18">
        <f>Raw_LIMS_Export!K1701</f>
        <v>45800</v>
      </c>
      <c r="N1701" s="19" t="s">
        <v>2929</v>
      </c>
    </row>
    <row r="1702" spans="1:14" x14ac:dyDescent="0.35">
      <c r="A1702" s="16" t="s">
        <v>1701</v>
      </c>
      <c r="B1702" s="17" t="s">
        <v>2072</v>
      </c>
      <c r="C1702" s="17" t="s">
        <v>2460</v>
      </c>
      <c r="D1702" s="17" t="str">
        <f>_xlfn.XLOOKUP(Raw_LIMS_Export!E1702,'mapping Site table'!$B$4:$B$14,'mapping Site table'!$C$4:$C$14,Raw_LIMS_Export!E1702)</f>
        <v>Dortmund DE</v>
      </c>
      <c r="E1702" s="17" t="s">
        <v>2481</v>
      </c>
      <c r="F1702" s="17">
        <f t="shared" si="79"/>
        <v>1</v>
      </c>
      <c r="G1702" s="17" t="str">
        <f t="shared" si="80"/>
        <v>Pass</v>
      </c>
      <c r="H1702" s="17" t="str">
        <f t="shared" si="78"/>
        <v>Pass</v>
      </c>
      <c r="I1702" s="17">
        <v>231.02</v>
      </c>
      <c r="J1702" s="17" t="s">
        <v>2488</v>
      </c>
      <c r="K1702" s="17">
        <v>150</v>
      </c>
      <c r="L1702" s="17">
        <v>400</v>
      </c>
      <c r="M1702" s="18">
        <f>Raw_LIMS_Export!K1702</f>
        <v>45544</v>
      </c>
      <c r="N1702" s="19" t="s">
        <v>2924</v>
      </c>
    </row>
    <row r="1703" spans="1:14" x14ac:dyDescent="0.35">
      <c r="A1703" s="16" t="s">
        <v>1702</v>
      </c>
      <c r="B1703" s="17" t="s">
        <v>2184</v>
      </c>
      <c r="C1703" s="17" t="s">
        <v>2461</v>
      </c>
      <c r="D1703" s="17" t="str">
        <f>_xlfn.XLOOKUP(Raw_LIMS_Export!E1703,'mapping Site table'!$B$4:$B$14,'mapping Site table'!$C$4:$C$14,Raw_LIMS_Export!E1703)</f>
        <v>Ashford UK</v>
      </c>
      <c r="E1703" s="17" t="s">
        <v>2480</v>
      </c>
      <c r="F1703" s="17">
        <f t="shared" si="79"/>
        <v>1</v>
      </c>
      <c r="G1703" s="17" t="str">
        <f t="shared" si="80"/>
        <v>Pass</v>
      </c>
      <c r="H1703" s="17" t="str">
        <f t="shared" si="78"/>
        <v>Pass</v>
      </c>
      <c r="I1703" s="17">
        <v>0.92</v>
      </c>
      <c r="J1703" s="17" t="s">
        <v>2487</v>
      </c>
      <c r="K1703" s="17">
        <v>0.88</v>
      </c>
      <c r="L1703" s="17">
        <v>0.97</v>
      </c>
      <c r="M1703" s="18">
        <f>Raw_LIMS_Export!K1703</f>
        <v>45662</v>
      </c>
      <c r="N1703" s="19" t="s">
        <v>2925</v>
      </c>
    </row>
    <row r="1704" spans="1:14" x14ac:dyDescent="0.35">
      <c r="A1704" s="16" t="s">
        <v>1703</v>
      </c>
      <c r="B1704" s="17" t="s">
        <v>2078</v>
      </c>
      <c r="C1704" s="17" t="s">
        <v>2460</v>
      </c>
      <c r="D1704" s="17" t="str">
        <f>_xlfn.XLOOKUP(Raw_LIMS_Export!E1704,'mapping Site table'!$B$4:$B$14,'mapping Site table'!$C$4:$C$14,Raw_LIMS_Export!E1704)</f>
        <v>Ashford UK</v>
      </c>
      <c r="E1704" s="17" t="s">
        <v>2481</v>
      </c>
      <c r="F1704" s="17">
        <f t="shared" si="79"/>
        <v>1</v>
      </c>
      <c r="G1704" s="17" t="str">
        <f t="shared" si="80"/>
        <v>Pass</v>
      </c>
      <c r="H1704" s="17" t="str">
        <f t="shared" si="78"/>
        <v>Pass</v>
      </c>
      <c r="I1704" s="17">
        <v>197.96</v>
      </c>
      <c r="J1704" s="17" t="s">
        <v>2488</v>
      </c>
      <c r="K1704" s="17">
        <v>150</v>
      </c>
      <c r="L1704" s="17">
        <v>400</v>
      </c>
      <c r="M1704" s="18">
        <f>Raw_LIMS_Export!K1704</f>
        <v>45777</v>
      </c>
      <c r="N1704" s="19" t="s">
        <v>2931</v>
      </c>
    </row>
    <row r="1705" spans="1:14" x14ac:dyDescent="0.35">
      <c r="A1705" s="16" t="s">
        <v>1704</v>
      </c>
      <c r="B1705" s="17" t="s">
        <v>2054</v>
      </c>
      <c r="C1705" s="17" t="s">
        <v>2457</v>
      </c>
      <c r="D1705" s="17" t="str">
        <f>_xlfn.XLOOKUP(Raw_LIMS_Export!E1705,'mapping Site table'!$B$4:$B$14,'mapping Site table'!$C$4:$C$14,Raw_LIMS_Export!E1705)</f>
        <v>Vernier CH</v>
      </c>
      <c r="E1705" s="17" t="s">
        <v>2479</v>
      </c>
      <c r="F1705" s="17">
        <f t="shared" si="79"/>
        <v>1</v>
      </c>
      <c r="G1705" s="17" t="str">
        <f t="shared" si="80"/>
        <v>Pass</v>
      </c>
      <c r="H1705" s="17" t="str">
        <f t="shared" si="78"/>
        <v>Fail</v>
      </c>
      <c r="I1705" s="17">
        <v>53.41</v>
      </c>
      <c r="J1705" s="17" t="s">
        <v>2486</v>
      </c>
      <c r="K1705" s="17">
        <v>0</v>
      </c>
      <c r="L1705" s="17">
        <v>120</v>
      </c>
      <c r="M1705" s="18">
        <f>Raw_LIMS_Export!K1705</f>
        <v>45510</v>
      </c>
      <c r="N1705" s="19" t="s">
        <v>2928</v>
      </c>
    </row>
    <row r="1706" spans="1:14" x14ac:dyDescent="0.35">
      <c r="A1706" s="16" t="s">
        <v>1705</v>
      </c>
      <c r="B1706" s="17" t="s">
        <v>2203</v>
      </c>
      <c r="C1706" s="17" t="s">
        <v>2458</v>
      </c>
      <c r="D1706" s="17" t="str">
        <f>_xlfn.XLOOKUP(Raw_LIMS_Export!E1706,'mapping Site table'!$B$4:$B$14,'mapping Site table'!$C$4:$C$14,Raw_LIMS_Export!E1706)</f>
        <v>Dortmund DE</v>
      </c>
      <c r="E1706" s="17" t="s">
        <v>2481</v>
      </c>
      <c r="F1706" s="17">
        <f t="shared" si="79"/>
        <v>1</v>
      </c>
      <c r="G1706" s="17" t="str">
        <f t="shared" si="80"/>
        <v>Pass</v>
      </c>
      <c r="H1706" s="17" t="str">
        <f t="shared" si="78"/>
        <v>Fail</v>
      </c>
      <c r="I1706" s="17">
        <v>278.67</v>
      </c>
      <c r="J1706" s="17" t="s">
        <v>2488</v>
      </c>
      <c r="K1706" s="17">
        <v>150</v>
      </c>
      <c r="L1706" s="17">
        <v>400</v>
      </c>
      <c r="M1706" s="18">
        <f>Raw_LIMS_Export!K1706</f>
        <v>45911</v>
      </c>
      <c r="N1706" s="19" t="s">
        <v>2927</v>
      </c>
    </row>
    <row r="1707" spans="1:14" x14ac:dyDescent="0.35">
      <c r="A1707" s="16" t="s">
        <v>1706</v>
      </c>
      <c r="B1707" s="17" t="s">
        <v>2439</v>
      </c>
      <c r="C1707" s="17" t="s">
        <v>2458</v>
      </c>
      <c r="D1707" s="17" t="str">
        <f>_xlfn.XLOOKUP(Raw_LIMS_Export!E1707,'mapping Site table'!$B$4:$B$14,'mapping Site table'!$C$4:$C$14,Raw_LIMS_Export!E1707)</f>
        <v>Ashford UK</v>
      </c>
      <c r="E1707" s="17" t="s">
        <v>2479</v>
      </c>
      <c r="F1707" s="17">
        <f t="shared" si="79"/>
        <v>1</v>
      </c>
      <c r="G1707" s="17" t="str">
        <f t="shared" si="80"/>
        <v>Pass</v>
      </c>
      <c r="H1707" s="17" t="str">
        <f t="shared" si="78"/>
        <v>Fail</v>
      </c>
      <c r="I1707" s="17">
        <v>20.170000000000002</v>
      </c>
      <c r="J1707" s="17" t="s">
        <v>2486</v>
      </c>
      <c r="K1707" s="17">
        <v>0</v>
      </c>
      <c r="L1707" s="17">
        <v>120</v>
      </c>
      <c r="M1707" s="18">
        <f>Raw_LIMS_Export!K1707</f>
        <v>45549</v>
      </c>
      <c r="N1707" s="19" t="s">
        <v>2927</v>
      </c>
    </row>
    <row r="1708" spans="1:14" x14ac:dyDescent="0.35">
      <c r="A1708" s="16" t="s">
        <v>1707</v>
      </c>
      <c r="B1708" s="17" t="s">
        <v>2044</v>
      </c>
      <c r="C1708" s="17" t="s">
        <v>2459</v>
      </c>
      <c r="D1708" s="17" t="str">
        <f>_xlfn.XLOOKUP(Raw_LIMS_Export!E1708,'mapping Site table'!$B$4:$B$14,'mapping Site table'!$C$4:$C$14,Raw_LIMS_Export!E1708)</f>
        <v>Budapest</v>
      </c>
      <c r="E1708" s="17" t="s">
        <v>2483</v>
      </c>
      <c r="F1708" s="17">
        <f t="shared" si="79"/>
        <v>0</v>
      </c>
      <c r="G1708" s="17" t="str">
        <f t="shared" si="80"/>
        <v>Missing</v>
      </c>
      <c r="H1708" s="17" t="str">
        <f t="shared" si="78"/>
        <v>Pending</v>
      </c>
      <c r="I1708" s="17"/>
      <c r="J1708" s="17" t="s">
        <v>2489</v>
      </c>
      <c r="K1708" s="17">
        <v>0</v>
      </c>
      <c r="L1708" s="17">
        <v>1</v>
      </c>
      <c r="M1708" s="18">
        <f>Raw_LIMS_Export!K1708</f>
        <v>45350</v>
      </c>
      <c r="N1708" s="19" t="s">
        <v>2927</v>
      </c>
    </row>
    <row r="1709" spans="1:14" x14ac:dyDescent="0.35">
      <c r="A1709" s="16" t="s">
        <v>1708</v>
      </c>
      <c r="B1709" s="17" t="s">
        <v>2020</v>
      </c>
      <c r="C1709" s="17" t="s">
        <v>2458</v>
      </c>
      <c r="D1709" s="17" t="str">
        <f>_xlfn.XLOOKUP(Raw_LIMS_Export!E1709,'mapping Site table'!$B$4:$B$14,'mapping Site table'!$C$4:$C$14,Raw_LIMS_Export!E1709)</f>
        <v>Budapest</v>
      </c>
      <c r="E1709" s="17" t="s">
        <v>2485</v>
      </c>
      <c r="F1709" s="17">
        <f t="shared" si="79"/>
        <v>1</v>
      </c>
      <c r="G1709" s="17" t="str">
        <f t="shared" si="80"/>
        <v>Pass</v>
      </c>
      <c r="H1709" s="17" t="str">
        <f t="shared" si="78"/>
        <v>Pass</v>
      </c>
      <c r="I1709" s="17">
        <v>38.159999999999997</v>
      </c>
      <c r="J1709" s="17" t="s">
        <v>2490</v>
      </c>
      <c r="K1709" s="17">
        <v>0</v>
      </c>
      <c r="L1709" s="17">
        <v>100</v>
      </c>
      <c r="M1709" s="18">
        <f>Raw_LIMS_Export!K1709</f>
        <v>45655</v>
      </c>
      <c r="N1709" s="19" t="s">
        <v>2925</v>
      </c>
    </row>
    <row r="1710" spans="1:14" x14ac:dyDescent="0.35">
      <c r="A1710" s="16" t="s">
        <v>1709</v>
      </c>
      <c r="B1710" s="17" t="s">
        <v>2370</v>
      </c>
      <c r="C1710" s="17" t="s">
        <v>2459</v>
      </c>
      <c r="D1710" s="17" t="str">
        <f>_xlfn.XLOOKUP(Raw_LIMS_Export!E1710,'mapping Site table'!$B$4:$B$14,'mapping Site table'!$C$4:$C$14,Raw_LIMS_Export!E1710)</f>
        <v>Dortmund DE</v>
      </c>
      <c r="E1710" s="17" t="s">
        <v>2481</v>
      </c>
      <c r="F1710" s="17">
        <f t="shared" si="79"/>
        <v>1</v>
      </c>
      <c r="G1710" s="17" t="str">
        <f t="shared" si="80"/>
        <v>Pass</v>
      </c>
      <c r="H1710" s="17" t="str">
        <f t="shared" si="78"/>
        <v>Pass</v>
      </c>
      <c r="I1710" s="17">
        <v>285.93</v>
      </c>
      <c r="J1710" s="17" t="s">
        <v>2488</v>
      </c>
      <c r="K1710" s="17">
        <v>150</v>
      </c>
      <c r="L1710" s="17">
        <v>400</v>
      </c>
      <c r="M1710" s="18">
        <f>Raw_LIMS_Export!K1710</f>
        <v>45318</v>
      </c>
      <c r="N1710" s="19" t="s">
        <v>2930</v>
      </c>
    </row>
    <row r="1711" spans="1:14" x14ac:dyDescent="0.35">
      <c r="A1711" s="16" t="s">
        <v>1710</v>
      </c>
      <c r="B1711" s="17" t="s">
        <v>2018</v>
      </c>
      <c r="C1711" s="17" t="s">
        <v>2460</v>
      </c>
      <c r="D1711" s="17" t="str">
        <f>_xlfn.XLOOKUP(Raw_LIMS_Export!E1711,'mapping Site table'!$B$4:$B$14,'mapping Site table'!$C$4:$C$14,Raw_LIMS_Export!E1711)</f>
        <v>Dortmund DE</v>
      </c>
      <c r="E1711" s="17" t="s">
        <v>2480</v>
      </c>
      <c r="F1711" s="17">
        <f t="shared" si="79"/>
        <v>1</v>
      </c>
      <c r="G1711" s="17" t="str">
        <f t="shared" si="80"/>
        <v>Fail</v>
      </c>
      <c r="H1711" s="17" t="str">
        <f t="shared" si="78"/>
        <v>Fail</v>
      </c>
      <c r="I1711" s="17">
        <v>0.87</v>
      </c>
      <c r="J1711" s="17" t="s">
        <v>2487</v>
      </c>
      <c r="K1711" s="17">
        <v>0.88</v>
      </c>
      <c r="L1711" s="17">
        <v>0.97</v>
      </c>
      <c r="M1711" s="18">
        <f>Raw_LIMS_Export!K1711</f>
        <v>45501</v>
      </c>
      <c r="N1711" s="19" t="s">
        <v>2930</v>
      </c>
    </row>
    <row r="1712" spans="1:14" x14ac:dyDescent="0.35">
      <c r="A1712" s="16" t="s">
        <v>1711</v>
      </c>
      <c r="B1712" s="17" t="s">
        <v>2233</v>
      </c>
      <c r="C1712" s="17" t="s">
        <v>2459</v>
      </c>
      <c r="D1712" s="17" t="str">
        <f>_xlfn.XLOOKUP(Raw_LIMS_Export!E1712,'mapping Site table'!$B$4:$B$14,'mapping Site table'!$C$4:$C$14,Raw_LIMS_Export!E1712)</f>
        <v>Budapest</v>
      </c>
      <c r="E1712" s="17" t="s">
        <v>2479</v>
      </c>
      <c r="F1712" s="17">
        <f t="shared" si="79"/>
        <v>1</v>
      </c>
      <c r="G1712" s="17" t="str">
        <f t="shared" si="80"/>
        <v>Fail</v>
      </c>
      <c r="H1712" s="17" t="str">
        <f t="shared" si="78"/>
        <v>Fail</v>
      </c>
      <c r="I1712" s="17">
        <v>180</v>
      </c>
      <c r="J1712" s="17" t="s">
        <v>2486</v>
      </c>
      <c r="K1712" s="17">
        <v>0</v>
      </c>
      <c r="L1712" s="17">
        <v>120</v>
      </c>
      <c r="M1712" s="18">
        <f>Raw_LIMS_Export!K1712</f>
        <v>45854</v>
      </c>
      <c r="N1712" s="19" t="s">
        <v>2929</v>
      </c>
    </row>
    <row r="1713" spans="1:14" x14ac:dyDescent="0.35">
      <c r="A1713" s="16" t="s">
        <v>1712</v>
      </c>
      <c r="B1713" s="17" t="s">
        <v>2027</v>
      </c>
      <c r="C1713" s="17" t="s">
        <v>2458</v>
      </c>
      <c r="D1713" s="17" t="str">
        <f>_xlfn.XLOOKUP(Raw_LIMS_Export!E1713,'mapping Site table'!$B$4:$B$14,'mapping Site table'!$C$4:$C$14,Raw_LIMS_Export!E1713)</f>
        <v>East Hanover</v>
      </c>
      <c r="E1713" s="17" t="s">
        <v>2479</v>
      </c>
      <c r="F1713" s="17">
        <f t="shared" si="79"/>
        <v>1</v>
      </c>
      <c r="G1713" s="17" t="str">
        <f t="shared" si="80"/>
        <v>Pass</v>
      </c>
      <c r="H1713" s="17" t="str">
        <f t="shared" si="78"/>
        <v>Pass</v>
      </c>
      <c r="I1713" s="17">
        <v>66.290000000000006</v>
      </c>
      <c r="J1713" s="17" t="s">
        <v>2486</v>
      </c>
      <c r="K1713" s="17">
        <v>0</v>
      </c>
      <c r="L1713" s="17">
        <v>120</v>
      </c>
      <c r="M1713" s="18">
        <f>Raw_LIMS_Export!K1713</f>
        <v>45827</v>
      </c>
      <c r="N1713" s="19" t="s">
        <v>2928</v>
      </c>
    </row>
    <row r="1714" spans="1:14" x14ac:dyDescent="0.35">
      <c r="A1714" s="16" t="s">
        <v>1713</v>
      </c>
      <c r="B1714" s="17" t="s">
        <v>2443</v>
      </c>
      <c r="C1714" s="17" t="s">
        <v>2460</v>
      </c>
      <c r="D1714" s="17" t="str">
        <f>_xlfn.XLOOKUP(Raw_LIMS_Export!E1714,'mapping Site table'!$B$4:$B$14,'mapping Site table'!$C$4:$C$14,Raw_LIMS_Export!E1714)</f>
        <v>Ashford UK</v>
      </c>
      <c r="E1714" s="17" t="s">
        <v>2484</v>
      </c>
      <c r="F1714" s="17">
        <f t="shared" si="79"/>
        <v>1</v>
      </c>
      <c r="G1714" s="17" t="str">
        <f t="shared" si="80"/>
        <v>Pass</v>
      </c>
      <c r="H1714" s="17" t="str">
        <f t="shared" si="78"/>
        <v>Pass</v>
      </c>
      <c r="I1714" s="17">
        <v>6.42</v>
      </c>
      <c r="J1714" s="17"/>
      <c r="K1714" s="17">
        <v>6</v>
      </c>
      <c r="L1714" s="17">
        <v>7.5</v>
      </c>
      <c r="M1714" s="18">
        <f>Raw_LIMS_Export!K1714</f>
        <v>45533</v>
      </c>
      <c r="N1714" s="19" t="s">
        <v>2928</v>
      </c>
    </row>
    <row r="1715" spans="1:14" x14ac:dyDescent="0.35">
      <c r="A1715" s="16" t="s">
        <v>1714</v>
      </c>
      <c r="B1715" s="17" t="s">
        <v>2301</v>
      </c>
      <c r="C1715" s="17" t="s">
        <v>2460</v>
      </c>
      <c r="D1715" s="17" t="str">
        <f>_xlfn.XLOOKUP(Raw_LIMS_Export!E1715,'mapping Site table'!$B$4:$B$14,'mapping Site table'!$C$4:$C$14,Raw_LIMS_Export!E1715)</f>
        <v>Vernier CH</v>
      </c>
      <c r="E1715" s="17" t="s">
        <v>2482</v>
      </c>
      <c r="F1715" s="17">
        <f t="shared" si="79"/>
        <v>1</v>
      </c>
      <c r="G1715" s="17" t="str">
        <f t="shared" si="80"/>
        <v>Pass</v>
      </c>
      <c r="H1715" s="17" t="str">
        <f t="shared" si="78"/>
        <v>Pass</v>
      </c>
      <c r="I1715" s="17">
        <v>97.81</v>
      </c>
      <c r="J1715" s="17" t="s">
        <v>2489</v>
      </c>
      <c r="K1715" s="17">
        <v>97</v>
      </c>
      <c r="L1715" s="17">
        <v>100</v>
      </c>
      <c r="M1715" s="18">
        <f>Raw_LIMS_Export!K1715</f>
        <v>45595</v>
      </c>
      <c r="N1715" s="19" t="s">
        <v>2923</v>
      </c>
    </row>
    <row r="1716" spans="1:14" x14ac:dyDescent="0.35">
      <c r="A1716" s="16" t="s">
        <v>1715</v>
      </c>
      <c r="B1716" s="17" t="s">
        <v>2425</v>
      </c>
      <c r="C1716" s="17" t="s">
        <v>2461</v>
      </c>
      <c r="D1716" s="17" t="str">
        <f>_xlfn.XLOOKUP(Raw_LIMS_Export!E1716,'mapping Site table'!$B$4:$B$14,'mapping Site table'!$C$4:$C$14,Raw_LIMS_Export!E1716)</f>
        <v>East Hanover</v>
      </c>
      <c r="E1716" s="17" t="s">
        <v>2485</v>
      </c>
      <c r="F1716" s="17">
        <f t="shared" si="79"/>
        <v>1</v>
      </c>
      <c r="G1716" s="17" t="str">
        <f t="shared" si="80"/>
        <v>Pass</v>
      </c>
      <c r="H1716" s="17" t="str">
        <f t="shared" si="78"/>
        <v>Pass</v>
      </c>
      <c r="I1716" s="17">
        <v>7.1</v>
      </c>
      <c r="J1716" s="17" t="s">
        <v>2490</v>
      </c>
      <c r="K1716" s="17">
        <v>0</v>
      </c>
      <c r="L1716" s="17">
        <v>100</v>
      </c>
      <c r="M1716" s="18">
        <f>Raw_LIMS_Export!K1716</f>
        <v>45556</v>
      </c>
      <c r="N1716" s="19" t="s">
        <v>2923</v>
      </c>
    </row>
    <row r="1717" spans="1:14" x14ac:dyDescent="0.35">
      <c r="A1717" s="16" t="s">
        <v>1716</v>
      </c>
      <c r="B1717" s="17" t="s">
        <v>2279</v>
      </c>
      <c r="C1717" s="17" t="s">
        <v>2457</v>
      </c>
      <c r="D1717" s="17" t="str">
        <f>_xlfn.XLOOKUP(Raw_LIMS_Export!E1717,'mapping Site table'!$B$4:$B$14,'mapping Site table'!$C$4:$C$14,Raw_LIMS_Export!E1717)</f>
        <v>Vernier CH</v>
      </c>
      <c r="E1717" s="17" t="s">
        <v>2481</v>
      </c>
      <c r="F1717" s="17">
        <f t="shared" si="79"/>
        <v>1</v>
      </c>
      <c r="G1717" s="17" t="str">
        <f t="shared" si="80"/>
        <v>Pass</v>
      </c>
      <c r="H1717" s="17" t="str">
        <f t="shared" si="78"/>
        <v>Pass</v>
      </c>
      <c r="I1717" s="17">
        <v>187.38</v>
      </c>
      <c r="J1717" s="17" t="s">
        <v>2488</v>
      </c>
      <c r="K1717" s="17">
        <v>150</v>
      </c>
      <c r="L1717" s="17">
        <v>400</v>
      </c>
      <c r="M1717" s="18">
        <f>Raw_LIMS_Export!K1717</f>
        <v>45485</v>
      </c>
      <c r="N1717" s="19" t="s">
        <v>2930</v>
      </c>
    </row>
    <row r="1718" spans="1:14" x14ac:dyDescent="0.35">
      <c r="A1718" s="16" t="s">
        <v>1717</v>
      </c>
      <c r="B1718" s="17" t="s">
        <v>2131</v>
      </c>
      <c r="C1718" s="17" t="s">
        <v>2459</v>
      </c>
      <c r="D1718" s="17" t="str">
        <f>_xlfn.XLOOKUP(Raw_LIMS_Export!E1718,'mapping Site table'!$B$4:$B$14,'mapping Site table'!$C$4:$C$14,Raw_LIMS_Export!E1718)</f>
        <v>Budapest</v>
      </c>
      <c r="E1718" s="17" t="s">
        <v>2485</v>
      </c>
      <c r="F1718" s="17">
        <f t="shared" si="79"/>
        <v>1</v>
      </c>
      <c r="G1718" s="17" t="str">
        <f t="shared" si="80"/>
        <v>Fail</v>
      </c>
      <c r="H1718" s="17" t="str">
        <f t="shared" si="78"/>
        <v>Fail</v>
      </c>
      <c r="I1718" s="17">
        <v>-30.75</v>
      </c>
      <c r="J1718" s="17" t="s">
        <v>2490</v>
      </c>
      <c r="K1718" s="17">
        <v>0</v>
      </c>
      <c r="L1718" s="17">
        <v>100</v>
      </c>
      <c r="M1718" s="18">
        <f>Raw_LIMS_Export!K1718</f>
        <v>45561</v>
      </c>
      <c r="N1718" s="19" t="s">
        <v>2929</v>
      </c>
    </row>
    <row r="1719" spans="1:14" x14ac:dyDescent="0.35">
      <c r="A1719" s="16" t="s">
        <v>1718</v>
      </c>
      <c r="B1719" s="17" t="s">
        <v>2445</v>
      </c>
      <c r="C1719" s="17" t="s">
        <v>2461</v>
      </c>
      <c r="D1719" s="17" t="str">
        <f>_xlfn.XLOOKUP(Raw_LIMS_Export!E1719,'mapping Site table'!$B$4:$B$14,'mapping Site table'!$C$4:$C$14,Raw_LIMS_Export!E1719)</f>
        <v>East Hanover</v>
      </c>
      <c r="E1719" s="17" t="s">
        <v>2484</v>
      </c>
      <c r="F1719" s="17">
        <f t="shared" si="79"/>
        <v>1</v>
      </c>
      <c r="G1719" s="17" t="str">
        <f t="shared" si="80"/>
        <v>Pass</v>
      </c>
      <c r="H1719" s="17" t="str">
        <f t="shared" si="78"/>
        <v>Pass</v>
      </c>
      <c r="I1719" s="17">
        <v>6.94</v>
      </c>
      <c r="J1719" s="17"/>
      <c r="K1719" s="17">
        <v>6</v>
      </c>
      <c r="L1719" s="17">
        <v>7.5</v>
      </c>
      <c r="M1719" s="18">
        <f>Raw_LIMS_Export!K1719</f>
        <v>45725</v>
      </c>
      <c r="N1719" s="19" t="s">
        <v>2926</v>
      </c>
    </row>
    <row r="1720" spans="1:14" x14ac:dyDescent="0.35">
      <c r="A1720" s="16" t="s">
        <v>1719</v>
      </c>
      <c r="B1720" s="17" t="s">
        <v>2078</v>
      </c>
      <c r="C1720" s="17" t="s">
        <v>2460</v>
      </c>
      <c r="D1720" s="17" t="str">
        <f>_xlfn.XLOOKUP(Raw_LIMS_Export!E1720,'mapping Site table'!$B$4:$B$14,'mapping Site table'!$C$4:$C$14,Raw_LIMS_Export!E1720)</f>
        <v>Ashford UK</v>
      </c>
      <c r="E1720" s="17" t="s">
        <v>2480</v>
      </c>
      <c r="F1720" s="17">
        <f t="shared" si="79"/>
        <v>1</v>
      </c>
      <c r="G1720" s="17" t="str">
        <f t="shared" si="80"/>
        <v>Pass</v>
      </c>
      <c r="H1720" s="17" t="str">
        <f t="shared" si="78"/>
        <v>Pass</v>
      </c>
      <c r="I1720" s="17">
        <v>0.88</v>
      </c>
      <c r="J1720" s="17" t="s">
        <v>2487</v>
      </c>
      <c r="K1720" s="17">
        <v>0.88</v>
      </c>
      <c r="L1720" s="17">
        <v>0.97</v>
      </c>
      <c r="M1720" s="18">
        <f>Raw_LIMS_Export!K1720</f>
        <v>45777</v>
      </c>
      <c r="N1720" s="19" t="s">
        <v>2932</v>
      </c>
    </row>
    <row r="1721" spans="1:14" x14ac:dyDescent="0.35">
      <c r="A1721" s="16" t="s">
        <v>1720</v>
      </c>
      <c r="B1721" s="17" t="s">
        <v>2159</v>
      </c>
      <c r="C1721" s="17" t="s">
        <v>2457</v>
      </c>
      <c r="D1721" s="17" t="str">
        <f>_xlfn.XLOOKUP(Raw_LIMS_Export!E1721,'mapping Site table'!$B$4:$B$14,'mapping Site table'!$C$4:$C$14,Raw_LIMS_Export!E1721)</f>
        <v>Vernier CH</v>
      </c>
      <c r="E1721" s="17" t="s">
        <v>2484</v>
      </c>
      <c r="F1721" s="17">
        <f t="shared" si="79"/>
        <v>1</v>
      </c>
      <c r="G1721" s="17" t="str">
        <f t="shared" si="80"/>
        <v>Pass</v>
      </c>
      <c r="H1721" s="17" t="str">
        <f t="shared" si="78"/>
        <v>Pass</v>
      </c>
      <c r="I1721" s="17">
        <v>6.61</v>
      </c>
      <c r="J1721" s="17"/>
      <c r="K1721" s="17">
        <v>6</v>
      </c>
      <c r="L1721" s="17">
        <v>7.5</v>
      </c>
      <c r="M1721" s="18">
        <f>Raw_LIMS_Export!K1721</f>
        <v>45511</v>
      </c>
      <c r="N1721" s="19" t="s">
        <v>2923</v>
      </c>
    </row>
    <row r="1722" spans="1:14" x14ac:dyDescent="0.35">
      <c r="A1722" s="16" t="s">
        <v>1721</v>
      </c>
      <c r="B1722" s="17" t="s">
        <v>2261</v>
      </c>
      <c r="C1722" s="17" t="s">
        <v>2457</v>
      </c>
      <c r="D1722" s="17" t="str">
        <f>_xlfn.XLOOKUP(Raw_LIMS_Export!E1722,'mapping Site table'!$B$4:$B$14,'mapping Site table'!$C$4:$C$14,Raw_LIMS_Export!E1722)</f>
        <v>Ashford UK</v>
      </c>
      <c r="E1722" s="17" t="s">
        <v>2484</v>
      </c>
      <c r="F1722" s="17">
        <f t="shared" si="79"/>
        <v>1</v>
      </c>
      <c r="G1722" s="17" t="str">
        <f t="shared" si="80"/>
        <v>Pass</v>
      </c>
      <c r="H1722" s="17" t="str">
        <f t="shared" si="78"/>
        <v>Pending</v>
      </c>
      <c r="I1722" s="17">
        <v>6.66</v>
      </c>
      <c r="J1722" s="17"/>
      <c r="K1722" s="17">
        <v>6</v>
      </c>
      <c r="L1722" s="17">
        <v>7.5</v>
      </c>
      <c r="M1722" s="18">
        <f>Raw_LIMS_Export!K1722</f>
        <v>45409</v>
      </c>
      <c r="N1722" s="19" t="s">
        <v>2930</v>
      </c>
    </row>
    <row r="1723" spans="1:14" x14ac:dyDescent="0.35">
      <c r="A1723" s="16" t="s">
        <v>1722</v>
      </c>
      <c r="B1723" s="17" t="s">
        <v>2262</v>
      </c>
      <c r="C1723" s="17" t="s">
        <v>2459</v>
      </c>
      <c r="D1723" s="17" t="str">
        <f>_xlfn.XLOOKUP(Raw_LIMS_Export!E1723,'mapping Site table'!$B$4:$B$14,'mapping Site table'!$C$4:$C$14,Raw_LIMS_Export!E1723)</f>
        <v>Vernier CH</v>
      </c>
      <c r="E1723" s="17" t="s">
        <v>2484</v>
      </c>
      <c r="F1723" s="17">
        <f t="shared" si="79"/>
        <v>1</v>
      </c>
      <c r="G1723" s="17" t="str">
        <f t="shared" si="80"/>
        <v>Pass</v>
      </c>
      <c r="H1723" s="17" t="str">
        <f t="shared" si="78"/>
        <v>Fail</v>
      </c>
      <c r="I1723" s="17">
        <v>7.18</v>
      </c>
      <c r="J1723" s="17"/>
      <c r="K1723" s="17">
        <v>6</v>
      </c>
      <c r="L1723" s="17">
        <v>7.5</v>
      </c>
      <c r="M1723" s="18">
        <f>Raw_LIMS_Export!K1723</f>
        <v>45659</v>
      </c>
      <c r="N1723" s="19" t="s">
        <v>2925</v>
      </c>
    </row>
    <row r="1724" spans="1:14" x14ac:dyDescent="0.35">
      <c r="A1724" s="16" t="s">
        <v>1723</v>
      </c>
      <c r="B1724" s="17" t="s">
        <v>2345</v>
      </c>
      <c r="C1724" s="17" t="s">
        <v>2458</v>
      </c>
      <c r="D1724" s="17" t="str">
        <f>_xlfn.XLOOKUP(Raw_LIMS_Export!E1724,'mapping Site table'!$B$4:$B$14,'mapping Site table'!$C$4:$C$14,Raw_LIMS_Export!E1724)</f>
        <v>Budapest</v>
      </c>
      <c r="E1724" s="17" t="s">
        <v>2483</v>
      </c>
      <c r="F1724" s="17">
        <f t="shared" si="79"/>
        <v>1</v>
      </c>
      <c r="G1724" s="17" t="str">
        <f t="shared" si="80"/>
        <v>Pass</v>
      </c>
      <c r="H1724" s="17" t="str">
        <f t="shared" si="78"/>
        <v>Pass</v>
      </c>
      <c r="I1724" s="17">
        <v>0.37</v>
      </c>
      <c r="J1724" s="17" t="s">
        <v>2489</v>
      </c>
      <c r="K1724" s="17">
        <v>0</v>
      </c>
      <c r="L1724" s="17">
        <v>1</v>
      </c>
      <c r="M1724" s="18">
        <f>Raw_LIMS_Export!K1724</f>
        <v>45379</v>
      </c>
      <c r="N1724" s="19" t="s">
        <v>2931</v>
      </c>
    </row>
    <row r="1725" spans="1:14" x14ac:dyDescent="0.35">
      <c r="A1725" s="16" t="s">
        <v>1724</v>
      </c>
      <c r="B1725" s="17" t="s">
        <v>2226</v>
      </c>
      <c r="C1725" s="17" t="s">
        <v>2457</v>
      </c>
      <c r="D1725" s="17" t="str">
        <f>_xlfn.XLOOKUP(Raw_LIMS_Export!E1725,'mapping Site table'!$B$4:$B$14,'mapping Site table'!$C$4:$C$14,Raw_LIMS_Export!E1725)</f>
        <v>Budapest</v>
      </c>
      <c r="E1725" s="17" t="s">
        <v>2485</v>
      </c>
      <c r="F1725" s="17">
        <f t="shared" si="79"/>
        <v>1</v>
      </c>
      <c r="G1725" s="17" t="str">
        <f t="shared" si="80"/>
        <v>Pass</v>
      </c>
      <c r="H1725" s="17" t="str">
        <f t="shared" si="78"/>
        <v>Pass</v>
      </c>
      <c r="I1725" s="17">
        <v>26.29</v>
      </c>
      <c r="J1725" s="17" t="s">
        <v>2490</v>
      </c>
      <c r="K1725" s="17">
        <v>0</v>
      </c>
      <c r="L1725" s="17">
        <v>100</v>
      </c>
      <c r="M1725" s="18">
        <f>Raw_LIMS_Export!K1725</f>
        <v>45595</v>
      </c>
      <c r="N1725" s="19" t="s">
        <v>2926</v>
      </c>
    </row>
    <row r="1726" spans="1:14" x14ac:dyDescent="0.35">
      <c r="A1726" s="16" t="s">
        <v>1725</v>
      </c>
      <c r="B1726" s="17" t="s">
        <v>2357</v>
      </c>
      <c r="C1726" s="17" t="s">
        <v>2459</v>
      </c>
      <c r="D1726" s="17" t="str">
        <f>_xlfn.XLOOKUP(Raw_LIMS_Export!E1726,'mapping Site table'!$B$4:$B$14,'mapping Site table'!$C$4:$C$14,Raw_LIMS_Export!E1726)</f>
        <v>Ashford UK</v>
      </c>
      <c r="E1726" s="17" t="s">
        <v>2484</v>
      </c>
      <c r="F1726" s="17">
        <f t="shared" si="79"/>
        <v>1</v>
      </c>
      <c r="G1726" s="17" t="str">
        <f t="shared" si="80"/>
        <v>Pass</v>
      </c>
      <c r="H1726" s="17" t="str">
        <f t="shared" si="78"/>
        <v>Fail</v>
      </c>
      <c r="I1726" s="17">
        <v>6.73</v>
      </c>
      <c r="J1726" s="17"/>
      <c r="K1726" s="17">
        <v>6</v>
      </c>
      <c r="L1726" s="17">
        <v>7.5</v>
      </c>
      <c r="M1726" s="18">
        <f>Raw_LIMS_Export!K1726</f>
        <v>45388</v>
      </c>
      <c r="N1726" s="19" t="s">
        <v>2928</v>
      </c>
    </row>
    <row r="1727" spans="1:14" x14ac:dyDescent="0.35">
      <c r="A1727" s="16" t="s">
        <v>1726</v>
      </c>
      <c r="B1727" s="17" t="s">
        <v>2240</v>
      </c>
      <c r="C1727" s="17" t="s">
        <v>2457</v>
      </c>
      <c r="D1727" s="17" t="str">
        <f>_xlfn.XLOOKUP(Raw_LIMS_Export!E1727,'mapping Site table'!$B$4:$B$14,'mapping Site table'!$C$4:$C$14,Raw_LIMS_Export!E1727)</f>
        <v>Budapest</v>
      </c>
      <c r="E1727" s="17" t="s">
        <v>2485</v>
      </c>
      <c r="F1727" s="17">
        <f t="shared" si="79"/>
        <v>1</v>
      </c>
      <c r="G1727" s="17" t="str">
        <f t="shared" si="80"/>
        <v>Pass</v>
      </c>
      <c r="H1727" s="17" t="str">
        <f t="shared" si="78"/>
        <v>Pass</v>
      </c>
      <c r="I1727" s="17">
        <v>28.51</v>
      </c>
      <c r="J1727" s="17" t="s">
        <v>2490</v>
      </c>
      <c r="K1727" s="17">
        <v>0</v>
      </c>
      <c r="L1727" s="17">
        <v>100</v>
      </c>
      <c r="M1727" s="18">
        <f>Raw_LIMS_Export!K1727</f>
        <v>45904</v>
      </c>
      <c r="N1727" s="19" t="s">
        <v>2923</v>
      </c>
    </row>
    <row r="1728" spans="1:14" x14ac:dyDescent="0.35">
      <c r="A1728" s="16" t="s">
        <v>1727</v>
      </c>
      <c r="B1728" s="17" t="s">
        <v>2181</v>
      </c>
      <c r="C1728" s="17" t="s">
        <v>2459</v>
      </c>
      <c r="D1728" s="17" t="str">
        <f>_xlfn.XLOOKUP(Raw_LIMS_Export!E1728,'mapping Site table'!$B$4:$B$14,'mapping Site table'!$C$4:$C$14,Raw_LIMS_Export!E1728)</f>
        <v>Vernier CH</v>
      </c>
      <c r="E1728" s="17" t="s">
        <v>2485</v>
      </c>
      <c r="F1728" s="17">
        <f t="shared" si="79"/>
        <v>1</v>
      </c>
      <c r="G1728" s="17" t="str">
        <f t="shared" si="80"/>
        <v>Fail</v>
      </c>
      <c r="H1728" s="17" t="str">
        <f t="shared" si="78"/>
        <v>Fail</v>
      </c>
      <c r="I1728" s="17">
        <v>-0.8</v>
      </c>
      <c r="J1728" s="17" t="s">
        <v>2490</v>
      </c>
      <c r="K1728" s="17">
        <v>0</v>
      </c>
      <c r="L1728" s="17">
        <v>100</v>
      </c>
      <c r="M1728" s="18">
        <f>Raw_LIMS_Export!K1728</f>
        <v>45500</v>
      </c>
      <c r="N1728" s="19" t="s">
        <v>2930</v>
      </c>
    </row>
    <row r="1729" spans="1:14" x14ac:dyDescent="0.35">
      <c r="A1729" s="16" t="s">
        <v>1728</v>
      </c>
      <c r="B1729" s="17" t="s">
        <v>2259</v>
      </c>
      <c r="C1729" s="17" t="s">
        <v>2457</v>
      </c>
      <c r="D1729" s="17" t="str">
        <f>_xlfn.XLOOKUP(Raw_LIMS_Export!E1729,'mapping Site table'!$B$4:$B$14,'mapping Site table'!$C$4:$C$14,Raw_LIMS_Export!E1729)</f>
        <v>Vernier CH</v>
      </c>
      <c r="E1729" s="17" t="s">
        <v>2483</v>
      </c>
      <c r="F1729" s="17">
        <f t="shared" si="79"/>
        <v>1</v>
      </c>
      <c r="G1729" s="17" t="str">
        <f t="shared" si="80"/>
        <v>Pass</v>
      </c>
      <c r="H1729" s="17" t="str">
        <f t="shared" si="78"/>
        <v>Fail</v>
      </c>
      <c r="I1729" s="17">
        <v>0.53</v>
      </c>
      <c r="J1729" s="17" t="s">
        <v>2489</v>
      </c>
      <c r="K1729" s="17">
        <v>0</v>
      </c>
      <c r="L1729" s="17">
        <v>1</v>
      </c>
      <c r="M1729" s="18">
        <f>Raw_LIMS_Export!K1729</f>
        <v>45863</v>
      </c>
      <c r="N1729" s="19" t="s">
        <v>2923</v>
      </c>
    </row>
    <row r="1730" spans="1:14" x14ac:dyDescent="0.35">
      <c r="A1730" s="16" t="s">
        <v>430</v>
      </c>
      <c r="B1730" s="17" t="s">
        <v>2307</v>
      </c>
      <c r="C1730" s="17" t="s">
        <v>2460</v>
      </c>
      <c r="D1730" s="17" t="str">
        <f>_xlfn.XLOOKUP(Raw_LIMS_Export!E1730,'mapping Site table'!$B$4:$B$14,'mapping Site table'!$C$4:$C$14,Raw_LIMS_Export!E1730)</f>
        <v>Vernier CH</v>
      </c>
      <c r="E1730" s="17" t="s">
        <v>2481</v>
      </c>
      <c r="F1730" s="17">
        <f t="shared" si="79"/>
        <v>1</v>
      </c>
      <c r="G1730" s="17" t="str">
        <f t="shared" si="80"/>
        <v>Pass</v>
      </c>
      <c r="H1730" s="17" t="str">
        <f t="shared" ref="H1730:H1793" si="81">IF(COUNTIFS($B$2:$B$2016,B1730,$G$2:$G$2016,"Fail")&gt;0,"Fail",
  IF(COUNTIFS($B$2:$B$2016,B1730,$G$2:$G$2016,"Missing")&gt;0,"Pending",
    "Pass"))</f>
        <v>Fail</v>
      </c>
      <c r="I1730" s="17">
        <v>259.14</v>
      </c>
      <c r="J1730" s="17" t="s">
        <v>2488</v>
      </c>
      <c r="K1730" s="17">
        <v>150</v>
      </c>
      <c r="L1730" s="17">
        <v>400</v>
      </c>
      <c r="M1730" s="18">
        <f>Raw_LIMS_Export!K1730</f>
        <v>45622</v>
      </c>
      <c r="N1730" s="19" t="s">
        <v>2930</v>
      </c>
    </row>
    <row r="1731" spans="1:14" x14ac:dyDescent="0.35">
      <c r="A1731" s="16" t="s">
        <v>1729</v>
      </c>
      <c r="B1731" s="17" t="s">
        <v>2447</v>
      </c>
      <c r="C1731" s="17" t="s">
        <v>2457</v>
      </c>
      <c r="D1731" s="17" t="str">
        <f>_xlfn.XLOOKUP(Raw_LIMS_Export!E1731,'mapping Site table'!$B$4:$B$14,'mapping Site table'!$C$4:$C$14,Raw_LIMS_Export!E1731)</f>
        <v>Dortmund DE</v>
      </c>
      <c r="E1731" s="17" t="s">
        <v>2482</v>
      </c>
      <c r="F1731" s="17">
        <f t="shared" ref="F1731:F1794" si="82">IF(I1731="",0,1)</f>
        <v>1</v>
      </c>
      <c r="G1731" s="17" t="str">
        <f t="shared" ref="G1731:G1794" si="83">IF(I1731="", "Missing", IF(AND(I1731&gt;=K1731, I1731&lt;=L1731), "Pass", "Fail"))</f>
        <v>Pass</v>
      </c>
      <c r="H1731" s="17" t="str">
        <f t="shared" si="81"/>
        <v>Pass</v>
      </c>
      <c r="I1731" s="17">
        <v>98.22</v>
      </c>
      <c r="J1731" s="17" t="s">
        <v>2489</v>
      </c>
      <c r="K1731" s="17">
        <v>97</v>
      </c>
      <c r="L1731" s="17">
        <v>100</v>
      </c>
      <c r="M1731" s="18">
        <f>Raw_LIMS_Export!K1731</f>
        <v>45888</v>
      </c>
      <c r="N1731" s="19" t="s">
        <v>2928</v>
      </c>
    </row>
    <row r="1732" spans="1:14" x14ac:dyDescent="0.35">
      <c r="A1732" s="16" t="s">
        <v>1730</v>
      </c>
      <c r="B1732" s="17" t="s">
        <v>2434</v>
      </c>
      <c r="C1732" s="17" t="s">
        <v>2461</v>
      </c>
      <c r="D1732" s="17" t="str">
        <f>_xlfn.XLOOKUP(Raw_LIMS_Export!E1732,'mapping Site table'!$B$4:$B$14,'mapping Site table'!$C$4:$C$14,Raw_LIMS_Export!E1732)</f>
        <v>Vernier CH</v>
      </c>
      <c r="E1732" s="17" t="s">
        <v>2484</v>
      </c>
      <c r="F1732" s="17">
        <f t="shared" si="82"/>
        <v>1</v>
      </c>
      <c r="G1732" s="17" t="str">
        <f t="shared" si="83"/>
        <v>Pass</v>
      </c>
      <c r="H1732" s="17" t="str">
        <f t="shared" si="81"/>
        <v>Pending</v>
      </c>
      <c r="I1732" s="17">
        <v>7.27</v>
      </c>
      <c r="J1732" s="17"/>
      <c r="K1732" s="17">
        <v>6</v>
      </c>
      <c r="L1732" s="17">
        <v>7.5</v>
      </c>
      <c r="M1732" s="18">
        <f>Raw_LIMS_Export!K1732</f>
        <v>45506</v>
      </c>
      <c r="N1732" s="19" t="s">
        <v>2924</v>
      </c>
    </row>
    <row r="1733" spans="1:14" x14ac:dyDescent="0.35">
      <c r="A1733" s="16" t="s">
        <v>1731</v>
      </c>
      <c r="B1733" s="17" t="s">
        <v>2019</v>
      </c>
      <c r="C1733" s="17" t="s">
        <v>2461</v>
      </c>
      <c r="D1733" s="17" t="str">
        <f>_xlfn.XLOOKUP(Raw_LIMS_Export!E1733,'mapping Site table'!$B$4:$B$14,'mapping Site table'!$C$4:$C$14,Raw_LIMS_Export!E1733)</f>
        <v>East Hanover</v>
      </c>
      <c r="E1733" s="17" t="s">
        <v>2480</v>
      </c>
      <c r="F1733" s="17">
        <f t="shared" si="82"/>
        <v>1</v>
      </c>
      <c r="G1733" s="17" t="str">
        <f t="shared" si="83"/>
        <v>Pass</v>
      </c>
      <c r="H1733" s="17" t="str">
        <f t="shared" si="81"/>
        <v>Pass</v>
      </c>
      <c r="I1733" s="17">
        <v>0.94</v>
      </c>
      <c r="J1733" s="17" t="s">
        <v>2487</v>
      </c>
      <c r="K1733" s="17">
        <v>0.88</v>
      </c>
      <c r="L1733" s="17">
        <v>0.97</v>
      </c>
      <c r="M1733" s="18">
        <f>Raw_LIMS_Export!K1733</f>
        <v>45881</v>
      </c>
      <c r="N1733" s="19" t="s">
        <v>2924</v>
      </c>
    </row>
    <row r="1734" spans="1:14" x14ac:dyDescent="0.35">
      <c r="A1734" s="16" t="s">
        <v>1732</v>
      </c>
      <c r="B1734" s="17" t="s">
        <v>2378</v>
      </c>
      <c r="C1734" s="17" t="s">
        <v>2457</v>
      </c>
      <c r="D1734" s="17" t="str">
        <f>_xlfn.XLOOKUP(Raw_LIMS_Export!E1734,'mapping Site table'!$B$4:$B$14,'mapping Site table'!$C$4:$C$14,Raw_LIMS_Export!E1734)</f>
        <v>East Hanover</v>
      </c>
      <c r="E1734" s="17" t="s">
        <v>2480</v>
      </c>
      <c r="F1734" s="17">
        <f t="shared" si="82"/>
        <v>1</v>
      </c>
      <c r="G1734" s="17" t="str">
        <f t="shared" si="83"/>
        <v>Pass</v>
      </c>
      <c r="H1734" s="17" t="str">
        <f t="shared" si="81"/>
        <v>Pass</v>
      </c>
      <c r="I1734" s="17">
        <v>0.93</v>
      </c>
      <c r="J1734" s="17" t="s">
        <v>2487</v>
      </c>
      <c r="K1734" s="17">
        <v>0.88</v>
      </c>
      <c r="L1734" s="17">
        <v>0.97</v>
      </c>
      <c r="M1734" s="18">
        <f>Raw_LIMS_Export!K1734</f>
        <v>45394</v>
      </c>
      <c r="N1734" s="19" t="s">
        <v>2929</v>
      </c>
    </row>
    <row r="1735" spans="1:14" x14ac:dyDescent="0.35">
      <c r="A1735" s="16" t="s">
        <v>1733</v>
      </c>
      <c r="B1735" s="17" t="s">
        <v>2336</v>
      </c>
      <c r="C1735" s="17" t="s">
        <v>2460</v>
      </c>
      <c r="D1735" s="17" t="str">
        <f>_xlfn.XLOOKUP(Raw_LIMS_Export!E1735,'mapping Site table'!$B$4:$B$14,'mapping Site table'!$C$4:$C$14,Raw_LIMS_Export!E1735)</f>
        <v>Vernier CH</v>
      </c>
      <c r="E1735" s="17" t="s">
        <v>2484</v>
      </c>
      <c r="F1735" s="17">
        <f t="shared" si="82"/>
        <v>1</v>
      </c>
      <c r="G1735" s="17" t="str">
        <f t="shared" si="83"/>
        <v>Fail</v>
      </c>
      <c r="H1735" s="17" t="str">
        <f t="shared" si="81"/>
        <v>Fail</v>
      </c>
      <c r="I1735" s="17">
        <v>5.66</v>
      </c>
      <c r="J1735" s="17"/>
      <c r="K1735" s="17">
        <v>6</v>
      </c>
      <c r="L1735" s="17">
        <v>7.5</v>
      </c>
      <c r="M1735" s="18">
        <f>Raw_LIMS_Export!K1735</f>
        <v>45661</v>
      </c>
      <c r="N1735" s="19" t="s">
        <v>2930</v>
      </c>
    </row>
    <row r="1736" spans="1:14" x14ac:dyDescent="0.35">
      <c r="A1736" s="16" t="s">
        <v>1051</v>
      </c>
      <c r="B1736" s="17" t="s">
        <v>2197</v>
      </c>
      <c r="C1736" s="17" t="s">
        <v>2459</v>
      </c>
      <c r="D1736" s="17" t="str">
        <f>_xlfn.XLOOKUP(Raw_LIMS_Export!E1736,'mapping Site table'!$B$4:$B$14,'mapping Site table'!$C$4:$C$14,Raw_LIMS_Export!E1736)</f>
        <v>East Hanover</v>
      </c>
      <c r="E1736" s="17" t="s">
        <v>2483</v>
      </c>
      <c r="F1736" s="17">
        <f t="shared" si="82"/>
        <v>1</v>
      </c>
      <c r="G1736" s="17" t="str">
        <f t="shared" si="83"/>
        <v>Pass</v>
      </c>
      <c r="H1736" s="17" t="str">
        <f t="shared" si="81"/>
        <v>Pending</v>
      </c>
      <c r="I1736" s="17">
        <v>0.35</v>
      </c>
      <c r="J1736" s="17" t="s">
        <v>2489</v>
      </c>
      <c r="K1736" s="17">
        <v>0</v>
      </c>
      <c r="L1736" s="17">
        <v>1</v>
      </c>
      <c r="M1736" s="18">
        <f>Raw_LIMS_Export!K1736</f>
        <v>45854</v>
      </c>
      <c r="N1736" s="19" t="s">
        <v>2930</v>
      </c>
    </row>
    <row r="1737" spans="1:14" x14ac:dyDescent="0.35">
      <c r="A1737" s="16" t="s">
        <v>1734</v>
      </c>
      <c r="B1737" s="17" t="s">
        <v>2362</v>
      </c>
      <c r="C1737" s="17" t="s">
        <v>2457</v>
      </c>
      <c r="D1737" s="17" t="str">
        <f>_xlfn.XLOOKUP(Raw_LIMS_Export!E1737,'mapping Site table'!$B$4:$B$14,'mapping Site table'!$C$4:$C$14,Raw_LIMS_Export!E1737)</f>
        <v>Dortmund DE</v>
      </c>
      <c r="E1737" s="17" t="s">
        <v>2482</v>
      </c>
      <c r="F1737" s="17">
        <f t="shared" si="82"/>
        <v>1</v>
      </c>
      <c r="G1737" s="17" t="str">
        <f t="shared" si="83"/>
        <v>Pass</v>
      </c>
      <c r="H1737" s="17" t="str">
        <f t="shared" si="81"/>
        <v>Pass</v>
      </c>
      <c r="I1737" s="17">
        <v>98.87</v>
      </c>
      <c r="J1737" s="17" t="s">
        <v>2489</v>
      </c>
      <c r="K1737" s="17">
        <v>97</v>
      </c>
      <c r="L1737" s="17">
        <v>100</v>
      </c>
      <c r="M1737" s="18">
        <f>Raw_LIMS_Export!K1737</f>
        <v>45320</v>
      </c>
      <c r="N1737" s="19" t="s">
        <v>2931</v>
      </c>
    </row>
    <row r="1738" spans="1:14" x14ac:dyDescent="0.35">
      <c r="A1738" s="16" t="s">
        <v>1735</v>
      </c>
      <c r="B1738" s="17" t="s">
        <v>2296</v>
      </c>
      <c r="C1738" s="17" t="s">
        <v>2459</v>
      </c>
      <c r="D1738" s="17" t="str">
        <f>_xlfn.XLOOKUP(Raw_LIMS_Export!E1738,'mapping Site table'!$B$4:$B$14,'mapping Site table'!$C$4:$C$14,Raw_LIMS_Export!E1738)</f>
        <v>Budapest</v>
      </c>
      <c r="E1738" s="17" t="s">
        <v>2481</v>
      </c>
      <c r="F1738" s="17">
        <f t="shared" si="82"/>
        <v>1</v>
      </c>
      <c r="G1738" s="17" t="str">
        <f t="shared" si="83"/>
        <v>Pass</v>
      </c>
      <c r="H1738" s="17" t="str">
        <f t="shared" si="81"/>
        <v>Fail</v>
      </c>
      <c r="I1738" s="17">
        <v>278.45</v>
      </c>
      <c r="J1738" s="17" t="s">
        <v>2488</v>
      </c>
      <c r="K1738" s="17">
        <v>150</v>
      </c>
      <c r="L1738" s="17">
        <v>400</v>
      </c>
      <c r="M1738" s="18">
        <f>Raw_LIMS_Export!K1738</f>
        <v>45697</v>
      </c>
      <c r="N1738" s="19" t="s">
        <v>2930</v>
      </c>
    </row>
    <row r="1739" spans="1:14" x14ac:dyDescent="0.35">
      <c r="A1739" s="16" t="s">
        <v>1736</v>
      </c>
      <c r="B1739" s="17" t="s">
        <v>2012</v>
      </c>
      <c r="C1739" s="17" t="s">
        <v>2458</v>
      </c>
      <c r="D1739" s="17" t="str">
        <f>_xlfn.XLOOKUP(Raw_LIMS_Export!E1739,'mapping Site table'!$B$4:$B$14,'mapping Site table'!$C$4:$C$14,Raw_LIMS_Export!E1739)</f>
        <v>Vernier CH</v>
      </c>
      <c r="E1739" s="17" t="s">
        <v>2484</v>
      </c>
      <c r="F1739" s="17">
        <f t="shared" si="82"/>
        <v>1</v>
      </c>
      <c r="G1739" s="17" t="str">
        <f t="shared" si="83"/>
        <v>Pass</v>
      </c>
      <c r="H1739" s="17" t="str">
        <f t="shared" si="81"/>
        <v>Pass</v>
      </c>
      <c r="I1739" s="17">
        <v>7.2</v>
      </c>
      <c r="J1739" s="17"/>
      <c r="K1739" s="17">
        <v>6</v>
      </c>
      <c r="L1739" s="17">
        <v>7.5</v>
      </c>
      <c r="M1739" s="18">
        <f>Raw_LIMS_Export!K1739</f>
        <v>45399</v>
      </c>
      <c r="N1739" s="19" t="s">
        <v>2931</v>
      </c>
    </row>
    <row r="1740" spans="1:14" x14ac:dyDescent="0.35">
      <c r="A1740" s="16" t="s">
        <v>1737</v>
      </c>
      <c r="B1740" s="17" t="s">
        <v>2335</v>
      </c>
      <c r="C1740" s="17" t="s">
        <v>2459</v>
      </c>
      <c r="D1740" s="17" t="str">
        <f>_xlfn.XLOOKUP(Raw_LIMS_Export!E1740,'mapping Site table'!$B$4:$B$14,'mapping Site table'!$C$4:$C$14,Raw_LIMS_Export!E1740)</f>
        <v>East Hanover</v>
      </c>
      <c r="E1740" s="17" t="s">
        <v>2480</v>
      </c>
      <c r="F1740" s="17">
        <f t="shared" si="82"/>
        <v>1</v>
      </c>
      <c r="G1740" s="17" t="str">
        <f t="shared" si="83"/>
        <v>Pass</v>
      </c>
      <c r="H1740" s="17" t="str">
        <f t="shared" si="81"/>
        <v>Pending</v>
      </c>
      <c r="I1740" s="17">
        <v>0.94</v>
      </c>
      <c r="J1740" s="17" t="s">
        <v>2487</v>
      </c>
      <c r="K1740" s="17">
        <v>0.88</v>
      </c>
      <c r="L1740" s="17">
        <v>0.97</v>
      </c>
      <c r="M1740" s="18">
        <f>Raw_LIMS_Export!K1740</f>
        <v>45419</v>
      </c>
      <c r="N1740" s="19" t="s">
        <v>2926</v>
      </c>
    </row>
    <row r="1741" spans="1:14" x14ac:dyDescent="0.35">
      <c r="A1741" s="16" t="s">
        <v>1738</v>
      </c>
      <c r="B1741" s="17" t="s">
        <v>2235</v>
      </c>
      <c r="C1741" s="17" t="s">
        <v>2459</v>
      </c>
      <c r="D1741" s="17" t="str">
        <f>_xlfn.XLOOKUP(Raw_LIMS_Export!E1741,'mapping Site table'!$B$4:$B$14,'mapping Site table'!$C$4:$C$14,Raw_LIMS_Export!E1741)</f>
        <v>Dortmund DE</v>
      </c>
      <c r="E1741" s="17" t="s">
        <v>2482</v>
      </c>
      <c r="F1741" s="17">
        <f t="shared" si="82"/>
        <v>1</v>
      </c>
      <c r="G1741" s="17" t="str">
        <f t="shared" si="83"/>
        <v>Fail</v>
      </c>
      <c r="H1741" s="17" t="str">
        <f t="shared" si="81"/>
        <v>Fail</v>
      </c>
      <c r="I1741" s="17">
        <v>95.2</v>
      </c>
      <c r="J1741" s="17" t="s">
        <v>2489</v>
      </c>
      <c r="K1741" s="17">
        <v>97</v>
      </c>
      <c r="L1741" s="17">
        <v>100</v>
      </c>
      <c r="M1741" s="18">
        <f>Raw_LIMS_Export!K1741</f>
        <v>45854</v>
      </c>
      <c r="N1741" s="19" t="s">
        <v>2929</v>
      </c>
    </row>
    <row r="1742" spans="1:14" x14ac:dyDescent="0.35">
      <c r="A1742" s="16" t="s">
        <v>1739</v>
      </c>
      <c r="B1742" s="17" t="s">
        <v>2319</v>
      </c>
      <c r="C1742" s="17" t="s">
        <v>2458</v>
      </c>
      <c r="D1742" s="17" t="str">
        <f>_xlfn.XLOOKUP(Raw_LIMS_Export!E1742,'mapping Site table'!$B$4:$B$14,'mapping Site table'!$C$4:$C$14,Raw_LIMS_Export!E1742)</f>
        <v>Dortmund DE</v>
      </c>
      <c r="E1742" s="17" t="s">
        <v>2483</v>
      </c>
      <c r="F1742" s="17">
        <f t="shared" si="82"/>
        <v>1</v>
      </c>
      <c r="G1742" s="17" t="str">
        <f t="shared" si="83"/>
        <v>Pass</v>
      </c>
      <c r="H1742" s="17" t="str">
        <f t="shared" si="81"/>
        <v>Pass</v>
      </c>
      <c r="I1742" s="17">
        <v>0.15</v>
      </c>
      <c r="J1742" s="17" t="s">
        <v>2489</v>
      </c>
      <c r="K1742" s="17">
        <v>0</v>
      </c>
      <c r="L1742" s="17">
        <v>1</v>
      </c>
      <c r="M1742" s="18">
        <f>Raw_LIMS_Export!K1742</f>
        <v>45477</v>
      </c>
      <c r="N1742" s="19" t="s">
        <v>2924</v>
      </c>
    </row>
    <row r="1743" spans="1:14" x14ac:dyDescent="0.35">
      <c r="A1743" s="16" t="s">
        <v>1740</v>
      </c>
      <c r="B1743" s="17" t="s">
        <v>2271</v>
      </c>
      <c r="C1743" s="17" t="s">
        <v>2459</v>
      </c>
      <c r="D1743" s="17" t="str">
        <f>_xlfn.XLOOKUP(Raw_LIMS_Export!E1743,'mapping Site table'!$B$4:$B$14,'mapping Site table'!$C$4:$C$14,Raw_LIMS_Export!E1743)</f>
        <v>Budapest</v>
      </c>
      <c r="E1743" s="17" t="s">
        <v>2485</v>
      </c>
      <c r="F1743" s="17">
        <f t="shared" si="82"/>
        <v>1</v>
      </c>
      <c r="G1743" s="17" t="str">
        <f t="shared" si="83"/>
        <v>Pass</v>
      </c>
      <c r="H1743" s="17" t="str">
        <f t="shared" si="81"/>
        <v>Pass</v>
      </c>
      <c r="I1743" s="17">
        <v>23.8</v>
      </c>
      <c r="J1743" s="17" t="s">
        <v>2490</v>
      </c>
      <c r="K1743" s="17">
        <v>0</v>
      </c>
      <c r="L1743" s="17">
        <v>100</v>
      </c>
      <c r="M1743" s="18">
        <f>Raw_LIMS_Export!K1743</f>
        <v>45583</v>
      </c>
      <c r="N1743" s="19" t="s">
        <v>2928</v>
      </c>
    </row>
    <row r="1744" spans="1:14" x14ac:dyDescent="0.35">
      <c r="A1744" s="16" t="s">
        <v>1741</v>
      </c>
      <c r="B1744" s="17" t="s">
        <v>2101</v>
      </c>
      <c r="C1744" s="17" t="s">
        <v>2458</v>
      </c>
      <c r="D1744" s="17" t="str">
        <f>_xlfn.XLOOKUP(Raw_LIMS_Export!E1744,'mapping Site table'!$B$4:$B$14,'mapping Site table'!$C$4:$C$14,Raw_LIMS_Export!E1744)</f>
        <v>Dortmund DE</v>
      </c>
      <c r="E1744" s="17" t="s">
        <v>2485</v>
      </c>
      <c r="F1744" s="17">
        <f t="shared" si="82"/>
        <v>1</v>
      </c>
      <c r="G1744" s="17" t="str">
        <f t="shared" si="83"/>
        <v>Pass</v>
      </c>
      <c r="H1744" s="17" t="str">
        <f t="shared" si="81"/>
        <v>Pass</v>
      </c>
      <c r="I1744" s="17">
        <v>12.35</v>
      </c>
      <c r="J1744" s="17" t="s">
        <v>2490</v>
      </c>
      <c r="K1744" s="17">
        <v>0</v>
      </c>
      <c r="L1744" s="17">
        <v>100</v>
      </c>
      <c r="M1744" s="18">
        <f>Raw_LIMS_Export!K1744</f>
        <v>46013</v>
      </c>
      <c r="N1744" s="19" t="s">
        <v>2932</v>
      </c>
    </row>
    <row r="1745" spans="1:14" x14ac:dyDescent="0.35">
      <c r="A1745" s="16" t="s">
        <v>1742</v>
      </c>
      <c r="B1745" s="17" t="s">
        <v>2400</v>
      </c>
      <c r="C1745" s="17" t="s">
        <v>2457</v>
      </c>
      <c r="D1745" s="17" t="str">
        <f>_xlfn.XLOOKUP(Raw_LIMS_Export!E1745,'mapping Site table'!$B$4:$B$14,'mapping Site table'!$C$4:$C$14,Raw_LIMS_Export!E1745)</f>
        <v>Dortmund DE</v>
      </c>
      <c r="E1745" s="17" t="s">
        <v>2481</v>
      </c>
      <c r="F1745" s="17">
        <f t="shared" si="82"/>
        <v>1</v>
      </c>
      <c r="G1745" s="17" t="str">
        <f t="shared" si="83"/>
        <v>Pass</v>
      </c>
      <c r="H1745" s="17" t="str">
        <f t="shared" si="81"/>
        <v>Fail</v>
      </c>
      <c r="I1745" s="17">
        <v>264.10000000000002</v>
      </c>
      <c r="J1745" s="17" t="s">
        <v>2488</v>
      </c>
      <c r="K1745" s="17">
        <v>150</v>
      </c>
      <c r="L1745" s="17">
        <v>400</v>
      </c>
      <c r="M1745" s="18">
        <f>Raw_LIMS_Export!K1745</f>
        <v>45810</v>
      </c>
      <c r="N1745" s="19" t="s">
        <v>2926</v>
      </c>
    </row>
    <row r="1746" spans="1:14" x14ac:dyDescent="0.35">
      <c r="A1746" s="16" t="s">
        <v>1743</v>
      </c>
      <c r="B1746" s="17" t="s">
        <v>2169</v>
      </c>
      <c r="C1746" s="17" t="s">
        <v>2458</v>
      </c>
      <c r="D1746" s="17" t="str">
        <f>_xlfn.XLOOKUP(Raw_LIMS_Export!E1746,'mapping Site table'!$B$4:$B$14,'mapping Site table'!$C$4:$C$14,Raw_LIMS_Export!E1746)</f>
        <v>Vernier CH</v>
      </c>
      <c r="E1746" s="17" t="s">
        <v>2485</v>
      </c>
      <c r="F1746" s="17">
        <f t="shared" si="82"/>
        <v>1</v>
      </c>
      <c r="G1746" s="17" t="str">
        <f t="shared" si="83"/>
        <v>Pass</v>
      </c>
      <c r="H1746" s="17" t="str">
        <f t="shared" si="81"/>
        <v>Pass</v>
      </c>
      <c r="I1746" s="17">
        <v>11.76</v>
      </c>
      <c r="J1746" s="17" t="s">
        <v>2490</v>
      </c>
      <c r="K1746" s="17">
        <v>0</v>
      </c>
      <c r="L1746" s="17">
        <v>100</v>
      </c>
      <c r="M1746" s="18">
        <f>Raw_LIMS_Export!K1746</f>
        <v>45571</v>
      </c>
      <c r="N1746" s="19" t="s">
        <v>2928</v>
      </c>
    </row>
    <row r="1747" spans="1:14" x14ac:dyDescent="0.35">
      <c r="A1747" s="16" t="s">
        <v>1744</v>
      </c>
      <c r="B1747" s="17" t="s">
        <v>2374</v>
      </c>
      <c r="C1747" s="17" t="s">
        <v>2460</v>
      </c>
      <c r="D1747" s="17" t="str">
        <f>_xlfn.XLOOKUP(Raw_LIMS_Export!E1747,'mapping Site table'!$B$4:$B$14,'mapping Site table'!$C$4:$C$14,Raw_LIMS_Export!E1747)</f>
        <v>Ashford UK</v>
      </c>
      <c r="E1747" s="17" t="s">
        <v>2485</v>
      </c>
      <c r="F1747" s="17">
        <f t="shared" si="82"/>
        <v>1</v>
      </c>
      <c r="G1747" s="17" t="str">
        <f t="shared" si="83"/>
        <v>Fail</v>
      </c>
      <c r="H1747" s="17" t="str">
        <f t="shared" si="81"/>
        <v>Fail</v>
      </c>
      <c r="I1747" s="17">
        <v>-32.380000000000003</v>
      </c>
      <c r="J1747" s="17" t="s">
        <v>2490</v>
      </c>
      <c r="K1747" s="17">
        <v>0</v>
      </c>
      <c r="L1747" s="17">
        <v>100</v>
      </c>
      <c r="M1747" s="18">
        <f>Raw_LIMS_Export!K1747</f>
        <v>45494</v>
      </c>
      <c r="N1747" s="19" t="s">
        <v>2927</v>
      </c>
    </row>
    <row r="1748" spans="1:14" x14ac:dyDescent="0.35">
      <c r="A1748" s="16" t="s">
        <v>1745</v>
      </c>
      <c r="B1748" s="17" t="s">
        <v>2067</v>
      </c>
      <c r="C1748" s="17" t="s">
        <v>2459</v>
      </c>
      <c r="D1748" s="17" t="str">
        <f>_xlfn.XLOOKUP(Raw_LIMS_Export!E1748,'mapping Site table'!$B$4:$B$14,'mapping Site table'!$C$4:$C$14,Raw_LIMS_Export!E1748)</f>
        <v>Ashford UK</v>
      </c>
      <c r="E1748" s="17" t="s">
        <v>2483</v>
      </c>
      <c r="F1748" s="17">
        <f t="shared" si="82"/>
        <v>1</v>
      </c>
      <c r="G1748" s="17" t="str">
        <f t="shared" si="83"/>
        <v>Pass</v>
      </c>
      <c r="H1748" s="17" t="str">
        <f t="shared" si="81"/>
        <v>Fail</v>
      </c>
      <c r="I1748" s="17">
        <v>0.25</v>
      </c>
      <c r="J1748" s="17" t="s">
        <v>2489</v>
      </c>
      <c r="K1748" s="17">
        <v>0</v>
      </c>
      <c r="L1748" s="17">
        <v>1</v>
      </c>
      <c r="M1748" s="18">
        <f>Raw_LIMS_Export!K1748</f>
        <v>45844</v>
      </c>
      <c r="N1748" s="19" t="s">
        <v>2923</v>
      </c>
    </row>
    <row r="1749" spans="1:14" x14ac:dyDescent="0.35">
      <c r="A1749" s="16" t="s">
        <v>1746</v>
      </c>
      <c r="B1749" s="17" t="s">
        <v>2198</v>
      </c>
      <c r="C1749" s="17" t="s">
        <v>2459</v>
      </c>
      <c r="D1749" s="17" t="str">
        <f>_xlfn.XLOOKUP(Raw_LIMS_Export!E1749,'mapping Site table'!$B$4:$B$14,'mapping Site table'!$C$4:$C$14,Raw_LIMS_Export!E1749)</f>
        <v>East Hanover</v>
      </c>
      <c r="E1749" s="17" t="s">
        <v>2484</v>
      </c>
      <c r="F1749" s="17">
        <f t="shared" si="82"/>
        <v>1</v>
      </c>
      <c r="G1749" s="17" t="str">
        <f t="shared" si="83"/>
        <v>Pass</v>
      </c>
      <c r="H1749" s="17" t="str">
        <f t="shared" si="81"/>
        <v>Pass</v>
      </c>
      <c r="I1749" s="17">
        <v>6.85</v>
      </c>
      <c r="J1749" s="17"/>
      <c r="K1749" s="17">
        <v>6</v>
      </c>
      <c r="L1749" s="17">
        <v>7.5</v>
      </c>
      <c r="M1749" s="18">
        <f>Raw_LIMS_Export!K1749</f>
        <v>45704</v>
      </c>
      <c r="N1749" s="19" t="s">
        <v>2927</v>
      </c>
    </row>
    <row r="1750" spans="1:14" x14ac:dyDescent="0.35">
      <c r="A1750" s="16" t="s">
        <v>1747</v>
      </c>
      <c r="B1750" s="17" t="s">
        <v>2176</v>
      </c>
      <c r="C1750" s="17" t="s">
        <v>2461</v>
      </c>
      <c r="D1750" s="17" t="str">
        <f>_xlfn.XLOOKUP(Raw_LIMS_Export!E1750,'mapping Site table'!$B$4:$B$14,'mapping Site table'!$C$4:$C$14,Raw_LIMS_Export!E1750)</f>
        <v>Dortmund DE</v>
      </c>
      <c r="E1750" s="17" t="s">
        <v>2483</v>
      </c>
      <c r="F1750" s="17">
        <f t="shared" si="82"/>
        <v>1</v>
      </c>
      <c r="G1750" s="17" t="str">
        <f t="shared" si="83"/>
        <v>Pass</v>
      </c>
      <c r="H1750" s="17" t="str">
        <f t="shared" si="81"/>
        <v>Pass</v>
      </c>
      <c r="I1750" s="17">
        <v>0.25</v>
      </c>
      <c r="J1750" s="17" t="s">
        <v>2489</v>
      </c>
      <c r="K1750" s="17">
        <v>0</v>
      </c>
      <c r="L1750" s="17">
        <v>1</v>
      </c>
      <c r="M1750" s="18">
        <f>Raw_LIMS_Export!K1750</f>
        <v>45312</v>
      </c>
      <c r="N1750" s="19" t="s">
        <v>2931</v>
      </c>
    </row>
    <row r="1751" spans="1:14" x14ac:dyDescent="0.35">
      <c r="A1751" s="16" t="s">
        <v>1748</v>
      </c>
      <c r="B1751" s="17" t="s">
        <v>2405</v>
      </c>
      <c r="C1751" s="17" t="s">
        <v>2457</v>
      </c>
      <c r="D1751" s="17" t="str">
        <f>_xlfn.XLOOKUP(Raw_LIMS_Export!E1751,'mapping Site table'!$B$4:$B$14,'mapping Site table'!$C$4:$C$14,Raw_LIMS_Export!E1751)</f>
        <v>East Hanover</v>
      </c>
      <c r="E1751" s="17" t="s">
        <v>2482</v>
      </c>
      <c r="F1751" s="17">
        <f t="shared" si="82"/>
        <v>1</v>
      </c>
      <c r="G1751" s="17" t="str">
        <f t="shared" si="83"/>
        <v>Pass</v>
      </c>
      <c r="H1751" s="17" t="str">
        <f t="shared" si="81"/>
        <v>Pass</v>
      </c>
      <c r="I1751" s="17">
        <v>98.7</v>
      </c>
      <c r="J1751" s="17" t="s">
        <v>2489</v>
      </c>
      <c r="K1751" s="17">
        <v>97</v>
      </c>
      <c r="L1751" s="17">
        <v>100</v>
      </c>
      <c r="M1751" s="18">
        <f>Raw_LIMS_Export!K1751</f>
        <v>45926</v>
      </c>
      <c r="N1751" s="19" t="s">
        <v>2929</v>
      </c>
    </row>
    <row r="1752" spans="1:14" x14ac:dyDescent="0.35">
      <c r="A1752" s="16" t="s">
        <v>1749</v>
      </c>
      <c r="B1752" s="17" t="s">
        <v>2366</v>
      </c>
      <c r="C1752" s="17" t="s">
        <v>2461</v>
      </c>
      <c r="D1752" s="17" t="str">
        <f>_xlfn.XLOOKUP(Raw_LIMS_Export!E1752,'mapping Site table'!$B$4:$B$14,'mapping Site table'!$C$4:$C$14,Raw_LIMS_Export!E1752)</f>
        <v>Budapest</v>
      </c>
      <c r="E1752" s="17" t="s">
        <v>2483</v>
      </c>
      <c r="F1752" s="17">
        <f t="shared" si="82"/>
        <v>1</v>
      </c>
      <c r="G1752" s="17" t="str">
        <f t="shared" si="83"/>
        <v>Pass</v>
      </c>
      <c r="H1752" s="17" t="str">
        <f t="shared" si="81"/>
        <v>Pass</v>
      </c>
      <c r="I1752" s="17">
        <v>0.36</v>
      </c>
      <c r="J1752" s="17" t="s">
        <v>2489</v>
      </c>
      <c r="K1752" s="17">
        <v>0</v>
      </c>
      <c r="L1752" s="17">
        <v>1</v>
      </c>
      <c r="M1752" s="18">
        <f>Raw_LIMS_Export!K1752</f>
        <v>45629</v>
      </c>
      <c r="N1752" s="19" t="s">
        <v>2930</v>
      </c>
    </row>
    <row r="1753" spans="1:14" x14ac:dyDescent="0.35">
      <c r="A1753" s="16" t="s">
        <v>1750</v>
      </c>
      <c r="B1753" s="17" t="s">
        <v>2279</v>
      </c>
      <c r="C1753" s="17" t="s">
        <v>2457</v>
      </c>
      <c r="D1753" s="17" t="str">
        <f>_xlfn.XLOOKUP(Raw_LIMS_Export!E1753,'mapping Site table'!$B$4:$B$14,'mapping Site table'!$C$4:$C$14,Raw_LIMS_Export!E1753)</f>
        <v>Vernier CH</v>
      </c>
      <c r="E1753" s="17" t="s">
        <v>2482</v>
      </c>
      <c r="F1753" s="17">
        <f t="shared" si="82"/>
        <v>1</v>
      </c>
      <c r="G1753" s="17" t="str">
        <f t="shared" si="83"/>
        <v>Pass</v>
      </c>
      <c r="H1753" s="17" t="str">
        <f t="shared" si="81"/>
        <v>Pass</v>
      </c>
      <c r="I1753" s="17">
        <v>98.54</v>
      </c>
      <c r="J1753" s="17" t="s">
        <v>2489</v>
      </c>
      <c r="K1753" s="17">
        <v>97</v>
      </c>
      <c r="L1753" s="17">
        <v>100</v>
      </c>
      <c r="M1753" s="18">
        <f>Raw_LIMS_Export!K1753</f>
        <v>45485</v>
      </c>
      <c r="N1753" s="19" t="s">
        <v>2929</v>
      </c>
    </row>
    <row r="1754" spans="1:14" x14ac:dyDescent="0.35">
      <c r="A1754" s="16" t="s">
        <v>1751</v>
      </c>
      <c r="B1754" s="17" t="s">
        <v>2078</v>
      </c>
      <c r="C1754" s="17" t="s">
        <v>2460</v>
      </c>
      <c r="D1754" s="17" t="str">
        <f>_xlfn.XLOOKUP(Raw_LIMS_Export!E1754,'mapping Site table'!$B$4:$B$14,'mapping Site table'!$C$4:$C$14,Raw_LIMS_Export!E1754)</f>
        <v>Ashford UK</v>
      </c>
      <c r="E1754" s="17" t="s">
        <v>2479</v>
      </c>
      <c r="F1754" s="17">
        <f t="shared" si="82"/>
        <v>1</v>
      </c>
      <c r="G1754" s="17" t="str">
        <f t="shared" si="83"/>
        <v>Pass</v>
      </c>
      <c r="H1754" s="17" t="str">
        <f t="shared" si="81"/>
        <v>Pass</v>
      </c>
      <c r="I1754" s="17">
        <v>38.81</v>
      </c>
      <c r="J1754" s="17" t="s">
        <v>2486</v>
      </c>
      <c r="K1754" s="17">
        <v>0</v>
      </c>
      <c r="L1754" s="17">
        <v>120</v>
      </c>
      <c r="M1754" s="18">
        <f>Raw_LIMS_Export!K1754</f>
        <v>45777</v>
      </c>
      <c r="N1754" s="19" t="s">
        <v>2924</v>
      </c>
    </row>
    <row r="1755" spans="1:14" x14ac:dyDescent="0.35">
      <c r="A1755" s="16" t="s">
        <v>1752</v>
      </c>
      <c r="B1755" s="17" t="s">
        <v>2012</v>
      </c>
      <c r="C1755" s="17" t="s">
        <v>2458</v>
      </c>
      <c r="D1755" s="17" t="str">
        <f>_xlfn.XLOOKUP(Raw_LIMS_Export!E1755,'mapping Site table'!$B$4:$B$14,'mapping Site table'!$C$4:$C$14,Raw_LIMS_Export!E1755)</f>
        <v>Vernier CH</v>
      </c>
      <c r="E1755" s="17" t="s">
        <v>2485</v>
      </c>
      <c r="F1755" s="17">
        <f t="shared" si="82"/>
        <v>1</v>
      </c>
      <c r="G1755" s="17" t="str">
        <f t="shared" si="83"/>
        <v>Pass</v>
      </c>
      <c r="H1755" s="17" t="str">
        <f t="shared" si="81"/>
        <v>Pass</v>
      </c>
      <c r="I1755" s="17">
        <v>27.78</v>
      </c>
      <c r="J1755" s="17" t="s">
        <v>2490</v>
      </c>
      <c r="K1755" s="17">
        <v>0</v>
      </c>
      <c r="L1755" s="17">
        <v>100</v>
      </c>
      <c r="M1755" s="18">
        <f>Raw_LIMS_Export!K1755</f>
        <v>45399</v>
      </c>
      <c r="N1755" s="19" t="s">
        <v>2932</v>
      </c>
    </row>
    <row r="1756" spans="1:14" x14ac:dyDescent="0.35">
      <c r="A1756" s="16" t="s">
        <v>1753</v>
      </c>
      <c r="B1756" s="17" t="s">
        <v>2178</v>
      </c>
      <c r="C1756" s="17" t="s">
        <v>2457</v>
      </c>
      <c r="D1756" s="17" t="str">
        <f>_xlfn.XLOOKUP(Raw_LIMS_Export!E1756,'mapping Site table'!$B$4:$B$14,'mapping Site table'!$C$4:$C$14,Raw_LIMS_Export!E1756)</f>
        <v>Ashford UK</v>
      </c>
      <c r="E1756" s="17" t="s">
        <v>2481</v>
      </c>
      <c r="F1756" s="17">
        <f t="shared" si="82"/>
        <v>1</v>
      </c>
      <c r="G1756" s="17" t="str">
        <f t="shared" si="83"/>
        <v>Pass</v>
      </c>
      <c r="H1756" s="17" t="str">
        <f t="shared" si="81"/>
        <v>Pass</v>
      </c>
      <c r="I1756" s="17">
        <v>216.45</v>
      </c>
      <c r="J1756" s="17" t="s">
        <v>2488</v>
      </c>
      <c r="K1756" s="17">
        <v>150</v>
      </c>
      <c r="L1756" s="17">
        <v>400</v>
      </c>
      <c r="M1756" s="18">
        <f>Raw_LIMS_Export!K1756</f>
        <v>45816</v>
      </c>
      <c r="N1756" s="19" t="s">
        <v>2931</v>
      </c>
    </row>
    <row r="1757" spans="1:14" x14ac:dyDescent="0.35">
      <c r="A1757" s="16" t="s">
        <v>1754</v>
      </c>
      <c r="B1757" s="17" t="s">
        <v>2374</v>
      </c>
      <c r="C1757" s="17" t="s">
        <v>2460</v>
      </c>
      <c r="D1757" s="17" t="str">
        <f>_xlfn.XLOOKUP(Raw_LIMS_Export!E1757,'mapping Site table'!$B$4:$B$14,'mapping Site table'!$C$4:$C$14,Raw_LIMS_Export!E1757)</f>
        <v>Ashford UK</v>
      </c>
      <c r="E1757" s="17" t="s">
        <v>2481</v>
      </c>
      <c r="F1757" s="17">
        <f t="shared" si="82"/>
        <v>1</v>
      </c>
      <c r="G1757" s="17" t="str">
        <f t="shared" si="83"/>
        <v>Pass</v>
      </c>
      <c r="H1757" s="17" t="str">
        <f t="shared" si="81"/>
        <v>Fail</v>
      </c>
      <c r="I1757" s="17">
        <v>199.7</v>
      </c>
      <c r="J1757" s="17" t="s">
        <v>2488</v>
      </c>
      <c r="K1757" s="17">
        <v>150</v>
      </c>
      <c r="L1757" s="17">
        <v>400</v>
      </c>
      <c r="M1757" s="18">
        <f>Raw_LIMS_Export!K1757</f>
        <v>45494</v>
      </c>
      <c r="N1757" s="19" t="s">
        <v>2929</v>
      </c>
    </row>
    <row r="1758" spans="1:14" x14ac:dyDescent="0.35">
      <c r="A1758" s="16" t="s">
        <v>1388</v>
      </c>
      <c r="B1758" s="17" t="s">
        <v>2454</v>
      </c>
      <c r="C1758" s="17" t="s">
        <v>2461</v>
      </c>
      <c r="D1758" s="17" t="str">
        <f>_xlfn.XLOOKUP(Raw_LIMS_Export!E1758,'mapping Site table'!$B$4:$B$14,'mapping Site table'!$C$4:$C$14,Raw_LIMS_Export!E1758)</f>
        <v>Dortmund DE</v>
      </c>
      <c r="E1758" s="17" t="s">
        <v>2485</v>
      </c>
      <c r="F1758" s="17">
        <f t="shared" si="82"/>
        <v>1</v>
      </c>
      <c r="G1758" s="17" t="str">
        <f t="shared" si="83"/>
        <v>Fail</v>
      </c>
      <c r="H1758" s="17" t="str">
        <f t="shared" si="81"/>
        <v>Fail</v>
      </c>
      <c r="I1758" s="17">
        <v>-11.84</v>
      </c>
      <c r="J1758" s="17" t="s">
        <v>2490</v>
      </c>
      <c r="K1758" s="17">
        <v>0</v>
      </c>
      <c r="L1758" s="17">
        <v>100</v>
      </c>
      <c r="M1758" s="18">
        <f>Raw_LIMS_Export!K1758</f>
        <v>45502</v>
      </c>
      <c r="N1758" s="19" t="s">
        <v>2924</v>
      </c>
    </row>
    <row r="1759" spans="1:14" x14ac:dyDescent="0.35">
      <c r="A1759" s="16" t="s">
        <v>1755</v>
      </c>
      <c r="B1759" s="17" t="s">
        <v>2180</v>
      </c>
      <c r="C1759" s="17" t="s">
        <v>2461</v>
      </c>
      <c r="D1759" s="17" t="str">
        <f>_xlfn.XLOOKUP(Raw_LIMS_Export!E1759,'mapping Site table'!$B$4:$B$14,'mapping Site table'!$C$4:$C$14,Raw_LIMS_Export!E1759)</f>
        <v>East Hanover</v>
      </c>
      <c r="E1759" s="17" t="s">
        <v>2483</v>
      </c>
      <c r="F1759" s="17">
        <f t="shared" si="82"/>
        <v>1</v>
      </c>
      <c r="G1759" s="17" t="str">
        <f t="shared" si="83"/>
        <v>Pass</v>
      </c>
      <c r="H1759" s="17" t="str">
        <f t="shared" si="81"/>
        <v>Pass</v>
      </c>
      <c r="I1759" s="17">
        <v>0.24</v>
      </c>
      <c r="J1759" s="17" t="s">
        <v>2489</v>
      </c>
      <c r="K1759" s="17">
        <v>0</v>
      </c>
      <c r="L1759" s="17">
        <v>1</v>
      </c>
      <c r="M1759" s="18">
        <f>Raw_LIMS_Export!K1759</f>
        <v>45649</v>
      </c>
      <c r="N1759" s="19" t="s">
        <v>2929</v>
      </c>
    </row>
    <row r="1760" spans="1:14" x14ac:dyDescent="0.35">
      <c r="A1760" s="16" t="s">
        <v>1756</v>
      </c>
      <c r="B1760" s="17" t="s">
        <v>2415</v>
      </c>
      <c r="C1760" s="17" t="s">
        <v>2460</v>
      </c>
      <c r="D1760" s="17" t="str">
        <f>_xlfn.XLOOKUP(Raw_LIMS_Export!E1760,'mapping Site table'!$B$4:$B$14,'mapping Site table'!$C$4:$C$14,Raw_LIMS_Export!E1760)</f>
        <v>Vernier CH</v>
      </c>
      <c r="E1760" s="17" t="s">
        <v>2480</v>
      </c>
      <c r="F1760" s="17">
        <f t="shared" si="82"/>
        <v>1</v>
      </c>
      <c r="G1760" s="17" t="str">
        <f t="shared" si="83"/>
        <v>Pass</v>
      </c>
      <c r="H1760" s="17" t="str">
        <f t="shared" si="81"/>
        <v>Pass</v>
      </c>
      <c r="I1760" s="17">
        <v>0.93</v>
      </c>
      <c r="J1760" s="17" t="s">
        <v>2487</v>
      </c>
      <c r="K1760" s="17">
        <v>0.88</v>
      </c>
      <c r="L1760" s="17">
        <v>0.97</v>
      </c>
      <c r="M1760" s="18">
        <f>Raw_LIMS_Export!K1760</f>
        <v>45618</v>
      </c>
      <c r="N1760" s="19" t="s">
        <v>2925</v>
      </c>
    </row>
    <row r="1761" spans="1:14" x14ac:dyDescent="0.35">
      <c r="A1761" s="16" t="s">
        <v>1757</v>
      </c>
      <c r="B1761" s="17" t="s">
        <v>2107</v>
      </c>
      <c r="C1761" s="17" t="s">
        <v>2459</v>
      </c>
      <c r="D1761" s="17" t="str">
        <f>_xlfn.XLOOKUP(Raw_LIMS_Export!E1761,'mapping Site table'!$B$4:$B$14,'mapping Site table'!$C$4:$C$14,Raw_LIMS_Export!E1761)</f>
        <v>East Hanover</v>
      </c>
      <c r="E1761" s="17" t="s">
        <v>2480</v>
      </c>
      <c r="F1761" s="17">
        <f t="shared" si="82"/>
        <v>1</v>
      </c>
      <c r="G1761" s="17" t="str">
        <f t="shared" si="83"/>
        <v>Pass</v>
      </c>
      <c r="H1761" s="17" t="str">
        <f t="shared" si="81"/>
        <v>Pass</v>
      </c>
      <c r="I1761" s="17">
        <v>0.97</v>
      </c>
      <c r="J1761" s="17" t="s">
        <v>2487</v>
      </c>
      <c r="K1761" s="17">
        <v>0.88</v>
      </c>
      <c r="L1761" s="17">
        <v>0.97</v>
      </c>
      <c r="M1761" s="18">
        <f>Raw_LIMS_Export!K1761</f>
        <v>45633</v>
      </c>
      <c r="N1761" s="19" t="s">
        <v>2931</v>
      </c>
    </row>
    <row r="1762" spans="1:14" x14ac:dyDescent="0.35">
      <c r="A1762" s="16" t="s">
        <v>1758</v>
      </c>
      <c r="B1762" s="17" t="s">
        <v>2034</v>
      </c>
      <c r="C1762" s="17" t="s">
        <v>2461</v>
      </c>
      <c r="D1762" s="17" t="str">
        <f>_xlfn.XLOOKUP(Raw_LIMS_Export!E1762,'mapping Site table'!$B$4:$B$14,'mapping Site table'!$C$4:$C$14,Raw_LIMS_Export!E1762)</f>
        <v>Ashford UK</v>
      </c>
      <c r="E1762" s="17" t="s">
        <v>2481</v>
      </c>
      <c r="F1762" s="17">
        <f t="shared" si="82"/>
        <v>1</v>
      </c>
      <c r="G1762" s="17" t="str">
        <f t="shared" si="83"/>
        <v>Pass</v>
      </c>
      <c r="H1762" s="17" t="str">
        <f t="shared" si="81"/>
        <v>Fail</v>
      </c>
      <c r="I1762" s="17">
        <v>259.02999999999997</v>
      </c>
      <c r="J1762" s="17" t="s">
        <v>2488</v>
      </c>
      <c r="K1762" s="17">
        <v>150</v>
      </c>
      <c r="L1762" s="17">
        <v>400</v>
      </c>
      <c r="M1762" s="18">
        <f>Raw_LIMS_Export!K1762</f>
        <v>45615</v>
      </c>
      <c r="N1762" s="19" t="s">
        <v>2925</v>
      </c>
    </row>
    <row r="1763" spans="1:14" x14ac:dyDescent="0.35">
      <c r="A1763" s="16" t="s">
        <v>1759</v>
      </c>
      <c r="B1763" s="17" t="s">
        <v>2075</v>
      </c>
      <c r="C1763" s="17" t="s">
        <v>2461</v>
      </c>
      <c r="D1763" s="17" t="str">
        <f>_xlfn.XLOOKUP(Raw_LIMS_Export!E1763,'mapping Site table'!$B$4:$B$14,'mapping Site table'!$C$4:$C$14,Raw_LIMS_Export!E1763)</f>
        <v>Budapest</v>
      </c>
      <c r="E1763" s="17" t="s">
        <v>2484</v>
      </c>
      <c r="F1763" s="17">
        <f t="shared" si="82"/>
        <v>1</v>
      </c>
      <c r="G1763" s="17" t="str">
        <f t="shared" si="83"/>
        <v>Pass</v>
      </c>
      <c r="H1763" s="17" t="str">
        <f t="shared" si="81"/>
        <v>Pass</v>
      </c>
      <c r="I1763" s="17">
        <v>6.77</v>
      </c>
      <c r="J1763" s="17"/>
      <c r="K1763" s="17">
        <v>6</v>
      </c>
      <c r="L1763" s="17">
        <v>7.5</v>
      </c>
      <c r="M1763" s="18">
        <f>Raw_LIMS_Export!K1763</f>
        <v>45686</v>
      </c>
      <c r="N1763" s="19" t="s">
        <v>2924</v>
      </c>
    </row>
    <row r="1764" spans="1:14" x14ac:dyDescent="0.35">
      <c r="A1764" s="16" t="s">
        <v>1760</v>
      </c>
      <c r="B1764" s="17" t="s">
        <v>2401</v>
      </c>
      <c r="C1764" s="17" t="s">
        <v>2457</v>
      </c>
      <c r="D1764" s="17" t="str">
        <f>_xlfn.XLOOKUP(Raw_LIMS_Export!E1764,'mapping Site table'!$B$4:$B$14,'mapping Site table'!$C$4:$C$14,Raw_LIMS_Export!E1764)</f>
        <v>Budapest</v>
      </c>
      <c r="E1764" s="17" t="s">
        <v>2483</v>
      </c>
      <c r="F1764" s="17">
        <f t="shared" si="82"/>
        <v>1</v>
      </c>
      <c r="G1764" s="17" t="str">
        <f t="shared" si="83"/>
        <v>Pass</v>
      </c>
      <c r="H1764" s="17" t="str">
        <f t="shared" si="81"/>
        <v>Pass</v>
      </c>
      <c r="I1764" s="17">
        <v>0.26</v>
      </c>
      <c r="J1764" s="17" t="s">
        <v>2489</v>
      </c>
      <c r="K1764" s="17">
        <v>0</v>
      </c>
      <c r="L1764" s="17">
        <v>1</v>
      </c>
      <c r="M1764" s="18">
        <f>Raw_LIMS_Export!K1764</f>
        <v>45660</v>
      </c>
      <c r="N1764" s="19" t="s">
        <v>2924</v>
      </c>
    </row>
    <row r="1765" spans="1:14" x14ac:dyDescent="0.35">
      <c r="A1765" s="16" t="s">
        <v>1761</v>
      </c>
      <c r="B1765" s="17" t="s">
        <v>2427</v>
      </c>
      <c r="C1765" s="17" t="s">
        <v>2461</v>
      </c>
      <c r="D1765" s="17" t="str">
        <f>_xlfn.XLOOKUP(Raw_LIMS_Export!E1765,'mapping Site table'!$B$4:$B$14,'mapping Site table'!$C$4:$C$14,Raw_LIMS_Export!E1765)</f>
        <v>Budapest</v>
      </c>
      <c r="E1765" s="17" t="s">
        <v>2482</v>
      </c>
      <c r="F1765" s="17">
        <f t="shared" si="82"/>
        <v>1</v>
      </c>
      <c r="G1765" s="17" t="str">
        <f t="shared" si="83"/>
        <v>Pass</v>
      </c>
      <c r="H1765" s="17" t="str">
        <f t="shared" si="81"/>
        <v>Pass</v>
      </c>
      <c r="I1765" s="17">
        <v>98.55</v>
      </c>
      <c r="J1765" s="17" t="s">
        <v>2489</v>
      </c>
      <c r="K1765" s="17">
        <v>97</v>
      </c>
      <c r="L1765" s="17">
        <v>100</v>
      </c>
      <c r="M1765" s="18">
        <f>Raw_LIMS_Export!K1765</f>
        <v>45590</v>
      </c>
      <c r="N1765" s="19" t="s">
        <v>2925</v>
      </c>
    </row>
    <row r="1766" spans="1:14" x14ac:dyDescent="0.35">
      <c r="A1766" s="16" t="s">
        <v>1762</v>
      </c>
      <c r="B1766" s="17" t="s">
        <v>2313</v>
      </c>
      <c r="C1766" s="17" t="s">
        <v>2459</v>
      </c>
      <c r="D1766" s="17" t="str">
        <f>_xlfn.XLOOKUP(Raw_LIMS_Export!E1766,'mapping Site table'!$B$4:$B$14,'mapping Site table'!$C$4:$C$14,Raw_LIMS_Export!E1766)</f>
        <v>Budapest</v>
      </c>
      <c r="E1766" s="17" t="s">
        <v>2480</v>
      </c>
      <c r="F1766" s="17">
        <f t="shared" si="82"/>
        <v>1</v>
      </c>
      <c r="G1766" s="17" t="str">
        <f t="shared" si="83"/>
        <v>Fail</v>
      </c>
      <c r="H1766" s="17" t="str">
        <f t="shared" si="81"/>
        <v>Fail</v>
      </c>
      <c r="I1766" s="17">
        <v>0.79</v>
      </c>
      <c r="J1766" s="17" t="s">
        <v>2487</v>
      </c>
      <c r="K1766" s="17">
        <v>0.88</v>
      </c>
      <c r="L1766" s="17">
        <v>0.97</v>
      </c>
      <c r="M1766" s="18">
        <f>Raw_LIMS_Export!K1766</f>
        <v>45742</v>
      </c>
      <c r="N1766" s="19" t="s">
        <v>2925</v>
      </c>
    </row>
    <row r="1767" spans="1:14" x14ac:dyDescent="0.35">
      <c r="A1767" s="16" t="s">
        <v>1763</v>
      </c>
      <c r="B1767" s="17" t="s">
        <v>2093</v>
      </c>
      <c r="C1767" s="17" t="s">
        <v>2459</v>
      </c>
      <c r="D1767" s="17" t="str">
        <f>_xlfn.XLOOKUP(Raw_LIMS_Export!E1767,'mapping Site table'!$B$4:$B$14,'mapping Site table'!$C$4:$C$14,Raw_LIMS_Export!E1767)</f>
        <v>East Hanover</v>
      </c>
      <c r="E1767" s="17" t="s">
        <v>2484</v>
      </c>
      <c r="F1767" s="17">
        <f t="shared" si="82"/>
        <v>1</v>
      </c>
      <c r="G1767" s="17" t="str">
        <f t="shared" si="83"/>
        <v>Pass</v>
      </c>
      <c r="H1767" s="17" t="str">
        <f t="shared" si="81"/>
        <v>Fail</v>
      </c>
      <c r="I1767" s="17">
        <v>6.89</v>
      </c>
      <c r="J1767" s="17"/>
      <c r="K1767" s="17">
        <v>6</v>
      </c>
      <c r="L1767" s="17">
        <v>7.5</v>
      </c>
      <c r="M1767" s="18">
        <f>Raw_LIMS_Export!K1767</f>
        <v>45542</v>
      </c>
      <c r="N1767" s="19" t="s">
        <v>2926</v>
      </c>
    </row>
    <row r="1768" spans="1:14" x14ac:dyDescent="0.35">
      <c r="A1768" s="16" t="s">
        <v>1764</v>
      </c>
      <c r="B1768" s="17" t="s">
        <v>2315</v>
      </c>
      <c r="C1768" s="17" t="s">
        <v>2460</v>
      </c>
      <c r="D1768" s="17" t="str">
        <f>_xlfn.XLOOKUP(Raw_LIMS_Export!E1768,'mapping Site table'!$B$4:$B$14,'mapping Site table'!$C$4:$C$14,Raw_LIMS_Export!E1768)</f>
        <v>Vernier CH</v>
      </c>
      <c r="E1768" s="17" t="s">
        <v>2485</v>
      </c>
      <c r="F1768" s="17">
        <f t="shared" si="82"/>
        <v>1</v>
      </c>
      <c r="G1768" s="17" t="str">
        <f t="shared" si="83"/>
        <v>Pass</v>
      </c>
      <c r="H1768" s="17" t="str">
        <f t="shared" si="81"/>
        <v>Pass</v>
      </c>
      <c r="I1768" s="17">
        <v>20.38</v>
      </c>
      <c r="J1768" s="17" t="s">
        <v>2490</v>
      </c>
      <c r="K1768" s="17">
        <v>0</v>
      </c>
      <c r="L1768" s="17">
        <v>100</v>
      </c>
      <c r="M1768" s="18">
        <f>Raw_LIMS_Export!K1768</f>
        <v>46011</v>
      </c>
      <c r="N1768" s="19" t="s">
        <v>2926</v>
      </c>
    </row>
    <row r="1769" spans="1:14" x14ac:dyDescent="0.35">
      <c r="A1769" s="16" t="s">
        <v>1765</v>
      </c>
      <c r="B1769" s="17" t="s">
        <v>2186</v>
      </c>
      <c r="C1769" s="17" t="s">
        <v>2457</v>
      </c>
      <c r="D1769" s="17" t="str">
        <f>_xlfn.XLOOKUP(Raw_LIMS_Export!E1769,'mapping Site table'!$B$4:$B$14,'mapping Site table'!$C$4:$C$14,Raw_LIMS_Export!E1769)</f>
        <v>Budapest</v>
      </c>
      <c r="E1769" s="17" t="s">
        <v>2480</v>
      </c>
      <c r="F1769" s="17">
        <f t="shared" si="82"/>
        <v>1</v>
      </c>
      <c r="G1769" s="17" t="str">
        <f t="shared" si="83"/>
        <v>Pass</v>
      </c>
      <c r="H1769" s="17" t="str">
        <f t="shared" si="81"/>
        <v>Pass</v>
      </c>
      <c r="I1769" s="17">
        <v>0.95</v>
      </c>
      <c r="J1769" s="17" t="s">
        <v>2487</v>
      </c>
      <c r="K1769" s="17">
        <v>0.88</v>
      </c>
      <c r="L1769" s="17">
        <v>0.97</v>
      </c>
      <c r="M1769" s="18">
        <f>Raw_LIMS_Export!K1769</f>
        <v>45579</v>
      </c>
      <c r="N1769" s="19" t="s">
        <v>2930</v>
      </c>
    </row>
    <row r="1770" spans="1:14" x14ac:dyDescent="0.35">
      <c r="A1770" s="16" t="s">
        <v>1766</v>
      </c>
      <c r="B1770" s="17" t="s">
        <v>2311</v>
      </c>
      <c r="C1770" s="17" t="s">
        <v>2459</v>
      </c>
      <c r="D1770" s="17" t="str">
        <f>_xlfn.XLOOKUP(Raw_LIMS_Export!E1770,'mapping Site table'!$B$4:$B$14,'mapping Site table'!$C$4:$C$14,Raw_LIMS_Export!E1770)</f>
        <v>East Hanover</v>
      </c>
      <c r="E1770" s="17" t="s">
        <v>2483</v>
      </c>
      <c r="F1770" s="17">
        <f t="shared" si="82"/>
        <v>1</v>
      </c>
      <c r="G1770" s="17" t="str">
        <f t="shared" si="83"/>
        <v>Pass</v>
      </c>
      <c r="H1770" s="17" t="str">
        <f t="shared" si="81"/>
        <v>Fail</v>
      </c>
      <c r="I1770" s="17">
        <v>0.3</v>
      </c>
      <c r="J1770" s="17" t="s">
        <v>2489</v>
      </c>
      <c r="K1770" s="17">
        <v>0</v>
      </c>
      <c r="L1770" s="17">
        <v>1</v>
      </c>
      <c r="M1770" s="18">
        <f>Raw_LIMS_Export!K1770</f>
        <v>45958</v>
      </c>
      <c r="N1770" s="19" t="s">
        <v>2927</v>
      </c>
    </row>
    <row r="1771" spans="1:14" x14ac:dyDescent="0.35">
      <c r="A1771" s="16" t="s">
        <v>1767</v>
      </c>
      <c r="B1771" s="17" t="s">
        <v>2202</v>
      </c>
      <c r="C1771" s="17" t="s">
        <v>2460</v>
      </c>
      <c r="D1771" s="17" t="str">
        <f>_xlfn.XLOOKUP(Raw_LIMS_Export!E1771,'mapping Site table'!$B$4:$B$14,'mapping Site table'!$C$4:$C$14,Raw_LIMS_Export!E1771)</f>
        <v>Ashford UK</v>
      </c>
      <c r="E1771" s="17" t="s">
        <v>2482</v>
      </c>
      <c r="F1771" s="17">
        <f t="shared" si="82"/>
        <v>1</v>
      </c>
      <c r="G1771" s="17" t="str">
        <f t="shared" si="83"/>
        <v>Pass</v>
      </c>
      <c r="H1771" s="17" t="str">
        <f t="shared" si="81"/>
        <v>Pass</v>
      </c>
      <c r="I1771" s="17">
        <v>98.61</v>
      </c>
      <c r="J1771" s="17" t="s">
        <v>2489</v>
      </c>
      <c r="K1771" s="17">
        <v>97</v>
      </c>
      <c r="L1771" s="17">
        <v>100</v>
      </c>
      <c r="M1771" s="18">
        <f>Raw_LIMS_Export!K1771</f>
        <v>45393</v>
      </c>
      <c r="N1771" s="19" t="s">
        <v>2923</v>
      </c>
    </row>
    <row r="1772" spans="1:14" x14ac:dyDescent="0.35">
      <c r="A1772" s="16" t="s">
        <v>1768</v>
      </c>
      <c r="B1772" s="17" t="s">
        <v>2376</v>
      </c>
      <c r="C1772" s="17" t="s">
        <v>2459</v>
      </c>
      <c r="D1772" s="17" t="str">
        <f>_xlfn.XLOOKUP(Raw_LIMS_Export!E1772,'mapping Site table'!$B$4:$B$14,'mapping Site table'!$C$4:$C$14,Raw_LIMS_Export!E1772)</f>
        <v>Ashford UK</v>
      </c>
      <c r="E1772" s="17" t="s">
        <v>2484</v>
      </c>
      <c r="F1772" s="17">
        <f t="shared" si="82"/>
        <v>1</v>
      </c>
      <c r="G1772" s="17" t="str">
        <f t="shared" si="83"/>
        <v>Fail</v>
      </c>
      <c r="H1772" s="17" t="str">
        <f t="shared" si="81"/>
        <v>Fail</v>
      </c>
      <c r="I1772" s="17">
        <v>5.93</v>
      </c>
      <c r="J1772" s="17"/>
      <c r="K1772" s="17">
        <v>6</v>
      </c>
      <c r="L1772" s="17">
        <v>7.5</v>
      </c>
      <c r="M1772" s="18">
        <f>Raw_LIMS_Export!K1772</f>
        <v>45780</v>
      </c>
      <c r="N1772" s="19" t="s">
        <v>2932</v>
      </c>
    </row>
    <row r="1773" spans="1:14" x14ac:dyDescent="0.35">
      <c r="A1773" s="16" t="s">
        <v>1769</v>
      </c>
      <c r="B1773" s="17" t="s">
        <v>2408</v>
      </c>
      <c r="C1773" s="17" t="s">
        <v>2461</v>
      </c>
      <c r="D1773" s="17" t="str">
        <f>_xlfn.XLOOKUP(Raw_LIMS_Export!E1773,'mapping Site table'!$B$4:$B$14,'mapping Site table'!$C$4:$C$14,Raw_LIMS_Export!E1773)</f>
        <v>Vernier CH</v>
      </c>
      <c r="E1773" s="17" t="s">
        <v>2483</v>
      </c>
      <c r="F1773" s="17">
        <f t="shared" si="82"/>
        <v>1</v>
      </c>
      <c r="G1773" s="17" t="str">
        <f t="shared" si="83"/>
        <v>Pass</v>
      </c>
      <c r="H1773" s="17" t="str">
        <f t="shared" si="81"/>
        <v>Pass</v>
      </c>
      <c r="I1773" s="17">
        <v>0.28999999999999998</v>
      </c>
      <c r="J1773" s="17" t="s">
        <v>2489</v>
      </c>
      <c r="K1773" s="17">
        <v>0</v>
      </c>
      <c r="L1773" s="17">
        <v>1</v>
      </c>
      <c r="M1773" s="18">
        <f>Raw_LIMS_Export!K1773</f>
        <v>45702</v>
      </c>
      <c r="N1773" s="19" t="s">
        <v>2928</v>
      </c>
    </row>
    <row r="1774" spans="1:14" x14ac:dyDescent="0.35">
      <c r="A1774" s="16" t="s">
        <v>1770</v>
      </c>
      <c r="B1774" s="17" t="s">
        <v>2426</v>
      </c>
      <c r="C1774" s="17" t="s">
        <v>2461</v>
      </c>
      <c r="D1774" s="17" t="str">
        <f>_xlfn.XLOOKUP(Raw_LIMS_Export!E1774,'mapping Site table'!$B$4:$B$14,'mapping Site table'!$C$4:$C$14,Raw_LIMS_Export!E1774)</f>
        <v>Dortmund DE</v>
      </c>
      <c r="E1774" s="17" t="s">
        <v>2482</v>
      </c>
      <c r="F1774" s="17">
        <f t="shared" si="82"/>
        <v>1</v>
      </c>
      <c r="G1774" s="17" t="str">
        <f t="shared" si="83"/>
        <v>Pass</v>
      </c>
      <c r="H1774" s="17" t="str">
        <f t="shared" si="81"/>
        <v>Pass</v>
      </c>
      <c r="I1774" s="17">
        <v>98.18</v>
      </c>
      <c r="J1774" s="17" t="s">
        <v>2489</v>
      </c>
      <c r="K1774" s="17">
        <v>97</v>
      </c>
      <c r="L1774" s="17">
        <v>100</v>
      </c>
      <c r="M1774" s="18">
        <f>Raw_LIMS_Export!K1774</f>
        <v>45834</v>
      </c>
      <c r="N1774" s="19" t="s">
        <v>2929</v>
      </c>
    </row>
    <row r="1775" spans="1:14" x14ac:dyDescent="0.35">
      <c r="A1775" s="16" t="s">
        <v>1771</v>
      </c>
      <c r="B1775" s="17" t="s">
        <v>2362</v>
      </c>
      <c r="C1775" s="17" t="s">
        <v>2457</v>
      </c>
      <c r="D1775" s="17" t="str">
        <f>_xlfn.XLOOKUP(Raw_LIMS_Export!E1775,'mapping Site table'!$B$4:$B$14,'mapping Site table'!$C$4:$C$14,Raw_LIMS_Export!E1775)</f>
        <v>Dortmund DE</v>
      </c>
      <c r="E1775" s="17" t="s">
        <v>2479</v>
      </c>
      <c r="F1775" s="17">
        <f t="shared" si="82"/>
        <v>1</v>
      </c>
      <c r="G1775" s="17" t="str">
        <f t="shared" si="83"/>
        <v>Pass</v>
      </c>
      <c r="H1775" s="17" t="str">
        <f t="shared" si="81"/>
        <v>Pass</v>
      </c>
      <c r="I1775" s="17">
        <v>52.52</v>
      </c>
      <c r="J1775" s="17" t="s">
        <v>2486</v>
      </c>
      <c r="K1775" s="17">
        <v>0</v>
      </c>
      <c r="L1775" s="17">
        <v>120</v>
      </c>
      <c r="M1775" s="18">
        <f>Raw_LIMS_Export!K1775</f>
        <v>45320</v>
      </c>
      <c r="N1775" s="19" t="s">
        <v>2930</v>
      </c>
    </row>
    <row r="1776" spans="1:14" x14ac:dyDescent="0.35">
      <c r="A1776" s="16" t="s">
        <v>1772</v>
      </c>
      <c r="B1776" s="17" t="s">
        <v>2405</v>
      </c>
      <c r="C1776" s="17" t="s">
        <v>2457</v>
      </c>
      <c r="D1776" s="17" t="str">
        <f>_xlfn.XLOOKUP(Raw_LIMS_Export!E1776,'mapping Site table'!$B$4:$B$14,'mapping Site table'!$C$4:$C$14,Raw_LIMS_Export!E1776)</f>
        <v>East Hanover</v>
      </c>
      <c r="E1776" s="17" t="s">
        <v>2483</v>
      </c>
      <c r="F1776" s="17">
        <f t="shared" si="82"/>
        <v>1</v>
      </c>
      <c r="G1776" s="17" t="str">
        <f t="shared" si="83"/>
        <v>Pass</v>
      </c>
      <c r="H1776" s="17" t="str">
        <f t="shared" si="81"/>
        <v>Pass</v>
      </c>
      <c r="I1776" s="17">
        <v>0.39</v>
      </c>
      <c r="J1776" s="17" t="s">
        <v>2489</v>
      </c>
      <c r="K1776" s="17">
        <v>0</v>
      </c>
      <c r="L1776" s="17">
        <v>1</v>
      </c>
      <c r="M1776" s="18">
        <f>Raw_LIMS_Export!K1776</f>
        <v>45926</v>
      </c>
      <c r="N1776" s="19" t="s">
        <v>2931</v>
      </c>
    </row>
    <row r="1777" spans="1:14" x14ac:dyDescent="0.35">
      <c r="A1777" s="16" t="s">
        <v>1773</v>
      </c>
      <c r="B1777" s="17" t="s">
        <v>2226</v>
      </c>
      <c r="C1777" s="17" t="s">
        <v>2457</v>
      </c>
      <c r="D1777" s="17" t="str">
        <f>_xlfn.XLOOKUP(Raw_LIMS_Export!E1777,'mapping Site table'!$B$4:$B$14,'mapping Site table'!$C$4:$C$14,Raw_LIMS_Export!E1777)</f>
        <v>Budapest</v>
      </c>
      <c r="E1777" s="17" t="s">
        <v>2479</v>
      </c>
      <c r="F1777" s="17">
        <f t="shared" si="82"/>
        <v>1</v>
      </c>
      <c r="G1777" s="17" t="str">
        <f t="shared" si="83"/>
        <v>Pass</v>
      </c>
      <c r="H1777" s="17" t="str">
        <f t="shared" si="81"/>
        <v>Pass</v>
      </c>
      <c r="I1777" s="17">
        <v>45.55</v>
      </c>
      <c r="J1777" s="17" t="s">
        <v>2486</v>
      </c>
      <c r="K1777" s="17">
        <v>0</v>
      </c>
      <c r="L1777" s="17">
        <v>120</v>
      </c>
      <c r="M1777" s="18">
        <f>Raw_LIMS_Export!K1777</f>
        <v>45595</v>
      </c>
      <c r="N1777" s="19" t="s">
        <v>2928</v>
      </c>
    </row>
    <row r="1778" spans="1:14" x14ac:dyDescent="0.35">
      <c r="A1778" s="16" t="s">
        <v>1774</v>
      </c>
      <c r="B1778" s="17" t="s">
        <v>2444</v>
      </c>
      <c r="C1778" s="17" t="s">
        <v>2459</v>
      </c>
      <c r="D1778" s="17" t="str">
        <f>_xlfn.XLOOKUP(Raw_LIMS_Export!E1778,'mapping Site table'!$B$4:$B$14,'mapping Site table'!$C$4:$C$14,Raw_LIMS_Export!E1778)</f>
        <v>Budapest</v>
      </c>
      <c r="E1778" s="17" t="s">
        <v>2481</v>
      </c>
      <c r="F1778" s="17">
        <f t="shared" si="82"/>
        <v>1</v>
      </c>
      <c r="G1778" s="17" t="str">
        <f t="shared" si="83"/>
        <v>Pass</v>
      </c>
      <c r="H1778" s="17" t="str">
        <f t="shared" si="81"/>
        <v>Pass</v>
      </c>
      <c r="I1778" s="17">
        <v>313.58999999999997</v>
      </c>
      <c r="J1778" s="17" t="s">
        <v>2488</v>
      </c>
      <c r="K1778" s="17">
        <v>150</v>
      </c>
      <c r="L1778" s="17">
        <v>400</v>
      </c>
      <c r="M1778" s="18">
        <f>Raw_LIMS_Export!K1778</f>
        <v>45946</v>
      </c>
      <c r="N1778" s="19" t="s">
        <v>2927</v>
      </c>
    </row>
    <row r="1779" spans="1:14" x14ac:dyDescent="0.35">
      <c r="A1779" s="16" t="s">
        <v>1775</v>
      </c>
      <c r="B1779" s="17" t="s">
        <v>2159</v>
      </c>
      <c r="C1779" s="17" t="s">
        <v>2457</v>
      </c>
      <c r="D1779" s="17" t="str">
        <f>_xlfn.XLOOKUP(Raw_LIMS_Export!E1779,'mapping Site table'!$B$4:$B$14,'mapping Site table'!$C$4:$C$14,Raw_LIMS_Export!E1779)</f>
        <v>Vernier CH</v>
      </c>
      <c r="E1779" s="17" t="s">
        <v>2482</v>
      </c>
      <c r="F1779" s="17">
        <f t="shared" si="82"/>
        <v>1</v>
      </c>
      <c r="G1779" s="17" t="str">
        <f t="shared" si="83"/>
        <v>Pass</v>
      </c>
      <c r="H1779" s="17" t="str">
        <f t="shared" si="81"/>
        <v>Pass</v>
      </c>
      <c r="I1779" s="17">
        <v>98.59</v>
      </c>
      <c r="J1779" s="17" t="s">
        <v>2489</v>
      </c>
      <c r="K1779" s="17">
        <v>97</v>
      </c>
      <c r="L1779" s="17">
        <v>100</v>
      </c>
      <c r="M1779" s="18">
        <f>Raw_LIMS_Export!K1779</f>
        <v>45511</v>
      </c>
      <c r="N1779" s="19" t="s">
        <v>2926</v>
      </c>
    </row>
    <row r="1780" spans="1:14" x14ac:dyDescent="0.35">
      <c r="A1780" s="16" t="s">
        <v>1776</v>
      </c>
      <c r="B1780" s="17" t="s">
        <v>2276</v>
      </c>
      <c r="C1780" s="17" t="s">
        <v>2457</v>
      </c>
      <c r="D1780" s="17" t="str">
        <f>_xlfn.XLOOKUP(Raw_LIMS_Export!E1780,'mapping Site table'!$B$4:$B$14,'mapping Site table'!$C$4:$C$14,Raw_LIMS_Export!E1780)</f>
        <v>Budapest</v>
      </c>
      <c r="E1780" s="17" t="s">
        <v>2483</v>
      </c>
      <c r="F1780" s="17">
        <f t="shared" si="82"/>
        <v>1</v>
      </c>
      <c r="G1780" s="17" t="str">
        <f t="shared" si="83"/>
        <v>Pass</v>
      </c>
      <c r="H1780" s="17" t="str">
        <f t="shared" si="81"/>
        <v>Pass</v>
      </c>
      <c r="I1780" s="17">
        <v>0.49</v>
      </c>
      <c r="J1780" s="17" t="s">
        <v>2489</v>
      </c>
      <c r="K1780" s="17">
        <v>0</v>
      </c>
      <c r="L1780" s="17">
        <v>1</v>
      </c>
      <c r="M1780" s="18">
        <f>Raw_LIMS_Export!K1780</f>
        <v>45685</v>
      </c>
      <c r="N1780" s="19" t="s">
        <v>2928</v>
      </c>
    </row>
    <row r="1781" spans="1:14" x14ac:dyDescent="0.35">
      <c r="A1781" s="16" t="s">
        <v>1777</v>
      </c>
      <c r="B1781" s="17" t="s">
        <v>2413</v>
      </c>
      <c r="C1781" s="17" t="s">
        <v>2458</v>
      </c>
      <c r="D1781" s="17" t="str">
        <f>_xlfn.XLOOKUP(Raw_LIMS_Export!E1781,'mapping Site table'!$B$4:$B$14,'mapping Site table'!$C$4:$C$14,Raw_LIMS_Export!E1781)</f>
        <v>Ashford UK</v>
      </c>
      <c r="E1781" s="17" t="s">
        <v>2483</v>
      </c>
      <c r="F1781" s="17">
        <f t="shared" si="82"/>
        <v>1</v>
      </c>
      <c r="G1781" s="17" t="str">
        <f t="shared" si="83"/>
        <v>Pass</v>
      </c>
      <c r="H1781" s="17" t="str">
        <f t="shared" si="81"/>
        <v>Fail</v>
      </c>
      <c r="I1781" s="17">
        <v>0.48</v>
      </c>
      <c r="J1781" s="17" t="s">
        <v>2489</v>
      </c>
      <c r="K1781" s="17">
        <v>0</v>
      </c>
      <c r="L1781" s="17">
        <v>1</v>
      </c>
      <c r="M1781" s="18">
        <f>Raw_LIMS_Export!K1781</f>
        <v>45419</v>
      </c>
      <c r="N1781" s="19" t="s">
        <v>2932</v>
      </c>
    </row>
    <row r="1782" spans="1:14" x14ac:dyDescent="0.35">
      <c r="A1782" s="16" t="s">
        <v>1778</v>
      </c>
      <c r="B1782" s="17" t="s">
        <v>2149</v>
      </c>
      <c r="C1782" s="17" t="s">
        <v>2458</v>
      </c>
      <c r="D1782" s="17" t="str">
        <f>_xlfn.XLOOKUP(Raw_LIMS_Export!E1782,'mapping Site table'!$B$4:$B$14,'mapping Site table'!$C$4:$C$14,Raw_LIMS_Export!E1782)</f>
        <v>Vernier CH</v>
      </c>
      <c r="E1782" s="17" t="s">
        <v>2479</v>
      </c>
      <c r="F1782" s="17">
        <f t="shared" si="82"/>
        <v>1</v>
      </c>
      <c r="G1782" s="17" t="str">
        <f t="shared" si="83"/>
        <v>Pass</v>
      </c>
      <c r="H1782" s="17" t="str">
        <f t="shared" si="81"/>
        <v>Fail</v>
      </c>
      <c r="I1782" s="17">
        <v>58.01</v>
      </c>
      <c r="J1782" s="17" t="s">
        <v>2486</v>
      </c>
      <c r="K1782" s="17">
        <v>0</v>
      </c>
      <c r="L1782" s="17">
        <v>120</v>
      </c>
      <c r="M1782" s="18">
        <f>Raw_LIMS_Export!K1782</f>
        <v>45916</v>
      </c>
      <c r="N1782" s="19" t="s">
        <v>2925</v>
      </c>
    </row>
    <row r="1783" spans="1:14" x14ac:dyDescent="0.35">
      <c r="A1783" s="16" t="s">
        <v>1779</v>
      </c>
      <c r="B1783" s="17" t="s">
        <v>2036</v>
      </c>
      <c r="C1783" s="17" t="s">
        <v>2459</v>
      </c>
      <c r="D1783" s="17" t="str">
        <f>_xlfn.XLOOKUP(Raw_LIMS_Export!E1783,'mapping Site table'!$B$4:$B$14,'mapping Site table'!$C$4:$C$14,Raw_LIMS_Export!E1783)</f>
        <v>Vernier CH</v>
      </c>
      <c r="E1783" s="17" t="s">
        <v>2480</v>
      </c>
      <c r="F1783" s="17">
        <f t="shared" si="82"/>
        <v>1</v>
      </c>
      <c r="G1783" s="17" t="str">
        <f t="shared" si="83"/>
        <v>Pass</v>
      </c>
      <c r="H1783" s="17" t="str">
        <f t="shared" si="81"/>
        <v>Pass</v>
      </c>
      <c r="I1783" s="17">
        <v>0.94</v>
      </c>
      <c r="J1783" s="17" t="s">
        <v>2487</v>
      </c>
      <c r="K1783" s="17">
        <v>0.88</v>
      </c>
      <c r="L1783" s="17">
        <v>0.97</v>
      </c>
      <c r="M1783" s="18">
        <f>Raw_LIMS_Export!K1783</f>
        <v>45769</v>
      </c>
      <c r="N1783" s="19" t="s">
        <v>2930</v>
      </c>
    </row>
    <row r="1784" spans="1:14" x14ac:dyDescent="0.35">
      <c r="A1784" s="16" t="s">
        <v>1780</v>
      </c>
      <c r="B1784" s="17" t="s">
        <v>2376</v>
      </c>
      <c r="C1784" s="17" t="s">
        <v>2459</v>
      </c>
      <c r="D1784" s="17" t="str">
        <f>_xlfn.XLOOKUP(Raw_LIMS_Export!E1784,'mapping Site table'!$B$4:$B$14,'mapping Site table'!$C$4:$C$14,Raw_LIMS_Export!E1784)</f>
        <v>Ashford UK</v>
      </c>
      <c r="E1784" s="17" t="s">
        <v>2480</v>
      </c>
      <c r="F1784" s="17">
        <f t="shared" si="82"/>
        <v>1</v>
      </c>
      <c r="G1784" s="17" t="str">
        <f t="shared" si="83"/>
        <v>Pass</v>
      </c>
      <c r="H1784" s="17" t="str">
        <f t="shared" si="81"/>
        <v>Fail</v>
      </c>
      <c r="I1784" s="17">
        <v>0.93</v>
      </c>
      <c r="J1784" s="17" t="s">
        <v>2487</v>
      </c>
      <c r="K1784" s="17">
        <v>0.88</v>
      </c>
      <c r="L1784" s="17">
        <v>0.97</v>
      </c>
      <c r="M1784" s="18">
        <f>Raw_LIMS_Export!K1784</f>
        <v>45780</v>
      </c>
      <c r="N1784" s="19" t="s">
        <v>2929</v>
      </c>
    </row>
    <row r="1785" spans="1:14" x14ac:dyDescent="0.35">
      <c r="A1785" s="16" t="s">
        <v>1781</v>
      </c>
      <c r="B1785" s="17" t="s">
        <v>2337</v>
      </c>
      <c r="C1785" s="17" t="s">
        <v>2461</v>
      </c>
      <c r="D1785" s="17" t="str">
        <f>_xlfn.XLOOKUP(Raw_LIMS_Export!E1785,'mapping Site table'!$B$4:$B$14,'mapping Site table'!$C$4:$C$14,Raw_LIMS_Export!E1785)</f>
        <v>East Hanover</v>
      </c>
      <c r="E1785" s="17" t="s">
        <v>2480</v>
      </c>
      <c r="F1785" s="17">
        <f t="shared" si="82"/>
        <v>1</v>
      </c>
      <c r="G1785" s="17" t="str">
        <f t="shared" si="83"/>
        <v>Pass</v>
      </c>
      <c r="H1785" s="17" t="str">
        <f t="shared" si="81"/>
        <v>Pass</v>
      </c>
      <c r="I1785" s="17">
        <v>0.95</v>
      </c>
      <c r="J1785" s="17" t="s">
        <v>2487</v>
      </c>
      <c r="K1785" s="17">
        <v>0.88</v>
      </c>
      <c r="L1785" s="17">
        <v>0.97</v>
      </c>
      <c r="M1785" s="18">
        <f>Raw_LIMS_Export!K1785</f>
        <v>45545</v>
      </c>
      <c r="N1785" s="19" t="s">
        <v>2923</v>
      </c>
    </row>
    <row r="1786" spans="1:14" x14ac:dyDescent="0.35">
      <c r="A1786" s="16" t="s">
        <v>1782</v>
      </c>
      <c r="B1786" s="17" t="s">
        <v>2337</v>
      </c>
      <c r="C1786" s="17" t="s">
        <v>2461</v>
      </c>
      <c r="D1786" s="17" t="str">
        <f>_xlfn.XLOOKUP(Raw_LIMS_Export!E1786,'mapping Site table'!$B$4:$B$14,'mapping Site table'!$C$4:$C$14,Raw_LIMS_Export!E1786)</f>
        <v>East Hanover</v>
      </c>
      <c r="E1786" s="17" t="s">
        <v>2481</v>
      </c>
      <c r="F1786" s="17">
        <f t="shared" si="82"/>
        <v>1</v>
      </c>
      <c r="G1786" s="17" t="str">
        <f t="shared" si="83"/>
        <v>Pass</v>
      </c>
      <c r="H1786" s="17" t="str">
        <f t="shared" si="81"/>
        <v>Pass</v>
      </c>
      <c r="I1786" s="17">
        <v>254.38</v>
      </c>
      <c r="J1786" s="17" t="s">
        <v>2488</v>
      </c>
      <c r="K1786" s="17">
        <v>150</v>
      </c>
      <c r="L1786" s="17">
        <v>400</v>
      </c>
      <c r="M1786" s="18">
        <f>Raw_LIMS_Export!K1786</f>
        <v>45545</v>
      </c>
      <c r="N1786" s="19" t="s">
        <v>2931</v>
      </c>
    </row>
    <row r="1787" spans="1:14" x14ac:dyDescent="0.35">
      <c r="A1787" s="16" t="s">
        <v>1783</v>
      </c>
      <c r="B1787" s="17" t="s">
        <v>2126</v>
      </c>
      <c r="C1787" s="17" t="s">
        <v>2461</v>
      </c>
      <c r="D1787" s="17" t="str">
        <f>_xlfn.XLOOKUP(Raw_LIMS_Export!E1787,'mapping Site table'!$B$4:$B$14,'mapping Site table'!$C$4:$C$14,Raw_LIMS_Export!E1787)</f>
        <v>East Hanover</v>
      </c>
      <c r="E1787" s="17" t="s">
        <v>2484</v>
      </c>
      <c r="F1787" s="17">
        <f t="shared" si="82"/>
        <v>1</v>
      </c>
      <c r="G1787" s="17" t="str">
        <f t="shared" si="83"/>
        <v>Pass</v>
      </c>
      <c r="H1787" s="17" t="str">
        <f t="shared" si="81"/>
        <v>Pass</v>
      </c>
      <c r="I1787" s="17">
        <v>6.95</v>
      </c>
      <c r="J1787" s="17"/>
      <c r="K1787" s="17">
        <v>6</v>
      </c>
      <c r="L1787" s="17">
        <v>7.5</v>
      </c>
      <c r="M1787" s="18">
        <f>Raw_LIMS_Export!K1787</f>
        <v>45366</v>
      </c>
      <c r="N1787" s="19" t="s">
        <v>2929</v>
      </c>
    </row>
    <row r="1788" spans="1:14" x14ac:dyDescent="0.35">
      <c r="A1788" s="16" t="s">
        <v>1784</v>
      </c>
      <c r="B1788" s="17" t="s">
        <v>2100</v>
      </c>
      <c r="C1788" s="17" t="s">
        <v>2461</v>
      </c>
      <c r="D1788" s="17" t="str">
        <f>_xlfn.XLOOKUP(Raw_LIMS_Export!E1788,'mapping Site table'!$B$4:$B$14,'mapping Site table'!$C$4:$C$14,Raw_LIMS_Export!E1788)</f>
        <v>Budapest</v>
      </c>
      <c r="E1788" s="17" t="s">
        <v>2481</v>
      </c>
      <c r="F1788" s="17">
        <f t="shared" si="82"/>
        <v>1</v>
      </c>
      <c r="G1788" s="17" t="str">
        <f t="shared" si="83"/>
        <v>Pass</v>
      </c>
      <c r="H1788" s="17" t="str">
        <f t="shared" si="81"/>
        <v>Pass</v>
      </c>
      <c r="I1788" s="17">
        <v>307.97000000000003</v>
      </c>
      <c r="J1788" s="17" t="s">
        <v>2488</v>
      </c>
      <c r="K1788" s="17">
        <v>150</v>
      </c>
      <c r="L1788" s="17">
        <v>400</v>
      </c>
      <c r="M1788" s="18">
        <f>Raw_LIMS_Export!K1788</f>
        <v>45413</v>
      </c>
      <c r="N1788" s="19" t="s">
        <v>2932</v>
      </c>
    </row>
    <row r="1789" spans="1:14" x14ac:dyDescent="0.35">
      <c r="A1789" s="16" t="s">
        <v>1785</v>
      </c>
      <c r="B1789" s="17" t="s">
        <v>2184</v>
      </c>
      <c r="C1789" s="17" t="s">
        <v>2461</v>
      </c>
      <c r="D1789" s="17" t="str">
        <f>_xlfn.XLOOKUP(Raw_LIMS_Export!E1789,'mapping Site table'!$B$4:$B$14,'mapping Site table'!$C$4:$C$14,Raw_LIMS_Export!E1789)</f>
        <v>Ashford UK</v>
      </c>
      <c r="E1789" s="17" t="s">
        <v>2479</v>
      </c>
      <c r="F1789" s="17">
        <f t="shared" si="82"/>
        <v>1</v>
      </c>
      <c r="G1789" s="17" t="str">
        <f t="shared" si="83"/>
        <v>Pass</v>
      </c>
      <c r="H1789" s="17" t="str">
        <f t="shared" si="81"/>
        <v>Pass</v>
      </c>
      <c r="I1789" s="17">
        <v>84.65</v>
      </c>
      <c r="J1789" s="17" t="s">
        <v>2486</v>
      </c>
      <c r="K1789" s="17">
        <v>0</v>
      </c>
      <c r="L1789" s="17">
        <v>120</v>
      </c>
      <c r="M1789" s="18">
        <f>Raw_LIMS_Export!K1789</f>
        <v>45662</v>
      </c>
      <c r="N1789" s="19" t="s">
        <v>2930</v>
      </c>
    </row>
    <row r="1790" spans="1:14" x14ac:dyDescent="0.35">
      <c r="A1790" s="16" t="s">
        <v>1786</v>
      </c>
      <c r="B1790" s="17" t="s">
        <v>2039</v>
      </c>
      <c r="C1790" s="17" t="s">
        <v>2458</v>
      </c>
      <c r="D1790" s="17" t="str">
        <f>_xlfn.XLOOKUP(Raw_LIMS_Export!E1790,'mapping Site table'!$B$4:$B$14,'mapping Site table'!$C$4:$C$14,Raw_LIMS_Export!E1790)</f>
        <v>Budapest</v>
      </c>
      <c r="E1790" s="17" t="s">
        <v>2479</v>
      </c>
      <c r="F1790" s="17">
        <f t="shared" si="82"/>
        <v>1</v>
      </c>
      <c r="G1790" s="17" t="str">
        <f t="shared" si="83"/>
        <v>Pass</v>
      </c>
      <c r="H1790" s="17" t="str">
        <f t="shared" si="81"/>
        <v>Fail</v>
      </c>
      <c r="I1790" s="17">
        <v>58.4</v>
      </c>
      <c r="J1790" s="17" t="s">
        <v>2486</v>
      </c>
      <c r="K1790" s="17">
        <v>0</v>
      </c>
      <c r="L1790" s="17">
        <v>120</v>
      </c>
      <c r="M1790" s="18">
        <f>Raw_LIMS_Export!K1790</f>
        <v>45969</v>
      </c>
      <c r="N1790" s="19" t="s">
        <v>2925</v>
      </c>
    </row>
    <row r="1791" spans="1:14" x14ac:dyDescent="0.35">
      <c r="A1791" s="16" t="s">
        <v>1787</v>
      </c>
      <c r="B1791" s="17" t="s">
        <v>2092</v>
      </c>
      <c r="C1791" s="17" t="s">
        <v>2459</v>
      </c>
      <c r="D1791" s="17" t="str">
        <f>_xlfn.XLOOKUP(Raw_LIMS_Export!E1791,'mapping Site table'!$B$4:$B$14,'mapping Site table'!$C$4:$C$14,Raw_LIMS_Export!E1791)</f>
        <v>East Hanover</v>
      </c>
      <c r="E1791" s="17" t="s">
        <v>2483</v>
      </c>
      <c r="F1791" s="17">
        <f t="shared" si="82"/>
        <v>1</v>
      </c>
      <c r="G1791" s="17" t="str">
        <f t="shared" si="83"/>
        <v>Fail</v>
      </c>
      <c r="H1791" s="17" t="str">
        <f t="shared" si="81"/>
        <v>Fail</v>
      </c>
      <c r="I1791" s="17">
        <v>-0.45</v>
      </c>
      <c r="J1791" s="17" t="s">
        <v>2489</v>
      </c>
      <c r="K1791" s="17">
        <v>0</v>
      </c>
      <c r="L1791" s="17">
        <v>1</v>
      </c>
      <c r="M1791" s="18">
        <f>Raw_LIMS_Export!K1791</f>
        <v>45889</v>
      </c>
      <c r="N1791" s="19" t="s">
        <v>2924</v>
      </c>
    </row>
    <row r="1792" spans="1:14" x14ac:dyDescent="0.35">
      <c r="A1792" s="16" t="s">
        <v>1788</v>
      </c>
      <c r="B1792" s="17" t="s">
        <v>2172</v>
      </c>
      <c r="C1792" s="17" t="s">
        <v>2459</v>
      </c>
      <c r="D1792" s="17" t="str">
        <f>_xlfn.XLOOKUP(Raw_LIMS_Export!E1792,'mapping Site table'!$B$4:$B$14,'mapping Site table'!$C$4:$C$14,Raw_LIMS_Export!E1792)</f>
        <v>Dortmund DE</v>
      </c>
      <c r="E1792" s="17" t="s">
        <v>2485</v>
      </c>
      <c r="F1792" s="17">
        <f t="shared" si="82"/>
        <v>1</v>
      </c>
      <c r="G1792" s="17" t="str">
        <f t="shared" si="83"/>
        <v>Fail</v>
      </c>
      <c r="H1792" s="17" t="str">
        <f t="shared" si="81"/>
        <v>Fail</v>
      </c>
      <c r="I1792" s="17">
        <v>-22.45</v>
      </c>
      <c r="J1792" s="17" t="s">
        <v>2490</v>
      </c>
      <c r="K1792" s="17">
        <v>0</v>
      </c>
      <c r="L1792" s="17">
        <v>100</v>
      </c>
      <c r="M1792" s="18">
        <f>Raw_LIMS_Export!K1792</f>
        <v>45453</v>
      </c>
      <c r="N1792" s="19" t="s">
        <v>2927</v>
      </c>
    </row>
    <row r="1793" spans="1:14" x14ac:dyDescent="0.35">
      <c r="A1793" s="16" t="s">
        <v>1789</v>
      </c>
      <c r="B1793" s="17" t="s">
        <v>2351</v>
      </c>
      <c r="C1793" s="17" t="s">
        <v>2459</v>
      </c>
      <c r="D1793" s="17" t="str">
        <f>_xlfn.XLOOKUP(Raw_LIMS_Export!E1793,'mapping Site table'!$B$4:$B$14,'mapping Site table'!$C$4:$C$14,Raw_LIMS_Export!E1793)</f>
        <v>Vernier CH</v>
      </c>
      <c r="E1793" s="17" t="s">
        <v>2482</v>
      </c>
      <c r="F1793" s="17">
        <f t="shared" si="82"/>
        <v>1</v>
      </c>
      <c r="G1793" s="17" t="str">
        <f t="shared" si="83"/>
        <v>Pass</v>
      </c>
      <c r="H1793" s="17" t="str">
        <f t="shared" si="81"/>
        <v>Pass</v>
      </c>
      <c r="I1793" s="17">
        <v>98.72</v>
      </c>
      <c r="J1793" s="17" t="s">
        <v>2489</v>
      </c>
      <c r="K1793" s="17">
        <v>97</v>
      </c>
      <c r="L1793" s="17">
        <v>100</v>
      </c>
      <c r="M1793" s="18">
        <f>Raw_LIMS_Export!K1793</f>
        <v>45984</v>
      </c>
      <c r="N1793" s="19" t="s">
        <v>2931</v>
      </c>
    </row>
    <row r="1794" spans="1:14" x14ac:dyDescent="0.35">
      <c r="A1794" s="16" t="s">
        <v>1790</v>
      </c>
      <c r="B1794" s="17" t="s">
        <v>2060</v>
      </c>
      <c r="C1794" s="17" t="s">
        <v>2458</v>
      </c>
      <c r="D1794" s="17" t="str">
        <f>_xlfn.XLOOKUP(Raw_LIMS_Export!E1794,'mapping Site table'!$B$4:$B$14,'mapping Site table'!$C$4:$C$14,Raw_LIMS_Export!E1794)</f>
        <v>East Hanover</v>
      </c>
      <c r="E1794" s="17" t="s">
        <v>2484</v>
      </c>
      <c r="F1794" s="17">
        <f t="shared" si="82"/>
        <v>1</v>
      </c>
      <c r="G1794" s="17" t="str">
        <f t="shared" si="83"/>
        <v>Fail</v>
      </c>
      <c r="H1794" s="17" t="str">
        <f t="shared" ref="H1794:H1857" si="84">IF(COUNTIFS($B$2:$B$2016,B1794,$G$2:$G$2016,"Fail")&gt;0,"Fail",
  IF(COUNTIFS($B$2:$B$2016,B1794,$G$2:$G$2016,"Missing")&gt;0,"Pending",
    "Pass"))</f>
        <v>Fail</v>
      </c>
      <c r="I1794" s="17">
        <v>7.55</v>
      </c>
      <c r="J1794" s="17"/>
      <c r="K1794" s="17">
        <v>6</v>
      </c>
      <c r="L1794" s="17">
        <v>7.5</v>
      </c>
      <c r="M1794" s="18">
        <f>Raw_LIMS_Export!K1794</f>
        <v>45751</v>
      </c>
      <c r="N1794" s="19" t="s">
        <v>2927</v>
      </c>
    </row>
    <row r="1795" spans="1:14" x14ac:dyDescent="0.35">
      <c r="A1795" s="16" t="s">
        <v>1791</v>
      </c>
      <c r="B1795" s="17" t="s">
        <v>2155</v>
      </c>
      <c r="C1795" s="17" t="s">
        <v>2461</v>
      </c>
      <c r="D1795" s="17" t="str">
        <f>_xlfn.XLOOKUP(Raw_LIMS_Export!E1795,'mapping Site table'!$B$4:$B$14,'mapping Site table'!$C$4:$C$14,Raw_LIMS_Export!E1795)</f>
        <v>Dortmund DE</v>
      </c>
      <c r="E1795" s="17" t="s">
        <v>2481</v>
      </c>
      <c r="F1795" s="17">
        <f t="shared" ref="F1795:F1858" si="85">IF(I1795="",0,1)</f>
        <v>1</v>
      </c>
      <c r="G1795" s="17" t="str">
        <f t="shared" ref="G1795:G1858" si="86">IF(I1795="", "Missing", IF(AND(I1795&gt;=K1795, I1795&lt;=L1795), "Pass", "Fail"))</f>
        <v>Pass</v>
      </c>
      <c r="H1795" s="17" t="str">
        <f t="shared" si="84"/>
        <v>Pass</v>
      </c>
      <c r="I1795" s="17">
        <v>191.79</v>
      </c>
      <c r="J1795" s="17" t="s">
        <v>2488</v>
      </c>
      <c r="K1795" s="17">
        <v>150</v>
      </c>
      <c r="L1795" s="17">
        <v>400</v>
      </c>
      <c r="M1795" s="18">
        <f>Raw_LIMS_Export!K1795</f>
        <v>45358</v>
      </c>
      <c r="N1795" s="19" t="s">
        <v>2925</v>
      </c>
    </row>
    <row r="1796" spans="1:14" x14ac:dyDescent="0.35">
      <c r="A1796" s="16" t="s">
        <v>1792</v>
      </c>
      <c r="B1796" s="17" t="s">
        <v>2433</v>
      </c>
      <c r="C1796" s="17" t="s">
        <v>2461</v>
      </c>
      <c r="D1796" s="17" t="str">
        <f>_xlfn.XLOOKUP(Raw_LIMS_Export!E1796,'mapping Site table'!$B$4:$B$14,'mapping Site table'!$C$4:$C$14,Raw_LIMS_Export!E1796)</f>
        <v>Vernier CH</v>
      </c>
      <c r="E1796" s="17" t="s">
        <v>2485</v>
      </c>
      <c r="F1796" s="17">
        <f t="shared" si="85"/>
        <v>1</v>
      </c>
      <c r="G1796" s="17" t="str">
        <f t="shared" si="86"/>
        <v>Pass</v>
      </c>
      <c r="H1796" s="17" t="str">
        <f t="shared" si="84"/>
        <v>Pass</v>
      </c>
      <c r="I1796" s="17">
        <v>34.76</v>
      </c>
      <c r="J1796" s="17" t="s">
        <v>2490</v>
      </c>
      <c r="K1796" s="17">
        <v>0</v>
      </c>
      <c r="L1796" s="17">
        <v>100</v>
      </c>
      <c r="M1796" s="18">
        <f>Raw_LIMS_Export!K1796</f>
        <v>45503</v>
      </c>
      <c r="N1796" s="19" t="s">
        <v>2929</v>
      </c>
    </row>
    <row r="1797" spans="1:14" x14ac:dyDescent="0.35">
      <c r="A1797" s="16" t="s">
        <v>1793</v>
      </c>
      <c r="B1797" s="17" t="s">
        <v>2044</v>
      </c>
      <c r="C1797" s="17" t="s">
        <v>2459</v>
      </c>
      <c r="D1797" s="17" t="str">
        <f>_xlfn.XLOOKUP(Raw_LIMS_Export!E1797,'mapping Site table'!$B$4:$B$14,'mapping Site table'!$C$4:$C$14,Raw_LIMS_Export!E1797)</f>
        <v>Budapest</v>
      </c>
      <c r="E1797" s="17" t="s">
        <v>2484</v>
      </c>
      <c r="F1797" s="17">
        <f t="shared" si="85"/>
        <v>1</v>
      </c>
      <c r="G1797" s="17" t="str">
        <f t="shared" si="86"/>
        <v>Pass</v>
      </c>
      <c r="H1797" s="17" t="str">
        <f t="shared" si="84"/>
        <v>Pending</v>
      </c>
      <c r="I1797" s="17">
        <v>6.04</v>
      </c>
      <c r="J1797" s="17"/>
      <c r="K1797" s="17">
        <v>6</v>
      </c>
      <c r="L1797" s="17">
        <v>7.5</v>
      </c>
      <c r="M1797" s="18">
        <f>Raw_LIMS_Export!K1797</f>
        <v>45350</v>
      </c>
      <c r="N1797" s="19" t="s">
        <v>2926</v>
      </c>
    </row>
    <row r="1798" spans="1:14" x14ac:dyDescent="0.35">
      <c r="A1798" s="16" t="s">
        <v>1794</v>
      </c>
      <c r="B1798" s="17" t="s">
        <v>2371</v>
      </c>
      <c r="C1798" s="17" t="s">
        <v>2459</v>
      </c>
      <c r="D1798" s="17" t="str">
        <f>_xlfn.XLOOKUP(Raw_LIMS_Export!E1798,'mapping Site table'!$B$4:$B$14,'mapping Site table'!$C$4:$C$14,Raw_LIMS_Export!E1798)</f>
        <v>Dortmund DE</v>
      </c>
      <c r="E1798" s="17" t="s">
        <v>2481</v>
      </c>
      <c r="F1798" s="17">
        <f t="shared" si="85"/>
        <v>1</v>
      </c>
      <c r="G1798" s="17" t="str">
        <f t="shared" si="86"/>
        <v>Pass</v>
      </c>
      <c r="H1798" s="17" t="str">
        <f t="shared" si="84"/>
        <v>Fail</v>
      </c>
      <c r="I1798" s="17">
        <v>209.63</v>
      </c>
      <c r="J1798" s="17" t="s">
        <v>2488</v>
      </c>
      <c r="K1798" s="17">
        <v>150</v>
      </c>
      <c r="L1798" s="17">
        <v>400</v>
      </c>
      <c r="M1798" s="18">
        <f>Raw_LIMS_Export!K1798</f>
        <v>45519</v>
      </c>
      <c r="N1798" s="19" t="s">
        <v>2927</v>
      </c>
    </row>
    <row r="1799" spans="1:14" x14ac:dyDescent="0.35">
      <c r="A1799" s="16" t="s">
        <v>1795</v>
      </c>
      <c r="B1799" s="17" t="s">
        <v>2217</v>
      </c>
      <c r="C1799" s="17" t="s">
        <v>2458</v>
      </c>
      <c r="D1799" s="17" t="str">
        <f>_xlfn.XLOOKUP(Raw_LIMS_Export!E1799,'mapping Site table'!$B$4:$B$14,'mapping Site table'!$C$4:$C$14,Raw_LIMS_Export!E1799)</f>
        <v>Budapest</v>
      </c>
      <c r="E1799" s="17" t="s">
        <v>2483</v>
      </c>
      <c r="F1799" s="17">
        <f t="shared" si="85"/>
        <v>1</v>
      </c>
      <c r="G1799" s="17" t="str">
        <f t="shared" si="86"/>
        <v>Pass</v>
      </c>
      <c r="H1799" s="17" t="str">
        <f t="shared" si="84"/>
        <v>Fail</v>
      </c>
      <c r="I1799" s="17">
        <v>0.31</v>
      </c>
      <c r="J1799" s="17" t="s">
        <v>2489</v>
      </c>
      <c r="K1799" s="17">
        <v>0</v>
      </c>
      <c r="L1799" s="17">
        <v>1</v>
      </c>
      <c r="M1799" s="18">
        <f>Raw_LIMS_Export!K1799</f>
        <v>45368</v>
      </c>
      <c r="N1799" s="19" t="s">
        <v>2931</v>
      </c>
    </row>
    <row r="1800" spans="1:14" x14ac:dyDescent="0.35">
      <c r="A1800" s="16" t="s">
        <v>1796</v>
      </c>
      <c r="B1800" s="17" t="s">
        <v>2431</v>
      </c>
      <c r="C1800" s="17" t="s">
        <v>2460</v>
      </c>
      <c r="D1800" s="17" t="str">
        <f>_xlfn.XLOOKUP(Raw_LIMS_Export!E1800,'mapping Site table'!$B$4:$B$14,'mapping Site table'!$C$4:$C$14,Raw_LIMS_Export!E1800)</f>
        <v>Ashford UK</v>
      </c>
      <c r="E1800" s="17" t="s">
        <v>2479</v>
      </c>
      <c r="F1800" s="17">
        <f t="shared" si="85"/>
        <v>1</v>
      </c>
      <c r="G1800" s="17" t="str">
        <f t="shared" si="86"/>
        <v>Pass</v>
      </c>
      <c r="H1800" s="17" t="str">
        <f t="shared" si="84"/>
        <v>Pass</v>
      </c>
      <c r="I1800" s="17">
        <v>28.34</v>
      </c>
      <c r="J1800" s="17" t="s">
        <v>2486</v>
      </c>
      <c r="K1800" s="17">
        <v>0</v>
      </c>
      <c r="L1800" s="17">
        <v>120</v>
      </c>
      <c r="M1800" s="18">
        <f>Raw_LIMS_Export!K1800</f>
        <v>45462</v>
      </c>
      <c r="N1800" s="19" t="s">
        <v>2923</v>
      </c>
    </row>
    <row r="1801" spans="1:14" x14ac:dyDescent="0.35">
      <c r="A1801" s="16" t="s">
        <v>1797</v>
      </c>
      <c r="B1801" s="17" t="s">
        <v>2145</v>
      </c>
      <c r="C1801" s="17" t="s">
        <v>2458</v>
      </c>
      <c r="D1801" s="17" t="str">
        <f>_xlfn.XLOOKUP(Raw_LIMS_Export!E1801,'mapping Site table'!$B$4:$B$14,'mapping Site table'!$C$4:$C$14,Raw_LIMS_Export!E1801)</f>
        <v>Budapest</v>
      </c>
      <c r="E1801" s="17" t="s">
        <v>2479</v>
      </c>
      <c r="F1801" s="17">
        <f t="shared" si="85"/>
        <v>1</v>
      </c>
      <c r="G1801" s="17" t="str">
        <f t="shared" si="86"/>
        <v>Pass</v>
      </c>
      <c r="H1801" s="17" t="str">
        <f t="shared" si="84"/>
        <v>Pending</v>
      </c>
      <c r="I1801" s="17">
        <v>23.78</v>
      </c>
      <c r="J1801" s="17" t="s">
        <v>2486</v>
      </c>
      <c r="K1801" s="17">
        <v>0</v>
      </c>
      <c r="L1801" s="17">
        <v>120</v>
      </c>
      <c r="M1801" s="18">
        <f>Raw_LIMS_Export!K1801</f>
        <v>45819</v>
      </c>
      <c r="N1801" s="19" t="s">
        <v>2929</v>
      </c>
    </row>
    <row r="1802" spans="1:14" x14ac:dyDescent="0.35">
      <c r="A1802" s="16" t="s">
        <v>1798</v>
      </c>
      <c r="B1802" s="17" t="s">
        <v>2333</v>
      </c>
      <c r="C1802" s="17" t="s">
        <v>2460</v>
      </c>
      <c r="D1802" s="17" t="str">
        <f>_xlfn.XLOOKUP(Raw_LIMS_Export!E1802,'mapping Site table'!$B$4:$B$14,'mapping Site table'!$C$4:$C$14,Raw_LIMS_Export!E1802)</f>
        <v>East Hanover</v>
      </c>
      <c r="E1802" s="17" t="s">
        <v>2485</v>
      </c>
      <c r="F1802" s="17">
        <f t="shared" si="85"/>
        <v>1</v>
      </c>
      <c r="G1802" s="17" t="str">
        <f t="shared" si="86"/>
        <v>Pass</v>
      </c>
      <c r="H1802" s="17" t="str">
        <f t="shared" si="84"/>
        <v>Pass</v>
      </c>
      <c r="I1802" s="17">
        <v>44.16</v>
      </c>
      <c r="J1802" s="17" t="s">
        <v>2490</v>
      </c>
      <c r="K1802" s="17">
        <v>0</v>
      </c>
      <c r="L1802" s="17">
        <v>100</v>
      </c>
      <c r="M1802" s="18">
        <f>Raw_LIMS_Export!K1802</f>
        <v>45452</v>
      </c>
      <c r="N1802" s="19" t="s">
        <v>2924</v>
      </c>
    </row>
    <row r="1803" spans="1:14" x14ac:dyDescent="0.35">
      <c r="A1803" s="16" t="s">
        <v>1799</v>
      </c>
      <c r="B1803" s="17" t="s">
        <v>2314</v>
      </c>
      <c r="C1803" s="17" t="s">
        <v>2460</v>
      </c>
      <c r="D1803" s="17" t="str">
        <f>_xlfn.XLOOKUP(Raw_LIMS_Export!E1803,'mapping Site table'!$B$4:$B$14,'mapping Site table'!$C$4:$C$14,Raw_LIMS_Export!E1803)</f>
        <v>Ashford UK</v>
      </c>
      <c r="E1803" s="17" t="s">
        <v>2480</v>
      </c>
      <c r="F1803" s="17">
        <f t="shared" si="85"/>
        <v>1</v>
      </c>
      <c r="G1803" s="17" t="str">
        <f t="shared" si="86"/>
        <v>Fail</v>
      </c>
      <c r="H1803" s="17" t="str">
        <f t="shared" si="84"/>
        <v>Fail</v>
      </c>
      <c r="I1803" s="17">
        <v>0.86</v>
      </c>
      <c r="J1803" s="17" t="s">
        <v>2487</v>
      </c>
      <c r="K1803" s="17">
        <v>0.88</v>
      </c>
      <c r="L1803" s="17">
        <v>0.97</v>
      </c>
      <c r="M1803" s="18">
        <f>Raw_LIMS_Export!K1803</f>
        <v>45671</v>
      </c>
      <c r="N1803" s="19" t="s">
        <v>2929</v>
      </c>
    </row>
    <row r="1804" spans="1:14" x14ac:dyDescent="0.35">
      <c r="A1804" s="16" t="s">
        <v>1800</v>
      </c>
      <c r="B1804" s="17" t="s">
        <v>2410</v>
      </c>
      <c r="C1804" s="17" t="s">
        <v>2457</v>
      </c>
      <c r="D1804" s="17" t="str">
        <f>_xlfn.XLOOKUP(Raw_LIMS_Export!E1804,'mapping Site table'!$B$4:$B$14,'mapping Site table'!$C$4:$C$14,Raw_LIMS_Export!E1804)</f>
        <v>Dortmund DE</v>
      </c>
      <c r="E1804" s="17" t="s">
        <v>2484</v>
      </c>
      <c r="F1804" s="17">
        <f t="shared" si="85"/>
        <v>1</v>
      </c>
      <c r="G1804" s="17" t="str">
        <f t="shared" si="86"/>
        <v>Pass</v>
      </c>
      <c r="H1804" s="17" t="str">
        <f t="shared" si="84"/>
        <v>Fail</v>
      </c>
      <c r="I1804" s="17">
        <v>6.37</v>
      </c>
      <c r="J1804" s="17"/>
      <c r="K1804" s="17">
        <v>6</v>
      </c>
      <c r="L1804" s="17">
        <v>7.5</v>
      </c>
      <c r="M1804" s="18">
        <f>Raw_LIMS_Export!K1804</f>
        <v>45832</v>
      </c>
      <c r="N1804" s="19" t="s">
        <v>2926</v>
      </c>
    </row>
    <row r="1805" spans="1:14" x14ac:dyDescent="0.35">
      <c r="A1805" s="16" t="s">
        <v>1801</v>
      </c>
      <c r="B1805" s="17" t="s">
        <v>2391</v>
      </c>
      <c r="C1805" s="17" t="s">
        <v>2458</v>
      </c>
      <c r="D1805" s="17" t="str">
        <f>_xlfn.XLOOKUP(Raw_LIMS_Export!E1805,'mapping Site table'!$B$4:$B$14,'mapping Site table'!$C$4:$C$14,Raw_LIMS_Export!E1805)</f>
        <v>Ashford UK</v>
      </c>
      <c r="E1805" s="17" t="s">
        <v>2479</v>
      </c>
      <c r="F1805" s="17">
        <f t="shared" si="85"/>
        <v>1</v>
      </c>
      <c r="G1805" s="17" t="str">
        <f t="shared" si="86"/>
        <v>Pass</v>
      </c>
      <c r="H1805" s="17" t="str">
        <f t="shared" si="84"/>
        <v>Pass</v>
      </c>
      <c r="I1805" s="17">
        <v>40.69</v>
      </c>
      <c r="J1805" s="17" t="s">
        <v>2486</v>
      </c>
      <c r="K1805" s="17">
        <v>0</v>
      </c>
      <c r="L1805" s="17">
        <v>120</v>
      </c>
      <c r="M1805" s="18">
        <f>Raw_LIMS_Export!K1805</f>
        <v>45743</v>
      </c>
      <c r="N1805" s="19" t="s">
        <v>2926</v>
      </c>
    </row>
    <row r="1806" spans="1:14" x14ac:dyDescent="0.35">
      <c r="A1806" s="16" t="s">
        <v>1802</v>
      </c>
      <c r="B1806" s="17" t="s">
        <v>2020</v>
      </c>
      <c r="C1806" s="17" t="s">
        <v>2458</v>
      </c>
      <c r="D1806" s="17" t="str">
        <f>_xlfn.XLOOKUP(Raw_LIMS_Export!E1806,'mapping Site table'!$B$4:$B$14,'mapping Site table'!$C$4:$C$14,Raw_LIMS_Export!E1806)</f>
        <v>Budapest</v>
      </c>
      <c r="E1806" s="17" t="s">
        <v>2480</v>
      </c>
      <c r="F1806" s="17">
        <f t="shared" si="85"/>
        <v>1</v>
      </c>
      <c r="G1806" s="17" t="str">
        <f t="shared" si="86"/>
        <v>Pass</v>
      </c>
      <c r="H1806" s="17" t="str">
        <f t="shared" si="84"/>
        <v>Pass</v>
      </c>
      <c r="I1806" s="17">
        <v>0.96</v>
      </c>
      <c r="J1806" s="17" t="s">
        <v>2487</v>
      </c>
      <c r="K1806" s="17">
        <v>0.88</v>
      </c>
      <c r="L1806" s="17">
        <v>0.97</v>
      </c>
      <c r="M1806" s="18">
        <f>Raw_LIMS_Export!K1806</f>
        <v>45655</v>
      </c>
      <c r="N1806" s="19" t="s">
        <v>2932</v>
      </c>
    </row>
    <row r="1807" spans="1:14" x14ac:dyDescent="0.35">
      <c r="A1807" s="16" t="s">
        <v>1803</v>
      </c>
      <c r="B1807" s="17" t="s">
        <v>2047</v>
      </c>
      <c r="C1807" s="17" t="s">
        <v>2460</v>
      </c>
      <c r="D1807" s="17" t="str">
        <f>_xlfn.XLOOKUP(Raw_LIMS_Export!E1807,'mapping Site table'!$B$4:$B$14,'mapping Site table'!$C$4:$C$14,Raw_LIMS_Export!E1807)</f>
        <v>Budapest</v>
      </c>
      <c r="E1807" s="17" t="s">
        <v>2480</v>
      </c>
      <c r="F1807" s="17">
        <f t="shared" si="85"/>
        <v>1</v>
      </c>
      <c r="G1807" s="17" t="str">
        <f t="shared" si="86"/>
        <v>Pass</v>
      </c>
      <c r="H1807" s="17" t="str">
        <f t="shared" si="84"/>
        <v>Pass</v>
      </c>
      <c r="I1807" s="17">
        <v>0.94</v>
      </c>
      <c r="J1807" s="17" t="s">
        <v>2487</v>
      </c>
      <c r="K1807" s="17">
        <v>0.88</v>
      </c>
      <c r="L1807" s="17">
        <v>0.97</v>
      </c>
      <c r="M1807" s="18">
        <f>Raw_LIMS_Export!K1807</f>
        <v>45543</v>
      </c>
      <c r="N1807" s="19" t="s">
        <v>2931</v>
      </c>
    </row>
    <row r="1808" spans="1:14" x14ac:dyDescent="0.35">
      <c r="A1808" s="16" t="s">
        <v>1804</v>
      </c>
      <c r="B1808" s="17" t="s">
        <v>2202</v>
      </c>
      <c r="C1808" s="17" t="s">
        <v>2460</v>
      </c>
      <c r="D1808" s="17" t="str">
        <f>_xlfn.XLOOKUP(Raw_LIMS_Export!E1808,'mapping Site table'!$B$4:$B$14,'mapping Site table'!$C$4:$C$14,Raw_LIMS_Export!E1808)</f>
        <v>Ashford UK</v>
      </c>
      <c r="E1808" s="17" t="s">
        <v>2483</v>
      </c>
      <c r="F1808" s="17">
        <f t="shared" si="85"/>
        <v>1</v>
      </c>
      <c r="G1808" s="17" t="str">
        <f t="shared" si="86"/>
        <v>Pass</v>
      </c>
      <c r="H1808" s="17" t="str">
        <f t="shared" si="84"/>
        <v>Pass</v>
      </c>
      <c r="I1808" s="17">
        <v>0.36</v>
      </c>
      <c r="J1808" s="17" t="s">
        <v>2489</v>
      </c>
      <c r="K1808" s="17">
        <v>0</v>
      </c>
      <c r="L1808" s="17">
        <v>1</v>
      </c>
      <c r="M1808" s="18">
        <f>Raw_LIMS_Export!K1808</f>
        <v>45393</v>
      </c>
      <c r="N1808" s="19" t="s">
        <v>2923</v>
      </c>
    </row>
    <row r="1809" spans="1:14" x14ac:dyDescent="0.35">
      <c r="A1809" s="16" t="s">
        <v>1805</v>
      </c>
      <c r="B1809" s="17" t="s">
        <v>2316</v>
      </c>
      <c r="C1809" s="17" t="s">
        <v>2460</v>
      </c>
      <c r="D1809" s="17" t="str">
        <f>_xlfn.XLOOKUP(Raw_LIMS_Export!E1809,'mapping Site table'!$B$4:$B$14,'mapping Site table'!$C$4:$C$14,Raw_LIMS_Export!E1809)</f>
        <v>Dortmund DE</v>
      </c>
      <c r="E1809" s="17" t="s">
        <v>2479</v>
      </c>
      <c r="F1809" s="17">
        <f t="shared" si="85"/>
        <v>1</v>
      </c>
      <c r="G1809" s="17" t="str">
        <f t="shared" si="86"/>
        <v>Pass</v>
      </c>
      <c r="H1809" s="17" t="str">
        <f t="shared" si="84"/>
        <v>Fail</v>
      </c>
      <c r="I1809" s="17">
        <v>32.54</v>
      </c>
      <c r="J1809" s="17" t="s">
        <v>2486</v>
      </c>
      <c r="K1809" s="17">
        <v>0</v>
      </c>
      <c r="L1809" s="17">
        <v>120</v>
      </c>
      <c r="M1809" s="18">
        <f>Raw_LIMS_Export!K1809</f>
        <v>45524</v>
      </c>
      <c r="N1809" s="19" t="s">
        <v>2925</v>
      </c>
    </row>
    <row r="1810" spans="1:14" x14ac:dyDescent="0.35">
      <c r="A1810" s="16" t="s">
        <v>1806</v>
      </c>
      <c r="B1810" s="17" t="s">
        <v>2390</v>
      </c>
      <c r="C1810" s="17" t="s">
        <v>2459</v>
      </c>
      <c r="D1810" s="17" t="str">
        <f>_xlfn.XLOOKUP(Raw_LIMS_Export!E1810,'mapping Site table'!$B$4:$B$14,'mapping Site table'!$C$4:$C$14,Raw_LIMS_Export!E1810)</f>
        <v>Vernier CH</v>
      </c>
      <c r="E1810" s="17" t="s">
        <v>2481</v>
      </c>
      <c r="F1810" s="17">
        <f t="shared" si="85"/>
        <v>1</v>
      </c>
      <c r="G1810" s="17" t="str">
        <f t="shared" si="86"/>
        <v>Pass</v>
      </c>
      <c r="H1810" s="17" t="str">
        <f t="shared" si="84"/>
        <v>Pending</v>
      </c>
      <c r="I1810" s="17">
        <v>277.47000000000003</v>
      </c>
      <c r="J1810" s="17" t="s">
        <v>2488</v>
      </c>
      <c r="K1810" s="17">
        <v>150</v>
      </c>
      <c r="L1810" s="17">
        <v>400</v>
      </c>
      <c r="M1810" s="18">
        <f>Raw_LIMS_Export!K1810</f>
        <v>45571</v>
      </c>
      <c r="N1810" s="19" t="s">
        <v>2925</v>
      </c>
    </row>
    <row r="1811" spans="1:14" x14ac:dyDescent="0.35">
      <c r="A1811" s="16" t="s">
        <v>1807</v>
      </c>
      <c r="B1811" s="17" t="s">
        <v>2413</v>
      </c>
      <c r="C1811" s="17" t="s">
        <v>2458</v>
      </c>
      <c r="D1811" s="17" t="str">
        <f>_xlfn.XLOOKUP(Raw_LIMS_Export!E1811,'mapping Site table'!$B$4:$B$14,'mapping Site table'!$C$4:$C$14,Raw_LIMS_Export!E1811)</f>
        <v>Ashford UK</v>
      </c>
      <c r="E1811" s="17" t="s">
        <v>2485</v>
      </c>
      <c r="F1811" s="17">
        <f t="shared" si="85"/>
        <v>1</v>
      </c>
      <c r="G1811" s="17" t="str">
        <f t="shared" si="86"/>
        <v>Fail</v>
      </c>
      <c r="H1811" s="17" t="str">
        <f t="shared" si="84"/>
        <v>Fail</v>
      </c>
      <c r="I1811" s="17">
        <v>-11.08</v>
      </c>
      <c r="J1811" s="17" t="s">
        <v>2490</v>
      </c>
      <c r="K1811" s="17">
        <v>0</v>
      </c>
      <c r="L1811" s="17">
        <v>100</v>
      </c>
      <c r="M1811" s="18">
        <f>Raw_LIMS_Export!K1811</f>
        <v>45419</v>
      </c>
      <c r="N1811" s="19" t="s">
        <v>2928</v>
      </c>
    </row>
    <row r="1812" spans="1:14" x14ac:dyDescent="0.35">
      <c r="A1812" s="16" t="s">
        <v>1808</v>
      </c>
      <c r="B1812" s="17" t="s">
        <v>2366</v>
      </c>
      <c r="C1812" s="17" t="s">
        <v>2461</v>
      </c>
      <c r="D1812" s="17" t="str">
        <f>_xlfn.XLOOKUP(Raw_LIMS_Export!E1812,'mapping Site table'!$B$4:$B$14,'mapping Site table'!$C$4:$C$14,Raw_LIMS_Export!E1812)</f>
        <v>Budapest</v>
      </c>
      <c r="E1812" s="17" t="s">
        <v>2480</v>
      </c>
      <c r="F1812" s="17">
        <f t="shared" si="85"/>
        <v>1</v>
      </c>
      <c r="G1812" s="17" t="str">
        <f t="shared" si="86"/>
        <v>Pass</v>
      </c>
      <c r="H1812" s="17" t="str">
        <f t="shared" si="84"/>
        <v>Pass</v>
      </c>
      <c r="I1812" s="17">
        <v>0.89</v>
      </c>
      <c r="J1812" s="17" t="s">
        <v>2487</v>
      </c>
      <c r="K1812" s="17">
        <v>0.88</v>
      </c>
      <c r="L1812" s="17">
        <v>0.97</v>
      </c>
      <c r="M1812" s="18">
        <f>Raw_LIMS_Export!K1812</f>
        <v>45629</v>
      </c>
      <c r="N1812" s="19" t="s">
        <v>2930</v>
      </c>
    </row>
    <row r="1813" spans="1:14" x14ac:dyDescent="0.35">
      <c r="A1813" s="16" t="s">
        <v>1809</v>
      </c>
      <c r="B1813" s="17" t="s">
        <v>2403</v>
      </c>
      <c r="C1813" s="17" t="s">
        <v>2460</v>
      </c>
      <c r="D1813" s="17" t="str">
        <f>_xlfn.XLOOKUP(Raw_LIMS_Export!E1813,'mapping Site table'!$B$4:$B$14,'mapping Site table'!$C$4:$C$14,Raw_LIMS_Export!E1813)</f>
        <v>East Hanover</v>
      </c>
      <c r="E1813" s="17" t="s">
        <v>2479</v>
      </c>
      <c r="F1813" s="17">
        <f t="shared" si="85"/>
        <v>1</v>
      </c>
      <c r="G1813" s="17" t="str">
        <f t="shared" si="86"/>
        <v>Pass</v>
      </c>
      <c r="H1813" s="17" t="str">
        <f t="shared" si="84"/>
        <v>Pass</v>
      </c>
      <c r="I1813" s="17">
        <v>43.42</v>
      </c>
      <c r="J1813" s="17" t="s">
        <v>2486</v>
      </c>
      <c r="K1813" s="17">
        <v>0</v>
      </c>
      <c r="L1813" s="17">
        <v>120</v>
      </c>
      <c r="M1813" s="18">
        <f>Raw_LIMS_Export!K1813</f>
        <v>45567</v>
      </c>
      <c r="N1813" s="19" t="s">
        <v>2924</v>
      </c>
    </row>
    <row r="1814" spans="1:14" x14ac:dyDescent="0.35">
      <c r="A1814" s="16" t="s">
        <v>1810</v>
      </c>
      <c r="B1814" s="17" t="s">
        <v>2114</v>
      </c>
      <c r="C1814" s="17" t="s">
        <v>2460</v>
      </c>
      <c r="D1814" s="17" t="str">
        <f>_xlfn.XLOOKUP(Raw_LIMS_Export!E1814,'mapping Site table'!$B$4:$B$14,'mapping Site table'!$C$4:$C$14,Raw_LIMS_Export!E1814)</f>
        <v>East Hanover</v>
      </c>
      <c r="E1814" s="17" t="s">
        <v>2479</v>
      </c>
      <c r="F1814" s="17">
        <f t="shared" si="85"/>
        <v>1</v>
      </c>
      <c r="G1814" s="17" t="str">
        <f t="shared" si="86"/>
        <v>Pass</v>
      </c>
      <c r="H1814" s="17" t="str">
        <f t="shared" si="84"/>
        <v>Fail</v>
      </c>
      <c r="I1814" s="17">
        <v>63.23</v>
      </c>
      <c r="J1814" s="17" t="s">
        <v>2486</v>
      </c>
      <c r="K1814" s="17">
        <v>0</v>
      </c>
      <c r="L1814" s="17">
        <v>120</v>
      </c>
      <c r="M1814" s="18">
        <f>Raw_LIMS_Export!K1814</f>
        <v>45654</v>
      </c>
      <c r="N1814" s="19" t="s">
        <v>2931</v>
      </c>
    </row>
    <row r="1815" spans="1:14" x14ac:dyDescent="0.35">
      <c r="A1815" s="16" t="s">
        <v>1811</v>
      </c>
      <c r="B1815" s="17" t="s">
        <v>2022</v>
      </c>
      <c r="C1815" s="17" t="s">
        <v>2457</v>
      </c>
      <c r="D1815" s="17" t="str">
        <f>_xlfn.XLOOKUP(Raw_LIMS_Export!E1815,'mapping Site table'!$B$4:$B$14,'mapping Site table'!$C$4:$C$14,Raw_LIMS_Export!E1815)</f>
        <v>Vernier CH</v>
      </c>
      <c r="E1815" s="17" t="s">
        <v>2482</v>
      </c>
      <c r="F1815" s="17">
        <f t="shared" si="85"/>
        <v>1</v>
      </c>
      <c r="G1815" s="17" t="str">
        <f t="shared" si="86"/>
        <v>Pass</v>
      </c>
      <c r="H1815" s="17" t="str">
        <f t="shared" si="84"/>
        <v>Pending</v>
      </c>
      <c r="I1815" s="17">
        <v>98.89</v>
      </c>
      <c r="J1815" s="17" t="s">
        <v>2489</v>
      </c>
      <c r="K1815" s="17">
        <v>97</v>
      </c>
      <c r="L1815" s="17">
        <v>100</v>
      </c>
      <c r="M1815" s="18">
        <f>Raw_LIMS_Export!K1815</f>
        <v>45530</v>
      </c>
      <c r="N1815" s="19" t="s">
        <v>2928</v>
      </c>
    </row>
    <row r="1816" spans="1:14" x14ac:dyDescent="0.35">
      <c r="A1816" s="16" t="s">
        <v>1812</v>
      </c>
      <c r="B1816" s="17" t="s">
        <v>2175</v>
      </c>
      <c r="C1816" s="17" t="s">
        <v>2457</v>
      </c>
      <c r="D1816" s="17" t="str">
        <f>_xlfn.XLOOKUP(Raw_LIMS_Export!E1816,'mapping Site table'!$B$4:$B$14,'mapping Site table'!$C$4:$C$14,Raw_LIMS_Export!E1816)</f>
        <v>Ashford UK</v>
      </c>
      <c r="E1816" s="17" t="s">
        <v>2485</v>
      </c>
      <c r="F1816" s="17">
        <f t="shared" si="85"/>
        <v>1</v>
      </c>
      <c r="G1816" s="17" t="str">
        <f t="shared" si="86"/>
        <v>Pass</v>
      </c>
      <c r="H1816" s="17" t="str">
        <f t="shared" si="84"/>
        <v>Fail</v>
      </c>
      <c r="I1816" s="17">
        <v>17.82</v>
      </c>
      <c r="J1816" s="17" t="s">
        <v>2490</v>
      </c>
      <c r="K1816" s="17">
        <v>0</v>
      </c>
      <c r="L1816" s="17">
        <v>100</v>
      </c>
      <c r="M1816" s="18">
        <f>Raw_LIMS_Export!K1816</f>
        <v>45921</v>
      </c>
      <c r="N1816" s="19" t="s">
        <v>2931</v>
      </c>
    </row>
    <row r="1817" spans="1:14" x14ac:dyDescent="0.35">
      <c r="A1817" s="16" t="s">
        <v>1813</v>
      </c>
      <c r="B1817" s="17" t="s">
        <v>2301</v>
      </c>
      <c r="C1817" s="17" t="s">
        <v>2460</v>
      </c>
      <c r="D1817" s="17" t="str">
        <f>_xlfn.XLOOKUP(Raw_LIMS_Export!E1817,'mapping Site table'!$B$4:$B$14,'mapping Site table'!$C$4:$C$14,Raw_LIMS_Export!E1817)</f>
        <v>Vernier CH</v>
      </c>
      <c r="E1817" s="17" t="s">
        <v>2484</v>
      </c>
      <c r="F1817" s="17">
        <f t="shared" si="85"/>
        <v>1</v>
      </c>
      <c r="G1817" s="17" t="str">
        <f t="shared" si="86"/>
        <v>Pass</v>
      </c>
      <c r="H1817" s="17" t="str">
        <f t="shared" si="84"/>
        <v>Pass</v>
      </c>
      <c r="I1817" s="17">
        <v>7.46</v>
      </c>
      <c r="J1817" s="17"/>
      <c r="K1817" s="17">
        <v>6</v>
      </c>
      <c r="L1817" s="17">
        <v>7.5</v>
      </c>
      <c r="M1817" s="18">
        <f>Raw_LIMS_Export!K1817</f>
        <v>45595</v>
      </c>
      <c r="N1817" s="19" t="s">
        <v>2931</v>
      </c>
    </row>
    <row r="1818" spans="1:14" x14ac:dyDescent="0.35">
      <c r="A1818" s="16" t="s">
        <v>1814</v>
      </c>
      <c r="B1818" s="17" t="s">
        <v>2377</v>
      </c>
      <c r="C1818" s="17" t="s">
        <v>2460</v>
      </c>
      <c r="D1818" s="17" t="str">
        <f>_xlfn.XLOOKUP(Raw_LIMS_Export!E1818,'mapping Site table'!$B$4:$B$14,'mapping Site table'!$C$4:$C$14,Raw_LIMS_Export!E1818)</f>
        <v>Vernier CH</v>
      </c>
      <c r="E1818" s="17" t="s">
        <v>2479</v>
      </c>
      <c r="F1818" s="17">
        <f t="shared" si="85"/>
        <v>1</v>
      </c>
      <c r="G1818" s="17" t="str">
        <f t="shared" si="86"/>
        <v>Pass</v>
      </c>
      <c r="H1818" s="17" t="str">
        <f t="shared" si="84"/>
        <v>Fail</v>
      </c>
      <c r="I1818" s="17">
        <v>23.84</v>
      </c>
      <c r="J1818" s="17" t="s">
        <v>2486</v>
      </c>
      <c r="K1818" s="17">
        <v>0</v>
      </c>
      <c r="L1818" s="17">
        <v>120</v>
      </c>
      <c r="M1818" s="18">
        <f>Raw_LIMS_Export!K1818</f>
        <v>45398</v>
      </c>
      <c r="N1818" s="19" t="s">
        <v>2930</v>
      </c>
    </row>
    <row r="1819" spans="1:14" x14ac:dyDescent="0.35">
      <c r="A1819" s="16" t="s">
        <v>1815</v>
      </c>
      <c r="B1819" s="17" t="s">
        <v>2247</v>
      </c>
      <c r="C1819" s="17" t="s">
        <v>2461</v>
      </c>
      <c r="D1819" s="17" t="str">
        <f>_xlfn.XLOOKUP(Raw_LIMS_Export!E1819,'mapping Site table'!$B$4:$B$14,'mapping Site table'!$C$4:$C$14,Raw_LIMS_Export!E1819)</f>
        <v>Ashford UK</v>
      </c>
      <c r="E1819" s="17" t="s">
        <v>2484</v>
      </c>
      <c r="F1819" s="17">
        <f t="shared" si="85"/>
        <v>1</v>
      </c>
      <c r="G1819" s="17" t="str">
        <f t="shared" si="86"/>
        <v>Pass</v>
      </c>
      <c r="H1819" s="17" t="str">
        <f t="shared" si="84"/>
        <v>Fail</v>
      </c>
      <c r="I1819" s="17">
        <v>6.84</v>
      </c>
      <c r="J1819" s="17"/>
      <c r="K1819" s="17">
        <v>6</v>
      </c>
      <c r="L1819" s="17">
        <v>7.5</v>
      </c>
      <c r="M1819" s="18">
        <f>Raw_LIMS_Export!K1819</f>
        <v>45307</v>
      </c>
      <c r="N1819" s="19" t="s">
        <v>2929</v>
      </c>
    </row>
    <row r="1820" spans="1:14" x14ac:dyDescent="0.35">
      <c r="A1820" s="16" t="s">
        <v>1816</v>
      </c>
      <c r="B1820" s="17" t="s">
        <v>2266</v>
      </c>
      <c r="C1820" s="17" t="s">
        <v>2460</v>
      </c>
      <c r="D1820" s="17" t="str">
        <f>_xlfn.XLOOKUP(Raw_LIMS_Export!E1820,'mapping Site table'!$B$4:$B$14,'mapping Site table'!$C$4:$C$14,Raw_LIMS_Export!E1820)</f>
        <v>Ashford UK</v>
      </c>
      <c r="E1820" s="17" t="s">
        <v>2481</v>
      </c>
      <c r="F1820" s="17">
        <f t="shared" si="85"/>
        <v>1</v>
      </c>
      <c r="G1820" s="17" t="str">
        <f t="shared" si="86"/>
        <v>Pass</v>
      </c>
      <c r="H1820" s="17" t="str">
        <f t="shared" si="84"/>
        <v>Pass</v>
      </c>
      <c r="I1820" s="17">
        <v>303.14999999999998</v>
      </c>
      <c r="J1820" s="17" t="s">
        <v>2488</v>
      </c>
      <c r="K1820" s="17">
        <v>150</v>
      </c>
      <c r="L1820" s="17">
        <v>400</v>
      </c>
      <c r="M1820" s="18">
        <f>Raw_LIMS_Export!K1820</f>
        <v>45819</v>
      </c>
      <c r="N1820" s="19" t="s">
        <v>2927</v>
      </c>
    </row>
    <row r="1821" spans="1:14" x14ac:dyDescent="0.35">
      <c r="A1821" s="16" t="s">
        <v>1817</v>
      </c>
      <c r="B1821" s="17" t="s">
        <v>2224</v>
      </c>
      <c r="C1821" s="17" t="s">
        <v>2460</v>
      </c>
      <c r="D1821" s="17" t="str">
        <f>_xlfn.XLOOKUP(Raw_LIMS_Export!E1821,'mapping Site table'!$B$4:$B$14,'mapping Site table'!$C$4:$C$14,Raw_LIMS_Export!E1821)</f>
        <v>East Hanover</v>
      </c>
      <c r="E1821" s="17" t="s">
        <v>2483</v>
      </c>
      <c r="F1821" s="17">
        <f t="shared" si="85"/>
        <v>1</v>
      </c>
      <c r="G1821" s="17" t="str">
        <f t="shared" si="86"/>
        <v>Pass</v>
      </c>
      <c r="H1821" s="17" t="str">
        <f t="shared" si="84"/>
        <v>Pass</v>
      </c>
      <c r="I1821" s="17">
        <v>0.23</v>
      </c>
      <c r="J1821" s="17" t="s">
        <v>2489</v>
      </c>
      <c r="K1821" s="17">
        <v>0</v>
      </c>
      <c r="L1821" s="17">
        <v>1</v>
      </c>
      <c r="M1821" s="18">
        <f>Raw_LIMS_Export!K1821</f>
        <v>45831</v>
      </c>
      <c r="N1821" s="19" t="s">
        <v>2931</v>
      </c>
    </row>
    <row r="1822" spans="1:14" x14ac:dyDescent="0.35">
      <c r="A1822" s="16" t="s">
        <v>1818</v>
      </c>
      <c r="B1822" s="17" t="s">
        <v>2033</v>
      </c>
      <c r="C1822" s="17" t="s">
        <v>2459</v>
      </c>
      <c r="D1822" s="17" t="str">
        <f>_xlfn.XLOOKUP(Raw_LIMS_Export!E1822,'mapping Site table'!$B$4:$B$14,'mapping Site table'!$C$4:$C$14,Raw_LIMS_Export!E1822)</f>
        <v>East Hanover</v>
      </c>
      <c r="E1822" s="17" t="s">
        <v>2482</v>
      </c>
      <c r="F1822" s="17">
        <f t="shared" si="85"/>
        <v>1</v>
      </c>
      <c r="G1822" s="17" t="str">
        <f t="shared" si="86"/>
        <v>Pass</v>
      </c>
      <c r="H1822" s="17" t="str">
        <f t="shared" si="84"/>
        <v>Fail</v>
      </c>
      <c r="I1822" s="17">
        <v>98.4</v>
      </c>
      <c r="J1822" s="17" t="s">
        <v>2489</v>
      </c>
      <c r="K1822" s="17">
        <v>97</v>
      </c>
      <c r="L1822" s="17">
        <v>100</v>
      </c>
      <c r="M1822" s="18">
        <f>Raw_LIMS_Export!K1822</f>
        <v>45330</v>
      </c>
      <c r="N1822" s="19" t="s">
        <v>2923</v>
      </c>
    </row>
    <row r="1823" spans="1:14" x14ac:dyDescent="0.35">
      <c r="A1823" s="16" t="s">
        <v>1819</v>
      </c>
      <c r="B1823" s="17" t="s">
        <v>2414</v>
      </c>
      <c r="C1823" s="17" t="s">
        <v>2460</v>
      </c>
      <c r="D1823" s="17" t="str">
        <f>_xlfn.XLOOKUP(Raw_LIMS_Export!E1823,'mapping Site table'!$B$4:$B$14,'mapping Site table'!$C$4:$C$14,Raw_LIMS_Export!E1823)</f>
        <v>Ashford UK</v>
      </c>
      <c r="E1823" s="17" t="s">
        <v>2485</v>
      </c>
      <c r="F1823" s="17">
        <f t="shared" si="85"/>
        <v>1</v>
      </c>
      <c r="G1823" s="17" t="str">
        <f t="shared" si="86"/>
        <v>Pass</v>
      </c>
      <c r="H1823" s="17" t="str">
        <f t="shared" si="84"/>
        <v>Pass</v>
      </c>
      <c r="I1823" s="17">
        <v>19.63</v>
      </c>
      <c r="J1823" s="17" t="s">
        <v>2490</v>
      </c>
      <c r="K1823" s="17">
        <v>0</v>
      </c>
      <c r="L1823" s="17">
        <v>100</v>
      </c>
      <c r="M1823" s="18">
        <f>Raw_LIMS_Export!K1823</f>
        <v>45983</v>
      </c>
      <c r="N1823" s="19" t="s">
        <v>2927</v>
      </c>
    </row>
    <row r="1824" spans="1:14" x14ac:dyDescent="0.35">
      <c r="A1824" s="16" t="s">
        <v>1820</v>
      </c>
      <c r="B1824" s="17" t="s">
        <v>2327</v>
      </c>
      <c r="C1824" s="17" t="s">
        <v>2458</v>
      </c>
      <c r="D1824" s="17" t="str">
        <f>_xlfn.XLOOKUP(Raw_LIMS_Export!E1824,'mapping Site table'!$B$4:$B$14,'mapping Site table'!$C$4:$C$14,Raw_LIMS_Export!E1824)</f>
        <v>Budapest</v>
      </c>
      <c r="E1824" s="17" t="s">
        <v>2485</v>
      </c>
      <c r="F1824" s="17">
        <f t="shared" si="85"/>
        <v>1</v>
      </c>
      <c r="G1824" s="17" t="str">
        <f t="shared" si="86"/>
        <v>Pass</v>
      </c>
      <c r="H1824" s="17" t="str">
        <f t="shared" si="84"/>
        <v>Pass</v>
      </c>
      <c r="I1824" s="17">
        <v>50.25</v>
      </c>
      <c r="J1824" s="17" t="s">
        <v>2490</v>
      </c>
      <c r="K1824" s="17">
        <v>0</v>
      </c>
      <c r="L1824" s="17">
        <v>100</v>
      </c>
      <c r="M1824" s="18">
        <f>Raw_LIMS_Export!K1824</f>
        <v>45699</v>
      </c>
      <c r="N1824" s="19" t="s">
        <v>2924</v>
      </c>
    </row>
    <row r="1825" spans="1:14" x14ac:dyDescent="0.35">
      <c r="A1825" s="16" t="s">
        <v>1821</v>
      </c>
      <c r="B1825" s="17" t="s">
        <v>2285</v>
      </c>
      <c r="C1825" s="17" t="s">
        <v>2457</v>
      </c>
      <c r="D1825" s="17" t="str">
        <f>_xlfn.XLOOKUP(Raw_LIMS_Export!E1825,'mapping Site table'!$B$4:$B$14,'mapping Site table'!$C$4:$C$14,Raw_LIMS_Export!E1825)</f>
        <v>Vernier CH</v>
      </c>
      <c r="E1825" s="17" t="s">
        <v>2481</v>
      </c>
      <c r="F1825" s="17">
        <f t="shared" si="85"/>
        <v>1</v>
      </c>
      <c r="G1825" s="17" t="str">
        <f t="shared" si="86"/>
        <v>Pass</v>
      </c>
      <c r="H1825" s="17" t="str">
        <f t="shared" si="84"/>
        <v>Fail</v>
      </c>
      <c r="I1825" s="17">
        <v>228.76</v>
      </c>
      <c r="J1825" s="17" t="s">
        <v>2488</v>
      </c>
      <c r="K1825" s="17">
        <v>150</v>
      </c>
      <c r="L1825" s="17">
        <v>400</v>
      </c>
      <c r="M1825" s="18">
        <f>Raw_LIMS_Export!K1825</f>
        <v>45960</v>
      </c>
      <c r="N1825" s="19" t="s">
        <v>2923</v>
      </c>
    </row>
    <row r="1826" spans="1:14" x14ac:dyDescent="0.35">
      <c r="A1826" s="16" t="s">
        <v>1822</v>
      </c>
      <c r="B1826" s="17" t="s">
        <v>2442</v>
      </c>
      <c r="C1826" s="17" t="s">
        <v>2458</v>
      </c>
      <c r="D1826" s="17" t="str">
        <f>_xlfn.XLOOKUP(Raw_LIMS_Export!E1826,'mapping Site table'!$B$4:$B$14,'mapping Site table'!$C$4:$C$14,Raw_LIMS_Export!E1826)</f>
        <v>Vernier CH</v>
      </c>
      <c r="E1826" s="17" t="s">
        <v>2482</v>
      </c>
      <c r="F1826" s="17">
        <f t="shared" si="85"/>
        <v>1</v>
      </c>
      <c r="G1826" s="17" t="str">
        <f t="shared" si="86"/>
        <v>Pass</v>
      </c>
      <c r="H1826" s="17" t="str">
        <f t="shared" si="84"/>
        <v>Fail</v>
      </c>
      <c r="I1826" s="17">
        <v>99.17</v>
      </c>
      <c r="J1826" s="17" t="s">
        <v>2489</v>
      </c>
      <c r="K1826" s="17">
        <v>97</v>
      </c>
      <c r="L1826" s="17">
        <v>100</v>
      </c>
      <c r="M1826" s="18">
        <f>Raw_LIMS_Export!K1826</f>
        <v>45385</v>
      </c>
      <c r="N1826" s="19" t="s">
        <v>2930</v>
      </c>
    </row>
    <row r="1827" spans="1:14" x14ac:dyDescent="0.35">
      <c r="A1827" s="16" t="s">
        <v>1823</v>
      </c>
      <c r="B1827" s="17" t="s">
        <v>2098</v>
      </c>
      <c r="C1827" s="17" t="s">
        <v>2460</v>
      </c>
      <c r="D1827" s="17" t="str">
        <f>_xlfn.XLOOKUP(Raw_LIMS_Export!E1827,'mapping Site table'!$B$4:$B$14,'mapping Site table'!$C$4:$C$14,Raw_LIMS_Export!E1827)</f>
        <v>East Hanover</v>
      </c>
      <c r="E1827" s="17" t="s">
        <v>2479</v>
      </c>
      <c r="F1827" s="17">
        <f t="shared" si="85"/>
        <v>1</v>
      </c>
      <c r="G1827" s="17" t="str">
        <f t="shared" si="86"/>
        <v>Pass</v>
      </c>
      <c r="H1827" s="17" t="str">
        <f t="shared" si="84"/>
        <v>Pass</v>
      </c>
      <c r="I1827" s="17">
        <v>40.47</v>
      </c>
      <c r="J1827" s="17" t="s">
        <v>2486</v>
      </c>
      <c r="K1827" s="17">
        <v>0</v>
      </c>
      <c r="L1827" s="17">
        <v>120</v>
      </c>
      <c r="M1827" s="18">
        <f>Raw_LIMS_Export!K1827</f>
        <v>45460</v>
      </c>
      <c r="N1827" s="19" t="s">
        <v>2930</v>
      </c>
    </row>
    <row r="1828" spans="1:14" x14ac:dyDescent="0.35">
      <c r="A1828" s="16" t="s">
        <v>1824</v>
      </c>
      <c r="B1828" s="17" t="s">
        <v>2100</v>
      </c>
      <c r="C1828" s="17" t="s">
        <v>2461</v>
      </c>
      <c r="D1828" s="17" t="str">
        <f>_xlfn.XLOOKUP(Raw_LIMS_Export!E1828,'mapping Site table'!$B$4:$B$14,'mapping Site table'!$C$4:$C$14,Raw_LIMS_Export!E1828)</f>
        <v>Budapest</v>
      </c>
      <c r="E1828" s="17" t="s">
        <v>2480</v>
      </c>
      <c r="F1828" s="17">
        <f t="shared" si="85"/>
        <v>1</v>
      </c>
      <c r="G1828" s="17" t="str">
        <f t="shared" si="86"/>
        <v>Pass</v>
      </c>
      <c r="H1828" s="17" t="str">
        <f t="shared" si="84"/>
        <v>Pass</v>
      </c>
      <c r="I1828" s="17">
        <v>0.94</v>
      </c>
      <c r="J1828" s="17" t="s">
        <v>2487</v>
      </c>
      <c r="K1828" s="17">
        <v>0.88</v>
      </c>
      <c r="L1828" s="17">
        <v>0.97</v>
      </c>
      <c r="M1828" s="18">
        <f>Raw_LIMS_Export!K1828</f>
        <v>45413</v>
      </c>
      <c r="N1828" s="19" t="s">
        <v>2926</v>
      </c>
    </row>
    <row r="1829" spans="1:14" x14ac:dyDescent="0.35">
      <c r="A1829" s="16" t="s">
        <v>1825</v>
      </c>
      <c r="B1829" s="17" t="s">
        <v>2129</v>
      </c>
      <c r="C1829" s="17" t="s">
        <v>2461</v>
      </c>
      <c r="D1829" s="17" t="str">
        <f>_xlfn.XLOOKUP(Raw_LIMS_Export!E1829,'mapping Site table'!$B$4:$B$14,'mapping Site table'!$C$4:$C$14,Raw_LIMS_Export!E1829)</f>
        <v>Dortmund DE</v>
      </c>
      <c r="E1829" s="17" t="s">
        <v>2481</v>
      </c>
      <c r="F1829" s="17">
        <f t="shared" si="85"/>
        <v>1</v>
      </c>
      <c r="G1829" s="17" t="str">
        <f t="shared" si="86"/>
        <v>Pass</v>
      </c>
      <c r="H1829" s="17" t="str">
        <f t="shared" si="84"/>
        <v>Pass</v>
      </c>
      <c r="I1829" s="17">
        <v>260.33</v>
      </c>
      <c r="J1829" s="17" t="s">
        <v>2488</v>
      </c>
      <c r="K1829" s="17">
        <v>150</v>
      </c>
      <c r="L1829" s="17">
        <v>400</v>
      </c>
      <c r="M1829" s="18">
        <f>Raw_LIMS_Export!K1829</f>
        <v>45617</v>
      </c>
      <c r="N1829" s="19" t="s">
        <v>2924</v>
      </c>
    </row>
    <row r="1830" spans="1:14" x14ac:dyDescent="0.35">
      <c r="A1830" s="16" t="s">
        <v>1826</v>
      </c>
      <c r="B1830" s="17" t="s">
        <v>2224</v>
      </c>
      <c r="C1830" s="17" t="s">
        <v>2460</v>
      </c>
      <c r="D1830" s="17" t="str">
        <f>_xlfn.XLOOKUP(Raw_LIMS_Export!E1830,'mapping Site table'!$B$4:$B$14,'mapping Site table'!$C$4:$C$14,Raw_LIMS_Export!E1830)</f>
        <v>East Hanover</v>
      </c>
      <c r="E1830" s="17" t="s">
        <v>2479</v>
      </c>
      <c r="F1830" s="17">
        <f t="shared" si="85"/>
        <v>1</v>
      </c>
      <c r="G1830" s="17" t="str">
        <f t="shared" si="86"/>
        <v>Pass</v>
      </c>
      <c r="H1830" s="17" t="str">
        <f t="shared" si="84"/>
        <v>Pass</v>
      </c>
      <c r="I1830" s="17">
        <v>33.96</v>
      </c>
      <c r="J1830" s="17" t="s">
        <v>2486</v>
      </c>
      <c r="K1830" s="17">
        <v>0</v>
      </c>
      <c r="L1830" s="17">
        <v>120</v>
      </c>
      <c r="M1830" s="18">
        <f>Raw_LIMS_Export!K1830</f>
        <v>45831</v>
      </c>
      <c r="N1830" s="19" t="s">
        <v>2927</v>
      </c>
    </row>
    <row r="1831" spans="1:14" x14ac:dyDescent="0.35">
      <c r="A1831" s="16" t="s">
        <v>1827</v>
      </c>
      <c r="B1831" s="17" t="s">
        <v>2306</v>
      </c>
      <c r="C1831" s="17" t="s">
        <v>2461</v>
      </c>
      <c r="D1831" s="17" t="str">
        <f>_xlfn.XLOOKUP(Raw_LIMS_Export!E1831,'mapping Site table'!$B$4:$B$14,'mapping Site table'!$C$4:$C$14,Raw_LIMS_Export!E1831)</f>
        <v>Budapest</v>
      </c>
      <c r="E1831" s="17" t="s">
        <v>2484</v>
      </c>
      <c r="F1831" s="17">
        <f t="shared" si="85"/>
        <v>1</v>
      </c>
      <c r="G1831" s="17" t="str">
        <f t="shared" si="86"/>
        <v>Pass</v>
      </c>
      <c r="H1831" s="17" t="str">
        <f t="shared" si="84"/>
        <v>Pass</v>
      </c>
      <c r="I1831" s="17">
        <v>6.89</v>
      </c>
      <c r="J1831" s="17"/>
      <c r="K1831" s="17">
        <v>6</v>
      </c>
      <c r="L1831" s="17">
        <v>7.5</v>
      </c>
      <c r="M1831" s="18">
        <f>Raw_LIMS_Export!K1831</f>
        <v>45909</v>
      </c>
      <c r="N1831" s="19" t="s">
        <v>2927</v>
      </c>
    </row>
    <row r="1832" spans="1:14" x14ac:dyDescent="0.35">
      <c r="A1832" s="16" t="s">
        <v>1828</v>
      </c>
      <c r="B1832" s="17" t="s">
        <v>2174</v>
      </c>
      <c r="C1832" s="17" t="s">
        <v>2459</v>
      </c>
      <c r="D1832" s="17" t="str">
        <f>_xlfn.XLOOKUP(Raw_LIMS_Export!E1832,'mapping Site table'!$B$4:$B$14,'mapping Site table'!$C$4:$C$14,Raw_LIMS_Export!E1832)</f>
        <v>East Hanover</v>
      </c>
      <c r="E1832" s="17" t="s">
        <v>2484</v>
      </c>
      <c r="F1832" s="17">
        <f t="shared" si="85"/>
        <v>1</v>
      </c>
      <c r="G1832" s="17" t="str">
        <f t="shared" si="86"/>
        <v>Pass</v>
      </c>
      <c r="H1832" s="17" t="str">
        <f t="shared" si="84"/>
        <v>Pass</v>
      </c>
      <c r="I1832" s="17">
        <v>6.86</v>
      </c>
      <c r="J1832" s="17"/>
      <c r="K1832" s="17">
        <v>6</v>
      </c>
      <c r="L1832" s="17">
        <v>7.5</v>
      </c>
      <c r="M1832" s="18">
        <f>Raw_LIMS_Export!K1832</f>
        <v>45634</v>
      </c>
      <c r="N1832" s="19" t="s">
        <v>2928</v>
      </c>
    </row>
    <row r="1833" spans="1:14" x14ac:dyDescent="0.35">
      <c r="A1833" s="16" t="s">
        <v>1829</v>
      </c>
      <c r="B1833" s="17" t="s">
        <v>2455</v>
      </c>
      <c r="C1833" s="17" t="s">
        <v>2461</v>
      </c>
      <c r="D1833" s="17" t="str">
        <f>_xlfn.XLOOKUP(Raw_LIMS_Export!E1833,'mapping Site table'!$B$4:$B$14,'mapping Site table'!$C$4:$C$14,Raw_LIMS_Export!E1833)</f>
        <v>Vernier CH</v>
      </c>
      <c r="E1833" s="17" t="s">
        <v>2485</v>
      </c>
      <c r="F1833" s="17">
        <f t="shared" si="85"/>
        <v>1</v>
      </c>
      <c r="G1833" s="17" t="str">
        <f t="shared" si="86"/>
        <v>Pass</v>
      </c>
      <c r="H1833" s="17" t="str">
        <f t="shared" si="84"/>
        <v>Pass</v>
      </c>
      <c r="I1833" s="17">
        <v>32.6</v>
      </c>
      <c r="J1833" s="17" t="s">
        <v>2490</v>
      </c>
      <c r="K1833" s="17">
        <v>0</v>
      </c>
      <c r="L1833" s="17">
        <v>100</v>
      </c>
      <c r="M1833" s="18">
        <f>Raw_LIMS_Export!K1833</f>
        <v>45988</v>
      </c>
      <c r="N1833" s="19" t="s">
        <v>2927</v>
      </c>
    </row>
    <row r="1834" spans="1:14" x14ac:dyDescent="0.35">
      <c r="A1834" s="16" t="s">
        <v>1830</v>
      </c>
      <c r="B1834" s="17" t="s">
        <v>2274</v>
      </c>
      <c r="C1834" s="17" t="s">
        <v>2458</v>
      </c>
      <c r="D1834" s="17" t="str">
        <f>_xlfn.XLOOKUP(Raw_LIMS_Export!E1834,'mapping Site table'!$B$4:$B$14,'mapping Site table'!$C$4:$C$14,Raw_LIMS_Export!E1834)</f>
        <v>East Hanover</v>
      </c>
      <c r="E1834" s="17" t="s">
        <v>2479</v>
      </c>
      <c r="F1834" s="17">
        <f t="shared" si="85"/>
        <v>1</v>
      </c>
      <c r="G1834" s="17" t="str">
        <f t="shared" si="86"/>
        <v>Pass</v>
      </c>
      <c r="H1834" s="17" t="str">
        <f t="shared" si="84"/>
        <v>Pass</v>
      </c>
      <c r="I1834" s="17">
        <v>100.35</v>
      </c>
      <c r="J1834" s="17" t="s">
        <v>2486</v>
      </c>
      <c r="K1834" s="17">
        <v>0</v>
      </c>
      <c r="L1834" s="17">
        <v>120</v>
      </c>
      <c r="M1834" s="18">
        <f>Raw_LIMS_Export!K1834</f>
        <v>45910</v>
      </c>
      <c r="N1834" s="19" t="s">
        <v>2926</v>
      </c>
    </row>
    <row r="1835" spans="1:14" x14ac:dyDescent="0.35">
      <c r="A1835" s="16" t="s">
        <v>1831</v>
      </c>
      <c r="B1835" s="17" t="s">
        <v>2176</v>
      </c>
      <c r="C1835" s="17" t="s">
        <v>2461</v>
      </c>
      <c r="D1835" s="17" t="str">
        <f>_xlfn.XLOOKUP(Raw_LIMS_Export!E1835,'mapping Site table'!$B$4:$B$14,'mapping Site table'!$C$4:$C$14,Raw_LIMS_Export!E1835)</f>
        <v>Dortmund DE</v>
      </c>
      <c r="E1835" s="17" t="s">
        <v>2482</v>
      </c>
      <c r="F1835" s="17">
        <f t="shared" si="85"/>
        <v>1</v>
      </c>
      <c r="G1835" s="17" t="str">
        <f t="shared" si="86"/>
        <v>Pass</v>
      </c>
      <c r="H1835" s="17" t="str">
        <f t="shared" si="84"/>
        <v>Pass</v>
      </c>
      <c r="I1835" s="17">
        <v>98.89</v>
      </c>
      <c r="J1835" s="17" t="s">
        <v>2489</v>
      </c>
      <c r="K1835" s="17">
        <v>97</v>
      </c>
      <c r="L1835" s="17">
        <v>100</v>
      </c>
      <c r="M1835" s="18">
        <f>Raw_LIMS_Export!K1835</f>
        <v>45312</v>
      </c>
      <c r="N1835" s="19" t="s">
        <v>2929</v>
      </c>
    </row>
    <row r="1836" spans="1:14" x14ac:dyDescent="0.35">
      <c r="A1836" s="16" t="s">
        <v>1832</v>
      </c>
      <c r="B1836" s="17" t="s">
        <v>2196</v>
      </c>
      <c r="C1836" s="17" t="s">
        <v>2457</v>
      </c>
      <c r="D1836" s="17" t="str">
        <f>_xlfn.XLOOKUP(Raw_LIMS_Export!E1836,'mapping Site table'!$B$4:$B$14,'mapping Site table'!$C$4:$C$14,Raw_LIMS_Export!E1836)</f>
        <v>Vernier CH</v>
      </c>
      <c r="E1836" s="17" t="s">
        <v>2483</v>
      </c>
      <c r="F1836" s="17">
        <f t="shared" si="85"/>
        <v>1</v>
      </c>
      <c r="G1836" s="17" t="str">
        <f t="shared" si="86"/>
        <v>Pass</v>
      </c>
      <c r="H1836" s="17" t="str">
        <f t="shared" si="84"/>
        <v>Pass</v>
      </c>
      <c r="I1836" s="17">
        <v>0.35</v>
      </c>
      <c r="J1836" s="17" t="s">
        <v>2489</v>
      </c>
      <c r="K1836" s="17">
        <v>0</v>
      </c>
      <c r="L1836" s="17">
        <v>1</v>
      </c>
      <c r="M1836" s="18">
        <f>Raw_LIMS_Export!K1836</f>
        <v>45740</v>
      </c>
      <c r="N1836" s="19" t="s">
        <v>2928</v>
      </c>
    </row>
    <row r="1837" spans="1:14" x14ac:dyDescent="0.35">
      <c r="A1837" s="16" t="s">
        <v>1833</v>
      </c>
      <c r="B1837" s="17" t="s">
        <v>2145</v>
      </c>
      <c r="C1837" s="17" t="s">
        <v>2458</v>
      </c>
      <c r="D1837" s="17" t="str">
        <f>_xlfn.XLOOKUP(Raw_LIMS_Export!E1837,'mapping Site table'!$B$4:$B$14,'mapping Site table'!$C$4:$C$14,Raw_LIMS_Export!E1837)</f>
        <v>Budapest</v>
      </c>
      <c r="E1837" s="17" t="s">
        <v>2480</v>
      </c>
      <c r="F1837" s="17">
        <f t="shared" si="85"/>
        <v>1</v>
      </c>
      <c r="G1837" s="17" t="str">
        <f t="shared" si="86"/>
        <v>Pass</v>
      </c>
      <c r="H1837" s="17" t="str">
        <f t="shared" si="84"/>
        <v>Pending</v>
      </c>
      <c r="I1837" s="17">
        <v>0.92</v>
      </c>
      <c r="J1837" s="17" t="s">
        <v>2487</v>
      </c>
      <c r="K1837" s="17">
        <v>0.88</v>
      </c>
      <c r="L1837" s="17">
        <v>0.97</v>
      </c>
      <c r="M1837" s="18">
        <f>Raw_LIMS_Export!K1837</f>
        <v>45819</v>
      </c>
      <c r="N1837" s="19" t="s">
        <v>2927</v>
      </c>
    </row>
    <row r="1838" spans="1:14" x14ac:dyDescent="0.35">
      <c r="A1838" s="16" t="s">
        <v>1834</v>
      </c>
      <c r="B1838" s="17" t="s">
        <v>2283</v>
      </c>
      <c r="C1838" s="17" t="s">
        <v>2461</v>
      </c>
      <c r="D1838" s="17" t="str">
        <f>_xlfn.XLOOKUP(Raw_LIMS_Export!E1838,'mapping Site table'!$B$4:$B$14,'mapping Site table'!$C$4:$C$14,Raw_LIMS_Export!E1838)</f>
        <v>Vernier CH</v>
      </c>
      <c r="E1838" s="17" t="s">
        <v>2484</v>
      </c>
      <c r="F1838" s="17">
        <f t="shared" si="85"/>
        <v>0</v>
      </c>
      <c r="G1838" s="17" t="str">
        <f t="shared" si="86"/>
        <v>Missing</v>
      </c>
      <c r="H1838" s="17" t="str">
        <f t="shared" si="84"/>
        <v>Pending</v>
      </c>
      <c r="I1838" s="17"/>
      <c r="J1838" s="17"/>
      <c r="K1838" s="17">
        <v>6</v>
      </c>
      <c r="L1838" s="17">
        <v>7.5</v>
      </c>
      <c r="M1838" s="18">
        <f>Raw_LIMS_Export!K1838</f>
        <v>45487</v>
      </c>
      <c r="N1838" s="19" t="s">
        <v>2930</v>
      </c>
    </row>
    <row r="1839" spans="1:14" x14ac:dyDescent="0.35">
      <c r="A1839" s="16" t="s">
        <v>1835</v>
      </c>
      <c r="B1839" s="17" t="s">
        <v>2177</v>
      </c>
      <c r="C1839" s="17" t="s">
        <v>2457</v>
      </c>
      <c r="D1839" s="17" t="str">
        <f>_xlfn.XLOOKUP(Raw_LIMS_Export!E1839,'mapping Site table'!$B$4:$B$14,'mapping Site table'!$C$4:$C$14,Raw_LIMS_Export!E1839)</f>
        <v>Vernier CH</v>
      </c>
      <c r="E1839" s="17" t="s">
        <v>2485</v>
      </c>
      <c r="F1839" s="17">
        <f t="shared" si="85"/>
        <v>1</v>
      </c>
      <c r="G1839" s="17" t="str">
        <f t="shared" si="86"/>
        <v>Fail</v>
      </c>
      <c r="H1839" s="17" t="str">
        <f t="shared" si="84"/>
        <v>Fail</v>
      </c>
      <c r="I1839" s="17">
        <v>-11.85</v>
      </c>
      <c r="J1839" s="17" t="s">
        <v>2490</v>
      </c>
      <c r="K1839" s="17">
        <v>0</v>
      </c>
      <c r="L1839" s="17">
        <v>100</v>
      </c>
      <c r="M1839" s="18">
        <f>Raw_LIMS_Export!K1839</f>
        <v>45520</v>
      </c>
      <c r="N1839" s="19" t="s">
        <v>2923</v>
      </c>
    </row>
    <row r="1840" spans="1:14" x14ac:dyDescent="0.35">
      <c r="A1840" s="16" t="s">
        <v>1836</v>
      </c>
      <c r="B1840" s="17" t="s">
        <v>2028</v>
      </c>
      <c r="C1840" s="17" t="s">
        <v>2459</v>
      </c>
      <c r="D1840" s="17" t="str">
        <f>_xlfn.XLOOKUP(Raw_LIMS_Export!E1840,'mapping Site table'!$B$4:$B$14,'mapping Site table'!$C$4:$C$14,Raw_LIMS_Export!E1840)</f>
        <v>Dortmund DE</v>
      </c>
      <c r="E1840" s="17" t="s">
        <v>2483</v>
      </c>
      <c r="F1840" s="17">
        <f t="shared" si="85"/>
        <v>1</v>
      </c>
      <c r="G1840" s="17" t="str">
        <f t="shared" si="86"/>
        <v>Pass</v>
      </c>
      <c r="H1840" s="17" t="str">
        <f t="shared" si="84"/>
        <v>Pass</v>
      </c>
      <c r="I1840" s="17">
        <v>0.11</v>
      </c>
      <c r="J1840" s="17" t="s">
        <v>2489</v>
      </c>
      <c r="K1840" s="17">
        <v>0</v>
      </c>
      <c r="L1840" s="17">
        <v>1</v>
      </c>
      <c r="M1840" s="18">
        <f>Raw_LIMS_Export!K1840</f>
        <v>45654</v>
      </c>
      <c r="N1840" s="19" t="s">
        <v>2929</v>
      </c>
    </row>
    <row r="1841" spans="1:14" x14ac:dyDescent="0.35">
      <c r="A1841" s="16" t="s">
        <v>1837</v>
      </c>
      <c r="B1841" s="17" t="s">
        <v>2315</v>
      </c>
      <c r="C1841" s="17" t="s">
        <v>2460</v>
      </c>
      <c r="D1841" s="17" t="str">
        <f>_xlfn.XLOOKUP(Raw_LIMS_Export!E1841,'mapping Site table'!$B$4:$B$14,'mapping Site table'!$C$4:$C$14,Raw_LIMS_Export!E1841)</f>
        <v>Vernier CH</v>
      </c>
      <c r="E1841" s="17" t="s">
        <v>2482</v>
      </c>
      <c r="F1841" s="17">
        <f t="shared" si="85"/>
        <v>1</v>
      </c>
      <c r="G1841" s="17" t="str">
        <f t="shared" si="86"/>
        <v>Pass</v>
      </c>
      <c r="H1841" s="17" t="str">
        <f t="shared" si="84"/>
        <v>Pass</v>
      </c>
      <c r="I1841" s="17">
        <v>98.26</v>
      </c>
      <c r="J1841" s="17" t="s">
        <v>2489</v>
      </c>
      <c r="K1841" s="17">
        <v>97</v>
      </c>
      <c r="L1841" s="17">
        <v>100</v>
      </c>
      <c r="M1841" s="18">
        <f>Raw_LIMS_Export!K1841</f>
        <v>46011</v>
      </c>
      <c r="N1841" s="19" t="s">
        <v>2927</v>
      </c>
    </row>
    <row r="1842" spans="1:14" x14ac:dyDescent="0.35">
      <c r="A1842" s="16" t="s">
        <v>1838</v>
      </c>
      <c r="B1842" s="17" t="s">
        <v>2157</v>
      </c>
      <c r="C1842" s="17" t="s">
        <v>2458</v>
      </c>
      <c r="D1842" s="17" t="str">
        <f>_xlfn.XLOOKUP(Raw_LIMS_Export!E1842,'mapping Site table'!$B$4:$B$14,'mapping Site table'!$C$4:$C$14,Raw_LIMS_Export!E1842)</f>
        <v>Budapest</v>
      </c>
      <c r="E1842" s="17" t="s">
        <v>2479</v>
      </c>
      <c r="F1842" s="17">
        <f t="shared" si="85"/>
        <v>1</v>
      </c>
      <c r="G1842" s="17" t="str">
        <f t="shared" si="86"/>
        <v>Fail</v>
      </c>
      <c r="H1842" s="17" t="str">
        <f t="shared" si="84"/>
        <v>Fail</v>
      </c>
      <c r="I1842" s="17">
        <v>-60</v>
      </c>
      <c r="J1842" s="17" t="s">
        <v>2486</v>
      </c>
      <c r="K1842" s="17">
        <v>0</v>
      </c>
      <c r="L1842" s="17">
        <v>120</v>
      </c>
      <c r="M1842" s="18">
        <f>Raw_LIMS_Export!K1842</f>
        <v>45595</v>
      </c>
      <c r="N1842" s="19" t="s">
        <v>2927</v>
      </c>
    </row>
    <row r="1843" spans="1:14" x14ac:dyDescent="0.35">
      <c r="A1843" s="16" t="s">
        <v>1839</v>
      </c>
      <c r="B1843" s="17" t="s">
        <v>2423</v>
      </c>
      <c r="C1843" s="17" t="s">
        <v>2461</v>
      </c>
      <c r="D1843" s="17" t="str">
        <f>_xlfn.XLOOKUP(Raw_LIMS_Export!E1843,'mapping Site table'!$B$4:$B$14,'mapping Site table'!$C$4:$C$14,Raw_LIMS_Export!E1843)</f>
        <v>East Hanover</v>
      </c>
      <c r="E1843" s="17" t="s">
        <v>2485</v>
      </c>
      <c r="F1843" s="17">
        <f t="shared" si="85"/>
        <v>1</v>
      </c>
      <c r="G1843" s="17" t="str">
        <f t="shared" si="86"/>
        <v>Pass</v>
      </c>
      <c r="H1843" s="17" t="str">
        <f t="shared" si="84"/>
        <v>Pass</v>
      </c>
      <c r="I1843" s="17">
        <v>34.74</v>
      </c>
      <c r="J1843" s="17" t="s">
        <v>2490</v>
      </c>
      <c r="K1843" s="17">
        <v>0</v>
      </c>
      <c r="L1843" s="17">
        <v>100</v>
      </c>
      <c r="M1843" s="18">
        <f>Raw_LIMS_Export!K1843</f>
        <v>45916</v>
      </c>
      <c r="N1843" s="19" t="s">
        <v>2924</v>
      </c>
    </row>
    <row r="1844" spans="1:14" x14ac:dyDescent="0.35">
      <c r="A1844" s="16" t="s">
        <v>1840</v>
      </c>
      <c r="B1844" s="17" t="s">
        <v>2165</v>
      </c>
      <c r="C1844" s="17" t="s">
        <v>2458</v>
      </c>
      <c r="D1844" s="17" t="str">
        <f>_xlfn.XLOOKUP(Raw_LIMS_Export!E1844,'mapping Site table'!$B$4:$B$14,'mapping Site table'!$C$4:$C$14,Raw_LIMS_Export!E1844)</f>
        <v>Budapest</v>
      </c>
      <c r="E1844" s="17" t="s">
        <v>2482</v>
      </c>
      <c r="F1844" s="17">
        <f t="shared" si="85"/>
        <v>1</v>
      </c>
      <c r="G1844" s="17" t="str">
        <f t="shared" si="86"/>
        <v>Pass</v>
      </c>
      <c r="H1844" s="17" t="str">
        <f t="shared" si="84"/>
        <v>Pass</v>
      </c>
      <c r="I1844" s="17">
        <v>98.64</v>
      </c>
      <c r="J1844" s="17" t="s">
        <v>2489</v>
      </c>
      <c r="K1844" s="17">
        <v>97</v>
      </c>
      <c r="L1844" s="17">
        <v>100</v>
      </c>
      <c r="M1844" s="18">
        <f>Raw_LIMS_Export!K1844</f>
        <v>45886</v>
      </c>
      <c r="N1844" s="19" t="s">
        <v>2932</v>
      </c>
    </row>
    <row r="1845" spans="1:14" x14ac:dyDescent="0.35">
      <c r="A1845" s="16" t="s">
        <v>1841</v>
      </c>
      <c r="B1845" s="17" t="s">
        <v>2038</v>
      </c>
      <c r="C1845" s="17" t="s">
        <v>2457</v>
      </c>
      <c r="D1845" s="17" t="str">
        <f>_xlfn.XLOOKUP(Raw_LIMS_Export!E1845,'mapping Site table'!$B$4:$B$14,'mapping Site table'!$C$4:$C$14,Raw_LIMS_Export!E1845)</f>
        <v>East Hanover</v>
      </c>
      <c r="E1845" s="17" t="s">
        <v>2483</v>
      </c>
      <c r="F1845" s="17">
        <f t="shared" si="85"/>
        <v>1</v>
      </c>
      <c r="G1845" s="17" t="str">
        <f t="shared" si="86"/>
        <v>Pass</v>
      </c>
      <c r="H1845" s="17" t="str">
        <f t="shared" si="84"/>
        <v>Pass</v>
      </c>
      <c r="I1845" s="17">
        <v>0.64</v>
      </c>
      <c r="J1845" s="17" t="s">
        <v>2489</v>
      </c>
      <c r="K1845" s="17">
        <v>0</v>
      </c>
      <c r="L1845" s="17">
        <v>1</v>
      </c>
      <c r="M1845" s="18">
        <f>Raw_LIMS_Export!K1845</f>
        <v>45374</v>
      </c>
      <c r="N1845" s="19" t="s">
        <v>2930</v>
      </c>
    </row>
    <row r="1846" spans="1:14" x14ac:dyDescent="0.35">
      <c r="A1846" s="16" t="s">
        <v>1842</v>
      </c>
      <c r="B1846" s="17" t="s">
        <v>2154</v>
      </c>
      <c r="C1846" s="17" t="s">
        <v>2461</v>
      </c>
      <c r="D1846" s="17" t="str">
        <f>_xlfn.XLOOKUP(Raw_LIMS_Export!E1846,'mapping Site table'!$B$4:$B$14,'mapping Site table'!$C$4:$C$14,Raw_LIMS_Export!E1846)</f>
        <v>Budapest</v>
      </c>
      <c r="E1846" s="17" t="s">
        <v>2479</v>
      </c>
      <c r="F1846" s="17">
        <f t="shared" si="85"/>
        <v>1</v>
      </c>
      <c r="G1846" s="17" t="str">
        <f t="shared" si="86"/>
        <v>Fail</v>
      </c>
      <c r="H1846" s="17" t="str">
        <f t="shared" si="84"/>
        <v>Fail</v>
      </c>
      <c r="I1846" s="17">
        <v>180</v>
      </c>
      <c r="J1846" s="17" t="s">
        <v>2486</v>
      </c>
      <c r="K1846" s="17">
        <v>0</v>
      </c>
      <c r="L1846" s="17">
        <v>120</v>
      </c>
      <c r="M1846" s="18">
        <f>Raw_LIMS_Export!K1846</f>
        <v>45349</v>
      </c>
      <c r="N1846" s="19" t="s">
        <v>2926</v>
      </c>
    </row>
    <row r="1847" spans="1:14" x14ac:dyDescent="0.35">
      <c r="A1847" s="16" t="s">
        <v>1843</v>
      </c>
      <c r="B1847" s="17" t="s">
        <v>2361</v>
      </c>
      <c r="C1847" s="17" t="s">
        <v>2461</v>
      </c>
      <c r="D1847" s="17" t="str">
        <f>_xlfn.XLOOKUP(Raw_LIMS_Export!E1847,'mapping Site table'!$B$4:$B$14,'mapping Site table'!$C$4:$C$14,Raw_LIMS_Export!E1847)</f>
        <v>Budapest</v>
      </c>
      <c r="E1847" s="17" t="s">
        <v>2480</v>
      </c>
      <c r="F1847" s="17">
        <f t="shared" si="85"/>
        <v>1</v>
      </c>
      <c r="G1847" s="17" t="str">
        <f t="shared" si="86"/>
        <v>Pass</v>
      </c>
      <c r="H1847" s="17" t="str">
        <f t="shared" si="84"/>
        <v>Pass</v>
      </c>
      <c r="I1847" s="17">
        <v>0.93</v>
      </c>
      <c r="J1847" s="17" t="s">
        <v>2487</v>
      </c>
      <c r="K1847" s="17">
        <v>0.88</v>
      </c>
      <c r="L1847" s="17">
        <v>0.97</v>
      </c>
      <c r="M1847" s="18">
        <f>Raw_LIMS_Export!K1847</f>
        <v>45779</v>
      </c>
      <c r="N1847" s="19" t="s">
        <v>2929</v>
      </c>
    </row>
    <row r="1848" spans="1:14" x14ac:dyDescent="0.35">
      <c r="A1848" s="16" t="s">
        <v>1844</v>
      </c>
      <c r="B1848" s="17" t="s">
        <v>2406</v>
      </c>
      <c r="C1848" s="17" t="s">
        <v>2459</v>
      </c>
      <c r="D1848" s="17" t="str">
        <f>_xlfn.XLOOKUP(Raw_LIMS_Export!E1848,'mapping Site table'!$B$4:$B$14,'mapping Site table'!$C$4:$C$14,Raw_LIMS_Export!E1848)</f>
        <v>Vernier CH</v>
      </c>
      <c r="E1848" s="17" t="s">
        <v>2479</v>
      </c>
      <c r="F1848" s="17">
        <f t="shared" si="85"/>
        <v>1</v>
      </c>
      <c r="G1848" s="17" t="str">
        <f t="shared" si="86"/>
        <v>Pass</v>
      </c>
      <c r="H1848" s="17" t="str">
        <f t="shared" si="84"/>
        <v>Pass</v>
      </c>
      <c r="I1848" s="17">
        <v>35.520000000000003</v>
      </c>
      <c r="J1848" s="17" t="s">
        <v>2486</v>
      </c>
      <c r="K1848" s="17">
        <v>0</v>
      </c>
      <c r="L1848" s="17">
        <v>120</v>
      </c>
      <c r="M1848" s="18">
        <f>Raw_LIMS_Export!K1848</f>
        <v>45345</v>
      </c>
      <c r="N1848" s="19" t="s">
        <v>2931</v>
      </c>
    </row>
    <row r="1849" spans="1:14" x14ac:dyDescent="0.35">
      <c r="A1849" s="16" t="s">
        <v>1845</v>
      </c>
      <c r="B1849" s="17" t="s">
        <v>2055</v>
      </c>
      <c r="C1849" s="17" t="s">
        <v>2461</v>
      </c>
      <c r="D1849" s="17" t="str">
        <f>_xlfn.XLOOKUP(Raw_LIMS_Export!E1849,'mapping Site table'!$B$4:$B$14,'mapping Site table'!$C$4:$C$14,Raw_LIMS_Export!E1849)</f>
        <v>Budapest</v>
      </c>
      <c r="E1849" s="17" t="s">
        <v>2484</v>
      </c>
      <c r="F1849" s="17">
        <f t="shared" si="85"/>
        <v>1</v>
      </c>
      <c r="G1849" s="17" t="str">
        <f t="shared" si="86"/>
        <v>Pass</v>
      </c>
      <c r="H1849" s="17" t="str">
        <f t="shared" si="84"/>
        <v>Pass</v>
      </c>
      <c r="I1849" s="17">
        <v>7.26</v>
      </c>
      <c r="J1849" s="17"/>
      <c r="K1849" s="17">
        <v>6</v>
      </c>
      <c r="L1849" s="17">
        <v>7.5</v>
      </c>
      <c r="M1849" s="18">
        <f>Raw_LIMS_Export!K1849</f>
        <v>46020</v>
      </c>
      <c r="N1849" s="19" t="s">
        <v>2931</v>
      </c>
    </row>
    <row r="1850" spans="1:14" x14ac:dyDescent="0.35">
      <c r="A1850" s="16" t="s">
        <v>1846</v>
      </c>
      <c r="B1850" s="17" t="s">
        <v>2121</v>
      </c>
      <c r="C1850" s="17" t="s">
        <v>2457</v>
      </c>
      <c r="D1850" s="17" t="str">
        <f>_xlfn.XLOOKUP(Raw_LIMS_Export!E1850,'mapping Site table'!$B$4:$B$14,'mapping Site table'!$C$4:$C$14,Raw_LIMS_Export!E1850)</f>
        <v>East Hanover</v>
      </c>
      <c r="E1850" s="17" t="s">
        <v>2484</v>
      </c>
      <c r="F1850" s="17">
        <f t="shared" si="85"/>
        <v>1</v>
      </c>
      <c r="G1850" s="17" t="str">
        <f t="shared" si="86"/>
        <v>Pass</v>
      </c>
      <c r="H1850" s="17" t="str">
        <f t="shared" si="84"/>
        <v>Fail</v>
      </c>
      <c r="I1850" s="17">
        <v>6.97</v>
      </c>
      <c r="J1850" s="17"/>
      <c r="K1850" s="17">
        <v>6</v>
      </c>
      <c r="L1850" s="17">
        <v>7.5</v>
      </c>
      <c r="M1850" s="18">
        <f>Raw_LIMS_Export!K1850</f>
        <v>45690</v>
      </c>
      <c r="N1850" s="19" t="s">
        <v>2931</v>
      </c>
    </row>
    <row r="1851" spans="1:14" x14ac:dyDescent="0.35">
      <c r="A1851" s="16" t="s">
        <v>1847</v>
      </c>
      <c r="B1851" s="17" t="s">
        <v>2013</v>
      </c>
      <c r="C1851" s="17" t="s">
        <v>2457</v>
      </c>
      <c r="D1851" s="17" t="str">
        <f>_xlfn.XLOOKUP(Raw_LIMS_Export!E1851,'mapping Site table'!$B$4:$B$14,'mapping Site table'!$C$4:$C$14,Raw_LIMS_Export!E1851)</f>
        <v>East Hanover</v>
      </c>
      <c r="E1851" s="17" t="s">
        <v>2484</v>
      </c>
      <c r="F1851" s="17">
        <f t="shared" si="85"/>
        <v>1</v>
      </c>
      <c r="G1851" s="17" t="str">
        <f t="shared" si="86"/>
        <v>Pass</v>
      </c>
      <c r="H1851" s="17" t="str">
        <f t="shared" si="84"/>
        <v>Pass</v>
      </c>
      <c r="I1851" s="17">
        <v>6.31</v>
      </c>
      <c r="J1851" s="17"/>
      <c r="K1851" s="17">
        <v>6</v>
      </c>
      <c r="L1851" s="17">
        <v>7.5</v>
      </c>
      <c r="M1851" s="18">
        <f>Raw_LIMS_Export!K1851</f>
        <v>45924</v>
      </c>
      <c r="N1851" s="19" t="s">
        <v>2925</v>
      </c>
    </row>
    <row r="1852" spans="1:14" x14ac:dyDescent="0.35">
      <c r="A1852" s="16" t="s">
        <v>1848</v>
      </c>
      <c r="B1852" s="17" t="s">
        <v>2169</v>
      </c>
      <c r="C1852" s="17" t="s">
        <v>2458</v>
      </c>
      <c r="D1852" s="17" t="str">
        <f>_xlfn.XLOOKUP(Raw_LIMS_Export!E1852,'mapping Site table'!$B$4:$B$14,'mapping Site table'!$C$4:$C$14,Raw_LIMS_Export!E1852)</f>
        <v>Vernier CH</v>
      </c>
      <c r="E1852" s="17" t="s">
        <v>2484</v>
      </c>
      <c r="F1852" s="17">
        <f t="shared" si="85"/>
        <v>1</v>
      </c>
      <c r="G1852" s="17" t="str">
        <f t="shared" si="86"/>
        <v>Pass</v>
      </c>
      <c r="H1852" s="17" t="str">
        <f t="shared" si="84"/>
        <v>Pass</v>
      </c>
      <c r="I1852" s="17">
        <v>6.64</v>
      </c>
      <c r="J1852" s="17"/>
      <c r="K1852" s="17">
        <v>6</v>
      </c>
      <c r="L1852" s="17">
        <v>7.5</v>
      </c>
      <c r="M1852" s="18">
        <f>Raw_LIMS_Export!K1852</f>
        <v>45571</v>
      </c>
      <c r="N1852" s="19" t="s">
        <v>2924</v>
      </c>
    </row>
    <row r="1853" spans="1:14" x14ac:dyDescent="0.35">
      <c r="A1853" s="16" t="s">
        <v>1849</v>
      </c>
      <c r="B1853" s="17" t="s">
        <v>2320</v>
      </c>
      <c r="C1853" s="17" t="s">
        <v>2457</v>
      </c>
      <c r="D1853" s="17" t="str">
        <f>_xlfn.XLOOKUP(Raw_LIMS_Export!E1853,'mapping Site table'!$B$4:$B$14,'mapping Site table'!$C$4:$C$14,Raw_LIMS_Export!E1853)</f>
        <v>East Hanover</v>
      </c>
      <c r="E1853" s="17" t="s">
        <v>2482</v>
      </c>
      <c r="F1853" s="17">
        <f t="shared" si="85"/>
        <v>1</v>
      </c>
      <c r="G1853" s="17" t="str">
        <f t="shared" si="86"/>
        <v>Pass</v>
      </c>
      <c r="H1853" s="17" t="str">
        <f t="shared" si="84"/>
        <v>Pass</v>
      </c>
      <c r="I1853" s="17">
        <v>99.02</v>
      </c>
      <c r="J1853" s="17" t="s">
        <v>2489</v>
      </c>
      <c r="K1853" s="17">
        <v>97</v>
      </c>
      <c r="L1853" s="17">
        <v>100</v>
      </c>
      <c r="M1853" s="18">
        <f>Raw_LIMS_Export!K1853</f>
        <v>45595</v>
      </c>
      <c r="N1853" s="19" t="s">
        <v>2930</v>
      </c>
    </row>
    <row r="1854" spans="1:14" x14ac:dyDescent="0.35">
      <c r="A1854" s="16" t="s">
        <v>1850</v>
      </c>
      <c r="B1854" s="17" t="s">
        <v>2300</v>
      </c>
      <c r="C1854" s="17" t="s">
        <v>2459</v>
      </c>
      <c r="D1854" s="17" t="str">
        <f>_xlfn.XLOOKUP(Raw_LIMS_Export!E1854,'mapping Site table'!$B$4:$B$14,'mapping Site table'!$C$4:$C$14,Raw_LIMS_Export!E1854)</f>
        <v>Vernier CH</v>
      </c>
      <c r="E1854" s="17" t="s">
        <v>2482</v>
      </c>
      <c r="F1854" s="17">
        <f t="shared" si="85"/>
        <v>1</v>
      </c>
      <c r="G1854" s="17" t="str">
        <f t="shared" si="86"/>
        <v>Pass</v>
      </c>
      <c r="H1854" s="17" t="str">
        <f t="shared" si="84"/>
        <v>Pass</v>
      </c>
      <c r="I1854" s="17">
        <v>97.79</v>
      </c>
      <c r="J1854" s="17" t="s">
        <v>2489</v>
      </c>
      <c r="K1854" s="17">
        <v>97</v>
      </c>
      <c r="L1854" s="17">
        <v>100</v>
      </c>
      <c r="M1854" s="18">
        <f>Raw_LIMS_Export!K1854</f>
        <v>45595</v>
      </c>
      <c r="N1854" s="19" t="s">
        <v>2932</v>
      </c>
    </row>
    <row r="1855" spans="1:14" x14ac:dyDescent="0.35">
      <c r="A1855" s="16" t="s">
        <v>1851</v>
      </c>
      <c r="B1855" s="17" t="s">
        <v>2049</v>
      </c>
      <c r="C1855" s="17" t="s">
        <v>2458</v>
      </c>
      <c r="D1855" s="17" t="str">
        <f>_xlfn.XLOOKUP(Raw_LIMS_Export!E1855,'mapping Site table'!$B$4:$B$14,'mapping Site table'!$C$4:$C$14,Raw_LIMS_Export!E1855)</f>
        <v>Dortmund DE</v>
      </c>
      <c r="E1855" s="17" t="s">
        <v>2482</v>
      </c>
      <c r="F1855" s="17">
        <f t="shared" si="85"/>
        <v>1</v>
      </c>
      <c r="G1855" s="17" t="str">
        <f t="shared" si="86"/>
        <v>Pass</v>
      </c>
      <c r="H1855" s="17" t="str">
        <f t="shared" si="84"/>
        <v>Fail</v>
      </c>
      <c r="I1855" s="17">
        <v>98.51</v>
      </c>
      <c r="J1855" s="17" t="s">
        <v>2489</v>
      </c>
      <c r="K1855" s="17">
        <v>97</v>
      </c>
      <c r="L1855" s="17">
        <v>100</v>
      </c>
      <c r="M1855" s="18">
        <f>Raw_LIMS_Export!K1855</f>
        <v>45452</v>
      </c>
      <c r="N1855" s="19" t="s">
        <v>2927</v>
      </c>
    </row>
    <row r="1856" spans="1:14" x14ac:dyDescent="0.35">
      <c r="A1856" s="16" t="s">
        <v>1852</v>
      </c>
      <c r="B1856" s="17" t="s">
        <v>2293</v>
      </c>
      <c r="C1856" s="17" t="s">
        <v>2459</v>
      </c>
      <c r="D1856" s="17" t="str">
        <f>_xlfn.XLOOKUP(Raw_LIMS_Export!E1856,'mapping Site table'!$B$4:$B$14,'mapping Site table'!$C$4:$C$14,Raw_LIMS_Export!E1856)</f>
        <v>East Hanover</v>
      </c>
      <c r="E1856" s="17" t="s">
        <v>2482</v>
      </c>
      <c r="F1856" s="17">
        <f t="shared" si="85"/>
        <v>1</v>
      </c>
      <c r="G1856" s="17" t="str">
        <f t="shared" si="86"/>
        <v>Pass</v>
      </c>
      <c r="H1856" s="17" t="str">
        <f t="shared" si="84"/>
        <v>Pass</v>
      </c>
      <c r="I1856" s="17">
        <v>98.77</v>
      </c>
      <c r="J1856" s="17" t="s">
        <v>2489</v>
      </c>
      <c r="K1856" s="17">
        <v>97</v>
      </c>
      <c r="L1856" s="17">
        <v>100</v>
      </c>
      <c r="M1856" s="18">
        <f>Raw_LIMS_Export!K1856</f>
        <v>45970</v>
      </c>
      <c r="N1856" s="19" t="s">
        <v>2927</v>
      </c>
    </row>
    <row r="1857" spans="1:14" x14ac:dyDescent="0.35">
      <c r="A1857" s="16" t="s">
        <v>1853</v>
      </c>
      <c r="B1857" s="17" t="s">
        <v>2333</v>
      </c>
      <c r="C1857" s="17" t="s">
        <v>2460</v>
      </c>
      <c r="D1857" s="17" t="str">
        <f>_xlfn.XLOOKUP(Raw_LIMS_Export!E1857,'mapping Site table'!$B$4:$B$14,'mapping Site table'!$C$4:$C$14,Raw_LIMS_Export!E1857)</f>
        <v>East Hanover</v>
      </c>
      <c r="E1857" s="17" t="s">
        <v>2484</v>
      </c>
      <c r="F1857" s="17">
        <f t="shared" si="85"/>
        <v>1</v>
      </c>
      <c r="G1857" s="17" t="str">
        <f t="shared" si="86"/>
        <v>Pass</v>
      </c>
      <c r="H1857" s="17" t="str">
        <f t="shared" si="84"/>
        <v>Pass</v>
      </c>
      <c r="I1857" s="17">
        <v>6.68</v>
      </c>
      <c r="J1857" s="17"/>
      <c r="K1857" s="17">
        <v>6</v>
      </c>
      <c r="L1857" s="17">
        <v>7.5</v>
      </c>
      <c r="M1857" s="18">
        <f>Raw_LIMS_Export!K1857</f>
        <v>45452</v>
      </c>
      <c r="N1857" s="19" t="s">
        <v>2925</v>
      </c>
    </row>
    <row r="1858" spans="1:14" x14ac:dyDescent="0.35">
      <c r="A1858" s="16" t="s">
        <v>1854</v>
      </c>
      <c r="B1858" s="17" t="s">
        <v>2448</v>
      </c>
      <c r="C1858" s="17" t="s">
        <v>2461</v>
      </c>
      <c r="D1858" s="17" t="str">
        <f>_xlfn.XLOOKUP(Raw_LIMS_Export!E1858,'mapping Site table'!$B$4:$B$14,'mapping Site table'!$C$4:$C$14,Raw_LIMS_Export!E1858)</f>
        <v>Ashford UK</v>
      </c>
      <c r="E1858" s="17" t="s">
        <v>2485</v>
      </c>
      <c r="F1858" s="17">
        <f t="shared" si="85"/>
        <v>1</v>
      </c>
      <c r="G1858" s="17" t="str">
        <f t="shared" si="86"/>
        <v>Fail</v>
      </c>
      <c r="H1858" s="17" t="str">
        <f t="shared" ref="H1858:H1921" si="87">IF(COUNTIFS($B$2:$B$2016,B1858,$G$2:$G$2016,"Fail")&gt;0,"Fail",
  IF(COUNTIFS($B$2:$B$2016,B1858,$G$2:$G$2016,"Missing")&gt;0,"Pending",
    "Pass"))</f>
        <v>Fail</v>
      </c>
      <c r="I1858" s="17">
        <v>-16.04</v>
      </c>
      <c r="J1858" s="17" t="s">
        <v>2490</v>
      </c>
      <c r="K1858" s="17">
        <v>0</v>
      </c>
      <c r="L1858" s="17">
        <v>100</v>
      </c>
      <c r="M1858" s="18">
        <f>Raw_LIMS_Export!K1858</f>
        <v>45882</v>
      </c>
      <c r="N1858" s="19" t="s">
        <v>2924</v>
      </c>
    </row>
    <row r="1859" spans="1:14" x14ac:dyDescent="0.35">
      <c r="A1859" s="16" t="s">
        <v>1855</v>
      </c>
      <c r="B1859" s="17" t="s">
        <v>2284</v>
      </c>
      <c r="C1859" s="17" t="s">
        <v>2461</v>
      </c>
      <c r="D1859" s="17" t="str">
        <f>_xlfn.XLOOKUP(Raw_LIMS_Export!E1859,'mapping Site table'!$B$4:$B$14,'mapping Site table'!$C$4:$C$14,Raw_LIMS_Export!E1859)</f>
        <v>Budapest</v>
      </c>
      <c r="E1859" s="17" t="s">
        <v>2480</v>
      </c>
      <c r="F1859" s="17">
        <f t="shared" ref="F1859:F1922" si="88">IF(I1859="",0,1)</f>
        <v>0</v>
      </c>
      <c r="G1859" s="17" t="str">
        <f t="shared" ref="G1859:G1922" si="89">IF(I1859="", "Missing", IF(AND(I1859&gt;=K1859, I1859&lt;=L1859), "Pass", "Fail"))</f>
        <v>Missing</v>
      </c>
      <c r="H1859" s="17" t="str">
        <f t="shared" si="87"/>
        <v>Pending</v>
      </c>
      <c r="I1859" s="17"/>
      <c r="J1859" s="17" t="s">
        <v>2487</v>
      </c>
      <c r="K1859" s="17">
        <v>0.88</v>
      </c>
      <c r="L1859" s="17">
        <v>0.97</v>
      </c>
      <c r="M1859" s="18">
        <f>Raw_LIMS_Export!K1859</f>
        <v>45542</v>
      </c>
      <c r="N1859" s="19" t="s">
        <v>2925</v>
      </c>
    </row>
    <row r="1860" spans="1:14" x14ac:dyDescent="0.35">
      <c r="A1860" s="16" t="s">
        <v>1856</v>
      </c>
      <c r="B1860" s="17" t="s">
        <v>2086</v>
      </c>
      <c r="C1860" s="17" t="s">
        <v>2459</v>
      </c>
      <c r="D1860" s="17" t="str">
        <f>_xlfn.XLOOKUP(Raw_LIMS_Export!E1860,'mapping Site table'!$B$4:$B$14,'mapping Site table'!$C$4:$C$14,Raw_LIMS_Export!E1860)</f>
        <v>Ashford UK</v>
      </c>
      <c r="E1860" s="17" t="s">
        <v>2485</v>
      </c>
      <c r="F1860" s="17">
        <f t="shared" si="88"/>
        <v>1</v>
      </c>
      <c r="G1860" s="17" t="str">
        <f t="shared" si="89"/>
        <v>Pass</v>
      </c>
      <c r="H1860" s="17" t="str">
        <f t="shared" si="87"/>
        <v>Fail</v>
      </c>
      <c r="I1860" s="17">
        <v>2.5499999999999998</v>
      </c>
      <c r="J1860" s="17" t="s">
        <v>2490</v>
      </c>
      <c r="K1860" s="17">
        <v>0</v>
      </c>
      <c r="L1860" s="17">
        <v>100</v>
      </c>
      <c r="M1860" s="18">
        <f>Raw_LIMS_Export!K1860</f>
        <v>45668</v>
      </c>
      <c r="N1860" s="19" t="s">
        <v>2923</v>
      </c>
    </row>
    <row r="1861" spans="1:14" x14ac:dyDescent="0.35">
      <c r="A1861" s="16" t="s">
        <v>1857</v>
      </c>
      <c r="B1861" s="17" t="s">
        <v>2063</v>
      </c>
      <c r="C1861" s="17" t="s">
        <v>2461</v>
      </c>
      <c r="D1861" s="17" t="str">
        <f>_xlfn.XLOOKUP(Raw_LIMS_Export!E1861,'mapping Site table'!$B$4:$B$14,'mapping Site table'!$C$4:$C$14,Raw_LIMS_Export!E1861)</f>
        <v>East Hanover</v>
      </c>
      <c r="E1861" s="17" t="s">
        <v>2484</v>
      </c>
      <c r="F1861" s="17">
        <f t="shared" si="88"/>
        <v>1</v>
      </c>
      <c r="G1861" s="17" t="str">
        <f t="shared" si="89"/>
        <v>Pass</v>
      </c>
      <c r="H1861" s="17" t="str">
        <f t="shared" si="87"/>
        <v>Fail</v>
      </c>
      <c r="I1861" s="17">
        <v>6.33</v>
      </c>
      <c r="J1861" s="17"/>
      <c r="K1861" s="17">
        <v>6</v>
      </c>
      <c r="L1861" s="17">
        <v>7.5</v>
      </c>
      <c r="M1861" s="18">
        <f>Raw_LIMS_Export!K1861</f>
        <v>45884</v>
      </c>
      <c r="N1861" s="19" t="s">
        <v>2925</v>
      </c>
    </row>
    <row r="1862" spans="1:14" x14ac:dyDescent="0.35">
      <c r="A1862" s="16" t="s">
        <v>1858</v>
      </c>
      <c r="B1862" s="17" t="s">
        <v>2416</v>
      </c>
      <c r="C1862" s="17" t="s">
        <v>2458</v>
      </c>
      <c r="D1862" s="17" t="str">
        <f>_xlfn.XLOOKUP(Raw_LIMS_Export!E1862,'mapping Site table'!$B$4:$B$14,'mapping Site table'!$C$4:$C$14,Raw_LIMS_Export!E1862)</f>
        <v>East Hanover</v>
      </c>
      <c r="E1862" s="17" t="s">
        <v>2481</v>
      </c>
      <c r="F1862" s="17">
        <f t="shared" si="88"/>
        <v>1</v>
      </c>
      <c r="G1862" s="17" t="str">
        <f t="shared" si="89"/>
        <v>Fail</v>
      </c>
      <c r="H1862" s="17" t="str">
        <f t="shared" si="87"/>
        <v>Fail</v>
      </c>
      <c r="I1862" s="17">
        <v>520</v>
      </c>
      <c r="J1862" s="17" t="s">
        <v>2488</v>
      </c>
      <c r="K1862" s="17">
        <v>150</v>
      </c>
      <c r="L1862" s="17">
        <v>400</v>
      </c>
      <c r="M1862" s="18">
        <f>Raw_LIMS_Export!K1862</f>
        <v>46003</v>
      </c>
      <c r="N1862" s="19" t="s">
        <v>2924</v>
      </c>
    </row>
    <row r="1863" spans="1:14" x14ac:dyDescent="0.35">
      <c r="A1863" s="16" t="s">
        <v>1859</v>
      </c>
      <c r="B1863" s="17" t="s">
        <v>2384</v>
      </c>
      <c r="C1863" s="17" t="s">
        <v>2460</v>
      </c>
      <c r="D1863" s="17" t="str">
        <f>_xlfn.XLOOKUP(Raw_LIMS_Export!E1863,'mapping Site table'!$B$4:$B$14,'mapping Site table'!$C$4:$C$14,Raw_LIMS_Export!E1863)</f>
        <v>Budapest</v>
      </c>
      <c r="E1863" s="17" t="s">
        <v>2484</v>
      </c>
      <c r="F1863" s="17">
        <f t="shared" si="88"/>
        <v>1</v>
      </c>
      <c r="G1863" s="17" t="str">
        <f t="shared" si="89"/>
        <v>Pass</v>
      </c>
      <c r="H1863" s="17" t="str">
        <f t="shared" si="87"/>
        <v>Pass</v>
      </c>
      <c r="I1863" s="17">
        <v>7.04</v>
      </c>
      <c r="J1863" s="17"/>
      <c r="K1863" s="17">
        <v>6</v>
      </c>
      <c r="L1863" s="17">
        <v>7.5</v>
      </c>
      <c r="M1863" s="18">
        <f>Raw_LIMS_Export!K1863</f>
        <v>45554</v>
      </c>
      <c r="N1863" s="19" t="s">
        <v>2924</v>
      </c>
    </row>
    <row r="1864" spans="1:14" x14ac:dyDescent="0.35">
      <c r="A1864" s="16" t="s">
        <v>1860</v>
      </c>
      <c r="B1864" s="17" t="s">
        <v>2283</v>
      </c>
      <c r="C1864" s="17" t="s">
        <v>2461</v>
      </c>
      <c r="D1864" s="17" t="str">
        <f>_xlfn.XLOOKUP(Raw_LIMS_Export!E1864,'mapping Site table'!$B$4:$B$14,'mapping Site table'!$C$4:$C$14,Raw_LIMS_Export!E1864)</f>
        <v>Vernier CH</v>
      </c>
      <c r="E1864" s="17" t="s">
        <v>2480</v>
      </c>
      <c r="F1864" s="17">
        <f t="shared" si="88"/>
        <v>1</v>
      </c>
      <c r="G1864" s="17" t="str">
        <f t="shared" si="89"/>
        <v>Pass</v>
      </c>
      <c r="H1864" s="17" t="str">
        <f t="shared" si="87"/>
        <v>Pending</v>
      </c>
      <c r="I1864" s="17">
        <v>0.92</v>
      </c>
      <c r="J1864" s="17" t="s">
        <v>2487</v>
      </c>
      <c r="K1864" s="17">
        <v>0.88</v>
      </c>
      <c r="L1864" s="17">
        <v>0.97</v>
      </c>
      <c r="M1864" s="18">
        <f>Raw_LIMS_Export!K1864</f>
        <v>45487</v>
      </c>
      <c r="N1864" s="19" t="s">
        <v>2926</v>
      </c>
    </row>
    <row r="1865" spans="1:14" x14ac:dyDescent="0.35">
      <c r="A1865" s="16" t="s">
        <v>1861</v>
      </c>
      <c r="B1865" s="17" t="s">
        <v>2389</v>
      </c>
      <c r="C1865" s="17" t="s">
        <v>2460</v>
      </c>
      <c r="D1865" s="17" t="str">
        <f>_xlfn.XLOOKUP(Raw_LIMS_Export!E1865,'mapping Site table'!$B$4:$B$14,'mapping Site table'!$C$4:$C$14,Raw_LIMS_Export!E1865)</f>
        <v>Dortmund DE</v>
      </c>
      <c r="E1865" s="17" t="s">
        <v>2479</v>
      </c>
      <c r="F1865" s="17">
        <f t="shared" si="88"/>
        <v>1</v>
      </c>
      <c r="G1865" s="17" t="str">
        <f t="shared" si="89"/>
        <v>Pass</v>
      </c>
      <c r="H1865" s="17" t="str">
        <f t="shared" si="87"/>
        <v>Pass</v>
      </c>
      <c r="I1865" s="17">
        <v>55.19</v>
      </c>
      <c r="J1865" s="17" t="s">
        <v>2486</v>
      </c>
      <c r="K1865" s="17">
        <v>0</v>
      </c>
      <c r="L1865" s="17">
        <v>120</v>
      </c>
      <c r="M1865" s="18">
        <f>Raw_LIMS_Export!K1865</f>
        <v>45546</v>
      </c>
      <c r="N1865" s="19" t="s">
        <v>2930</v>
      </c>
    </row>
    <row r="1866" spans="1:14" x14ac:dyDescent="0.35">
      <c r="A1866" s="16" t="s">
        <v>1862</v>
      </c>
      <c r="B1866" s="17" t="s">
        <v>2264</v>
      </c>
      <c r="C1866" s="17" t="s">
        <v>2459</v>
      </c>
      <c r="D1866" s="17" t="str">
        <f>_xlfn.XLOOKUP(Raw_LIMS_Export!E1866,'mapping Site table'!$B$4:$B$14,'mapping Site table'!$C$4:$C$14,Raw_LIMS_Export!E1866)</f>
        <v>Dortmund DE</v>
      </c>
      <c r="E1866" s="17" t="s">
        <v>2482</v>
      </c>
      <c r="F1866" s="17">
        <f t="shared" si="88"/>
        <v>1</v>
      </c>
      <c r="G1866" s="17" t="str">
        <f t="shared" si="89"/>
        <v>Pass</v>
      </c>
      <c r="H1866" s="17" t="str">
        <f t="shared" si="87"/>
        <v>Fail</v>
      </c>
      <c r="I1866" s="17">
        <v>97.97</v>
      </c>
      <c r="J1866" s="17" t="s">
        <v>2489</v>
      </c>
      <c r="K1866" s="17">
        <v>97</v>
      </c>
      <c r="L1866" s="17">
        <v>100</v>
      </c>
      <c r="M1866" s="18">
        <f>Raw_LIMS_Export!K1866</f>
        <v>45795</v>
      </c>
      <c r="N1866" s="19" t="s">
        <v>2926</v>
      </c>
    </row>
    <row r="1867" spans="1:14" x14ac:dyDescent="0.35">
      <c r="A1867" s="16" t="s">
        <v>1863</v>
      </c>
      <c r="B1867" s="17" t="s">
        <v>2031</v>
      </c>
      <c r="C1867" s="17" t="s">
        <v>2459</v>
      </c>
      <c r="D1867" s="17" t="str">
        <f>_xlfn.XLOOKUP(Raw_LIMS_Export!E1867,'mapping Site table'!$B$4:$B$14,'mapping Site table'!$C$4:$C$14,Raw_LIMS_Export!E1867)</f>
        <v>Dortmund DE</v>
      </c>
      <c r="E1867" s="17" t="s">
        <v>2485</v>
      </c>
      <c r="F1867" s="17">
        <f t="shared" si="88"/>
        <v>1</v>
      </c>
      <c r="G1867" s="17" t="str">
        <f t="shared" si="89"/>
        <v>Pass</v>
      </c>
      <c r="H1867" s="17" t="str">
        <f t="shared" si="87"/>
        <v>Fail</v>
      </c>
      <c r="I1867" s="17">
        <v>4.79</v>
      </c>
      <c r="J1867" s="17" t="s">
        <v>2490</v>
      </c>
      <c r="K1867" s="17">
        <v>0</v>
      </c>
      <c r="L1867" s="17">
        <v>100</v>
      </c>
      <c r="M1867" s="18">
        <f>Raw_LIMS_Export!K1867</f>
        <v>45887</v>
      </c>
      <c r="N1867" s="19" t="s">
        <v>2931</v>
      </c>
    </row>
    <row r="1868" spans="1:14" x14ac:dyDescent="0.35">
      <c r="A1868" s="16" t="s">
        <v>1864</v>
      </c>
      <c r="B1868" s="17" t="s">
        <v>2437</v>
      </c>
      <c r="C1868" s="17" t="s">
        <v>2457</v>
      </c>
      <c r="D1868" s="17" t="str">
        <f>_xlfn.XLOOKUP(Raw_LIMS_Export!E1868,'mapping Site table'!$B$4:$B$14,'mapping Site table'!$C$4:$C$14,Raw_LIMS_Export!E1868)</f>
        <v>Dortmund DE</v>
      </c>
      <c r="E1868" s="17" t="s">
        <v>2482</v>
      </c>
      <c r="F1868" s="17">
        <f t="shared" si="88"/>
        <v>1</v>
      </c>
      <c r="G1868" s="17" t="str">
        <f t="shared" si="89"/>
        <v>Pass</v>
      </c>
      <c r="H1868" s="17" t="str">
        <f t="shared" si="87"/>
        <v>Fail</v>
      </c>
      <c r="I1868" s="17">
        <v>97.8</v>
      </c>
      <c r="J1868" s="17" t="s">
        <v>2489</v>
      </c>
      <c r="K1868" s="17">
        <v>97</v>
      </c>
      <c r="L1868" s="17">
        <v>100</v>
      </c>
      <c r="M1868" s="18">
        <f>Raw_LIMS_Export!K1868</f>
        <v>45366</v>
      </c>
      <c r="N1868" s="19" t="s">
        <v>2925</v>
      </c>
    </row>
    <row r="1869" spans="1:14" x14ac:dyDescent="0.35">
      <c r="A1869" s="16" t="s">
        <v>1865</v>
      </c>
      <c r="B1869" s="17" t="s">
        <v>2322</v>
      </c>
      <c r="C1869" s="17" t="s">
        <v>2461</v>
      </c>
      <c r="D1869" s="17" t="str">
        <f>_xlfn.XLOOKUP(Raw_LIMS_Export!E1869,'mapping Site table'!$B$4:$B$14,'mapping Site table'!$C$4:$C$14,Raw_LIMS_Export!E1869)</f>
        <v>Budapest</v>
      </c>
      <c r="E1869" s="17" t="s">
        <v>2482</v>
      </c>
      <c r="F1869" s="17">
        <f t="shared" si="88"/>
        <v>1</v>
      </c>
      <c r="G1869" s="17" t="str">
        <f t="shared" si="89"/>
        <v>Pass</v>
      </c>
      <c r="H1869" s="17" t="str">
        <f t="shared" si="87"/>
        <v>Pass</v>
      </c>
      <c r="I1869" s="17">
        <v>99.47</v>
      </c>
      <c r="J1869" s="17" t="s">
        <v>2489</v>
      </c>
      <c r="K1869" s="17">
        <v>97</v>
      </c>
      <c r="L1869" s="17">
        <v>100</v>
      </c>
      <c r="M1869" s="18">
        <f>Raw_LIMS_Export!K1869</f>
        <v>45813</v>
      </c>
      <c r="N1869" s="19" t="s">
        <v>2924</v>
      </c>
    </row>
    <row r="1870" spans="1:14" x14ac:dyDescent="0.35">
      <c r="A1870" s="16" t="s">
        <v>1866</v>
      </c>
      <c r="B1870" s="17" t="s">
        <v>2278</v>
      </c>
      <c r="C1870" s="17" t="s">
        <v>2460</v>
      </c>
      <c r="D1870" s="17" t="str">
        <f>_xlfn.XLOOKUP(Raw_LIMS_Export!E1870,'mapping Site table'!$B$4:$B$14,'mapping Site table'!$C$4:$C$14,Raw_LIMS_Export!E1870)</f>
        <v>Ashford UK</v>
      </c>
      <c r="E1870" s="17" t="s">
        <v>2479</v>
      </c>
      <c r="F1870" s="17">
        <f t="shared" si="88"/>
        <v>1</v>
      </c>
      <c r="G1870" s="17" t="str">
        <f t="shared" si="89"/>
        <v>Pass</v>
      </c>
      <c r="H1870" s="17" t="str">
        <f t="shared" si="87"/>
        <v>Pass</v>
      </c>
      <c r="I1870" s="17">
        <v>51.79</v>
      </c>
      <c r="J1870" s="17" t="s">
        <v>2486</v>
      </c>
      <c r="K1870" s="17">
        <v>0</v>
      </c>
      <c r="L1870" s="17">
        <v>120</v>
      </c>
      <c r="M1870" s="18">
        <f>Raw_LIMS_Export!K1870</f>
        <v>45658</v>
      </c>
      <c r="N1870" s="19" t="s">
        <v>2923</v>
      </c>
    </row>
    <row r="1871" spans="1:14" x14ac:dyDescent="0.35">
      <c r="A1871" s="16" t="s">
        <v>1867</v>
      </c>
      <c r="B1871" s="17" t="s">
        <v>2145</v>
      </c>
      <c r="C1871" s="17" t="s">
        <v>2458</v>
      </c>
      <c r="D1871" s="17" t="str">
        <f>_xlfn.XLOOKUP(Raw_LIMS_Export!E1871,'mapping Site table'!$B$4:$B$14,'mapping Site table'!$C$4:$C$14,Raw_LIMS_Export!E1871)</f>
        <v>Budapest</v>
      </c>
      <c r="E1871" s="17" t="s">
        <v>2483</v>
      </c>
      <c r="F1871" s="17">
        <f t="shared" si="88"/>
        <v>0</v>
      </c>
      <c r="G1871" s="17" t="str">
        <f t="shared" si="89"/>
        <v>Missing</v>
      </c>
      <c r="H1871" s="17" t="str">
        <f t="shared" si="87"/>
        <v>Pending</v>
      </c>
      <c r="I1871" s="17"/>
      <c r="J1871" s="17" t="s">
        <v>2489</v>
      </c>
      <c r="K1871" s="17">
        <v>0</v>
      </c>
      <c r="L1871" s="17">
        <v>1</v>
      </c>
      <c r="M1871" s="18">
        <f>Raw_LIMS_Export!K1871</f>
        <v>45819</v>
      </c>
      <c r="N1871" s="19" t="s">
        <v>2925</v>
      </c>
    </row>
    <row r="1872" spans="1:14" x14ac:dyDescent="0.35">
      <c r="A1872" s="16" t="s">
        <v>1868</v>
      </c>
      <c r="B1872" s="17" t="s">
        <v>2302</v>
      </c>
      <c r="C1872" s="17" t="s">
        <v>2460</v>
      </c>
      <c r="D1872" s="17" t="str">
        <f>_xlfn.XLOOKUP(Raw_LIMS_Export!E1872,'mapping Site table'!$B$4:$B$14,'mapping Site table'!$C$4:$C$14,Raw_LIMS_Export!E1872)</f>
        <v>Ashford UK</v>
      </c>
      <c r="E1872" s="17" t="s">
        <v>2483</v>
      </c>
      <c r="F1872" s="17">
        <f t="shared" si="88"/>
        <v>1</v>
      </c>
      <c r="G1872" s="17" t="str">
        <f t="shared" si="89"/>
        <v>Pass</v>
      </c>
      <c r="H1872" s="17" t="str">
        <f t="shared" si="87"/>
        <v>Fail</v>
      </c>
      <c r="I1872" s="17">
        <v>0.67</v>
      </c>
      <c r="J1872" s="17" t="s">
        <v>2489</v>
      </c>
      <c r="K1872" s="17">
        <v>0</v>
      </c>
      <c r="L1872" s="17">
        <v>1</v>
      </c>
      <c r="M1872" s="18">
        <f>Raw_LIMS_Export!K1872</f>
        <v>45776</v>
      </c>
      <c r="N1872" s="19" t="s">
        <v>2925</v>
      </c>
    </row>
    <row r="1873" spans="1:14" x14ac:dyDescent="0.35">
      <c r="A1873" s="16" t="s">
        <v>1869</v>
      </c>
      <c r="B1873" s="17" t="s">
        <v>2357</v>
      </c>
      <c r="C1873" s="17" t="s">
        <v>2459</v>
      </c>
      <c r="D1873" s="17" t="str">
        <f>_xlfn.XLOOKUP(Raw_LIMS_Export!E1873,'mapping Site table'!$B$4:$B$14,'mapping Site table'!$C$4:$C$14,Raw_LIMS_Export!E1873)</f>
        <v>Ashford UK</v>
      </c>
      <c r="E1873" s="17" t="s">
        <v>2480</v>
      </c>
      <c r="F1873" s="17">
        <f t="shared" si="88"/>
        <v>1</v>
      </c>
      <c r="G1873" s="17" t="str">
        <f t="shared" si="89"/>
        <v>Pass</v>
      </c>
      <c r="H1873" s="17" t="str">
        <f t="shared" si="87"/>
        <v>Fail</v>
      </c>
      <c r="I1873" s="17">
        <v>0.94</v>
      </c>
      <c r="J1873" s="17" t="s">
        <v>2487</v>
      </c>
      <c r="K1873" s="17">
        <v>0.88</v>
      </c>
      <c r="L1873" s="17">
        <v>0.97</v>
      </c>
      <c r="M1873" s="18">
        <f>Raw_LIMS_Export!K1873</f>
        <v>45388</v>
      </c>
      <c r="N1873" s="19" t="s">
        <v>2925</v>
      </c>
    </row>
    <row r="1874" spans="1:14" x14ac:dyDescent="0.35">
      <c r="A1874" s="16" t="s">
        <v>1870</v>
      </c>
      <c r="B1874" s="17" t="s">
        <v>2331</v>
      </c>
      <c r="C1874" s="17" t="s">
        <v>2457</v>
      </c>
      <c r="D1874" s="17" t="str">
        <f>_xlfn.XLOOKUP(Raw_LIMS_Export!E1874,'mapping Site table'!$B$4:$B$14,'mapping Site table'!$C$4:$C$14,Raw_LIMS_Export!E1874)</f>
        <v>Budapest</v>
      </c>
      <c r="E1874" s="17" t="s">
        <v>2481</v>
      </c>
      <c r="F1874" s="17">
        <f t="shared" si="88"/>
        <v>1</v>
      </c>
      <c r="G1874" s="17" t="str">
        <f t="shared" si="89"/>
        <v>Pass</v>
      </c>
      <c r="H1874" s="17" t="str">
        <f t="shared" si="87"/>
        <v>Pass</v>
      </c>
      <c r="I1874" s="17">
        <v>237.35</v>
      </c>
      <c r="J1874" s="17" t="s">
        <v>2488</v>
      </c>
      <c r="K1874" s="17">
        <v>150</v>
      </c>
      <c r="L1874" s="17">
        <v>400</v>
      </c>
      <c r="M1874" s="18">
        <f>Raw_LIMS_Export!K1874</f>
        <v>46019</v>
      </c>
      <c r="N1874" s="19" t="s">
        <v>2927</v>
      </c>
    </row>
    <row r="1875" spans="1:14" x14ac:dyDescent="0.35">
      <c r="A1875" s="16" t="s">
        <v>1871</v>
      </c>
      <c r="B1875" s="17" t="s">
        <v>2243</v>
      </c>
      <c r="C1875" s="17" t="s">
        <v>2461</v>
      </c>
      <c r="D1875" s="17" t="str">
        <f>_xlfn.XLOOKUP(Raw_LIMS_Export!E1875,'mapping Site table'!$B$4:$B$14,'mapping Site table'!$C$4:$C$14,Raw_LIMS_Export!E1875)</f>
        <v>Dortmund DE</v>
      </c>
      <c r="E1875" s="17" t="s">
        <v>2484</v>
      </c>
      <c r="F1875" s="17">
        <f t="shared" si="88"/>
        <v>1</v>
      </c>
      <c r="G1875" s="17" t="str">
        <f t="shared" si="89"/>
        <v>Pass</v>
      </c>
      <c r="H1875" s="17" t="str">
        <f t="shared" si="87"/>
        <v>Pass</v>
      </c>
      <c r="I1875" s="17">
        <v>6.91</v>
      </c>
      <c r="J1875" s="17"/>
      <c r="K1875" s="17">
        <v>6</v>
      </c>
      <c r="L1875" s="17">
        <v>7.5</v>
      </c>
      <c r="M1875" s="18">
        <f>Raw_LIMS_Export!K1875</f>
        <v>45833</v>
      </c>
      <c r="N1875" s="19" t="s">
        <v>2931</v>
      </c>
    </row>
    <row r="1876" spans="1:14" x14ac:dyDescent="0.35">
      <c r="A1876" s="16" t="s">
        <v>1872</v>
      </c>
      <c r="B1876" s="17" t="s">
        <v>2307</v>
      </c>
      <c r="C1876" s="17" t="s">
        <v>2460</v>
      </c>
      <c r="D1876" s="17" t="str">
        <f>_xlfn.XLOOKUP(Raw_LIMS_Export!E1876,'mapping Site table'!$B$4:$B$14,'mapping Site table'!$C$4:$C$14,Raw_LIMS_Export!E1876)</f>
        <v>Vernier CH</v>
      </c>
      <c r="E1876" s="17" t="s">
        <v>2485</v>
      </c>
      <c r="F1876" s="17">
        <f t="shared" si="88"/>
        <v>1</v>
      </c>
      <c r="G1876" s="17" t="str">
        <f t="shared" si="89"/>
        <v>Fail</v>
      </c>
      <c r="H1876" s="17" t="str">
        <f t="shared" si="87"/>
        <v>Fail</v>
      </c>
      <c r="I1876" s="17">
        <v>-27.71</v>
      </c>
      <c r="J1876" s="17" t="s">
        <v>2490</v>
      </c>
      <c r="K1876" s="17">
        <v>0</v>
      </c>
      <c r="L1876" s="17">
        <v>100</v>
      </c>
      <c r="M1876" s="18">
        <f>Raw_LIMS_Export!K1876</f>
        <v>45622</v>
      </c>
      <c r="N1876" s="19" t="s">
        <v>2927</v>
      </c>
    </row>
    <row r="1877" spans="1:14" x14ac:dyDescent="0.35">
      <c r="A1877" s="16" t="s">
        <v>1873</v>
      </c>
      <c r="B1877" s="17" t="s">
        <v>2402</v>
      </c>
      <c r="C1877" s="17" t="s">
        <v>2461</v>
      </c>
      <c r="D1877" s="17" t="str">
        <f>_xlfn.XLOOKUP(Raw_LIMS_Export!E1877,'mapping Site table'!$B$4:$B$14,'mapping Site table'!$C$4:$C$14,Raw_LIMS_Export!E1877)</f>
        <v>East Hanover</v>
      </c>
      <c r="E1877" s="17" t="s">
        <v>2483</v>
      </c>
      <c r="F1877" s="17">
        <f t="shared" si="88"/>
        <v>1</v>
      </c>
      <c r="G1877" s="17" t="str">
        <f t="shared" si="89"/>
        <v>Pass</v>
      </c>
      <c r="H1877" s="17" t="str">
        <f t="shared" si="87"/>
        <v>Fail</v>
      </c>
      <c r="I1877" s="17">
        <v>0.41</v>
      </c>
      <c r="J1877" s="17" t="s">
        <v>2489</v>
      </c>
      <c r="K1877" s="17">
        <v>0</v>
      </c>
      <c r="L1877" s="17">
        <v>1</v>
      </c>
      <c r="M1877" s="18">
        <f>Raw_LIMS_Export!K1877</f>
        <v>45479</v>
      </c>
      <c r="N1877" s="19" t="s">
        <v>2929</v>
      </c>
    </row>
    <row r="1878" spans="1:14" x14ac:dyDescent="0.35">
      <c r="A1878" s="16" t="s">
        <v>1874</v>
      </c>
      <c r="B1878" s="17" t="s">
        <v>2053</v>
      </c>
      <c r="C1878" s="17" t="s">
        <v>2460</v>
      </c>
      <c r="D1878" s="17" t="str">
        <f>_xlfn.XLOOKUP(Raw_LIMS_Export!E1878,'mapping Site table'!$B$4:$B$14,'mapping Site table'!$C$4:$C$14,Raw_LIMS_Export!E1878)</f>
        <v>East Hanover</v>
      </c>
      <c r="E1878" s="17" t="s">
        <v>2483</v>
      </c>
      <c r="F1878" s="17">
        <f t="shared" si="88"/>
        <v>1</v>
      </c>
      <c r="G1878" s="17" t="str">
        <f t="shared" si="89"/>
        <v>Pass</v>
      </c>
      <c r="H1878" s="17" t="str">
        <f t="shared" si="87"/>
        <v>Pass</v>
      </c>
      <c r="I1878" s="17">
        <v>0.33</v>
      </c>
      <c r="J1878" s="17" t="s">
        <v>2489</v>
      </c>
      <c r="K1878" s="17">
        <v>0</v>
      </c>
      <c r="L1878" s="17">
        <v>1</v>
      </c>
      <c r="M1878" s="18">
        <f>Raw_LIMS_Export!K1878</f>
        <v>45703</v>
      </c>
      <c r="N1878" s="19" t="s">
        <v>2924</v>
      </c>
    </row>
    <row r="1879" spans="1:14" x14ac:dyDescent="0.35">
      <c r="A1879" s="16" t="s">
        <v>1875</v>
      </c>
      <c r="B1879" s="17" t="s">
        <v>2393</v>
      </c>
      <c r="C1879" s="17" t="s">
        <v>2460</v>
      </c>
      <c r="D1879" s="17" t="str">
        <f>_xlfn.XLOOKUP(Raw_LIMS_Export!E1879,'mapping Site table'!$B$4:$B$14,'mapping Site table'!$C$4:$C$14,Raw_LIMS_Export!E1879)</f>
        <v>Vernier CH</v>
      </c>
      <c r="E1879" s="17" t="s">
        <v>2479</v>
      </c>
      <c r="F1879" s="17">
        <f t="shared" si="88"/>
        <v>1</v>
      </c>
      <c r="G1879" s="17" t="str">
        <f t="shared" si="89"/>
        <v>Pass</v>
      </c>
      <c r="H1879" s="17" t="str">
        <f t="shared" si="87"/>
        <v>Pass</v>
      </c>
      <c r="I1879" s="17">
        <v>48.06</v>
      </c>
      <c r="J1879" s="17" t="s">
        <v>2486</v>
      </c>
      <c r="K1879" s="17">
        <v>0</v>
      </c>
      <c r="L1879" s="17">
        <v>120</v>
      </c>
      <c r="M1879" s="18">
        <f>Raw_LIMS_Export!K1879</f>
        <v>45942</v>
      </c>
      <c r="N1879" s="19" t="s">
        <v>2931</v>
      </c>
    </row>
    <row r="1880" spans="1:14" x14ac:dyDescent="0.35">
      <c r="A1880" s="16" t="s">
        <v>1876</v>
      </c>
      <c r="B1880" s="17" t="s">
        <v>2261</v>
      </c>
      <c r="C1880" s="17" t="s">
        <v>2457</v>
      </c>
      <c r="D1880" s="17" t="str">
        <f>_xlfn.XLOOKUP(Raw_LIMS_Export!E1880,'mapping Site table'!$B$4:$B$14,'mapping Site table'!$C$4:$C$14,Raw_LIMS_Export!E1880)</f>
        <v>Ashford UK</v>
      </c>
      <c r="E1880" s="17" t="s">
        <v>2482</v>
      </c>
      <c r="F1880" s="17">
        <f t="shared" si="88"/>
        <v>1</v>
      </c>
      <c r="G1880" s="17" t="str">
        <f t="shared" si="89"/>
        <v>Pass</v>
      </c>
      <c r="H1880" s="17" t="str">
        <f t="shared" si="87"/>
        <v>Pending</v>
      </c>
      <c r="I1880" s="17">
        <v>99.03</v>
      </c>
      <c r="J1880" s="17" t="s">
        <v>2489</v>
      </c>
      <c r="K1880" s="17">
        <v>97</v>
      </c>
      <c r="L1880" s="17">
        <v>100</v>
      </c>
      <c r="M1880" s="18">
        <f>Raw_LIMS_Export!K1880</f>
        <v>45409</v>
      </c>
      <c r="N1880" s="19" t="s">
        <v>2925</v>
      </c>
    </row>
    <row r="1881" spans="1:14" x14ac:dyDescent="0.35">
      <c r="A1881" s="16" t="s">
        <v>1877</v>
      </c>
      <c r="B1881" s="17" t="s">
        <v>2311</v>
      </c>
      <c r="C1881" s="17" t="s">
        <v>2459</v>
      </c>
      <c r="D1881" s="17" t="str">
        <f>_xlfn.XLOOKUP(Raw_LIMS_Export!E1881,'mapping Site table'!$B$4:$B$14,'mapping Site table'!$C$4:$C$14,Raw_LIMS_Export!E1881)</f>
        <v>East Hanover</v>
      </c>
      <c r="E1881" s="17" t="s">
        <v>2479</v>
      </c>
      <c r="F1881" s="17">
        <f t="shared" si="88"/>
        <v>1</v>
      </c>
      <c r="G1881" s="17" t="str">
        <f t="shared" si="89"/>
        <v>Pass</v>
      </c>
      <c r="H1881" s="17" t="str">
        <f t="shared" si="87"/>
        <v>Fail</v>
      </c>
      <c r="I1881" s="17">
        <v>38.590000000000003</v>
      </c>
      <c r="J1881" s="17" t="s">
        <v>2486</v>
      </c>
      <c r="K1881" s="17">
        <v>0</v>
      </c>
      <c r="L1881" s="17">
        <v>120</v>
      </c>
      <c r="M1881" s="18">
        <f>Raw_LIMS_Export!K1881</f>
        <v>45958</v>
      </c>
      <c r="N1881" s="19" t="s">
        <v>2923</v>
      </c>
    </row>
    <row r="1882" spans="1:14" x14ac:dyDescent="0.35">
      <c r="A1882" s="16" t="s">
        <v>1878</v>
      </c>
      <c r="B1882" s="17" t="s">
        <v>2370</v>
      </c>
      <c r="C1882" s="17" t="s">
        <v>2459</v>
      </c>
      <c r="D1882" s="17" t="str">
        <f>_xlfn.XLOOKUP(Raw_LIMS_Export!E1882,'mapping Site table'!$B$4:$B$14,'mapping Site table'!$C$4:$C$14,Raw_LIMS_Export!E1882)</f>
        <v>Dortmund DE</v>
      </c>
      <c r="E1882" s="17" t="s">
        <v>2479</v>
      </c>
      <c r="F1882" s="17">
        <f t="shared" si="88"/>
        <v>1</v>
      </c>
      <c r="G1882" s="17" t="str">
        <f t="shared" si="89"/>
        <v>Pass</v>
      </c>
      <c r="H1882" s="17" t="str">
        <f t="shared" si="87"/>
        <v>Pass</v>
      </c>
      <c r="I1882" s="17">
        <v>44.6</v>
      </c>
      <c r="J1882" s="17" t="s">
        <v>2486</v>
      </c>
      <c r="K1882" s="17">
        <v>0</v>
      </c>
      <c r="L1882" s="17">
        <v>120</v>
      </c>
      <c r="M1882" s="18">
        <f>Raw_LIMS_Export!K1882</f>
        <v>45318</v>
      </c>
      <c r="N1882" s="19" t="s">
        <v>2930</v>
      </c>
    </row>
    <row r="1883" spans="1:14" x14ac:dyDescent="0.35">
      <c r="A1883" s="16" t="s">
        <v>1879</v>
      </c>
      <c r="B1883" s="17" t="s">
        <v>2134</v>
      </c>
      <c r="C1883" s="17" t="s">
        <v>2459</v>
      </c>
      <c r="D1883" s="17" t="str">
        <f>_xlfn.XLOOKUP(Raw_LIMS_Export!E1883,'mapping Site table'!$B$4:$B$14,'mapping Site table'!$C$4:$C$14,Raw_LIMS_Export!E1883)</f>
        <v>Vernier CH</v>
      </c>
      <c r="E1883" s="17" t="s">
        <v>2485</v>
      </c>
      <c r="F1883" s="17">
        <f t="shared" si="88"/>
        <v>1</v>
      </c>
      <c r="G1883" s="17" t="str">
        <f t="shared" si="89"/>
        <v>Pass</v>
      </c>
      <c r="H1883" s="17" t="str">
        <f t="shared" si="87"/>
        <v>Pass</v>
      </c>
      <c r="I1883" s="17">
        <v>41.89</v>
      </c>
      <c r="J1883" s="17" t="s">
        <v>2490</v>
      </c>
      <c r="K1883" s="17">
        <v>0</v>
      </c>
      <c r="L1883" s="17">
        <v>100</v>
      </c>
      <c r="M1883" s="18">
        <f>Raw_LIMS_Export!K1883</f>
        <v>45721</v>
      </c>
      <c r="N1883" s="19" t="s">
        <v>2924</v>
      </c>
    </row>
    <row r="1884" spans="1:14" x14ac:dyDescent="0.35">
      <c r="A1884" s="16" t="s">
        <v>1880</v>
      </c>
      <c r="B1884" s="17" t="s">
        <v>2106</v>
      </c>
      <c r="C1884" s="17" t="s">
        <v>2461</v>
      </c>
      <c r="D1884" s="17" t="str">
        <f>_xlfn.XLOOKUP(Raw_LIMS_Export!E1884,'mapping Site table'!$B$4:$B$14,'mapping Site table'!$C$4:$C$14,Raw_LIMS_Export!E1884)</f>
        <v>Vernier CH</v>
      </c>
      <c r="E1884" s="17" t="s">
        <v>2482</v>
      </c>
      <c r="F1884" s="17">
        <f t="shared" si="88"/>
        <v>1</v>
      </c>
      <c r="G1884" s="17" t="str">
        <f t="shared" si="89"/>
        <v>Pass</v>
      </c>
      <c r="H1884" s="17" t="str">
        <f t="shared" si="87"/>
        <v>Fail</v>
      </c>
      <c r="I1884" s="17">
        <v>98.37</v>
      </c>
      <c r="J1884" s="17" t="s">
        <v>2489</v>
      </c>
      <c r="K1884" s="17">
        <v>97</v>
      </c>
      <c r="L1884" s="17">
        <v>100</v>
      </c>
      <c r="M1884" s="18">
        <f>Raw_LIMS_Export!K1884</f>
        <v>45388</v>
      </c>
      <c r="N1884" s="19" t="s">
        <v>2929</v>
      </c>
    </row>
    <row r="1885" spans="1:14" x14ac:dyDescent="0.35">
      <c r="A1885" s="16" t="s">
        <v>1881</v>
      </c>
      <c r="B1885" s="17" t="s">
        <v>2181</v>
      </c>
      <c r="C1885" s="17" t="s">
        <v>2459</v>
      </c>
      <c r="D1885" s="17" t="str">
        <f>_xlfn.XLOOKUP(Raw_LIMS_Export!E1885,'mapping Site table'!$B$4:$B$14,'mapping Site table'!$C$4:$C$14,Raw_LIMS_Export!E1885)</f>
        <v>Vernier CH</v>
      </c>
      <c r="E1885" s="17" t="s">
        <v>2481</v>
      </c>
      <c r="F1885" s="17">
        <f t="shared" si="88"/>
        <v>1</v>
      </c>
      <c r="G1885" s="17" t="str">
        <f t="shared" si="89"/>
        <v>Pass</v>
      </c>
      <c r="H1885" s="17" t="str">
        <f t="shared" si="87"/>
        <v>Fail</v>
      </c>
      <c r="I1885" s="17">
        <v>228.57</v>
      </c>
      <c r="J1885" s="17" t="s">
        <v>2488</v>
      </c>
      <c r="K1885" s="17">
        <v>150</v>
      </c>
      <c r="L1885" s="17">
        <v>400</v>
      </c>
      <c r="M1885" s="18">
        <f>Raw_LIMS_Export!K1885</f>
        <v>45500</v>
      </c>
      <c r="N1885" s="19" t="s">
        <v>2932</v>
      </c>
    </row>
    <row r="1886" spans="1:14" x14ac:dyDescent="0.35">
      <c r="A1886" s="16" t="s">
        <v>1882</v>
      </c>
      <c r="B1886" s="17" t="s">
        <v>2318</v>
      </c>
      <c r="C1886" s="17" t="s">
        <v>2461</v>
      </c>
      <c r="D1886" s="17" t="str">
        <f>_xlfn.XLOOKUP(Raw_LIMS_Export!E1886,'mapping Site table'!$B$4:$B$14,'mapping Site table'!$C$4:$C$14,Raw_LIMS_Export!E1886)</f>
        <v>Budapest</v>
      </c>
      <c r="E1886" s="17" t="s">
        <v>2481</v>
      </c>
      <c r="F1886" s="17">
        <f t="shared" si="88"/>
        <v>1</v>
      </c>
      <c r="G1886" s="17" t="str">
        <f t="shared" si="89"/>
        <v>Pass</v>
      </c>
      <c r="H1886" s="17" t="str">
        <f t="shared" si="87"/>
        <v>Pass</v>
      </c>
      <c r="I1886" s="17">
        <v>239.97</v>
      </c>
      <c r="J1886" s="17" t="s">
        <v>2488</v>
      </c>
      <c r="K1886" s="17">
        <v>150</v>
      </c>
      <c r="L1886" s="17">
        <v>400</v>
      </c>
      <c r="M1886" s="18">
        <f>Raw_LIMS_Export!K1886</f>
        <v>45458</v>
      </c>
      <c r="N1886" s="19" t="s">
        <v>2928</v>
      </c>
    </row>
    <row r="1887" spans="1:14" x14ac:dyDescent="0.35">
      <c r="A1887" s="16" t="s">
        <v>1883</v>
      </c>
      <c r="B1887" s="17" t="s">
        <v>2435</v>
      </c>
      <c r="C1887" s="17" t="s">
        <v>2460</v>
      </c>
      <c r="D1887" s="17" t="str">
        <f>_xlfn.XLOOKUP(Raw_LIMS_Export!E1887,'mapping Site table'!$B$4:$B$14,'mapping Site table'!$C$4:$C$14,Raw_LIMS_Export!E1887)</f>
        <v>Ashford UK</v>
      </c>
      <c r="E1887" s="17" t="s">
        <v>2480</v>
      </c>
      <c r="F1887" s="17">
        <f t="shared" si="88"/>
        <v>1</v>
      </c>
      <c r="G1887" s="17" t="str">
        <f t="shared" si="89"/>
        <v>Pass</v>
      </c>
      <c r="H1887" s="17" t="str">
        <f t="shared" si="87"/>
        <v>Pass</v>
      </c>
      <c r="I1887" s="17">
        <v>0.9</v>
      </c>
      <c r="J1887" s="17" t="s">
        <v>2487</v>
      </c>
      <c r="K1887" s="17">
        <v>0.88</v>
      </c>
      <c r="L1887" s="17">
        <v>0.97</v>
      </c>
      <c r="M1887" s="18">
        <f>Raw_LIMS_Export!K1887</f>
        <v>45806</v>
      </c>
      <c r="N1887" s="19" t="s">
        <v>2929</v>
      </c>
    </row>
    <row r="1888" spans="1:14" x14ac:dyDescent="0.35">
      <c r="A1888" s="16" t="s">
        <v>1884</v>
      </c>
      <c r="B1888" s="17" t="s">
        <v>2405</v>
      </c>
      <c r="C1888" s="17" t="s">
        <v>2457</v>
      </c>
      <c r="D1888" s="17" t="str">
        <f>_xlfn.XLOOKUP(Raw_LIMS_Export!E1888,'mapping Site table'!$B$4:$B$14,'mapping Site table'!$C$4:$C$14,Raw_LIMS_Export!E1888)</f>
        <v>East Hanover</v>
      </c>
      <c r="E1888" s="17" t="s">
        <v>2484</v>
      </c>
      <c r="F1888" s="17">
        <f t="shared" si="88"/>
        <v>1</v>
      </c>
      <c r="G1888" s="17" t="str">
        <f t="shared" si="89"/>
        <v>Pass</v>
      </c>
      <c r="H1888" s="17" t="str">
        <f t="shared" si="87"/>
        <v>Pass</v>
      </c>
      <c r="I1888" s="17">
        <v>7.45</v>
      </c>
      <c r="J1888" s="17"/>
      <c r="K1888" s="17">
        <v>6</v>
      </c>
      <c r="L1888" s="17">
        <v>7.5</v>
      </c>
      <c r="M1888" s="18">
        <f>Raw_LIMS_Export!K1888</f>
        <v>45926</v>
      </c>
      <c r="N1888" s="19" t="s">
        <v>2931</v>
      </c>
    </row>
    <row r="1889" spans="1:14" x14ac:dyDescent="0.35">
      <c r="A1889" s="16" t="s">
        <v>1885</v>
      </c>
      <c r="B1889" s="17" t="s">
        <v>2011</v>
      </c>
      <c r="C1889" s="17" t="s">
        <v>2457</v>
      </c>
      <c r="D1889" s="17" t="str">
        <f>_xlfn.XLOOKUP(Raw_LIMS_Export!E1889,'mapping Site table'!$B$4:$B$14,'mapping Site table'!$C$4:$C$14,Raw_LIMS_Export!E1889)</f>
        <v>Ashford UK</v>
      </c>
      <c r="E1889" s="17" t="s">
        <v>2480</v>
      </c>
      <c r="F1889" s="17">
        <f t="shared" si="88"/>
        <v>1</v>
      </c>
      <c r="G1889" s="17" t="str">
        <f t="shared" si="89"/>
        <v>Pass</v>
      </c>
      <c r="H1889" s="17" t="str">
        <f t="shared" si="87"/>
        <v>Pending</v>
      </c>
      <c r="I1889" s="17">
        <v>0.96</v>
      </c>
      <c r="J1889" s="17" t="s">
        <v>2487</v>
      </c>
      <c r="K1889" s="17">
        <v>0.88</v>
      </c>
      <c r="L1889" s="17">
        <v>0.97</v>
      </c>
      <c r="M1889" s="18">
        <f>Raw_LIMS_Export!K1889</f>
        <v>45350</v>
      </c>
      <c r="N1889" s="19" t="s">
        <v>2928</v>
      </c>
    </row>
    <row r="1890" spans="1:14" x14ac:dyDescent="0.35">
      <c r="A1890" s="16" t="s">
        <v>1886</v>
      </c>
      <c r="B1890" s="17" t="s">
        <v>2305</v>
      </c>
      <c r="C1890" s="17" t="s">
        <v>2458</v>
      </c>
      <c r="D1890" s="17" t="str">
        <f>_xlfn.XLOOKUP(Raw_LIMS_Export!E1890,'mapping Site table'!$B$4:$B$14,'mapping Site table'!$C$4:$C$14,Raw_LIMS_Export!E1890)</f>
        <v>Vernier CH</v>
      </c>
      <c r="E1890" s="17" t="s">
        <v>2480</v>
      </c>
      <c r="F1890" s="17">
        <f t="shared" si="88"/>
        <v>1</v>
      </c>
      <c r="G1890" s="17" t="str">
        <f t="shared" si="89"/>
        <v>Pass</v>
      </c>
      <c r="H1890" s="17" t="str">
        <f t="shared" si="87"/>
        <v>Pass</v>
      </c>
      <c r="I1890" s="17">
        <v>0.97</v>
      </c>
      <c r="J1890" s="17" t="s">
        <v>2487</v>
      </c>
      <c r="K1890" s="17">
        <v>0.88</v>
      </c>
      <c r="L1890" s="17">
        <v>0.97</v>
      </c>
      <c r="M1890" s="18">
        <f>Raw_LIMS_Export!K1890</f>
        <v>45959</v>
      </c>
      <c r="N1890" s="19" t="s">
        <v>2925</v>
      </c>
    </row>
    <row r="1891" spans="1:14" x14ac:dyDescent="0.35">
      <c r="A1891" s="16" t="s">
        <v>1887</v>
      </c>
      <c r="B1891" s="17" t="s">
        <v>2284</v>
      </c>
      <c r="C1891" s="17" t="s">
        <v>2461</v>
      </c>
      <c r="D1891" s="17" t="str">
        <f>_xlfn.XLOOKUP(Raw_LIMS_Export!E1891,'mapping Site table'!$B$4:$B$14,'mapping Site table'!$C$4:$C$14,Raw_LIMS_Export!E1891)</f>
        <v>Budapest</v>
      </c>
      <c r="E1891" s="17" t="s">
        <v>2481</v>
      </c>
      <c r="F1891" s="17">
        <f t="shared" si="88"/>
        <v>1</v>
      </c>
      <c r="G1891" s="17" t="str">
        <f t="shared" si="89"/>
        <v>Pass</v>
      </c>
      <c r="H1891" s="17" t="str">
        <f t="shared" si="87"/>
        <v>Pending</v>
      </c>
      <c r="I1891" s="17">
        <v>241.13</v>
      </c>
      <c r="J1891" s="17" t="s">
        <v>2488</v>
      </c>
      <c r="K1891" s="17">
        <v>150</v>
      </c>
      <c r="L1891" s="17">
        <v>400</v>
      </c>
      <c r="M1891" s="18">
        <f>Raw_LIMS_Export!K1891</f>
        <v>45542</v>
      </c>
      <c r="N1891" s="19" t="s">
        <v>2931</v>
      </c>
    </row>
    <row r="1892" spans="1:14" x14ac:dyDescent="0.35">
      <c r="A1892" s="16" t="s">
        <v>1888</v>
      </c>
      <c r="B1892" s="17" t="s">
        <v>2096</v>
      </c>
      <c r="C1892" s="17" t="s">
        <v>2460</v>
      </c>
      <c r="D1892" s="17" t="str">
        <f>_xlfn.XLOOKUP(Raw_LIMS_Export!E1892,'mapping Site table'!$B$4:$B$14,'mapping Site table'!$C$4:$C$14,Raw_LIMS_Export!E1892)</f>
        <v>East Hanover</v>
      </c>
      <c r="E1892" s="17" t="s">
        <v>2482</v>
      </c>
      <c r="F1892" s="17">
        <f t="shared" si="88"/>
        <v>1</v>
      </c>
      <c r="G1892" s="17" t="str">
        <f t="shared" si="89"/>
        <v>Pass</v>
      </c>
      <c r="H1892" s="17" t="str">
        <f t="shared" si="87"/>
        <v>Pass</v>
      </c>
      <c r="I1892" s="17">
        <v>99.29</v>
      </c>
      <c r="J1892" s="17" t="s">
        <v>2489</v>
      </c>
      <c r="K1892" s="17">
        <v>97</v>
      </c>
      <c r="L1892" s="17">
        <v>100</v>
      </c>
      <c r="M1892" s="18">
        <f>Raw_LIMS_Export!K1892</f>
        <v>45385</v>
      </c>
      <c r="N1892" s="19" t="s">
        <v>2925</v>
      </c>
    </row>
    <row r="1893" spans="1:14" x14ac:dyDescent="0.35">
      <c r="A1893" s="16" t="s">
        <v>1889</v>
      </c>
      <c r="B1893" s="17" t="s">
        <v>2219</v>
      </c>
      <c r="C1893" s="17" t="s">
        <v>2460</v>
      </c>
      <c r="D1893" s="17" t="str">
        <f>_xlfn.XLOOKUP(Raw_LIMS_Export!E1893,'mapping Site table'!$B$4:$B$14,'mapping Site table'!$C$4:$C$14,Raw_LIMS_Export!E1893)</f>
        <v>East Hanover</v>
      </c>
      <c r="E1893" s="17" t="s">
        <v>2483</v>
      </c>
      <c r="F1893" s="17">
        <f t="shared" si="88"/>
        <v>1</v>
      </c>
      <c r="G1893" s="17" t="str">
        <f t="shared" si="89"/>
        <v>Pass</v>
      </c>
      <c r="H1893" s="17" t="str">
        <f t="shared" si="87"/>
        <v>Fail</v>
      </c>
      <c r="I1893" s="17">
        <v>0.43</v>
      </c>
      <c r="J1893" s="17" t="s">
        <v>2489</v>
      </c>
      <c r="K1893" s="17">
        <v>0</v>
      </c>
      <c r="L1893" s="17">
        <v>1</v>
      </c>
      <c r="M1893" s="18">
        <f>Raw_LIMS_Export!K1893</f>
        <v>45626</v>
      </c>
      <c r="N1893" s="19" t="s">
        <v>2932</v>
      </c>
    </row>
    <row r="1894" spans="1:14" x14ac:dyDescent="0.35">
      <c r="A1894" s="16" t="s">
        <v>1890</v>
      </c>
      <c r="B1894" s="17" t="s">
        <v>2418</v>
      </c>
      <c r="C1894" s="17" t="s">
        <v>2458</v>
      </c>
      <c r="D1894" s="17" t="str">
        <f>_xlfn.XLOOKUP(Raw_LIMS_Export!E1894,'mapping Site table'!$B$4:$B$14,'mapping Site table'!$C$4:$C$14,Raw_LIMS_Export!E1894)</f>
        <v>Vernier CH</v>
      </c>
      <c r="E1894" s="17" t="s">
        <v>2484</v>
      </c>
      <c r="F1894" s="17">
        <f t="shared" si="88"/>
        <v>1</v>
      </c>
      <c r="G1894" s="17" t="str">
        <f t="shared" si="89"/>
        <v>Pass</v>
      </c>
      <c r="H1894" s="17" t="str">
        <f t="shared" si="87"/>
        <v>Pass</v>
      </c>
      <c r="I1894" s="17">
        <v>6.56</v>
      </c>
      <c r="J1894" s="17"/>
      <c r="K1894" s="17">
        <v>6</v>
      </c>
      <c r="L1894" s="17">
        <v>7.5</v>
      </c>
      <c r="M1894" s="18">
        <f>Raw_LIMS_Export!K1894</f>
        <v>45759</v>
      </c>
      <c r="N1894" s="19" t="s">
        <v>2928</v>
      </c>
    </row>
    <row r="1895" spans="1:14" x14ac:dyDescent="0.35">
      <c r="A1895" s="16" t="s">
        <v>1891</v>
      </c>
      <c r="B1895" s="17" t="s">
        <v>2014</v>
      </c>
      <c r="C1895" s="17" t="s">
        <v>2459</v>
      </c>
      <c r="D1895" s="17" t="str">
        <f>_xlfn.XLOOKUP(Raw_LIMS_Export!E1895,'mapping Site table'!$B$4:$B$14,'mapping Site table'!$C$4:$C$14,Raw_LIMS_Export!E1895)</f>
        <v>Vernier CH</v>
      </c>
      <c r="E1895" s="17" t="s">
        <v>2480</v>
      </c>
      <c r="F1895" s="17">
        <f t="shared" si="88"/>
        <v>1</v>
      </c>
      <c r="G1895" s="17" t="str">
        <f t="shared" si="89"/>
        <v>Pass</v>
      </c>
      <c r="H1895" s="17" t="str">
        <f t="shared" si="87"/>
        <v>Pass</v>
      </c>
      <c r="I1895" s="17">
        <v>0.91</v>
      </c>
      <c r="J1895" s="17" t="s">
        <v>2487</v>
      </c>
      <c r="K1895" s="17">
        <v>0.88</v>
      </c>
      <c r="L1895" s="17">
        <v>0.97</v>
      </c>
      <c r="M1895" s="18">
        <f>Raw_LIMS_Export!K1895</f>
        <v>45982</v>
      </c>
      <c r="N1895" s="19" t="s">
        <v>2924</v>
      </c>
    </row>
    <row r="1896" spans="1:14" x14ac:dyDescent="0.35">
      <c r="A1896" s="16" t="s">
        <v>1892</v>
      </c>
      <c r="B1896" s="17" t="s">
        <v>2385</v>
      </c>
      <c r="C1896" s="17" t="s">
        <v>2457</v>
      </c>
      <c r="D1896" s="17" t="str">
        <f>_xlfn.XLOOKUP(Raw_LIMS_Export!E1896,'mapping Site table'!$B$4:$B$14,'mapping Site table'!$C$4:$C$14,Raw_LIMS_Export!E1896)</f>
        <v>East Hanover</v>
      </c>
      <c r="E1896" s="17" t="s">
        <v>2484</v>
      </c>
      <c r="F1896" s="17">
        <f t="shared" si="88"/>
        <v>1</v>
      </c>
      <c r="G1896" s="17" t="str">
        <f t="shared" si="89"/>
        <v>Pass</v>
      </c>
      <c r="H1896" s="17" t="str">
        <f t="shared" si="87"/>
        <v>Pass</v>
      </c>
      <c r="I1896" s="17">
        <v>6.49</v>
      </c>
      <c r="J1896" s="17"/>
      <c r="K1896" s="17">
        <v>6</v>
      </c>
      <c r="L1896" s="17">
        <v>7.5</v>
      </c>
      <c r="M1896" s="18">
        <f>Raw_LIMS_Export!K1896</f>
        <v>45790</v>
      </c>
      <c r="N1896" s="19" t="s">
        <v>2923</v>
      </c>
    </row>
    <row r="1897" spans="1:14" x14ac:dyDescent="0.35">
      <c r="A1897" s="16" t="s">
        <v>1893</v>
      </c>
      <c r="B1897" s="17" t="s">
        <v>2118</v>
      </c>
      <c r="C1897" s="17" t="s">
        <v>2457</v>
      </c>
      <c r="D1897" s="17" t="str">
        <f>_xlfn.XLOOKUP(Raw_LIMS_Export!E1897,'mapping Site table'!$B$4:$B$14,'mapping Site table'!$C$4:$C$14,Raw_LIMS_Export!E1897)</f>
        <v>Vernier CH</v>
      </c>
      <c r="E1897" s="17" t="s">
        <v>2481</v>
      </c>
      <c r="F1897" s="17">
        <f t="shared" si="88"/>
        <v>0</v>
      </c>
      <c r="G1897" s="17" t="str">
        <f t="shared" si="89"/>
        <v>Missing</v>
      </c>
      <c r="H1897" s="17" t="str">
        <f t="shared" si="87"/>
        <v>Pending</v>
      </c>
      <c r="I1897" s="17"/>
      <c r="J1897" s="17" t="s">
        <v>2488</v>
      </c>
      <c r="K1897" s="17">
        <v>150</v>
      </c>
      <c r="L1897" s="17">
        <v>400</v>
      </c>
      <c r="M1897" s="18">
        <f>Raw_LIMS_Export!K1897</f>
        <v>45634</v>
      </c>
      <c r="N1897" s="19" t="s">
        <v>2923</v>
      </c>
    </row>
    <row r="1898" spans="1:14" x14ac:dyDescent="0.35">
      <c r="A1898" s="16" t="s">
        <v>1894</v>
      </c>
      <c r="B1898" s="17" t="s">
        <v>2387</v>
      </c>
      <c r="C1898" s="17" t="s">
        <v>2457</v>
      </c>
      <c r="D1898" s="17" t="str">
        <f>_xlfn.XLOOKUP(Raw_LIMS_Export!E1898,'mapping Site table'!$B$4:$B$14,'mapping Site table'!$C$4:$C$14,Raw_LIMS_Export!E1898)</f>
        <v>Ashford UK</v>
      </c>
      <c r="E1898" s="17" t="s">
        <v>2484</v>
      </c>
      <c r="F1898" s="17">
        <f t="shared" si="88"/>
        <v>1</v>
      </c>
      <c r="G1898" s="17" t="str">
        <f t="shared" si="89"/>
        <v>Pass</v>
      </c>
      <c r="H1898" s="17" t="str">
        <f t="shared" si="87"/>
        <v>Pass</v>
      </c>
      <c r="I1898" s="17">
        <v>6.94</v>
      </c>
      <c r="J1898" s="17"/>
      <c r="K1898" s="17">
        <v>6</v>
      </c>
      <c r="L1898" s="17">
        <v>7.5</v>
      </c>
      <c r="M1898" s="18">
        <f>Raw_LIMS_Export!K1898</f>
        <v>45621</v>
      </c>
      <c r="N1898" s="19" t="s">
        <v>2931</v>
      </c>
    </row>
    <row r="1899" spans="1:14" x14ac:dyDescent="0.35">
      <c r="A1899" s="16" t="s">
        <v>1895</v>
      </c>
      <c r="B1899" s="17" t="s">
        <v>2189</v>
      </c>
      <c r="C1899" s="17" t="s">
        <v>2461</v>
      </c>
      <c r="D1899" s="17" t="str">
        <f>_xlfn.XLOOKUP(Raw_LIMS_Export!E1899,'mapping Site table'!$B$4:$B$14,'mapping Site table'!$C$4:$C$14,Raw_LIMS_Export!E1899)</f>
        <v>Budapest</v>
      </c>
      <c r="E1899" s="17" t="s">
        <v>2480</v>
      </c>
      <c r="F1899" s="17">
        <f t="shared" si="88"/>
        <v>1</v>
      </c>
      <c r="G1899" s="17" t="str">
        <f t="shared" si="89"/>
        <v>Pass</v>
      </c>
      <c r="H1899" s="17" t="str">
        <f t="shared" si="87"/>
        <v>Pass</v>
      </c>
      <c r="I1899" s="17">
        <v>0.9</v>
      </c>
      <c r="J1899" s="17" t="s">
        <v>2487</v>
      </c>
      <c r="K1899" s="17">
        <v>0.88</v>
      </c>
      <c r="L1899" s="17">
        <v>0.97</v>
      </c>
      <c r="M1899" s="18">
        <f>Raw_LIMS_Export!K1899</f>
        <v>45691</v>
      </c>
      <c r="N1899" s="19" t="s">
        <v>2926</v>
      </c>
    </row>
    <row r="1900" spans="1:14" x14ac:dyDescent="0.35">
      <c r="A1900" s="16" t="s">
        <v>1896</v>
      </c>
      <c r="B1900" s="17" t="s">
        <v>2265</v>
      </c>
      <c r="C1900" s="17" t="s">
        <v>2460</v>
      </c>
      <c r="D1900" s="17" t="str">
        <f>_xlfn.XLOOKUP(Raw_LIMS_Export!E1900,'mapping Site table'!$B$4:$B$14,'mapping Site table'!$C$4:$C$14,Raw_LIMS_Export!E1900)</f>
        <v>Budapest</v>
      </c>
      <c r="E1900" s="17" t="s">
        <v>2485</v>
      </c>
      <c r="F1900" s="17">
        <f t="shared" si="88"/>
        <v>1</v>
      </c>
      <c r="G1900" s="17" t="str">
        <f t="shared" si="89"/>
        <v>Pass</v>
      </c>
      <c r="H1900" s="17" t="str">
        <f t="shared" si="87"/>
        <v>Pass</v>
      </c>
      <c r="I1900" s="17">
        <v>44.96</v>
      </c>
      <c r="J1900" s="17" t="s">
        <v>2490</v>
      </c>
      <c r="K1900" s="17">
        <v>0</v>
      </c>
      <c r="L1900" s="17">
        <v>100</v>
      </c>
      <c r="M1900" s="18">
        <f>Raw_LIMS_Export!K1900</f>
        <v>45521</v>
      </c>
      <c r="N1900" s="19" t="s">
        <v>2926</v>
      </c>
    </row>
    <row r="1901" spans="1:14" x14ac:dyDescent="0.35">
      <c r="A1901" s="16" t="s">
        <v>1897</v>
      </c>
      <c r="B1901" s="17" t="s">
        <v>2079</v>
      </c>
      <c r="C1901" s="17" t="s">
        <v>2459</v>
      </c>
      <c r="D1901" s="17" t="str">
        <f>_xlfn.XLOOKUP(Raw_LIMS_Export!E1901,'mapping Site table'!$B$4:$B$14,'mapping Site table'!$C$4:$C$14,Raw_LIMS_Export!E1901)</f>
        <v>Ashford UK</v>
      </c>
      <c r="E1901" s="17" t="s">
        <v>2480</v>
      </c>
      <c r="F1901" s="17">
        <f t="shared" si="88"/>
        <v>1</v>
      </c>
      <c r="G1901" s="17" t="str">
        <f t="shared" si="89"/>
        <v>Pass</v>
      </c>
      <c r="H1901" s="17" t="str">
        <f t="shared" si="87"/>
        <v>Pass</v>
      </c>
      <c r="I1901" s="17">
        <v>0.93</v>
      </c>
      <c r="J1901" s="17" t="s">
        <v>2487</v>
      </c>
      <c r="K1901" s="17">
        <v>0.88</v>
      </c>
      <c r="L1901" s="17">
        <v>0.97</v>
      </c>
      <c r="M1901" s="18">
        <f>Raw_LIMS_Export!K1901</f>
        <v>45860</v>
      </c>
      <c r="N1901" s="19" t="s">
        <v>2923</v>
      </c>
    </row>
    <row r="1902" spans="1:14" x14ac:dyDescent="0.35">
      <c r="A1902" s="16" t="s">
        <v>1898</v>
      </c>
      <c r="B1902" s="17" t="s">
        <v>2125</v>
      </c>
      <c r="C1902" s="17" t="s">
        <v>2460</v>
      </c>
      <c r="D1902" s="17" t="str">
        <f>_xlfn.XLOOKUP(Raw_LIMS_Export!E1902,'mapping Site table'!$B$4:$B$14,'mapping Site table'!$C$4:$C$14,Raw_LIMS_Export!E1902)</f>
        <v>Budapest</v>
      </c>
      <c r="E1902" s="17" t="s">
        <v>2479</v>
      </c>
      <c r="F1902" s="17">
        <f t="shared" si="88"/>
        <v>1</v>
      </c>
      <c r="G1902" s="17" t="str">
        <f t="shared" si="89"/>
        <v>Pass</v>
      </c>
      <c r="H1902" s="17" t="str">
        <f t="shared" si="87"/>
        <v>Pass</v>
      </c>
      <c r="I1902" s="17">
        <v>33.409999999999997</v>
      </c>
      <c r="J1902" s="17" t="s">
        <v>2486</v>
      </c>
      <c r="K1902" s="17">
        <v>0</v>
      </c>
      <c r="L1902" s="17">
        <v>120</v>
      </c>
      <c r="M1902" s="18">
        <f>Raw_LIMS_Export!K1902</f>
        <v>45544</v>
      </c>
      <c r="N1902" s="19" t="s">
        <v>2926</v>
      </c>
    </row>
    <row r="1903" spans="1:14" x14ac:dyDescent="0.35">
      <c r="A1903" s="16" t="s">
        <v>1899</v>
      </c>
      <c r="B1903" s="17" t="s">
        <v>2363</v>
      </c>
      <c r="C1903" s="17" t="s">
        <v>2459</v>
      </c>
      <c r="D1903" s="17" t="str">
        <f>_xlfn.XLOOKUP(Raw_LIMS_Export!E1903,'mapping Site table'!$B$4:$B$14,'mapping Site table'!$C$4:$C$14,Raw_LIMS_Export!E1903)</f>
        <v>Dortmund DE</v>
      </c>
      <c r="E1903" s="17" t="s">
        <v>2485</v>
      </c>
      <c r="F1903" s="17">
        <f t="shared" si="88"/>
        <v>1</v>
      </c>
      <c r="G1903" s="17" t="str">
        <f t="shared" si="89"/>
        <v>Pass</v>
      </c>
      <c r="H1903" s="17" t="str">
        <f t="shared" si="87"/>
        <v>Pass</v>
      </c>
      <c r="I1903" s="17">
        <v>17.5</v>
      </c>
      <c r="J1903" s="17" t="s">
        <v>2490</v>
      </c>
      <c r="K1903" s="17">
        <v>0</v>
      </c>
      <c r="L1903" s="17">
        <v>100</v>
      </c>
      <c r="M1903" s="18">
        <f>Raw_LIMS_Export!K1903</f>
        <v>45789</v>
      </c>
      <c r="N1903" s="19" t="s">
        <v>2929</v>
      </c>
    </row>
    <row r="1904" spans="1:14" x14ac:dyDescent="0.35">
      <c r="A1904" s="16" t="s">
        <v>1900</v>
      </c>
      <c r="B1904" s="17" t="s">
        <v>2086</v>
      </c>
      <c r="C1904" s="17" t="s">
        <v>2459</v>
      </c>
      <c r="D1904" s="17" t="str">
        <f>_xlfn.XLOOKUP(Raw_LIMS_Export!E1904,'mapping Site table'!$B$4:$B$14,'mapping Site table'!$C$4:$C$14,Raw_LIMS_Export!E1904)</f>
        <v>Ashford UK</v>
      </c>
      <c r="E1904" s="17" t="s">
        <v>2482</v>
      </c>
      <c r="F1904" s="17">
        <f t="shared" si="88"/>
        <v>1</v>
      </c>
      <c r="G1904" s="17" t="str">
        <f t="shared" si="89"/>
        <v>Pass</v>
      </c>
      <c r="H1904" s="17" t="str">
        <f t="shared" si="87"/>
        <v>Fail</v>
      </c>
      <c r="I1904" s="17">
        <v>98.15</v>
      </c>
      <c r="J1904" s="17" t="s">
        <v>2489</v>
      </c>
      <c r="K1904" s="17">
        <v>97</v>
      </c>
      <c r="L1904" s="17">
        <v>100</v>
      </c>
      <c r="M1904" s="18">
        <f>Raw_LIMS_Export!K1904</f>
        <v>45668</v>
      </c>
      <c r="N1904" s="19" t="s">
        <v>2928</v>
      </c>
    </row>
    <row r="1905" spans="1:14" x14ac:dyDescent="0.35">
      <c r="A1905" s="16" t="s">
        <v>1901</v>
      </c>
      <c r="B1905" s="17" t="s">
        <v>2261</v>
      </c>
      <c r="C1905" s="17" t="s">
        <v>2457</v>
      </c>
      <c r="D1905" s="17" t="str">
        <f>_xlfn.XLOOKUP(Raw_LIMS_Export!E1905,'mapping Site table'!$B$4:$B$14,'mapping Site table'!$C$4:$C$14,Raw_LIMS_Export!E1905)</f>
        <v>Ashford UK</v>
      </c>
      <c r="E1905" s="17" t="s">
        <v>2481</v>
      </c>
      <c r="F1905" s="17">
        <f t="shared" si="88"/>
        <v>0</v>
      </c>
      <c r="G1905" s="17" t="str">
        <f t="shared" si="89"/>
        <v>Missing</v>
      </c>
      <c r="H1905" s="17" t="str">
        <f t="shared" si="87"/>
        <v>Pending</v>
      </c>
      <c r="I1905" s="17"/>
      <c r="J1905" s="17" t="s">
        <v>2488</v>
      </c>
      <c r="K1905" s="17">
        <v>150</v>
      </c>
      <c r="L1905" s="17">
        <v>400</v>
      </c>
      <c r="M1905" s="18">
        <f>Raw_LIMS_Export!K1905</f>
        <v>45409</v>
      </c>
      <c r="N1905" s="19" t="s">
        <v>2925</v>
      </c>
    </row>
    <row r="1906" spans="1:14" x14ac:dyDescent="0.35">
      <c r="A1906" s="16" t="s">
        <v>1902</v>
      </c>
      <c r="B1906" s="17" t="s">
        <v>2160</v>
      </c>
      <c r="C1906" s="17" t="s">
        <v>2458</v>
      </c>
      <c r="D1906" s="17" t="str">
        <f>_xlfn.XLOOKUP(Raw_LIMS_Export!E1906,'mapping Site table'!$B$4:$B$14,'mapping Site table'!$C$4:$C$14,Raw_LIMS_Export!E1906)</f>
        <v>Dortmund DE</v>
      </c>
      <c r="E1906" s="17" t="s">
        <v>2481</v>
      </c>
      <c r="F1906" s="17">
        <f t="shared" si="88"/>
        <v>1</v>
      </c>
      <c r="G1906" s="17" t="str">
        <f t="shared" si="89"/>
        <v>Pass</v>
      </c>
      <c r="H1906" s="17" t="str">
        <f t="shared" si="87"/>
        <v>Pass</v>
      </c>
      <c r="I1906" s="17">
        <v>175.5</v>
      </c>
      <c r="J1906" s="17" t="s">
        <v>2488</v>
      </c>
      <c r="K1906" s="17">
        <v>150</v>
      </c>
      <c r="L1906" s="17">
        <v>400</v>
      </c>
      <c r="M1906" s="18">
        <f>Raw_LIMS_Export!K1906</f>
        <v>45476</v>
      </c>
      <c r="N1906" s="19" t="s">
        <v>2924</v>
      </c>
    </row>
    <row r="1907" spans="1:14" x14ac:dyDescent="0.35">
      <c r="A1907" s="16" t="s">
        <v>1903</v>
      </c>
      <c r="B1907" s="17" t="s">
        <v>2373</v>
      </c>
      <c r="C1907" s="17" t="s">
        <v>2458</v>
      </c>
      <c r="D1907" s="17" t="str">
        <f>_xlfn.XLOOKUP(Raw_LIMS_Export!E1907,'mapping Site table'!$B$4:$B$14,'mapping Site table'!$C$4:$C$14,Raw_LIMS_Export!E1907)</f>
        <v>Budapest</v>
      </c>
      <c r="E1907" s="17" t="s">
        <v>2480</v>
      </c>
      <c r="F1907" s="17">
        <f t="shared" si="88"/>
        <v>1</v>
      </c>
      <c r="G1907" s="17" t="str">
        <f t="shared" si="89"/>
        <v>Pass</v>
      </c>
      <c r="H1907" s="17" t="str">
        <f t="shared" si="87"/>
        <v>Fail</v>
      </c>
      <c r="I1907" s="17">
        <v>0.94</v>
      </c>
      <c r="J1907" s="17" t="s">
        <v>2487</v>
      </c>
      <c r="K1907" s="17">
        <v>0.88</v>
      </c>
      <c r="L1907" s="17">
        <v>0.97</v>
      </c>
      <c r="M1907" s="18">
        <f>Raw_LIMS_Export!K1907</f>
        <v>45953</v>
      </c>
      <c r="N1907" s="19" t="s">
        <v>2924</v>
      </c>
    </row>
    <row r="1908" spans="1:14" x14ac:dyDescent="0.35">
      <c r="A1908" s="16" t="s">
        <v>1904</v>
      </c>
      <c r="B1908" s="17" t="s">
        <v>2013</v>
      </c>
      <c r="C1908" s="17" t="s">
        <v>2457</v>
      </c>
      <c r="D1908" s="17" t="str">
        <f>_xlfn.XLOOKUP(Raw_LIMS_Export!E1908,'mapping Site table'!$B$4:$B$14,'mapping Site table'!$C$4:$C$14,Raw_LIMS_Export!E1908)</f>
        <v>East Hanover</v>
      </c>
      <c r="E1908" s="17" t="s">
        <v>2479</v>
      </c>
      <c r="F1908" s="17">
        <f t="shared" si="88"/>
        <v>1</v>
      </c>
      <c r="G1908" s="17" t="str">
        <f t="shared" si="89"/>
        <v>Pass</v>
      </c>
      <c r="H1908" s="17" t="str">
        <f t="shared" si="87"/>
        <v>Pass</v>
      </c>
      <c r="I1908" s="17">
        <v>36.520000000000003</v>
      </c>
      <c r="J1908" s="17" t="s">
        <v>2486</v>
      </c>
      <c r="K1908" s="17">
        <v>0</v>
      </c>
      <c r="L1908" s="17">
        <v>120</v>
      </c>
      <c r="M1908" s="18">
        <f>Raw_LIMS_Export!K1908</f>
        <v>45924</v>
      </c>
      <c r="N1908" s="19" t="s">
        <v>2931</v>
      </c>
    </row>
    <row r="1909" spans="1:14" x14ac:dyDescent="0.35">
      <c r="A1909" s="16" t="s">
        <v>1905</v>
      </c>
      <c r="B1909" s="17" t="s">
        <v>2164</v>
      </c>
      <c r="C1909" s="17" t="s">
        <v>2460</v>
      </c>
      <c r="D1909" s="17" t="str">
        <f>_xlfn.XLOOKUP(Raw_LIMS_Export!E1909,'mapping Site table'!$B$4:$B$14,'mapping Site table'!$C$4:$C$14,Raw_LIMS_Export!E1909)</f>
        <v>Ashford UK</v>
      </c>
      <c r="E1909" s="17" t="s">
        <v>2480</v>
      </c>
      <c r="F1909" s="17">
        <f t="shared" si="88"/>
        <v>1</v>
      </c>
      <c r="G1909" s="17" t="str">
        <f t="shared" si="89"/>
        <v>Pass</v>
      </c>
      <c r="H1909" s="17" t="str">
        <f t="shared" si="87"/>
        <v>Fail</v>
      </c>
      <c r="I1909" s="17">
        <v>0.96</v>
      </c>
      <c r="J1909" s="17" t="s">
        <v>2487</v>
      </c>
      <c r="K1909" s="17">
        <v>0.88</v>
      </c>
      <c r="L1909" s="17">
        <v>0.97</v>
      </c>
      <c r="M1909" s="18">
        <f>Raw_LIMS_Export!K1909</f>
        <v>45912</v>
      </c>
      <c r="N1909" s="19" t="s">
        <v>2925</v>
      </c>
    </row>
    <row r="1910" spans="1:14" x14ac:dyDescent="0.35">
      <c r="A1910" s="16" t="s">
        <v>1906</v>
      </c>
      <c r="B1910" s="17" t="s">
        <v>2167</v>
      </c>
      <c r="C1910" s="17" t="s">
        <v>2460</v>
      </c>
      <c r="D1910" s="17" t="str">
        <f>_xlfn.XLOOKUP(Raw_LIMS_Export!E1910,'mapping Site table'!$B$4:$B$14,'mapping Site table'!$C$4:$C$14,Raw_LIMS_Export!E1910)</f>
        <v>Vernier CH</v>
      </c>
      <c r="E1910" s="17" t="s">
        <v>2485</v>
      </c>
      <c r="F1910" s="17">
        <f t="shared" si="88"/>
        <v>0</v>
      </c>
      <c r="G1910" s="17" t="str">
        <f t="shared" si="89"/>
        <v>Missing</v>
      </c>
      <c r="H1910" s="17" t="str">
        <f t="shared" si="87"/>
        <v>Pending</v>
      </c>
      <c r="I1910" s="17"/>
      <c r="J1910" s="17" t="s">
        <v>2490</v>
      </c>
      <c r="K1910" s="17">
        <v>0</v>
      </c>
      <c r="L1910" s="17">
        <v>100</v>
      </c>
      <c r="M1910" s="18">
        <f>Raw_LIMS_Export!K1910</f>
        <v>45528</v>
      </c>
      <c r="N1910" s="19" t="s">
        <v>2931</v>
      </c>
    </row>
    <row r="1911" spans="1:14" x14ac:dyDescent="0.35">
      <c r="A1911" s="16" t="s">
        <v>1907</v>
      </c>
      <c r="B1911" s="17" t="s">
        <v>2432</v>
      </c>
      <c r="C1911" s="17" t="s">
        <v>2459</v>
      </c>
      <c r="D1911" s="17" t="str">
        <f>_xlfn.XLOOKUP(Raw_LIMS_Export!E1911,'mapping Site table'!$B$4:$B$14,'mapping Site table'!$C$4:$C$14,Raw_LIMS_Export!E1911)</f>
        <v>East Hanover</v>
      </c>
      <c r="E1911" s="17" t="s">
        <v>2481</v>
      </c>
      <c r="F1911" s="17">
        <f t="shared" si="88"/>
        <v>1</v>
      </c>
      <c r="G1911" s="17" t="str">
        <f t="shared" si="89"/>
        <v>Pass</v>
      </c>
      <c r="H1911" s="17" t="str">
        <f t="shared" si="87"/>
        <v>Pass</v>
      </c>
      <c r="I1911" s="17">
        <v>212.09</v>
      </c>
      <c r="J1911" s="17" t="s">
        <v>2488</v>
      </c>
      <c r="K1911" s="17">
        <v>150</v>
      </c>
      <c r="L1911" s="17">
        <v>400</v>
      </c>
      <c r="M1911" s="18">
        <f>Raw_LIMS_Export!K1911</f>
        <v>45457</v>
      </c>
      <c r="N1911" s="19" t="s">
        <v>2925</v>
      </c>
    </row>
    <row r="1912" spans="1:14" x14ac:dyDescent="0.35">
      <c r="A1912" s="16" t="s">
        <v>1908</v>
      </c>
      <c r="B1912" s="17" t="s">
        <v>2217</v>
      </c>
      <c r="C1912" s="17" t="s">
        <v>2458</v>
      </c>
      <c r="D1912" s="17" t="str">
        <f>_xlfn.XLOOKUP(Raw_LIMS_Export!E1912,'mapping Site table'!$B$4:$B$14,'mapping Site table'!$C$4:$C$14,Raw_LIMS_Export!E1912)</f>
        <v>Budapest</v>
      </c>
      <c r="E1912" s="17" t="s">
        <v>2484</v>
      </c>
      <c r="F1912" s="17">
        <f t="shared" si="88"/>
        <v>1</v>
      </c>
      <c r="G1912" s="17" t="str">
        <f t="shared" si="89"/>
        <v>Fail</v>
      </c>
      <c r="H1912" s="17" t="str">
        <f t="shared" si="87"/>
        <v>Fail</v>
      </c>
      <c r="I1912" s="17">
        <v>4.8</v>
      </c>
      <c r="J1912" s="17"/>
      <c r="K1912" s="17">
        <v>6</v>
      </c>
      <c r="L1912" s="17">
        <v>7.5</v>
      </c>
      <c r="M1912" s="18">
        <f>Raw_LIMS_Export!K1912</f>
        <v>45368</v>
      </c>
      <c r="N1912" s="19" t="s">
        <v>2932</v>
      </c>
    </row>
    <row r="1913" spans="1:14" x14ac:dyDescent="0.35">
      <c r="A1913" s="16" t="s">
        <v>1909</v>
      </c>
      <c r="B1913" s="17" t="s">
        <v>2108</v>
      </c>
      <c r="C1913" s="17" t="s">
        <v>2458</v>
      </c>
      <c r="D1913" s="17" t="str">
        <f>_xlfn.XLOOKUP(Raw_LIMS_Export!E1913,'mapping Site table'!$B$4:$B$14,'mapping Site table'!$C$4:$C$14,Raw_LIMS_Export!E1913)</f>
        <v>Ashford UK</v>
      </c>
      <c r="E1913" s="17" t="s">
        <v>2483</v>
      </c>
      <c r="F1913" s="17">
        <f t="shared" si="88"/>
        <v>1</v>
      </c>
      <c r="G1913" s="17" t="str">
        <f t="shared" si="89"/>
        <v>Pass</v>
      </c>
      <c r="H1913" s="17" t="str">
        <f t="shared" si="87"/>
        <v>Pass</v>
      </c>
      <c r="I1913" s="17">
        <v>0.24</v>
      </c>
      <c r="J1913" s="17" t="s">
        <v>2489</v>
      </c>
      <c r="K1913" s="17">
        <v>0</v>
      </c>
      <c r="L1913" s="17">
        <v>1</v>
      </c>
      <c r="M1913" s="18">
        <f>Raw_LIMS_Export!K1913</f>
        <v>45362</v>
      </c>
      <c r="N1913" s="19" t="s">
        <v>2930</v>
      </c>
    </row>
    <row r="1914" spans="1:14" x14ac:dyDescent="0.35">
      <c r="A1914" s="16" t="s">
        <v>1336</v>
      </c>
      <c r="B1914" s="17" t="s">
        <v>2056</v>
      </c>
      <c r="C1914" s="17" t="s">
        <v>2459</v>
      </c>
      <c r="D1914" s="17" t="str">
        <f>_xlfn.XLOOKUP(Raw_LIMS_Export!E1914,'mapping Site table'!$B$4:$B$14,'mapping Site table'!$C$4:$C$14,Raw_LIMS_Export!E1914)</f>
        <v>Budapest</v>
      </c>
      <c r="E1914" s="17" t="s">
        <v>2484</v>
      </c>
      <c r="F1914" s="17">
        <f t="shared" si="88"/>
        <v>1</v>
      </c>
      <c r="G1914" s="17" t="str">
        <f t="shared" si="89"/>
        <v>Pass</v>
      </c>
      <c r="H1914" s="17" t="str">
        <f t="shared" si="87"/>
        <v>Pass</v>
      </c>
      <c r="I1914" s="17">
        <v>6.33</v>
      </c>
      <c r="J1914" s="17"/>
      <c r="K1914" s="17">
        <v>6</v>
      </c>
      <c r="L1914" s="17">
        <v>7.5</v>
      </c>
      <c r="M1914" s="18">
        <f>Raw_LIMS_Export!K1914</f>
        <v>45997</v>
      </c>
      <c r="N1914" s="19" t="s">
        <v>2932</v>
      </c>
    </row>
    <row r="1915" spans="1:14" x14ac:dyDescent="0.35">
      <c r="A1915" s="16" t="s">
        <v>1910</v>
      </c>
      <c r="B1915" s="17" t="s">
        <v>2371</v>
      </c>
      <c r="C1915" s="17" t="s">
        <v>2459</v>
      </c>
      <c r="D1915" s="17" t="str">
        <f>_xlfn.XLOOKUP(Raw_LIMS_Export!E1915,'mapping Site table'!$B$4:$B$14,'mapping Site table'!$C$4:$C$14,Raw_LIMS_Export!E1915)</f>
        <v>Dortmund DE</v>
      </c>
      <c r="E1915" s="17" t="s">
        <v>2482</v>
      </c>
      <c r="F1915" s="17">
        <f t="shared" si="88"/>
        <v>1</v>
      </c>
      <c r="G1915" s="17" t="str">
        <f t="shared" si="89"/>
        <v>Pass</v>
      </c>
      <c r="H1915" s="17" t="str">
        <f t="shared" si="87"/>
        <v>Fail</v>
      </c>
      <c r="I1915" s="17">
        <v>98.75</v>
      </c>
      <c r="J1915" s="17" t="s">
        <v>2489</v>
      </c>
      <c r="K1915" s="17">
        <v>97</v>
      </c>
      <c r="L1915" s="17">
        <v>100</v>
      </c>
      <c r="M1915" s="18">
        <f>Raw_LIMS_Export!K1915</f>
        <v>45519</v>
      </c>
      <c r="N1915" s="19" t="s">
        <v>2930</v>
      </c>
    </row>
    <row r="1916" spans="1:14" x14ac:dyDescent="0.35">
      <c r="A1916" s="16" t="s">
        <v>1911</v>
      </c>
      <c r="B1916" s="17" t="s">
        <v>2133</v>
      </c>
      <c r="C1916" s="17" t="s">
        <v>2457</v>
      </c>
      <c r="D1916" s="17" t="str">
        <f>_xlfn.XLOOKUP(Raw_LIMS_Export!E1916,'mapping Site table'!$B$4:$B$14,'mapping Site table'!$C$4:$C$14,Raw_LIMS_Export!E1916)</f>
        <v>Vernier CH</v>
      </c>
      <c r="E1916" s="17" t="s">
        <v>2481</v>
      </c>
      <c r="F1916" s="17">
        <f t="shared" si="88"/>
        <v>1</v>
      </c>
      <c r="G1916" s="17" t="str">
        <f t="shared" si="89"/>
        <v>Pass</v>
      </c>
      <c r="H1916" s="17" t="str">
        <f t="shared" si="87"/>
        <v>Pass</v>
      </c>
      <c r="I1916" s="17">
        <v>314.07</v>
      </c>
      <c r="J1916" s="17" t="s">
        <v>2488</v>
      </c>
      <c r="K1916" s="17">
        <v>150</v>
      </c>
      <c r="L1916" s="17">
        <v>400</v>
      </c>
      <c r="M1916" s="18">
        <f>Raw_LIMS_Export!K1916</f>
        <v>45805</v>
      </c>
      <c r="N1916" s="19" t="s">
        <v>2926</v>
      </c>
    </row>
    <row r="1917" spans="1:14" x14ac:dyDescent="0.35">
      <c r="A1917" s="16" t="s">
        <v>1912</v>
      </c>
      <c r="B1917" s="17" t="s">
        <v>2433</v>
      </c>
      <c r="C1917" s="17" t="s">
        <v>2461</v>
      </c>
      <c r="D1917" s="17" t="str">
        <f>_xlfn.XLOOKUP(Raw_LIMS_Export!E1917,'mapping Site table'!$B$4:$B$14,'mapping Site table'!$C$4:$C$14,Raw_LIMS_Export!E1917)</f>
        <v>Vernier CH</v>
      </c>
      <c r="E1917" s="17" t="s">
        <v>2479</v>
      </c>
      <c r="F1917" s="17">
        <f t="shared" si="88"/>
        <v>1</v>
      </c>
      <c r="G1917" s="17" t="str">
        <f t="shared" si="89"/>
        <v>Pass</v>
      </c>
      <c r="H1917" s="17" t="str">
        <f t="shared" si="87"/>
        <v>Pass</v>
      </c>
      <c r="I1917" s="17">
        <v>48.02</v>
      </c>
      <c r="J1917" s="17" t="s">
        <v>2486</v>
      </c>
      <c r="K1917" s="17">
        <v>0</v>
      </c>
      <c r="L1917" s="17">
        <v>120</v>
      </c>
      <c r="M1917" s="18">
        <f>Raw_LIMS_Export!K1917</f>
        <v>45503</v>
      </c>
      <c r="N1917" s="19" t="s">
        <v>2930</v>
      </c>
    </row>
    <row r="1918" spans="1:14" x14ac:dyDescent="0.35">
      <c r="A1918" s="16" t="s">
        <v>1913</v>
      </c>
      <c r="B1918" s="17" t="s">
        <v>2281</v>
      </c>
      <c r="C1918" s="17" t="s">
        <v>2458</v>
      </c>
      <c r="D1918" s="17" t="str">
        <f>_xlfn.XLOOKUP(Raw_LIMS_Export!E1918,'mapping Site table'!$B$4:$B$14,'mapping Site table'!$C$4:$C$14,Raw_LIMS_Export!E1918)</f>
        <v>East Hanover</v>
      </c>
      <c r="E1918" s="17" t="s">
        <v>2485</v>
      </c>
      <c r="F1918" s="17">
        <f t="shared" si="88"/>
        <v>1</v>
      </c>
      <c r="G1918" s="17" t="str">
        <f t="shared" si="89"/>
        <v>Pass</v>
      </c>
      <c r="H1918" s="17" t="str">
        <f t="shared" si="87"/>
        <v>Pass</v>
      </c>
      <c r="I1918" s="17">
        <v>22.69</v>
      </c>
      <c r="J1918" s="17" t="s">
        <v>2490</v>
      </c>
      <c r="K1918" s="17">
        <v>0</v>
      </c>
      <c r="L1918" s="17">
        <v>100</v>
      </c>
      <c r="M1918" s="18">
        <f>Raw_LIMS_Export!K1918</f>
        <v>45759</v>
      </c>
      <c r="N1918" s="19" t="s">
        <v>2924</v>
      </c>
    </row>
    <row r="1919" spans="1:14" x14ac:dyDescent="0.35">
      <c r="A1919" s="16" t="s">
        <v>1914</v>
      </c>
      <c r="B1919" s="17" t="s">
        <v>2134</v>
      </c>
      <c r="C1919" s="17" t="s">
        <v>2459</v>
      </c>
      <c r="D1919" s="17" t="str">
        <f>_xlfn.XLOOKUP(Raw_LIMS_Export!E1919,'mapping Site table'!$B$4:$B$14,'mapping Site table'!$C$4:$C$14,Raw_LIMS_Export!E1919)</f>
        <v>Vernier CH</v>
      </c>
      <c r="E1919" s="17" t="s">
        <v>2480</v>
      </c>
      <c r="F1919" s="17">
        <f t="shared" si="88"/>
        <v>1</v>
      </c>
      <c r="G1919" s="17" t="str">
        <f t="shared" si="89"/>
        <v>Pass</v>
      </c>
      <c r="H1919" s="17" t="str">
        <f t="shared" si="87"/>
        <v>Pass</v>
      </c>
      <c r="I1919" s="17">
        <v>0.94</v>
      </c>
      <c r="J1919" s="17" t="s">
        <v>2487</v>
      </c>
      <c r="K1919" s="17">
        <v>0.88</v>
      </c>
      <c r="L1919" s="17">
        <v>0.97</v>
      </c>
      <c r="M1919" s="18">
        <f>Raw_LIMS_Export!K1919</f>
        <v>45721</v>
      </c>
      <c r="N1919" s="19" t="s">
        <v>2923</v>
      </c>
    </row>
    <row r="1920" spans="1:14" x14ac:dyDescent="0.35">
      <c r="A1920" s="16" t="s">
        <v>1915</v>
      </c>
      <c r="B1920" s="17" t="s">
        <v>2370</v>
      </c>
      <c r="C1920" s="17" t="s">
        <v>2459</v>
      </c>
      <c r="D1920" s="17" t="str">
        <f>_xlfn.XLOOKUP(Raw_LIMS_Export!E1920,'mapping Site table'!$B$4:$B$14,'mapping Site table'!$C$4:$C$14,Raw_LIMS_Export!E1920)</f>
        <v>Dortmund DE</v>
      </c>
      <c r="E1920" s="17" t="s">
        <v>2483</v>
      </c>
      <c r="F1920" s="17">
        <f t="shared" si="88"/>
        <v>1</v>
      </c>
      <c r="G1920" s="17" t="str">
        <f t="shared" si="89"/>
        <v>Pass</v>
      </c>
      <c r="H1920" s="17" t="str">
        <f t="shared" si="87"/>
        <v>Pass</v>
      </c>
      <c r="I1920" s="17">
        <v>0.06</v>
      </c>
      <c r="J1920" s="17" t="s">
        <v>2489</v>
      </c>
      <c r="K1920" s="17">
        <v>0</v>
      </c>
      <c r="L1920" s="17">
        <v>1</v>
      </c>
      <c r="M1920" s="18">
        <f>Raw_LIMS_Export!K1920</f>
        <v>45318</v>
      </c>
      <c r="N1920" s="19" t="s">
        <v>2928</v>
      </c>
    </row>
    <row r="1921" spans="1:14" x14ac:dyDescent="0.35">
      <c r="A1921" s="16" t="s">
        <v>1916</v>
      </c>
      <c r="B1921" s="17" t="s">
        <v>2439</v>
      </c>
      <c r="C1921" s="17" t="s">
        <v>2458</v>
      </c>
      <c r="D1921" s="17" t="str">
        <f>_xlfn.XLOOKUP(Raw_LIMS_Export!E1921,'mapping Site table'!$B$4:$B$14,'mapping Site table'!$C$4:$C$14,Raw_LIMS_Export!E1921)</f>
        <v>Ashford UK</v>
      </c>
      <c r="E1921" s="17" t="s">
        <v>2481</v>
      </c>
      <c r="F1921" s="17">
        <f t="shared" si="88"/>
        <v>1</v>
      </c>
      <c r="G1921" s="17" t="str">
        <f t="shared" si="89"/>
        <v>Pass</v>
      </c>
      <c r="H1921" s="17" t="str">
        <f t="shared" si="87"/>
        <v>Fail</v>
      </c>
      <c r="I1921" s="17">
        <v>309.13</v>
      </c>
      <c r="J1921" s="17" t="s">
        <v>2488</v>
      </c>
      <c r="K1921" s="17">
        <v>150</v>
      </c>
      <c r="L1921" s="17">
        <v>400</v>
      </c>
      <c r="M1921" s="18">
        <f>Raw_LIMS_Export!K1921</f>
        <v>45549</v>
      </c>
      <c r="N1921" s="19" t="s">
        <v>2932</v>
      </c>
    </row>
    <row r="1922" spans="1:14" x14ac:dyDescent="0.35">
      <c r="A1922" s="16" t="s">
        <v>1917</v>
      </c>
      <c r="B1922" s="17" t="s">
        <v>2145</v>
      </c>
      <c r="C1922" s="17" t="s">
        <v>2458</v>
      </c>
      <c r="D1922" s="17" t="str">
        <f>_xlfn.XLOOKUP(Raw_LIMS_Export!E1922,'mapping Site table'!$B$4:$B$14,'mapping Site table'!$C$4:$C$14,Raw_LIMS_Export!E1922)</f>
        <v>Budapest</v>
      </c>
      <c r="E1922" s="17" t="s">
        <v>2484</v>
      </c>
      <c r="F1922" s="17">
        <f t="shared" si="88"/>
        <v>1</v>
      </c>
      <c r="G1922" s="17" t="str">
        <f t="shared" si="89"/>
        <v>Pass</v>
      </c>
      <c r="H1922" s="17" t="str">
        <f t="shared" ref="H1922:H1985" si="90">IF(COUNTIFS($B$2:$B$2016,B1922,$G$2:$G$2016,"Fail")&gt;0,"Fail",
  IF(COUNTIFS($B$2:$B$2016,B1922,$G$2:$G$2016,"Missing")&gt;0,"Pending",
    "Pass"))</f>
        <v>Pending</v>
      </c>
      <c r="I1922" s="17">
        <v>7.39</v>
      </c>
      <c r="J1922" s="17"/>
      <c r="K1922" s="17">
        <v>6</v>
      </c>
      <c r="L1922" s="17">
        <v>7.5</v>
      </c>
      <c r="M1922" s="18">
        <f>Raw_LIMS_Export!K1922</f>
        <v>45819</v>
      </c>
      <c r="N1922" s="19" t="s">
        <v>2924</v>
      </c>
    </row>
    <row r="1923" spans="1:14" x14ac:dyDescent="0.35">
      <c r="A1923" s="16" t="s">
        <v>1918</v>
      </c>
      <c r="B1923" s="17" t="s">
        <v>2250</v>
      </c>
      <c r="C1923" s="17" t="s">
        <v>2460</v>
      </c>
      <c r="D1923" s="17" t="str">
        <f>_xlfn.XLOOKUP(Raw_LIMS_Export!E1923,'mapping Site table'!$B$4:$B$14,'mapping Site table'!$C$4:$C$14,Raw_LIMS_Export!E1923)</f>
        <v>Budapest</v>
      </c>
      <c r="E1923" s="17" t="s">
        <v>2479</v>
      </c>
      <c r="F1923" s="17">
        <f t="shared" ref="F1923:F1986" si="91">IF(I1923="",0,1)</f>
        <v>1</v>
      </c>
      <c r="G1923" s="17" t="str">
        <f t="shared" ref="G1923:G1986" si="92">IF(I1923="", "Missing", IF(AND(I1923&gt;=K1923, I1923&lt;=L1923), "Pass", "Fail"))</f>
        <v>Pass</v>
      </c>
      <c r="H1923" s="17" t="str">
        <f t="shared" si="90"/>
        <v>Pass</v>
      </c>
      <c r="I1923" s="17">
        <v>67.540000000000006</v>
      </c>
      <c r="J1923" s="17" t="s">
        <v>2486</v>
      </c>
      <c r="K1923" s="17">
        <v>0</v>
      </c>
      <c r="L1923" s="17">
        <v>120</v>
      </c>
      <c r="M1923" s="18">
        <f>Raw_LIMS_Export!K1923</f>
        <v>45670</v>
      </c>
      <c r="N1923" s="19" t="s">
        <v>2928</v>
      </c>
    </row>
    <row r="1924" spans="1:14" x14ac:dyDescent="0.35">
      <c r="A1924" s="16" t="s">
        <v>1919</v>
      </c>
      <c r="B1924" s="17" t="s">
        <v>2256</v>
      </c>
      <c r="C1924" s="17" t="s">
        <v>2461</v>
      </c>
      <c r="D1924" s="17" t="str">
        <f>_xlfn.XLOOKUP(Raw_LIMS_Export!E1924,'mapping Site table'!$B$4:$B$14,'mapping Site table'!$C$4:$C$14,Raw_LIMS_Export!E1924)</f>
        <v>East Hanover</v>
      </c>
      <c r="E1924" s="17" t="s">
        <v>2483</v>
      </c>
      <c r="F1924" s="17">
        <f t="shared" si="91"/>
        <v>1</v>
      </c>
      <c r="G1924" s="17" t="str">
        <f t="shared" si="92"/>
        <v>Pass</v>
      </c>
      <c r="H1924" s="17" t="str">
        <f t="shared" si="90"/>
        <v>Fail</v>
      </c>
      <c r="I1924" s="17">
        <v>0.23</v>
      </c>
      <c r="J1924" s="17" t="s">
        <v>2489</v>
      </c>
      <c r="K1924" s="17">
        <v>0</v>
      </c>
      <c r="L1924" s="17">
        <v>1</v>
      </c>
      <c r="M1924" s="18">
        <f>Raw_LIMS_Export!K1924</f>
        <v>45676</v>
      </c>
      <c r="N1924" s="19" t="s">
        <v>2932</v>
      </c>
    </row>
    <row r="1925" spans="1:14" x14ac:dyDescent="0.35">
      <c r="A1925" s="16" t="s">
        <v>1920</v>
      </c>
      <c r="B1925" s="17" t="s">
        <v>2403</v>
      </c>
      <c r="C1925" s="17" t="s">
        <v>2460</v>
      </c>
      <c r="D1925" s="17" t="str">
        <f>_xlfn.XLOOKUP(Raw_LIMS_Export!E1925,'mapping Site table'!$B$4:$B$14,'mapping Site table'!$C$4:$C$14,Raw_LIMS_Export!E1925)</f>
        <v>East Hanover</v>
      </c>
      <c r="E1925" s="17" t="s">
        <v>2485</v>
      </c>
      <c r="F1925" s="17">
        <f t="shared" si="91"/>
        <v>1</v>
      </c>
      <c r="G1925" s="17" t="str">
        <f t="shared" si="92"/>
        <v>Pass</v>
      </c>
      <c r="H1925" s="17" t="str">
        <f t="shared" si="90"/>
        <v>Pass</v>
      </c>
      <c r="I1925" s="17">
        <v>26.58</v>
      </c>
      <c r="J1925" s="17" t="s">
        <v>2490</v>
      </c>
      <c r="K1925" s="17">
        <v>0</v>
      </c>
      <c r="L1925" s="17">
        <v>100</v>
      </c>
      <c r="M1925" s="18">
        <f>Raw_LIMS_Export!K1925</f>
        <v>45567</v>
      </c>
      <c r="N1925" s="19" t="s">
        <v>2927</v>
      </c>
    </row>
    <row r="1926" spans="1:14" x14ac:dyDescent="0.35">
      <c r="A1926" s="16" t="s">
        <v>1921</v>
      </c>
      <c r="B1926" s="17" t="s">
        <v>2341</v>
      </c>
      <c r="C1926" s="17" t="s">
        <v>2459</v>
      </c>
      <c r="D1926" s="17" t="str">
        <f>_xlfn.XLOOKUP(Raw_LIMS_Export!E1926,'mapping Site table'!$B$4:$B$14,'mapping Site table'!$C$4:$C$14,Raw_LIMS_Export!E1926)</f>
        <v>East Hanover</v>
      </c>
      <c r="E1926" s="17" t="s">
        <v>2483</v>
      </c>
      <c r="F1926" s="17">
        <f t="shared" si="91"/>
        <v>1</v>
      </c>
      <c r="G1926" s="17" t="str">
        <f t="shared" si="92"/>
        <v>Pass</v>
      </c>
      <c r="H1926" s="17" t="str">
        <f t="shared" si="90"/>
        <v>Fail</v>
      </c>
      <c r="I1926" s="17">
        <v>0.38</v>
      </c>
      <c r="J1926" s="17" t="s">
        <v>2489</v>
      </c>
      <c r="K1926" s="17">
        <v>0</v>
      </c>
      <c r="L1926" s="17">
        <v>1</v>
      </c>
      <c r="M1926" s="18">
        <f>Raw_LIMS_Export!K1926</f>
        <v>45812</v>
      </c>
      <c r="N1926" s="19" t="s">
        <v>2925</v>
      </c>
    </row>
    <row r="1927" spans="1:14" x14ac:dyDescent="0.35">
      <c r="A1927" s="16" t="s">
        <v>1922</v>
      </c>
      <c r="B1927" s="17" t="s">
        <v>2321</v>
      </c>
      <c r="C1927" s="17" t="s">
        <v>2457</v>
      </c>
      <c r="D1927" s="17" t="str">
        <f>_xlfn.XLOOKUP(Raw_LIMS_Export!E1927,'mapping Site table'!$B$4:$B$14,'mapping Site table'!$C$4:$C$14,Raw_LIMS_Export!E1927)</f>
        <v>Budapest</v>
      </c>
      <c r="E1927" s="17" t="s">
        <v>2483</v>
      </c>
      <c r="F1927" s="17">
        <f t="shared" si="91"/>
        <v>1</v>
      </c>
      <c r="G1927" s="17" t="str">
        <f t="shared" si="92"/>
        <v>Pass</v>
      </c>
      <c r="H1927" s="17" t="str">
        <f t="shared" si="90"/>
        <v>Pass</v>
      </c>
      <c r="I1927" s="17">
        <v>0.43</v>
      </c>
      <c r="J1927" s="17" t="s">
        <v>2489</v>
      </c>
      <c r="K1927" s="17">
        <v>0</v>
      </c>
      <c r="L1927" s="17">
        <v>1</v>
      </c>
      <c r="M1927" s="18">
        <f>Raw_LIMS_Export!K1927</f>
        <v>45491</v>
      </c>
      <c r="N1927" s="19" t="s">
        <v>2925</v>
      </c>
    </row>
    <row r="1928" spans="1:14" x14ac:dyDescent="0.35">
      <c r="A1928" s="16" t="s">
        <v>1923</v>
      </c>
      <c r="B1928" s="17" t="s">
        <v>2118</v>
      </c>
      <c r="C1928" s="17" t="s">
        <v>2457</v>
      </c>
      <c r="D1928" s="17" t="str">
        <f>_xlfn.XLOOKUP(Raw_LIMS_Export!E1928,'mapping Site table'!$B$4:$B$14,'mapping Site table'!$C$4:$C$14,Raw_LIMS_Export!E1928)</f>
        <v>Vernier CH</v>
      </c>
      <c r="E1928" s="17" t="s">
        <v>2480</v>
      </c>
      <c r="F1928" s="17">
        <f t="shared" si="91"/>
        <v>1</v>
      </c>
      <c r="G1928" s="17" t="str">
        <f t="shared" si="92"/>
        <v>Pass</v>
      </c>
      <c r="H1928" s="17" t="str">
        <f t="shared" si="90"/>
        <v>Pending</v>
      </c>
      <c r="I1928" s="17">
        <v>0.97</v>
      </c>
      <c r="J1928" s="17" t="s">
        <v>2487</v>
      </c>
      <c r="K1928" s="17">
        <v>0.88</v>
      </c>
      <c r="L1928" s="17">
        <v>0.97</v>
      </c>
      <c r="M1928" s="18">
        <f>Raw_LIMS_Export!K1928</f>
        <v>45634</v>
      </c>
      <c r="N1928" s="19" t="s">
        <v>2928</v>
      </c>
    </row>
    <row r="1929" spans="1:14" x14ac:dyDescent="0.35">
      <c r="A1929" s="16" t="s">
        <v>1924</v>
      </c>
      <c r="B1929" s="17" t="s">
        <v>2225</v>
      </c>
      <c r="C1929" s="17" t="s">
        <v>2458</v>
      </c>
      <c r="D1929" s="17" t="str">
        <f>_xlfn.XLOOKUP(Raw_LIMS_Export!E1929,'mapping Site table'!$B$4:$B$14,'mapping Site table'!$C$4:$C$14,Raw_LIMS_Export!E1929)</f>
        <v>Vernier CH</v>
      </c>
      <c r="E1929" s="17" t="s">
        <v>2483</v>
      </c>
      <c r="F1929" s="17">
        <f t="shared" si="91"/>
        <v>1</v>
      </c>
      <c r="G1929" s="17" t="str">
        <f t="shared" si="92"/>
        <v>Pass</v>
      </c>
      <c r="H1929" s="17" t="str">
        <f t="shared" si="90"/>
        <v>Fail</v>
      </c>
      <c r="I1929" s="17">
        <v>0.35</v>
      </c>
      <c r="J1929" s="17" t="s">
        <v>2489</v>
      </c>
      <c r="K1929" s="17">
        <v>0</v>
      </c>
      <c r="L1929" s="17">
        <v>1</v>
      </c>
      <c r="M1929" s="18">
        <f>Raw_LIMS_Export!K1929</f>
        <v>45516</v>
      </c>
      <c r="N1929" s="19" t="s">
        <v>2924</v>
      </c>
    </row>
    <row r="1930" spans="1:14" x14ac:dyDescent="0.35">
      <c r="A1930" s="16" t="s">
        <v>1925</v>
      </c>
      <c r="B1930" s="17" t="s">
        <v>2235</v>
      </c>
      <c r="C1930" s="17" t="s">
        <v>2459</v>
      </c>
      <c r="D1930" s="17" t="str">
        <f>_xlfn.XLOOKUP(Raw_LIMS_Export!E1930,'mapping Site table'!$B$4:$B$14,'mapping Site table'!$C$4:$C$14,Raw_LIMS_Export!E1930)</f>
        <v>Dortmund DE</v>
      </c>
      <c r="E1930" s="17" t="s">
        <v>2480</v>
      </c>
      <c r="F1930" s="17">
        <f t="shared" si="91"/>
        <v>1</v>
      </c>
      <c r="G1930" s="17" t="str">
        <f t="shared" si="92"/>
        <v>Fail</v>
      </c>
      <c r="H1930" s="17" t="str">
        <f t="shared" si="90"/>
        <v>Fail</v>
      </c>
      <c r="I1930" s="17">
        <v>0.79</v>
      </c>
      <c r="J1930" s="17" t="s">
        <v>2487</v>
      </c>
      <c r="K1930" s="17">
        <v>0.88</v>
      </c>
      <c r="L1930" s="17">
        <v>0.97</v>
      </c>
      <c r="M1930" s="18">
        <f>Raw_LIMS_Export!K1930</f>
        <v>45854</v>
      </c>
      <c r="N1930" s="19" t="s">
        <v>2925</v>
      </c>
    </row>
    <row r="1931" spans="1:14" x14ac:dyDescent="0.35">
      <c r="A1931" s="16" t="s">
        <v>1926</v>
      </c>
      <c r="B1931" s="17" t="s">
        <v>2147</v>
      </c>
      <c r="C1931" s="17" t="s">
        <v>2458</v>
      </c>
      <c r="D1931" s="17" t="str">
        <f>_xlfn.XLOOKUP(Raw_LIMS_Export!E1931,'mapping Site table'!$B$4:$B$14,'mapping Site table'!$C$4:$C$14,Raw_LIMS_Export!E1931)</f>
        <v>Vernier CH</v>
      </c>
      <c r="E1931" s="17" t="s">
        <v>2483</v>
      </c>
      <c r="F1931" s="17">
        <f t="shared" si="91"/>
        <v>1</v>
      </c>
      <c r="G1931" s="17" t="str">
        <f t="shared" si="92"/>
        <v>Pass</v>
      </c>
      <c r="H1931" s="17" t="str">
        <f t="shared" si="90"/>
        <v>Pending</v>
      </c>
      <c r="I1931" s="17">
        <v>0.51</v>
      </c>
      <c r="J1931" s="17" t="s">
        <v>2489</v>
      </c>
      <c r="K1931" s="17">
        <v>0</v>
      </c>
      <c r="L1931" s="17">
        <v>1</v>
      </c>
      <c r="M1931" s="18">
        <f>Raw_LIMS_Export!K1931</f>
        <v>45371</v>
      </c>
      <c r="N1931" s="19" t="s">
        <v>2923</v>
      </c>
    </row>
    <row r="1932" spans="1:14" x14ac:dyDescent="0.35">
      <c r="A1932" s="16" t="s">
        <v>1927</v>
      </c>
      <c r="B1932" s="17" t="s">
        <v>2251</v>
      </c>
      <c r="C1932" s="17" t="s">
        <v>2461</v>
      </c>
      <c r="D1932" s="17" t="str">
        <f>_xlfn.XLOOKUP(Raw_LIMS_Export!E1932,'mapping Site table'!$B$4:$B$14,'mapping Site table'!$C$4:$C$14,Raw_LIMS_Export!E1932)</f>
        <v>Ashford UK</v>
      </c>
      <c r="E1932" s="17" t="s">
        <v>2481</v>
      </c>
      <c r="F1932" s="17">
        <f t="shared" si="91"/>
        <v>1</v>
      </c>
      <c r="G1932" s="17" t="str">
        <f t="shared" si="92"/>
        <v>Pass</v>
      </c>
      <c r="H1932" s="17" t="str">
        <f t="shared" si="90"/>
        <v>Pass</v>
      </c>
      <c r="I1932" s="17">
        <v>242.47</v>
      </c>
      <c r="J1932" s="17" t="s">
        <v>2488</v>
      </c>
      <c r="K1932" s="17">
        <v>150</v>
      </c>
      <c r="L1932" s="17">
        <v>400</v>
      </c>
      <c r="M1932" s="18">
        <f>Raw_LIMS_Export!K1932</f>
        <v>45441</v>
      </c>
      <c r="N1932" s="19" t="s">
        <v>2927</v>
      </c>
    </row>
    <row r="1933" spans="1:14" x14ac:dyDescent="0.35">
      <c r="A1933" s="16" t="s">
        <v>1928</v>
      </c>
      <c r="B1933" s="17" t="s">
        <v>2182</v>
      </c>
      <c r="C1933" s="17" t="s">
        <v>2457</v>
      </c>
      <c r="D1933" s="17" t="str">
        <f>_xlfn.XLOOKUP(Raw_LIMS_Export!E1933,'mapping Site table'!$B$4:$B$14,'mapping Site table'!$C$4:$C$14,Raw_LIMS_Export!E1933)</f>
        <v>Ashford UK</v>
      </c>
      <c r="E1933" s="17" t="s">
        <v>2481</v>
      </c>
      <c r="F1933" s="17">
        <f t="shared" si="91"/>
        <v>1</v>
      </c>
      <c r="G1933" s="17" t="str">
        <f t="shared" si="92"/>
        <v>Pass</v>
      </c>
      <c r="H1933" s="17" t="str">
        <f t="shared" si="90"/>
        <v>Pass</v>
      </c>
      <c r="I1933" s="17">
        <v>211.63</v>
      </c>
      <c r="J1933" s="17" t="s">
        <v>2488</v>
      </c>
      <c r="K1933" s="17">
        <v>150</v>
      </c>
      <c r="L1933" s="17">
        <v>400</v>
      </c>
      <c r="M1933" s="18">
        <f>Raw_LIMS_Export!K1933</f>
        <v>45681</v>
      </c>
      <c r="N1933" s="19" t="s">
        <v>2931</v>
      </c>
    </row>
    <row r="1934" spans="1:14" x14ac:dyDescent="0.35">
      <c r="A1934" s="16" t="s">
        <v>1929</v>
      </c>
      <c r="B1934" s="17" t="s">
        <v>2326</v>
      </c>
      <c r="C1934" s="17" t="s">
        <v>2459</v>
      </c>
      <c r="D1934" s="17" t="str">
        <f>_xlfn.XLOOKUP(Raw_LIMS_Export!E1934,'mapping Site table'!$B$4:$B$14,'mapping Site table'!$C$4:$C$14,Raw_LIMS_Export!E1934)</f>
        <v>Ashford UK</v>
      </c>
      <c r="E1934" s="17" t="s">
        <v>2484</v>
      </c>
      <c r="F1934" s="17">
        <f t="shared" si="91"/>
        <v>1</v>
      </c>
      <c r="G1934" s="17" t="str">
        <f t="shared" si="92"/>
        <v>Pass</v>
      </c>
      <c r="H1934" s="17" t="str">
        <f t="shared" si="90"/>
        <v>Pass</v>
      </c>
      <c r="I1934" s="17">
        <v>7.1</v>
      </c>
      <c r="J1934" s="17"/>
      <c r="K1934" s="17">
        <v>6</v>
      </c>
      <c r="L1934" s="17">
        <v>7.5</v>
      </c>
      <c r="M1934" s="18">
        <f>Raw_LIMS_Export!K1934</f>
        <v>45676</v>
      </c>
      <c r="N1934" s="19" t="s">
        <v>2929</v>
      </c>
    </row>
    <row r="1935" spans="1:14" x14ac:dyDescent="0.35">
      <c r="A1935" s="16" t="s">
        <v>1930</v>
      </c>
      <c r="B1935" s="17" t="s">
        <v>2043</v>
      </c>
      <c r="C1935" s="17" t="s">
        <v>2461</v>
      </c>
      <c r="D1935" s="17" t="str">
        <f>_xlfn.XLOOKUP(Raw_LIMS_Export!E1935,'mapping Site table'!$B$4:$B$14,'mapping Site table'!$C$4:$C$14,Raw_LIMS_Export!E1935)</f>
        <v>Vernier CH</v>
      </c>
      <c r="E1935" s="17" t="s">
        <v>2482</v>
      </c>
      <c r="F1935" s="17">
        <f t="shared" si="91"/>
        <v>1</v>
      </c>
      <c r="G1935" s="17" t="str">
        <f t="shared" si="92"/>
        <v>Pass</v>
      </c>
      <c r="H1935" s="17" t="str">
        <f t="shared" si="90"/>
        <v>Pass</v>
      </c>
      <c r="I1935" s="17">
        <v>98.68</v>
      </c>
      <c r="J1935" s="17" t="s">
        <v>2489</v>
      </c>
      <c r="K1935" s="17">
        <v>97</v>
      </c>
      <c r="L1935" s="17">
        <v>100</v>
      </c>
      <c r="M1935" s="18">
        <f>Raw_LIMS_Export!K1935</f>
        <v>45431</v>
      </c>
      <c r="N1935" s="19" t="s">
        <v>2923</v>
      </c>
    </row>
    <row r="1936" spans="1:14" x14ac:dyDescent="0.35">
      <c r="A1936" s="16" t="s">
        <v>1931</v>
      </c>
      <c r="B1936" s="17" t="s">
        <v>2258</v>
      </c>
      <c r="C1936" s="17" t="s">
        <v>2460</v>
      </c>
      <c r="D1936" s="17" t="str">
        <f>_xlfn.XLOOKUP(Raw_LIMS_Export!E1936,'mapping Site table'!$B$4:$B$14,'mapping Site table'!$C$4:$C$14,Raw_LIMS_Export!E1936)</f>
        <v>Vernier CH</v>
      </c>
      <c r="E1936" s="17" t="s">
        <v>2479</v>
      </c>
      <c r="F1936" s="17">
        <f t="shared" si="91"/>
        <v>1</v>
      </c>
      <c r="G1936" s="17" t="str">
        <f t="shared" si="92"/>
        <v>Pass</v>
      </c>
      <c r="H1936" s="17" t="str">
        <f t="shared" si="90"/>
        <v>Pass</v>
      </c>
      <c r="I1936" s="17">
        <v>18.96</v>
      </c>
      <c r="J1936" s="17" t="s">
        <v>2486</v>
      </c>
      <c r="K1936" s="17">
        <v>0</v>
      </c>
      <c r="L1936" s="17">
        <v>120</v>
      </c>
      <c r="M1936" s="18">
        <f>Raw_LIMS_Export!K1936</f>
        <v>45883</v>
      </c>
      <c r="N1936" s="19" t="s">
        <v>2931</v>
      </c>
    </row>
    <row r="1937" spans="1:14" x14ac:dyDescent="0.35">
      <c r="A1937" s="16" t="s">
        <v>1932</v>
      </c>
      <c r="B1937" s="17" t="s">
        <v>2199</v>
      </c>
      <c r="C1937" s="17" t="s">
        <v>2460</v>
      </c>
      <c r="D1937" s="17" t="str">
        <f>_xlfn.XLOOKUP(Raw_LIMS_Export!E1937,'mapping Site table'!$B$4:$B$14,'mapping Site table'!$C$4:$C$14,Raw_LIMS_Export!E1937)</f>
        <v>Ashford UK</v>
      </c>
      <c r="E1937" s="17" t="s">
        <v>2483</v>
      </c>
      <c r="F1937" s="17">
        <f t="shared" si="91"/>
        <v>1</v>
      </c>
      <c r="G1937" s="17" t="str">
        <f t="shared" si="92"/>
        <v>Pass</v>
      </c>
      <c r="H1937" s="17" t="str">
        <f t="shared" si="90"/>
        <v>Pass</v>
      </c>
      <c r="I1937" s="17">
        <v>0.54</v>
      </c>
      <c r="J1937" s="17" t="s">
        <v>2489</v>
      </c>
      <c r="K1937" s="17">
        <v>0</v>
      </c>
      <c r="L1937" s="17">
        <v>1</v>
      </c>
      <c r="M1937" s="18">
        <f>Raw_LIMS_Export!K1937</f>
        <v>45413</v>
      </c>
      <c r="N1937" s="19" t="s">
        <v>2925</v>
      </c>
    </row>
    <row r="1938" spans="1:14" x14ac:dyDescent="0.35">
      <c r="A1938" s="16" t="s">
        <v>1933</v>
      </c>
      <c r="B1938" s="17" t="s">
        <v>2175</v>
      </c>
      <c r="C1938" s="17" t="s">
        <v>2457</v>
      </c>
      <c r="D1938" s="17" t="str">
        <f>_xlfn.XLOOKUP(Raw_LIMS_Export!E1938,'mapping Site table'!$B$4:$B$14,'mapping Site table'!$C$4:$C$14,Raw_LIMS_Export!E1938)</f>
        <v>Ashford UK</v>
      </c>
      <c r="E1938" s="17" t="s">
        <v>2483</v>
      </c>
      <c r="F1938" s="17">
        <f t="shared" si="91"/>
        <v>1</v>
      </c>
      <c r="G1938" s="17" t="str">
        <f t="shared" si="92"/>
        <v>Fail</v>
      </c>
      <c r="H1938" s="17" t="str">
        <f t="shared" si="90"/>
        <v>Fail</v>
      </c>
      <c r="I1938" s="17">
        <v>-0.08</v>
      </c>
      <c r="J1938" s="17" t="s">
        <v>2489</v>
      </c>
      <c r="K1938" s="17">
        <v>0</v>
      </c>
      <c r="L1938" s="17">
        <v>1</v>
      </c>
      <c r="M1938" s="18">
        <f>Raw_LIMS_Export!K1938</f>
        <v>45921</v>
      </c>
      <c r="N1938" s="19" t="s">
        <v>2925</v>
      </c>
    </row>
    <row r="1939" spans="1:14" x14ac:dyDescent="0.35">
      <c r="A1939" s="16" t="s">
        <v>1934</v>
      </c>
      <c r="B1939" s="17" t="s">
        <v>2241</v>
      </c>
      <c r="C1939" s="17" t="s">
        <v>2460</v>
      </c>
      <c r="D1939" s="17" t="str">
        <f>_xlfn.XLOOKUP(Raw_LIMS_Export!E1939,'mapping Site table'!$B$4:$B$14,'mapping Site table'!$C$4:$C$14,Raw_LIMS_Export!E1939)</f>
        <v>Dortmund DE</v>
      </c>
      <c r="E1939" s="17" t="s">
        <v>2479</v>
      </c>
      <c r="F1939" s="17">
        <f t="shared" si="91"/>
        <v>1</v>
      </c>
      <c r="G1939" s="17" t="str">
        <f t="shared" si="92"/>
        <v>Pass</v>
      </c>
      <c r="H1939" s="17" t="str">
        <f t="shared" si="90"/>
        <v>Pass</v>
      </c>
      <c r="I1939" s="17">
        <v>60.93</v>
      </c>
      <c r="J1939" s="17" t="s">
        <v>2486</v>
      </c>
      <c r="K1939" s="17">
        <v>0</v>
      </c>
      <c r="L1939" s="17">
        <v>120</v>
      </c>
      <c r="M1939" s="18">
        <f>Raw_LIMS_Export!K1939</f>
        <v>45781</v>
      </c>
      <c r="N1939" s="19" t="s">
        <v>2929</v>
      </c>
    </row>
    <row r="1940" spans="1:14" x14ac:dyDescent="0.35">
      <c r="A1940" s="16" t="s">
        <v>1935</v>
      </c>
      <c r="B1940" s="17" t="s">
        <v>2191</v>
      </c>
      <c r="C1940" s="17" t="s">
        <v>2460</v>
      </c>
      <c r="D1940" s="17" t="str">
        <f>_xlfn.XLOOKUP(Raw_LIMS_Export!E1940,'mapping Site table'!$B$4:$B$14,'mapping Site table'!$C$4:$C$14,Raw_LIMS_Export!E1940)</f>
        <v>Dortmund DE</v>
      </c>
      <c r="E1940" s="17" t="s">
        <v>2480</v>
      </c>
      <c r="F1940" s="17">
        <f t="shared" si="91"/>
        <v>1</v>
      </c>
      <c r="G1940" s="17" t="str">
        <f t="shared" si="92"/>
        <v>Pass</v>
      </c>
      <c r="H1940" s="17" t="str">
        <f t="shared" si="90"/>
        <v>Pass</v>
      </c>
      <c r="I1940" s="17">
        <v>0.94</v>
      </c>
      <c r="J1940" s="17" t="s">
        <v>2487</v>
      </c>
      <c r="K1940" s="17">
        <v>0.88</v>
      </c>
      <c r="L1940" s="17">
        <v>0.97</v>
      </c>
      <c r="M1940" s="18">
        <f>Raw_LIMS_Export!K1940</f>
        <v>45483</v>
      </c>
      <c r="N1940" s="19" t="s">
        <v>2929</v>
      </c>
    </row>
    <row r="1941" spans="1:14" x14ac:dyDescent="0.35">
      <c r="A1941" s="16" t="s">
        <v>1936</v>
      </c>
      <c r="B1941" s="17" t="s">
        <v>2058</v>
      </c>
      <c r="C1941" s="17" t="s">
        <v>2460</v>
      </c>
      <c r="D1941" s="17" t="str">
        <f>_xlfn.XLOOKUP(Raw_LIMS_Export!E1941,'mapping Site table'!$B$4:$B$14,'mapping Site table'!$C$4:$C$14,Raw_LIMS_Export!E1941)</f>
        <v>Budapest</v>
      </c>
      <c r="E1941" s="17" t="s">
        <v>2483</v>
      </c>
      <c r="F1941" s="17">
        <f t="shared" si="91"/>
        <v>1</v>
      </c>
      <c r="G1941" s="17" t="str">
        <f t="shared" si="92"/>
        <v>Pass</v>
      </c>
      <c r="H1941" s="17" t="str">
        <f t="shared" si="90"/>
        <v>Pass</v>
      </c>
      <c r="I1941" s="17">
        <v>0.37</v>
      </c>
      <c r="J1941" s="17" t="s">
        <v>2489</v>
      </c>
      <c r="K1941" s="17">
        <v>0</v>
      </c>
      <c r="L1941" s="17">
        <v>1</v>
      </c>
      <c r="M1941" s="18">
        <f>Raw_LIMS_Export!K1941</f>
        <v>45695</v>
      </c>
      <c r="N1941" s="19" t="s">
        <v>2924</v>
      </c>
    </row>
    <row r="1942" spans="1:14" x14ac:dyDescent="0.35">
      <c r="A1942" s="16" t="s">
        <v>1937</v>
      </c>
      <c r="B1942" s="17" t="s">
        <v>2045</v>
      </c>
      <c r="C1942" s="17" t="s">
        <v>2457</v>
      </c>
      <c r="D1942" s="17" t="str">
        <f>_xlfn.XLOOKUP(Raw_LIMS_Export!E1942,'mapping Site table'!$B$4:$B$14,'mapping Site table'!$C$4:$C$14,Raw_LIMS_Export!E1942)</f>
        <v>Budapest</v>
      </c>
      <c r="E1942" s="17" t="s">
        <v>2485</v>
      </c>
      <c r="F1942" s="17">
        <f t="shared" si="91"/>
        <v>1</v>
      </c>
      <c r="G1942" s="17" t="str">
        <f t="shared" si="92"/>
        <v>Pass</v>
      </c>
      <c r="H1942" s="17" t="str">
        <f t="shared" si="90"/>
        <v>Pass</v>
      </c>
      <c r="I1942" s="17">
        <v>14.28</v>
      </c>
      <c r="J1942" s="17" t="s">
        <v>2490</v>
      </c>
      <c r="K1942" s="17">
        <v>0</v>
      </c>
      <c r="L1942" s="17">
        <v>100</v>
      </c>
      <c r="M1942" s="18">
        <f>Raw_LIMS_Export!K1942</f>
        <v>45655</v>
      </c>
      <c r="N1942" s="19" t="s">
        <v>2926</v>
      </c>
    </row>
    <row r="1943" spans="1:14" x14ac:dyDescent="0.35">
      <c r="A1943" s="16" t="s">
        <v>1938</v>
      </c>
      <c r="B1943" s="17" t="s">
        <v>2456</v>
      </c>
      <c r="C1943" s="17" t="s">
        <v>2459</v>
      </c>
      <c r="D1943" s="17" t="str">
        <f>_xlfn.XLOOKUP(Raw_LIMS_Export!E1943,'mapping Site table'!$B$4:$B$14,'mapping Site table'!$C$4:$C$14,Raw_LIMS_Export!E1943)</f>
        <v>Budapest</v>
      </c>
      <c r="E1943" s="17" t="s">
        <v>2484</v>
      </c>
      <c r="F1943" s="17">
        <f t="shared" si="91"/>
        <v>1</v>
      </c>
      <c r="G1943" s="17" t="str">
        <f t="shared" si="92"/>
        <v>Pass</v>
      </c>
      <c r="H1943" s="17" t="str">
        <f t="shared" si="90"/>
        <v>Pass</v>
      </c>
      <c r="I1943" s="17">
        <v>6.84</v>
      </c>
      <c r="J1943" s="17"/>
      <c r="K1943" s="17">
        <v>6</v>
      </c>
      <c r="L1943" s="17">
        <v>7.5</v>
      </c>
      <c r="M1943" s="18">
        <f>Raw_LIMS_Export!K1943</f>
        <v>45779</v>
      </c>
      <c r="N1943" s="19" t="s">
        <v>2932</v>
      </c>
    </row>
    <row r="1944" spans="1:14" x14ac:dyDescent="0.35">
      <c r="A1944" s="16" t="s">
        <v>1939</v>
      </c>
      <c r="B1944" s="17" t="s">
        <v>2356</v>
      </c>
      <c r="C1944" s="17" t="s">
        <v>2458</v>
      </c>
      <c r="D1944" s="17" t="str">
        <f>_xlfn.XLOOKUP(Raw_LIMS_Export!E1944,'mapping Site table'!$B$4:$B$14,'mapping Site table'!$C$4:$C$14,Raw_LIMS_Export!E1944)</f>
        <v>East Hanover</v>
      </c>
      <c r="E1944" s="17" t="s">
        <v>2481</v>
      </c>
      <c r="F1944" s="17">
        <f t="shared" si="91"/>
        <v>1</v>
      </c>
      <c r="G1944" s="17" t="str">
        <f t="shared" si="92"/>
        <v>Pass</v>
      </c>
      <c r="H1944" s="17" t="str">
        <f t="shared" si="90"/>
        <v>Pass</v>
      </c>
      <c r="I1944" s="17">
        <v>256.55</v>
      </c>
      <c r="J1944" s="17" t="s">
        <v>2488</v>
      </c>
      <c r="K1944" s="17">
        <v>150</v>
      </c>
      <c r="L1944" s="17">
        <v>400</v>
      </c>
      <c r="M1944" s="18">
        <f>Raw_LIMS_Export!K1944</f>
        <v>45765</v>
      </c>
      <c r="N1944" s="19" t="s">
        <v>2930</v>
      </c>
    </row>
    <row r="1945" spans="1:14" x14ac:dyDescent="0.35">
      <c r="A1945" s="16" t="s">
        <v>1940</v>
      </c>
      <c r="B1945" s="17" t="s">
        <v>2117</v>
      </c>
      <c r="C1945" s="17" t="s">
        <v>2457</v>
      </c>
      <c r="D1945" s="17" t="str">
        <f>_xlfn.XLOOKUP(Raw_LIMS_Export!E1945,'mapping Site table'!$B$4:$B$14,'mapping Site table'!$C$4:$C$14,Raw_LIMS_Export!E1945)</f>
        <v>Ashford UK</v>
      </c>
      <c r="E1945" s="17" t="s">
        <v>2485</v>
      </c>
      <c r="F1945" s="17">
        <f t="shared" si="91"/>
        <v>1</v>
      </c>
      <c r="G1945" s="17" t="str">
        <f t="shared" si="92"/>
        <v>Fail</v>
      </c>
      <c r="H1945" s="17" t="str">
        <f t="shared" si="90"/>
        <v>Fail</v>
      </c>
      <c r="I1945" s="17">
        <v>-7.46</v>
      </c>
      <c r="J1945" s="17" t="s">
        <v>2490</v>
      </c>
      <c r="K1945" s="17">
        <v>0</v>
      </c>
      <c r="L1945" s="17">
        <v>100</v>
      </c>
      <c r="M1945" s="18">
        <f>Raw_LIMS_Export!K1945</f>
        <v>45951</v>
      </c>
      <c r="N1945" s="19" t="s">
        <v>2926</v>
      </c>
    </row>
    <row r="1946" spans="1:14" x14ac:dyDescent="0.35">
      <c r="A1946" s="16" t="s">
        <v>1941</v>
      </c>
      <c r="B1946" s="17" t="s">
        <v>2381</v>
      </c>
      <c r="C1946" s="17" t="s">
        <v>2457</v>
      </c>
      <c r="D1946" s="17" t="str">
        <f>_xlfn.XLOOKUP(Raw_LIMS_Export!E1946,'mapping Site table'!$B$4:$B$14,'mapping Site table'!$C$4:$C$14,Raw_LIMS_Export!E1946)</f>
        <v>Vernier CH</v>
      </c>
      <c r="E1946" s="17" t="s">
        <v>2482</v>
      </c>
      <c r="F1946" s="17">
        <f t="shared" si="91"/>
        <v>1</v>
      </c>
      <c r="G1946" s="17" t="str">
        <f t="shared" si="92"/>
        <v>Pass</v>
      </c>
      <c r="H1946" s="17" t="str">
        <f t="shared" si="90"/>
        <v>Pass</v>
      </c>
      <c r="I1946" s="17">
        <v>98.4</v>
      </c>
      <c r="J1946" s="17" t="s">
        <v>2489</v>
      </c>
      <c r="K1946" s="17">
        <v>97</v>
      </c>
      <c r="L1946" s="17">
        <v>100</v>
      </c>
      <c r="M1946" s="18">
        <f>Raw_LIMS_Export!K1946</f>
        <v>45355</v>
      </c>
      <c r="N1946" s="19" t="s">
        <v>2931</v>
      </c>
    </row>
    <row r="1947" spans="1:14" x14ac:dyDescent="0.35">
      <c r="A1947" s="16" t="s">
        <v>1942</v>
      </c>
      <c r="B1947" s="17" t="s">
        <v>2087</v>
      </c>
      <c r="C1947" s="17" t="s">
        <v>2459</v>
      </c>
      <c r="D1947" s="17" t="str">
        <f>_xlfn.XLOOKUP(Raw_LIMS_Export!E1947,'mapping Site table'!$B$4:$B$14,'mapping Site table'!$C$4:$C$14,Raw_LIMS_Export!E1947)</f>
        <v>Ashford UK</v>
      </c>
      <c r="E1947" s="17" t="s">
        <v>2479</v>
      </c>
      <c r="F1947" s="17">
        <f t="shared" si="91"/>
        <v>1</v>
      </c>
      <c r="G1947" s="17" t="str">
        <f t="shared" si="92"/>
        <v>Pass</v>
      </c>
      <c r="H1947" s="17" t="str">
        <f t="shared" si="90"/>
        <v>Pass</v>
      </c>
      <c r="I1947" s="17">
        <v>59.69</v>
      </c>
      <c r="J1947" s="17" t="s">
        <v>2486</v>
      </c>
      <c r="K1947" s="17">
        <v>0</v>
      </c>
      <c r="L1947" s="17">
        <v>120</v>
      </c>
      <c r="M1947" s="18">
        <f>Raw_LIMS_Export!K1947</f>
        <v>45399</v>
      </c>
      <c r="N1947" s="19" t="s">
        <v>2932</v>
      </c>
    </row>
    <row r="1948" spans="1:14" x14ac:dyDescent="0.35">
      <c r="A1948" s="16" t="s">
        <v>1943</v>
      </c>
      <c r="B1948" s="17" t="s">
        <v>2369</v>
      </c>
      <c r="C1948" s="17" t="s">
        <v>2458</v>
      </c>
      <c r="D1948" s="17" t="str">
        <f>_xlfn.XLOOKUP(Raw_LIMS_Export!E1948,'mapping Site table'!$B$4:$B$14,'mapping Site table'!$C$4:$C$14,Raw_LIMS_Export!E1948)</f>
        <v>Ashford UK</v>
      </c>
      <c r="E1948" s="17" t="s">
        <v>2479</v>
      </c>
      <c r="F1948" s="17">
        <f t="shared" si="91"/>
        <v>1</v>
      </c>
      <c r="G1948" s="17" t="str">
        <f t="shared" si="92"/>
        <v>Pass</v>
      </c>
      <c r="H1948" s="17" t="str">
        <f t="shared" si="90"/>
        <v>Pass</v>
      </c>
      <c r="I1948" s="17">
        <v>16.57</v>
      </c>
      <c r="J1948" s="17" t="s">
        <v>2486</v>
      </c>
      <c r="K1948" s="17">
        <v>0</v>
      </c>
      <c r="L1948" s="17">
        <v>120</v>
      </c>
      <c r="M1948" s="18">
        <f>Raw_LIMS_Export!K1948</f>
        <v>46003</v>
      </c>
      <c r="N1948" s="19" t="s">
        <v>2924</v>
      </c>
    </row>
    <row r="1949" spans="1:14" x14ac:dyDescent="0.35">
      <c r="A1949" s="16" t="s">
        <v>1944</v>
      </c>
      <c r="B1949" s="17" t="s">
        <v>2223</v>
      </c>
      <c r="C1949" s="17" t="s">
        <v>2458</v>
      </c>
      <c r="D1949" s="17" t="str">
        <f>_xlfn.XLOOKUP(Raw_LIMS_Export!E1949,'mapping Site table'!$B$4:$B$14,'mapping Site table'!$C$4:$C$14,Raw_LIMS_Export!E1949)</f>
        <v>East Hanover</v>
      </c>
      <c r="E1949" s="17" t="s">
        <v>2484</v>
      </c>
      <c r="F1949" s="17">
        <f t="shared" si="91"/>
        <v>1</v>
      </c>
      <c r="G1949" s="17" t="str">
        <f t="shared" si="92"/>
        <v>Pass</v>
      </c>
      <c r="H1949" s="17" t="str">
        <f t="shared" si="90"/>
        <v>Fail</v>
      </c>
      <c r="I1949" s="17">
        <v>7.02</v>
      </c>
      <c r="J1949" s="17"/>
      <c r="K1949" s="17">
        <v>6</v>
      </c>
      <c r="L1949" s="17">
        <v>7.5</v>
      </c>
      <c r="M1949" s="18">
        <f>Raw_LIMS_Export!K1949</f>
        <v>45496</v>
      </c>
      <c r="N1949" s="19" t="s">
        <v>2926</v>
      </c>
    </row>
    <row r="1950" spans="1:14" x14ac:dyDescent="0.35">
      <c r="A1950" s="16" t="s">
        <v>1945</v>
      </c>
      <c r="B1950" s="17" t="s">
        <v>2026</v>
      </c>
      <c r="C1950" s="17" t="s">
        <v>2461</v>
      </c>
      <c r="D1950" s="17" t="str">
        <f>_xlfn.XLOOKUP(Raw_LIMS_Export!E1950,'mapping Site table'!$B$4:$B$14,'mapping Site table'!$C$4:$C$14,Raw_LIMS_Export!E1950)</f>
        <v>Vernier CH</v>
      </c>
      <c r="E1950" s="17" t="s">
        <v>2479</v>
      </c>
      <c r="F1950" s="17">
        <f t="shared" si="91"/>
        <v>0</v>
      </c>
      <c r="G1950" s="17" t="str">
        <f t="shared" si="92"/>
        <v>Missing</v>
      </c>
      <c r="H1950" s="17" t="str">
        <f t="shared" si="90"/>
        <v>Fail</v>
      </c>
      <c r="I1950" s="17"/>
      <c r="J1950" s="17" t="s">
        <v>2486</v>
      </c>
      <c r="K1950" s="17">
        <v>0</v>
      </c>
      <c r="L1950" s="17">
        <v>120</v>
      </c>
      <c r="M1950" s="18">
        <f>Raw_LIMS_Export!K1950</f>
        <v>45294</v>
      </c>
      <c r="N1950" s="19" t="s">
        <v>2930</v>
      </c>
    </row>
    <row r="1951" spans="1:14" x14ac:dyDescent="0.35">
      <c r="A1951" s="16" t="s">
        <v>1946</v>
      </c>
      <c r="B1951" s="17" t="s">
        <v>2218</v>
      </c>
      <c r="C1951" s="17" t="s">
        <v>2457</v>
      </c>
      <c r="D1951" s="17" t="str">
        <f>_xlfn.XLOOKUP(Raw_LIMS_Export!E1951,'mapping Site table'!$B$4:$B$14,'mapping Site table'!$C$4:$C$14,Raw_LIMS_Export!E1951)</f>
        <v>Dortmund DE</v>
      </c>
      <c r="E1951" s="17" t="s">
        <v>2485</v>
      </c>
      <c r="F1951" s="17">
        <f t="shared" si="91"/>
        <v>1</v>
      </c>
      <c r="G1951" s="17" t="str">
        <f t="shared" si="92"/>
        <v>Fail</v>
      </c>
      <c r="H1951" s="17" t="str">
        <f t="shared" si="90"/>
        <v>Fail</v>
      </c>
      <c r="I1951" s="17">
        <v>-29.52</v>
      </c>
      <c r="J1951" s="17" t="s">
        <v>2490</v>
      </c>
      <c r="K1951" s="17">
        <v>0</v>
      </c>
      <c r="L1951" s="17">
        <v>100</v>
      </c>
      <c r="M1951" s="18">
        <f>Raw_LIMS_Export!K1951</f>
        <v>45621</v>
      </c>
      <c r="N1951" s="19" t="s">
        <v>2924</v>
      </c>
    </row>
    <row r="1952" spans="1:14" x14ac:dyDescent="0.35">
      <c r="A1952" s="16" t="s">
        <v>1947</v>
      </c>
      <c r="B1952" s="17" t="s">
        <v>2222</v>
      </c>
      <c r="C1952" s="17" t="s">
        <v>2459</v>
      </c>
      <c r="D1952" s="17" t="str">
        <f>_xlfn.XLOOKUP(Raw_LIMS_Export!E1952,'mapping Site table'!$B$4:$B$14,'mapping Site table'!$C$4:$C$14,Raw_LIMS_Export!E1952)</f>
        <v>Ashford UK</v>
      </c>
      <c r="E1952" s="17" t="s">
        <v>2479</v>
      </c>
      <c r="F1952" s="17">
        <f t="shared" si="91"/>
        <v>1</v>
      </c>
      <c r="G1952" s="17" t="str">
        <f t="shared" si="92"/>
        <v>Pass</v>
      </c>
      <c r="H1952" s="17" t="str">
        <f t="shared" si="90"/>
        <v>Pass</v>
      </c>
      <c r="I1952" s="17">
        <v>34.020000000000003</v>
      </c>
      <c r="J1952" s="17" t="s">
        <v>2486</v>
      </c>
      <c r="K1952" s="17">
        <v>0</v>
      </c>
      <c r="L1952" s="17">
        <v>120</v>
      </c>
      <c r="M1952" s="18">
        <f>Raw_LIMS_Export!K1952</f>
        <v>45317</v>
      </c>
      <c r="N1952" s="19" t="s">
        <v>2925</v>
      </c>
    </row>
    <row r="1953" spans="1:14" x14ac:dyDescent="0.35">
      <c r="A1953" s="16" t="s">
        <v>1948</v>
      </c>
      <c r="B1953" s="17" t="s">
        <v>2367</v>
      </c>
      <c r="C1953" s="17" t="s">
        <v>2461</v>
      </c>
      <c r="D1953" s="17" t="str">
        <f>_xlfn.XLOOKUP(Raw_LIMS_Export!E1953,'mapping Site table'!$B$4:$B$14,'mapping Site table'!$C$4:$C$14,Raw_LIMS_Export!E1953)</f>
        <v>Dortmund DE</v>
      </c>
      <c r="E1953" s="17" t="s">
        <v>2484</v>
      </c>
      <c r="F1953" s="17">
        <f t="shared" si="91"/>
        <v>1</v>
      </c>
      <c r="G1953" s="17" t="str">
        <f t="shared" si="92"/>
        <v>Pass</v>
      </c>
      <c r="H1953" s="17" t="str">
        <f t="shared" si="90"/>
        <v>Pass</v>
      </c>
      <c r="I1953" s="17">
        <v>6.81</v>
      </c>
      <c r="J1953" s="17"/>
      <c r="K1953" s="17">
        <v>6</v>
      </c>
      <c r="L1953" s="17">
        <v>7.5</v>
      </c>
      <c r="M1953" s="18">
        <f>Raw_LIMS_Export!K1953</f>
        <v>45794</v>
      </c>
      <c r="N1953" s="19" t="s">
        <v>2929</v>
      </c>
    </row>
    <row r="1954" spans="1:14" x14ac:dyDescent="0.35">
      <c r="A1954" s="16" t="s">
        <v>1949</v>
      </c>
      <c r="B1954" s="17" t="s">
        <v>2041</v>
      </c>
      <c r="C1954" s="17" t="s">
        <v>2460</v>
      </c>
      <c r="D1954" s="17" t="str">
        <f>_xlfn.XLOOKUP(Raw_LIMS_Export!E1954,'mapping Site table'!$B$4:$B$14,'mapping Site table'!$C$4:$C$14,Raw_LIMS_Export!E1954)</f>
        <v>Ashford UK</v>
      </c>
      <c r="E1954" s="17" t="s">
        <v>2484</v>
      </c>
      <c r="F1954" s="17">
        <f t="shared" si="91"/>
        <v>1</v>
      </c>
      <c r="G1954" s="17" t="str">
        <f t="shared" si="92"/>
        <v>Pass</v>
      </c>
      <c r="H1954" s="17" t="str">
        <f t="shared" si="90"/>
        <v>Pass</v>
      </c>
      <c r="I1954" s="17">
        <v>6.64</v>
      </c>
      <c r="J1954" s="17"/>
      <c r="K1954" s="17">
        <v>6</v>
      </c>
      <c r="L1954" s="17">
        <v>7.5</v>
      </c>
      <c r="M1954" s="18">
        <f>Raw_LIMS_Export!K1954</f>
        <v>45824</v>
      </c>
      <c r="N1954" s="19" t="s">
        <v>2924</v>
      </c>
    </row>
    <row r="1955" spans="1:14" x14ac:dyDescent="0.35">
      <c r="A1955" s="16" t="s">
        <v>1950</v>
      </c>
      <c r="B1955" s="17" t="s">
        <v>2439</v>
      </c>
      <c r="C1955" s="17" t="s">
        <v>2458</v>
      </c>
      <c r="D1955" s="17" t="str">
        <f>_xlfn.XLOOKUP(Raw_LIMS_Export!E1955,'mapping Site table'!$B$4:$B$14,'mapping Site table'!$C$4:$C$14,Raw_LIMS_Export!E1955)</f>
        <v>Ashford UK</v>
      </c>
      <c r="E1955" s="17" t="s">
        <v>2484</v>
      </c>
      <c r="F1955" s="17">
        <f t="shared" si="91"/>
        <v>1</v>
      </c>
      <c r="G1955" s="17" t="str">
        <f t="shared" si="92"/>
        <v>Pass</v>
      </c>
      <c r="H1955" s="17" t="str">
        <f t="shared" si="90"/>
        <v>Fail</v>
      </c>
      <c r="I1955" s="17">
        <v>6.81</v>
      </c>
      <c r="J1955" s="17"/>
      <c r="K1955" s="17">
        <v>6</v>
      </c>
      <c r="L1955" s="17">
        <v>7.5</v>
      </c>
      <c r="M1955" s="18">
        <f>Raw_LIMS_Export!K1955</f>
        <v>45549</v>
      </c>
      <c r="N1955" s="19" t="s">
        <v>2926</v>
      </c>
    </row>
    <row r="1956" spans="1:14" x14ac:dyDescent="0.35">
      <c r="A1956" s="16" t="s">
        <v>1951</v>
      </c>
      <c r="B1956" s="17" t="s">
        <v>2061</v>
      </c>
      <c r="C1956" s="17" t="s">
        <v>2457</v>
      </c>
      <c r="D1956" s="17" t="str">
        <f>_xlfn.XLOOKUP(Raw_LIMS_Export!E1956,'mapping Site table'!$B$4:$B$14,'mapping Site table'!$C$4:$C$14,Raw_LIMS_Export!E1956)</f>
        <v>Budapest</v>
      </c>
      <c r="E1956" s="17" t="s">
        <v>2482</v>
      </c>
      <c r="F1956" s="17">
        <f t="shared" si="91"/>
        <v>1</v>
      </c>
      <c r="G1956" s="17" t="str">
        <f t="shared" si="92"/>
        <v>Pass</v>
      </c>
      <c r="H1956" s="17" t="str">
        <f t="shared" si="90"/>
        <v>Pass</v>
      </c>
      <c r="I1956" s="17">
        <v>98.21</v>
      </c>
      <c r="J1956" s="17" t="s">
        <v>2489</v>
      </c>
      <c r="K1956" s="17">
        <v>97</v>
      </c>
      <c r="L1956" s="17">
        <v>100</v>
      </c>
      <c r="M1956" s="18">
        <f>Raw_LIMS_Export!K1956</f>
        <v>45831</v>
      </c>
      <c r="N1956" s="19" t="s">
        <v>2927</v>
      </c>
    </row>
    <row r="1957" spans="1:14" x14ac:dyDescent="0.35">
      <c r="A1957" s="16" t="s">
        <v>1952</v>
      </c>
      <c r="B1957" s="17" t="s">
        <v>2406</v>
      </c>
      <c r="C1957" s="17" t="s">
        <v>2459</v>
      </c>
      <c r="D1957" s="17" t="str">
        <f>_xlfn.XLOOKUP(Raw_LIMS_Export!E1957,'mapping Site table'!$B$4:$B$14,'mapping Site table'!$C$4:$C$14,Raw_LIMS_Export!E1957)</f>
        <v>Vernier CH</v>
      </c>
      <c r="E1957" s="17" t="s">
        <v>2481</v>
      </c>
      <c r="F1957" s="17">
        <f t="shared" si="91"/>
        <v>1</v>
      </c>
      <c r="G1957" s="17" t="str">
        <f t="shared" si="92"/>
        <v>Pass</v>
      </c>
      <c r="H1957" s="17" t="str">
        <f t="shared" si="90"/>
        <v>Pass</v>
      </c>
      <c r="I1957" s="17">
        <v>252.88</v>
      </c>
      <c r="J1957" s="17" t="s">
        <v>2488</v>
      </c>
      <c r="K1957" s="17">
        <v>150</v>
      </c>
      <c r="L1957" s="17">
        <v>400</v>
      </c>
      <c r="M1957" s="18">
        <f>Raw_LIMS_Export!K1957</f>
        <v>45345</v>
      </c>
      <c r="N1957" s="19" t="s">
        <v>2927</v>
      </c>
    </row>
    <row r="1958" spans="1:14" x14ac:dyDescent="0.35">
      <c r="A1958" s="16" t="s">
        <v>1953</v>
      </c>
      <c r="B1958" s="17" t="s">
        <v>2298</v>
      </c>
      <c r="C1958" s="17" t="s">
        <v>2458</v>
      </c>
      <c r="D1958" s="17" t="str">
        <f>_xlfn.XLOOKUP(Raw_LIMS_Export!E1958,'mapping Site table'!$B$4:$B$14,'mapping Site table'!$C$4:$C$14,Raw_LIMS_Export!E1958)</f>
        <v>Dortmund DE</v>
      </c>
      <c r="E1958" s="17" t="s">
        <v>2481</v>
      </c>
      <c r="F1958" s="17">
        <f t="shared" si="91"/>
        <v>1</v>
      </c>
      <c r="G1958" s="17" t="str">
        <f t="shared" si="92"/>
        <v>Pass</v>
      </c>
      <c r="H1958" s="17" t="str">
        <f t="shared" si="90"/>
        <v>Fail</v>
      </c>
      <c r="I1958" s="17">
        <v>241.04</v>
      </c>
      <c r="J1958" s="17" t="s">
        <v>2488</v>
      </c>
      <c r="K1958" s="17">
        <v>150</v>
      </c>
      <c r="L1958" s="17">
        <v>400</v>
      </c>
      <c r="M1958" s="18">
        <f>Raw_LIMS_Export!K1958</f>
        <v>45323</v>
      </c>
      <c r="N1958" s="19" t="s">
        <v>2931</v>
      </c>
    </row>
    <row r="1959" spans="1:14" x14ac:dyDescent="0.35">
      <c r="A1959" s="16" t="s">
        <v>1954</v>
      </c>
      <c r="B1959" s="17" t="s">
        <v>2433</v>
      </c>
      <c r="C1959" s="17" t="s">
        <v>2461</v>
      </c>
      <c r="D1959" s="17" t="str">
        <f>_xlfn.XLOOKUP(Raw_LIMS_Export!E1959,'mapping Site table'!$B$4:$B$14,'mapping Site table'!$C$4:$C$14,Raw_LIMS_Export!E1959)</f>
        <v>Vernier CH</v>
      </c>
      <c r="E1959" s="17" t="s">
        <v>2482</v>
      </c>
      <c r="F1959" s="17">
        <f t="shared" si="91"/>
        <v>1</v>
      </c>
      <c r="G1959" s="17" t="str">
        <f t="shared" si="92"/>
        <v>Pass</v>
      </c>
      <c r="H1959" s="17" t="str">
        <f t="shared" si="90"/>
        <v>Pass</v>
      </c>
      <c r="I1959" s="17">
        <v>98.11</v>
      </c>
      <c r="J1959" s="17" t="s">
        <v>2489</v>
      </c>
      <c r="K1959" s="17">
        <v>97</v>
      </c>
      <c r="L1959" s="17">
        <v>100</v>
      </c>
      <c r="M1959" s="18">
        <f>Raw_LIMS_Export!K1959</f>
        <v>45503</v>
      </c>
      <c r="N1959" s="19" t="s">
        <v>2928</v>
      </c>
    </row>
    <row r="1960" spans="1:14" x14ac:dyDescent="0.35">
      <c r="A1960" s="16" t="s">
        <v>1955</v>
      </c>
      <c r="B1960" s="17" t="s">
        <v>2399</v>
      </c>
      <c r="C1960" s="17" t="s">
        <v>2459</v>
      </c>
      <c r="D1960" s="17" t="str">
        <f>_xlfn.XLOOKUP(Raw_LIMS_Export!E1960,'mapping Site table'!$B$4:$B$14,'mapping Site table'!$C$4:$C$14,Raw_LIMS_Export!E1960)</f>
        <v>East Hanover</v>
      </c>
      <c r="E1960" s="17" t="s">
        <v>2485</v>
      </c>
      <c r="F1960" s="17">
        <f t="shared" si="91"/>
        <v>1</v>
      </c>
      <c r="G1960" s="17" t="str">
        <f t="shared" si="92"/>
        <v>Fail</v>
      </c>
      <c r="H1960" s="17" t="str">
        <f t="shared" si="90"/>
        <v>Fail</v>
      </c>
      <c r="I1960" s="17">
        <v>-16.37</v>
      </c>
      <c r="J1960" s="17" t="s">
        <v>2490</v>
      </c>
      <c r="K1960" s="17">
        <v>0</v>
      </c>
      <c r="L1960" s="17">
        <v>100</v>
      </c>
      <c r="M1960" s="18">
        <f>Raw_LIMS_Export!K1960</f>
        <v>45669</v>
      </c>
      <c r="N1960" s="19" t="s">
        <v>2924</v>
      </c>
    </row>
    <row r="1961" spans="1:14" x14ac:dyDescent="0.35">
      <c r="A1961" s="16" t="s">
        <v>1956</v>
      </c>
      <c r="B1961" s="17" t="s">
        <v>2014</v>
      </c>
      <c r="C1961" s="17" t="s">
        <v>2459</v>
      </c>
      <c r="D1961" s="17" t="str">
        <f>_xlfn.XLOOKUP(Raw_LIMS_Export!E1961,'mapping Site table'!$B$4:$B$14,'mapping Site table'!$C$4:$C$14,Raw_LIMS_Export!E1961)</f>
        <v>Vernier CH</v>
      </c>
      <c r="E1961" s="17" t="s">
        <v>2479</v>
      </c>
      <c r="F1961" s="17">
        <f t="shared" si="91"/>
        <v>1</v>
      </c>
      <c r="G1961" s="17" t="str">
        <f t="shared" si="92"/>
        <v>Pass</v>
      </c>
      <c r="H1961" s="17" t="str">
        <f t="shared" si="90"/>
        <v>Pass</v>
      </c>
      <c r="I1961" s="17">
        <v>48.63</v>
      </c>
      <c r="J1961" s="17" t="s">
        <v>2486</v>
      </c>
      <c r="K1961" s="17">
        <v>0</v>
      </c>
      <c r="L1961" s="17">
        <v>120</v>
      </c>
      <c r="M1961" s="18">
        <f>Raw_LIMS_Export!K1961</f>
        <v>45982</v>
      </c>
      <c r="N1961" s="19" t="s">
        <v>2927</v>
      </c>
    </row>
    <row r="1962" spans="1:14" x14ac:dyDescent="0.35">
      <c r="A1962" s="16" t="s">
        <v>1957</v>
      </c>
      <c r="B1962" s="17" t="s">
        <v>2050</v>
      </c>
      <c r="C1962" s="17" t="s">
        <v>2461</v>
      </c>
      <c r="D1962" s="17" t="str">
        <f>_xlfn.XLOOKUP(Raw_LIMS_Export!E1962,'mapping Site table'!$B$4:$B$14,'mapping Site table'!$C$4:$C$14,Raw_LIMS_Export!E1962)</f>
        <v>East Hanover</v>
      </c>
      <c r="E1962" s="17" t="s">
        <v>2483</v>
      </c>
      <c r="F1962" s="17">
        <f t="shared" si="91"/>
        <v>1</v>
      </c>
      <c r="G1962" s="17" t="str">
        <f t="shared" si="92"/>
        <v>Pass</v>
      </c>
      <c r="H1962" s="17" t="str">
        <f t="shared" si="90"/>
        <v>Pass</v>
      </c>
      <c r="I1962" s="17">
        <v>0.24</v>
      </c>
      <c r="J1962" s="17" t="s">
        <v>2489</v>
      </c>
      <c r="K1962" s="17">
        <v>0</v>
      </c>
      <c r="L1962" s="17">
        <v>1</v>
      </c>
      <c r="M1962" s="18">
        <f>Raw_LIMS_Export!K1962</f>
        <v>45398</v>
      </c>
      <c r="N1962" s="19" t="s">
        <v>2926</v>
      </c>
    </row>
    <row r="1963" spans="1:14" x14ac:dyDescent="0.35">
      <c r="A1963" s="16" t="s">
        <v>1958</v>
      </c>
      <c r="B1963" s="17" t="s">
        <v>2114</v>
      </c>
      <c r="C1963" s="17" t="s">
        <v>2460</v>
      </c>
      <c r="D1963" s="17" t="str">
        <f>_xlfn.XLOOKUP(Raw_LIMS_Export!E1963,'mapping Site table'!$B$4:$B$14,'mapping Site table'!$C$4:$C$14,Raw_LIMS_Export!E1963)</f>
        <v>East Hanover</v>
      </c>
      <c r="E1963" s="17" t="s">
        <v>2485</v>
      </c>
      <c r="F1963" s="17">
        <f t="shared" si="91"/>
        <v>1</v>
      </c>
      <c r="G1963" s="17" t="str">
        <f t="shared" si="92"/>
        <v>Pass</v>
      </c>
      <c r="H1963" s="17" t="str">
        <f t="shared" si="90"/>
        <v>Fail</v>
      </c>
      <c r="I1963" s="17">
        <v>25.01</v>
      </c>
      <c r="J1963" s="17" t="s">
        <v>2490</v>
      </c>
      <c r="K1963" s="17">
        <v>0</v>
      </c>
      <c r="L1963" s="17">
        <v>100</v>
      </c>
      <c r="M1963" s="18">
        <f>Raw_LIMS_Export!K1963</f>
        <v>45654</v>
      </c>
      <c r="N1963" s="19" t="s">
        <v>2931</v>
      </c>
    </row>
    <row r="1964" spans="1:14" x14ac:dyDescent="0.35">
      <c r="A1964" s="16" t="s">
        <v>1959</v>
      </c>
      <c r="B1964" s="17" t="s">
        <v>2290</v>
      </c>
      <c r="C1964" s="17" t="s">
        <v>2461</v>
      </c>
      <c r="D1964" s="17" t="str">
        <f>_xlfn.XLOOKUP(Raw_LIMS_Export!E1964,'mapping Site table'!$B$4:$B$14,'mapping Site table'!$C$4:$C$14,Raw_LIMS_Export!E1964)</f>
        <v>Dortmund DE</v>
      </c>
      <c r="E1964" s="17" t="s">
        <v>2480</v>
      </c>
      <c r="F1964" s="17">
        <f t="shared" si="91"/>
        <v>1</v>
      </c>
      <c r="G1964" s="17" t="str">
        <f t="shared" si="92"/>
        <v>Pass</v>
      </c>
      <c r="H1964" s="17" t="str">
        <f t="shared" si="90"/>
        <v>Pass</v>
      </c>
      <c r="I1964" s="17">
        <v>0.92</v>
      </c>
      <c r="J1964" s="17" t="s">
        <v>2487</v>
      </c>
      <c r="K1964" s="17">
        <v>0.88</v>
      </c>
      <c r="L1964" s="17">
        <v>0.97</v>
      </c>
      <c r="M1964" s="18">
        <f>Raw_LIMS_Export!K1964</f>
        <v>45864</v>
      </c>
      <c r="N1964" s="19" t="s">
        <v>2928</v>
      </c>
    </row>
    <row r="1965" spans="1:14" x14ac:dyDescent="0.35">
      <c r="A1965" s="16" t="s">
        <v>1960</v>
      </c>
      <c r="B1965" s="17" t="s">
        <v>2338</v>
      </c>
      <c r="C1965" s="17" t="s">
        <v>2458</v>
      </c>
      <c r="D1965" s="17" t="str">
        <f>_xlfn.XLOOKUP(Raw_LIMS_Export!E1965,'mapping Site table'!$B$4:$B$14,'mapping Site table'!$C$4:$C$14,Raw_LIMS_Export!E1965)</f>
        <v>Budapest</v>
      </c>
      <c r="E1965" s="17" t="s">
        <v>2479</v>
      </c>
      <c r="F1965" s="17">
        <f t="shared" si="91"/>
        <v>1</v>
      </c>
      <c r="G1965" s="17" t="str">
        <f t="shared" si="92"/>
        <v>Pass</v>
      </c>
      <c r="H1965" s="17" t="str">
        <f t="shared" si="90"/>
        <v>Pending</v>
      </c>
      <c r="I1965" s="17">
        <v>29.36</v>
      </c>
      <c r="J1965" s="17" t="s">
        <v>2486</v>
      </c>
      <c r="K1965" s="17">
        <v>0</v>
      </c>
      <c r="L1965" s="17">
        <v>120</v>
      </c>
      <c r="M1965" s="18">
        <f>Raw_LIMS_Export!K1965</f>
        <v>45311</v>
      </c>
      <c r="N1965" s="19" t="s">
        <v>2924</v>
      </c>
    </row>
    <row r="1966" spans="1:14" x14ac:dyDescent="0.35">
      <c r="A1966" s="16" t="s">
        <v>1961</v>
      </c>
      <c r="B1966" s="17" t="s">
        <v>2075</v>
      </c>
      <c r="C1966" s="17" t="s">
        <v>2461</v>
      </c>
      <c r="D1966" s="17" t="str">
        <f>_xlfn.XLOOKUP(Raw_LIMS_Export!E1966,'mapping Site table'!$B$4:$B$14,'mapping Site table'!$C$4:$C$14,Raw_LIMS_Export!E1966)</f>
        <v>Budapest</v>
      </c>
      <c r="E1966" s="17" t="s">
        <v>2480</v>
      </c>
      <c r="F1966" s="17">
        <f t="shared" si="91"/>
        <v>1</v>
      </c>
      <c r="G1966" s="17" t="str">
        <f t="shared" si="92"/>
        <v>Pass</v>
      </c>
      <c r="H1966" s="17" t="str">
        <f t="shared" si="90"/>
        <v>Pass</v>
      </c>
      <c r="I1966" s="17">
        <v>0.88</v>
      </c>
      <c r="J1966" s="17" t="s">
        <v>2487</v>
      </c>
      <c r="K1966" s="17">
        <v>0.88</v>
      </c>
      <c r="L1966" s="17">
        <v>0.97</v>
      </c>
      <c r="M1966" s="18">
        <f>Raw_LIMS_Export!K1966</f>
        <v>45686</v>
      </c>
      <c r="N1966" s="19" t="s">
        <v>2925</v>
      </c>
    </row>
    <row r="1967" spans="1:14" x14ac:dyDescent="0.35">
      <c r="A1967" s="16" t="s">
        <v>1962</v>
      </c>
      <c r="B1967" s="17" t="s">
        <v>2423</v>
      </c>
      <c r="C1967" s="17" t="s">
        <v>2461</v>
      </c>
      <c r="D1967" s="17" t="str">
        <f>_xlfn.XLOOKUP(Raw_LIMS_Export!E1967,'mapping Site table'!$B$4:$B$14,'mapping Site table'!$C$4:$C$14,Raw_LIMS_Export!E1967)</f>
        <v>East Hanover</v>
      </c>
      <c r="E1967" s="17" t="s">
        <v>2481</v>
      </c>
      <c r="F1967" s="17">
        <f t="shared" si="91"/>
        <v>1</v>
      </c>
      <c r="G1967" s="17" t="str">
        <f t="shared" si="92"/>
        <v>Pass</v>
      </c>
      <c r="H1967" s="17" t="str">
        <f t="shared" si="90"/>
        <v>Pass</v>
      </c>
      <c r="I1967" s="17">
        <v>221.97</v>
      </c>
      <c r="J1967" s="17" t="s">
        <v>2488</v>
      </c>
      <c r="K1967" s="17">
        <v>150</v>
      </c>
      <c r="L1967" s="17">
        <v>400</v>
      </c>
      <c r="M1967" s="18">
        <f>Raw_LIMS_Export!K1967</f>
        <v>45916</v>
      </c>
      <c r="N1967" s="19" t="s">
        <v>2927</v>
      </c>
    </row>
    <row r="1968" spans="1:14" x14ac:dyDescent="0.35">
      <c r="A1968" s="16" t="s">
        <v>1963</v>
      </c>
      <c r="B1968" s="17" t="s">
        <v>2375</v>
      </c>
      <c r="C1968" s="17" t="s">
        <v>2458</v>
      </c>
      <c r="D1968" s="17" t="str">
        <f>_xlfn.XLOOKUP(Raw_LIMS_Export!E1968,'mapping Site table'!$B$4:$B$14,'mapping Site table'!$C$4:$C$14,Raw_LIMS_Export!E1968)</f>
        <v>Budapest</v>
      </c>
      <c r="E1968" s="17" t="s">
        <v>2480</v>
      </c>
      <c r="F1968" s="17">
        <f t="shared" si="91"/>
        <v>1</v>
      </c>
      <c r="G1968" s="17" t="str">
        <f t="shared" si="92"/>
        <v>Pass</v>
      </c>
      <c r="H1968" s="17" t="str">
        <f t="shared" si="90"/>
        <v>Pass</v>
      </c>
      <c r="I1968" s="17">
        <v>0.93</v>
      </c>
      <c r="J1968" s="17" t="s">
        <v>2487</v>
      </c>
      <c r="K1968" s="17">
        <v>0.88</v>
      </c>
      <c r="L1968" s="17">
        <v>0.97</v>
      </c>
      <c r="M1968" s="18">
        <f>Raw_LIMS_Export!K1968</f>
        <v>45427</v>
      </c>
      <c r="N1968" s="19" t="s">
        <v>2931</v>
      </c>
    </row>
    <row r="1969" spans="1:14" x14ac:dyDescent="0.35">
      <c r="A1969" s="16" t="s">
        <v>1964</v>
      </c>
      <c r="B1969" s="17" t="s">
        <v>2437</v>
      </c>
      <c r="C1969" s="17" t="s">
        <v>2457</v>
      </c>
      <c r="D1969" s="17" t="str">
        <f>_xlfn.XLOOKUP(Raw_LIMS_Export!E1969,'mapping Site table'!$B$4:$B$14,'mapping Site table'!$C$4:$C$14,Raw_LIMS_Export!E1969)</f>
        <v>Dortmund DE</v>
      </c>
      <c r="E1969" s="17" t="s">
        <v>2481</v>
      </c>
      <c r="F1969" s="17">
        <f t="shared" si="91"/>
        <v>1</v>
      </c>
      <c r="G1969" s="17" t="str">
        <f t="shared" si="92"/>
        <v>Pass</v>
      </c>
      <c r="H1969" s="17" t="str">
        <f t="shared" si="90"/>
        <v>Fail</v>
      </c>
      <c r="I1969" s="17">
        <v>213.81</v>
      </c>
      <c r="J1969" s="17" t="s">
        <v>2488</v>
      </c>
      <c r="K1969" s="17">
        <v>150</v>
      </c>
      <c r="L1969" s="17">
        <v>400</v>
      </c>
      <c r="M1969" s="18">
        <f>Raw_LIMS_Export!K1969</f>
        <v>45366</v>
      </c>
      <c r="N1969" s="19" t="s">
        <v>2923</v>
      </c>
    </row>
    <row r="1970" spans="1:14" x14ac:dyDescent="0.35">
      <c r="A1970" s="16" t="s">
        <v>1965</v>
      </c>
      <c r="B1970" s="17" t="s">
        <v>2442</v>
      </c>
      <c r="C1970" s="17" t="s">
        <v>2458</v>
      </c>
      <c r="D1970" s="17" t="str">
        <f>_xlfn.XLOOKUP(Raw_LIMS_Export!E1970,'mapping Site table'!$B$4:$B$14,'mapping Site table'!$C$4:$C$14,Raw_LIMS_Export!E1970)</f>
        <v>Vernier CH</v>
      </c>
      <c r="E1970" s="17" t="s">
        <v>2485</v>
      </c>
      <c r="F1970" s="17">
        <f t="shared" si="91"/>
        <v>1</v>
      </c>
      <c r="G1970" s="17" t="str">
        <f t="shared" si="92"/>
        <v>Fail</v>
      </c>
      <c r="H1970" s="17" t="str">
        <f t="shared" si="90"/>
        <v>Fail</v>
      </c>
      <c r="I1970" s="17">
        <v>-30.91</v>
      </c>
      <c r="J1970" s="17" t="s">
        <v>2490</v>
      </c>
      <c r="K1970" s="17">
        <v>0</v>
      </c>
      <c r="L1970" s="17">
        <v>100</v>
      </c>
      <c r="M1970" s="18">
        <f>Raw_LIMS_Export!K1970</f>
        <v>45385</v>
      </c>
      <c r="N1970" s="19" t="s">
        <v>2924</v>
      </c>
    </row>
    <row r="1971" spans="1:14" x14ac:dyDescent="0.35">
      <c r="A1971" s="16" t="s">
        <v>1966</v>
      </c>
      <c r="B1971" s="17" t="s">
        <v>2449</v>
      </c>
      <c r="C1971" s="17" t="s">
        <v>2460</v>
      </c>
      <c r="D1971" s="17" t="str">
        <f>_xlfn.XLOOKUP(Raw_LIMS_Export!E1971,'mapping Site table'!$B$4:$B$14,'mapping Site table'!$C$4:$C$14,Raw_LIMS_Export!E1971)</f>
        <v>Budapest</v>
      </c>
      <c r="E1971" s="17" t="s">
        <v>2479</v>
      </c>
      <c r="F1971" s="17">
        <f t="shared" si="91"/>
        <v>1</v>
      </c>
      <c r="G1971" s="17" t="str">
        <f t="shared" si="92"/>
        <v>Pass</v>
      </c>
      <c r="H1971" s="17" t="str">
        <f t="shared" si="90"/>
        <v>Pass</v>
      </c>
      <c r="I1971" s="17">
        <v>52.14</v>
      </c>
      <c r="J1971" s="17" t="s">
        <v>2486</v>
      </c>
      <c r="K1971" s="17">
        <v>0</v>
      </c>
      <c r="L1971" s="17">
        <v>120</v>
      </c>
      <c r="M1971" s="18">
        <f>Raw_LIMS_Export!K1971</f>
        <v>45526</v>
      </c>
      <c r="N1971" s="19" t="s">
        <v>2923</v>
      </c>
    </row>
    <row r="1972" spans="1:14" x14ac:dyDescent="0.35">
      <c r="A1972" s="16" t="s">
        <v>1967</v>
      </c>
      <c r="B1972" s="17" t="s">
        <v>2221</v>
      </c>
      <c r="C1972" s="17" t="s">
        <v>2458</v>
      </c>
      <c r="D1972" s="17" t="str">
        <f>_xlfn.XLOOKUP(Raw_LIMS_Export!E1972,'mapping Site table'!$B$4:$B$14,'mapping Site table'!$C$4:$C$14,Raw_LIMS_Export!E1972)</f>
        <v>Dortmund DE</v>
      </c>
      <c r="E1972" s="17" t="s">
        <v>2484</v>
      </c>
      <c r="F1972" s="17">
        <f t="shared" si="91"/>
        <v>1</v>
      </c>
      <c r="G1972" s="17" t="str">
        <f t="shared" si="92"/>
        <v>Pass</v>
      </c>
      <c r="H1972" s="17" t="str">
        <f t="shared" si="90"/>
        <v>Pass</v>
      </c>
      <c r="I1972" s="17">
        <v>7.06</v>
      </c>
      <c r="J1972" s="17"/>
      <c r="K1972" s="17">
        <v>6</v>
      </c>
      <c r="L1972" s="17">
        <v>7.5</v>
      </c>
      <c r="M1972" s="18">
        <f>Raw_LIMS_Export!K1972</f>
        <v>45520</v>
      </c>
      <c r="N1972" s="19" t="s">
        <v>2927</v>
      </c>
    </row>
    <row r="1973" spans="1:14" x14ac:dyDescent="0.35">
      <c r="A1973" s="16" t="s">
        <v>1968</v>
      </c>
      <c r="B1973" s="17" t="s">
        <v>2205</v>
      </c>
      <c r="C1973" s="17" t="s">
        <v>2457</v>
      </c>
      <c r="D1973" s="17" t="str">
        <f>_xlfn.XLOOKUP(Raw_LIMS_Export!E1973,'mapping Site table'!$B$4:$B$14,'mapping Site table'!$C$4:$C$14,Raw_LIMS_Export!E1973)</f>
        <v>Vernier CH</v>
      </c>
      <c r="E1973" s="17" t="s">
        <v>2482</v>
      </c>
      <c r="F1973" s="17">
        <f t="shared" si="91"/>
        <v>1</v>
      </c>
      <c r="G1973" s="17" t="str">
        <f t="shared" si="92"/>
        <v>Pass</v>
      </c>
      <c r="H1973" s="17" t="str">
        <f t="shared" si="90"/>
        <v>Pass</v>
      </c>
      <c r="I1973" s="17">
        <v>99.28</v>
      </c>
      <c r="J1973" s="17" t="s">
        <v>2489</v>
      </c>
      <c r="K1973" s="17">
        <v>97</v>
      </c>
      <c r="L1973" s="17">
        <v>100</v>
      </c>
      <c r="M1973" s="18">
        <f>Raw_LIMS_Export!K1973</f>
        <v>45661</v>
      </c>
      <c r="N1973" s="19" t="s">
        <v>2932</v>
      </c>
    </row>
    <row r="1974" spans="1:14" x14ac:dyDescent="0.35">
      <c r="A1974" s="16" t="s">
        <v>1969</v>
      </c>
      <c r="B1974" s="17" t="s">
        <v>2252</v>
      </c>
      <c r="C1974" s="17" t="s">
        <v>2461</v>
      </c>
      <c r="D1974" s="17" t="str">
        <f>_xlfn.XLOOKUP(Raw_LIMS_Export!E1974,'mapping Site table'!$B$4:$B$14,'mapping Site table'!$C$4:$C$14,Raw_LIMS_Export!E1974)</f>
        <v>Budapest</v>
      </c>
      <c r="E1974" s="17" t="s">
        <v>2482</v>
      </c>
      <c r="F1974" s="17">
        <f t="shared" si="91"/>
        <v>1</v>
      </c>
      <c r="G1974" s="17" t="str">
        <f t="shared" si="92"/>
        <v>Pass</v>
      </c>
      <c r="H1974" s="17" t="str">
        <f t="shared" si="90"/>
        <v>Pass</v>
      </c>
      <c r="I1974" s="17">
        <v>98.18</v>
      </c>
      <c r="J1974" s="17" t="s">
        <v>2489</v>
      </c>
      <c r="K1974" s="17">
        <v>97</v>
      </c>
      <c r="L1974" s="17">
        <v>100</v>
      </c>
      <c r="M1974" s="18">
        <f>Raw_LIMS_Export!K1974</f>
        <v>45344</v>
      </c>
      <c r="N1974" s="19" t="s">
        <v>2930</v>
      </c>
    </row>
    <row r="1975" spans="1:14" x14ac:dyDescent="0.35">
      <c r="A1975" s="16" t="s">
        <v>1970</v>
      </c>
      <c r="B1975" s="17" t="s">
        <v>2410</v>
      </c>
      <c r="C1975" s="17" t="s">
        <v>2457</v>
      </c>
      <c r="D1975" s="17" t="str">
        <f>_xlfn.XLOOKUP(Raw_LIMS_Export!E1975,'mapping Site table'!$B$4:$B$14,'mapping Site table'!$C$4:$C$14,Raw_LIMS_Export!E1975)</f>
        <v>Dortmund DE</v>
      </c>
      <c r="E1975" s="17" t="s">
        <v>2479</v>
      </c>
      <c r="F1975" s="17">
        <f t="shared" si="91"/>
        <v>1</v>
      </c>
      <c r="G1975" s="17" t="str">
        <f t="shared" si="92"/>
        <v>Pass</v>
      </c>
      <c r="H1975" s="17" t="str">
        <f t="shared" si="90"/>
        <v>Fail</v>
      </c>
      <c r="I1975" s="17">
        <v>48.91</v>
      </c>
      <c r="J1975" s="17" t="s">
        <v>2486</v>
      </c>
      <c r="K1975" s="17">
        <v>0</v>
      </c>
      <c r="L1975" s="17">
        <v>120</v>
      </c>
      <c r="M1975" s="18">
        <f>Raw_LIMS_Export!K1975</f>
        <v>45832</v>
      </c>
      <c r="N1975" s="19" t="s">
        <v>2925</v>
      </c>
    </row>
    <row r="1976" spans="1:14" x14ac:dyDescent="0.35">
      <c r="A1976" s="16" t="s">
        <v>1971</v>
      </c>
      <c r="B1976" s="17" t="s">
        <v>2436</v>
      </c>
      <c r="C1976" s="17" t="s">
        <v>2461</v>
      </c>
      <c r="D1976" s="17" t="str">
        <f>_xlfn.XLOOKUP(Raw_LIMS_Export!E1976,'mapping Site table'!$B$4:$B$14,'mapping Site table'!$C$4:$C$14,Raw_LIMS_Export!E1976)</f>
        <v>Ashford UK</v>
      </c>
      <c r="E1976" s="17" t="s">
        <v>2481</v>
      </c>
      <c r="F1976" s="17">
        <f t="shared" si="91"/>
        <v>1</v>
      </c>
      <c r="G1976" s="17" t="str">
        <f t="shared" si="92"/>
        <v>Pass</v>
      </c>
      <c r="H1976" s="17" t="str">
        <f t="shared" si="90"/>
        <v>Fail</v>
      </c>
      <c r="I1976" s="17">
        <v>347.39</v>
      </c>
      <c r="J1976" s="17" t="s">
        <v>2488</v>
      </c>
      <c r="K1976" s="17">
        <v>150</v>
      </c>
      <c r="L1976" s="17">
        <v>400</v>
      </c>
      <c r="M1976" s="18">
        <f>Raw_LIMS_Export!K1976</f>
        <v>45332</v>
      </c>
      <c r="N1976" s="19" t="s">
        <v>2923</v>
      </c>
    </row>
    <row r="1977" spans="1:14" x14ac:dyDescent="0.35">
      <c r="A1977" s="16" t="s">
        <v>1972</v>
      </c>
      <c r="B1977" s="17" t="s">
        <v>2367</v>
      </c>
      <c r="C1977" s="17" t="s">
        <v>2461</v>
      </c>
      <c r="D1977" s="17" t="str">
        <f>_xlfn.XLOOKUP(Raw_LIMS_Export!E1977,'mapping Site table'!$B$4:$B$14,'mapping Site table'!$C$4:$C$14,Raw_LIMS_Export!E1977)</f>
        <v>Dortmund DE</v>
      </c>
      <c r="E1977" s="17" t="s">
        <v>2481</v>
      </c>
      <c r="F1977" s="17">
        <f t="shared" si="91"/>
        <v>1</v>
      </c>
      <c r="G1977" s="17" t="str">
        <f t="shared" si="92"/>
        <v>Pass</v>
      </c>
      <c r="H1977" s="17" t="str">
        <f t="shared" si="90"/>
        <v>Pass</v>
      </c>
      <c r="I1977" s="17">
        <v>250.35</v>
      </c>
      <c r="J1977" s="17" t="s">
        <v>2488</v>
      </c>
      <c r="K1977" s="17">
        <v>150</v>
      </c>
      <c r="L1977" s="17">
        <v>400</v>
      </c>
      <c r="M1977" s="18">
        <f>Raw_LIMS_Export!K1977</f>
        <v>45794</v>
      </c>
      <c r="N1977" s="19" t="s">
        <v>2929</v>
      </c>
    </row>
    <row r="1978" spans="1:14" x14ac:dyDescent="0.35">
      <c r="A1978" s="16" t="s">
        <v>1973</v>
      </c>
      <c r="B1978" s="17" t="s">
        <v>2163</v>
      </c>
      <c r="C1978" s="17" t="s">
        <v>2460</v>
      </c>
      <c r="D1978" s="17" t="str">
        <f>_xlfn.XLOOKUP(Raw_LIMS_Export!E1978,'mapping Site table'!$B$4:$B$14,'mapping Site table'!$C$4:$C$14,Raw_LIMS_Export!E1978)</f>
        <v>East Hanover</v>
      </c>
      <c r="E1978" s="17" t="s">
        <v>2479</v>
      </c>
      <c r="F1978" s="17">
        <f t="shared" si="91"/>
        <v>1</v>
      </c>
      <c r="G1978" s="17" t="str">
        <f t="shared" si="92"/>
        <v>Pass</v>
      </c>
      <c r="H1978" s="17" t="str">
        <f t="shared" si="90"/>
        <v>Fail</v>
      </c>
      <c r="I1978" s="17">
        <v>45.25</v>
      </c>
      <c r="J1978" s="17" t="s">
        <v>2486</v>
      </c>
      <c r="K1978" s="17">
        <v>0</v>
      </c>
      <c r="L1978" s="17">
        <v>120</v>
      </c>
      <c r="M1978" s="18">
        <f>Raw_LIMS_Export!K1978</f>
        <v>45698</v>
      </c>
      <c r="N1978" s="19" t="s">
        <v>2927</v>
      </c>
    </row>
    <row r="1979" spans="1:14" x14ac:dyDescent="0.35">
      <c r="A1979" s="16" t="s">
        <v>1974</v>
      </c>
      <c r="B1979" s="17" t="s">
        <v>2343</v>
      </c>
      <c r="C1979" s="17" t="s">
        <v>2457</v>
      </c>
      <c r="D1979" s="17" t="str">
        <f>_xlfn.XLOOKUP(Raw_LIMS_Export!E1979,'mapping Site table'!$B$4:$B$14,'mapping Site table'!$C$4:$C$14,Raw_LIMS_Export!E1979)</f>
        <v>East Hanover</v>
      </c>
      <c r="E1979" s="17" t="s">
        <v>2485</v>
      </c>
      <c r="F1979" s="17">
        <f t="shared" si="91"/>
        <v>1</v>
      </c>
      <c r="G1979" s="17" t="str">
        <f t="shared" si="92"/>
        <v>Pass</v>
      </c>
      <c r="H1979" s="17" t="str">
        <f t="shared" si="90"/>
        <v>Pass</v>
      </c>
      <c r="I1979" s="17">
        <v>34.72</v>
      </c>
      <c r="J1979" s="17" t="s">
        <v>2490</v>
      </c>
      <c r="K1979" s="17">
        <v>0</v>
      </c>
      <c r="L1979" s="17">
        <v>100</v>
      </c>
      <c r="M1979" s="18">
        <f>Raw_LIMS_Export!K1979</f>
        <v>45531</v>
      </c>
      <c r="N1979" s="19" t="s">
        <v>2926</v>
      </c>
    </row>
    <row r="1980" spans="1:14" x14ac:dyDescent="0.35">
      <c r="A1980" s="16" t="s">
        <v>1975</v>
      </c>
      <c r="B1980" s="17" t="s">
        <v>2196</v>
      </c>
      <c r="C1980" s="17" t="s">
        <v>2457</v>
      </c>
      <c r="D1980" s="17" t="str">
        <f>_xlfn.XLOOKUP(Raw_LIMS_Export!E1980,'mapping Site table'!$B$4:$B$14,'mapping Site table'!$C$4:$C$14,Raw_LIMS_Export!E1980)</f>
        <v>Vernier CH</v>
      </c>
      <c r="E1980" s="17" t="s">
        <v>2485</v>
      </c>
      <c r="F1980" s="17">
        <f t="shared" si="91"/>
        <v>1</v>
      </c>
      <c r="G1980" s="17" t="str">
        <f t="shared" si="92"/>
        <v>Pass</v>
      </c>
      <c r="H1980" s="17" t="str">
        <f t="shared" si="90"/>
        <v>Pass</v>
      </c>
      <c r="I1980" s="17">
        <v>33.909999999999997</v>
      </c>
      <c r="J1980" s="17" t="s">
        <v>2490</v>
      </c>
      <c r="K1980" s="17">
        <v>0</v>
      </c>
      <c r="L1980" s="17">
        <v>100</v>
      </c>
      <c r="M1980" s="18">
        <f>Raw_LIMS_Export!K1980</f>
        <v>45740</v>
      </c>
      <c r="N1980" s="19" t="s">
        <v>2932</v>
      </c>
    </row>
    <row r="1981" spans="1:14" x14ac:dyDescent="0.35">
      <c r="A1981" s="16" t="s">
        <v>1976</v>
      </c>
      <c r="B1981" s="17" t="s">
        <v>2356</v>
      </c>
      <c r="C1981" s="17" t="s">
        <v>2458</v>
      </c>
      <c r="D1981" s="17" t="str">
        <f>_xlfn.XLOOKUP(Raw_LIMS_Export!E1981,'mapping Site table'!$B$4:$B$14,'mapping Site table'!$C$4:$C$14,Raw_LIMS_Export!E1981)</f>
        <v>East Hanover</v>
      </c>
      <c r="E1981" s="17" t="s">
        <v>2483</v>
      </c>
      <c r="F1981" s="17">
        <f t="shared" si="91"/>
        <v>1</v>
      </c>
      <c r="G1981" s="17" t="str">
        <f t="shared" si="92"/>
        <v>Pass</v>
      </c>
      <c r="H1981" s="17" t="str">
        <f t="shared" si="90"/>
        <v>Pass</v>
      </c>
      <c r="I1981" s="17">
        <v>0.34</v>
      </c>
      <c r="J1981" s="17" t="s">
        <v>2489</v>
      </c>
      <c r="K1981" s="17">
        <v>0</v>
      </c>
      <c r="L1981" s="17">
        <v>1</v>
      </c>
      <c r="M1981" s="18">
        <f>Raw_LIMS_Export!K1981</f>
        <v>45765</v>
      </c>
      <c r="N1981" s="19" t="s">
        <v>2926</v>
      </c>
    </row>
    <row r="1982" spans="1:14" x14ac:dyDescent="0.35">
      <c r="A1982" s="16" t="s">
        <v>1977</v>
      </c>
      <c r="B1982" s="17" t="s">
        <v>2152</v>
      </c>
      <c r="C1982" s="17" t="s">
        <v>2461</v>
      </c>
      <c r="D1982" s="17" t="str">
        <f>_xlfn.XLOOKUP(Raw_LIMS_Export!E1982,'mapping Site table'!$B$4:$B$14,'mapping Site table'!$C$4:$C$14,Raw_LIMS_Export!E1982)</f>
        <v>Budapest</v>
      </c>
      <c r="E1982" s="17" t="s">
        <v>2484</v>
      </c>
      <c r="F1982" s="17">
        <f t="shared" si="91"/>
        <v>1</v>
      </c>
      <c r="G1982" s="17" t="str">
        <f t="shared" si="92"/>
        <v>Pass</v>
      </c>
      <c r="H1982" s="17" t="str">
        <f t="shared" si="90"/>
        <v>Fail</v>
      </c>
      <c r="I1982" s="17">
        <v>6.98</v>
      </c>
      <c r="J1982" s="17"/>
      <c r="K1982" s="17">
        <v>6</v>
      </c>
      <c r="L1982" s="17">
        <v>7.5</v>
      </c>
      <c r="M1982" s="18">
        <f>Raw_LIMS_Export!K1982</f>
        <v>45958</v>
      </c>
      <c r="N1982" s="19" t="s">
        <v>2926</v>
      </c>
    </row>
    <row r="1983" spans="1:14" x14ac:dyDescent="0.35">
      <c r="A1983" s="16" t="s">
        <v>1978</v>
      </c>
      <c r="B1983" s="17" t="s">
        <v>2304</v>
      </c>
      <c r="C1983" s="17" t="s">
        <v>2460</v>
      </c>
      <c r="D1983" s="17" t="str">
        <f>_xlfn.XLOOKUP(Raw_LIMS_Export!E1983,'mapping Site table'!$B$4:$B$14,'mapping Site table'!$C$4:$C$14,Raw_LIMS_Export!E1983)</f>
        <v>East Hanover</v>
      </c>
      <c r="E1983" s="17" t="s">
        <v>2482</v>
      </c>
      <c r="F1983" s="17">
        <f t="shared" si="91"/>
        <v>1</v>
      </c>
      <c r="G1983" s="17" t="str">
        <f t="shared" si="92"/>
        <v>Pass</v>
      </c>
      <c r="H1983" s="17" t="str">
        <f t="shared" si="90"/>
        <v>Pass</v>
      </c>
      <c r="I1983" s="17">
        <v>98.62</v>
      </c>
      <c r="J1983" s="17" t="s">
        <v>2489</v>
      </c>
      <c r="K1983" s="17">
        <v>97</v>
      </c>
      <c r="L1983" s="17">
        <v>100</v>
      </c>
      <c r="M1983" s="18">
        <f>Raw_LIMS_Export!K1983</f>
        <v>45398</v>
      </c>
      <c r="N1983" s="19" t="s">
        <v>2930</v>
      </c>
    </row>
    <row r="1984" spans="1:14" x14ac:dyDescent="0.35">
      <c r="A1984" s="16" t="s">
        <v>1979</v>
      </c>
      <c r="B1984" s="17" t="s">
        <v>2201</v>
      </c>
      <c r="C1984" s="17" t="s">
        <v>2460</v>
      </c>
      <c r="D1984" s="17" t="str">
        <f>_xlfn.XLOOKUP(Raw_LIMS_Export!E1984,'mapping Site table'!$B$4:$B$14,'mapping Site table'!$C$4:$C$14,Raw_LIMS_Export!E1984)</f>
        <v>Ashford UK</v>
      </c>
      <c r="E1984" s="17" t="s">
        <v>2484</v>
      </c>
      <c r="F1984" s="17">
        <f t="shared" si="91"/>
        <v>1</v>
      </c>
      <c r="G1984" s="17" t="str">
        <f t="shared" si="92"/>
        <v>Pass</v>
      </c>
      <c r="H1984" s="17" t="str">
        <f t="shared" si="90"/>
        <v>Pass</v>
      </c>
      <c r="I1984" s="17">
        <v>6.61</v>
      </c>
      <c r="J1984" s="17"/>
      <c r="K1984" s="17">
        <v>6</v>
      </c>
      <c r="L1984" s="17">
        <v>7.5</v>
      </c>
      <c r="M1984" s="18">
        <f>Raw_LIMS_Export!K1984</f>
        <v>45947</v>
      </c>
      <c r="N1984" s="19" t="s">
        <v>2928</v>
      </c>
    </row>
    <row r="1985" spans="1:14" x14ac:dyDescent="0.35">
      <c r="A1985" s="16" t="s">
        <v>1980</v>
      </c>
      <c r="B1985" s="17" t="s">
        <v>2351</v>
      </c>
      <c r="C1985" s="17" t="s">
        <v>2459</v>
      </c>
      <c r="D1985" s="17" t="str">
        <f>_xlfn.XLOOKUP(Raw_LIMS_Export!E1985,'mapping Site table'!$B$4:$B$14,'mapping Site table'!$C$4:$C$14,Raw_LIMS_Export!E1985)</f>
        <v>Vernier CH</v>
      </c>
      <c r="E1985" s="17" t="s">
        <v>2481</v>
      </c>
      <c r="F1985" s="17">
        <f t="shared" si="91"/>
        <v>1</v>
      </c>
      <c r="G1985" s="17" t="str">
        <f t="shared" si="92"/>
        <v>Pass</v>
      </c>
      <c r="H1985" s="17" t="str">
        <f t="shared" si="90"/>
        <v>Pass</v>
      </c>
      <c r="I1985" s="17">
        <v>297.48</v>
      </c>
      <c r="J1985" s="17" t="s">
        <v>2488</v>
      </c>
      <c r="K1985" s="17">
        <v>150</v>
      </c>
      <c r="L1985" s="17">
        <v>400</v>
      </c>
      <c r="M1985" s="18">
        <f>Raw_LIMS_Export!K1985</f>
        <v>45984</v>
      </c>
      <c r="N1985" s="19" t="s">
        <v>2928</v>
      </c>
    </row>
    <row r="1986" spans="1:14" x14ac:dyDescent="0.35">
      <c r="A1986" s="16" t="s">
        <v>1196</v>
      </c>
      <c r="B1986" s="17" t="s">
        <v>2095</v>
      </c>
      <c r="C1986" s="17" t="s">
        <v>2459</v>
      </c>
      <c r="D1986" s="17" t="str">
        <f>_xlfn.XLOOKUP(Raw_LIMS_Export!E1986,'mapping Site table'!$B$4:$B$14,'mapping Site table'!$C$4:$C$14,Raw_LIMS_Export!E1986)</f>
        <v>Ashford UK</v>
      </c>
      <c r="E1986" s="17" t="s">
        <v>2483</v>
      </c>
      <c r="F1986" s="17">
        <f t="shared" si="91"/>
        <v>1</v>
      </c>
      <c r="G1986" s="17" t="str">
        <f t="shared" si="92"/>
        <v>Pass</v>
      </c>
      <c r="H1986" s="17" t="str">
        <f t="shared" ref="H1986:H2016" si="93">IF(COUNTIFS($B$2:$B$2016,B1986,$G$2:$G$2016,"Fail")&gt;0,"Fail",
  IF(COUNTIFS($B$2:$B$2016,B1986,$G$2:$G$2016,"Missing")&gt;0,"Pending",
    "Pass"))</f>
        <v>Pending</v>
      </c>
      <c r="I1986" s="17">
        <v>0.53</v>
      </c>
      <c r="J1986" s="17" t="s">
        <v>2489</v>
      </c>
      <c r="K1986" s="17">
        <v>0</v>
      </c>
      <c r="L1986" s="17">
        <v>1</v>
      </c>
      <c r="M1986" s="18">
        <f>Raw_LIMS_Export!K1986</f>
        <v>45825</v>
      </c>
      <c r="N1986" s="19" t="s">
        <v>2925</v>
      </c>
    </row>
    <row r="1987" spans="1:14" x14ac:dyDescent="0.35">
      <c r="A1987" s="16" t="s">
        <v>1981</v>
      </c>
      <c r="B1987" s="17" t="s">
        <v>2236</v>
      </c>
      <c r="C1987" s="17" t="s">
        <v>2457</v>
      </c>
      <c r="D1987" s="17" t="str">
        <f>_xlfn.XLOOKUP(Raw_LIMS_Export!E1987,'mapping Site table'!$B$4:$B$14,'mapping Site table'!$C$4:$C$14,Raw_LIMS_Export!E1987)</f>
        <v>Budapest</v>
      </c>
      <c r="E1987" s="17" t="s">
        <v>2481</v>
      </c>
      <c r="F1987" s="17">
        <f t="shared" ref="F1987:F2016" si="94">IF(I1987="",0,1)</f>
        <v>1</v>
      </c>
      <c r="G1987" s="17" t="str">
        <f t="shared" ref="G1987:G2016" si="95">IF(I1987="", "Missing", IF(AND(I1987&gt;=K1987, I1987&lt;=L1987), "Pass", "Fail"))</f>
        <v>Pass</v>
      </c>
      <c r="H1987" s="17" t="str">
        <f t="shared" si="93"/>
        <v>Pass</v>
      </c>
      <c r="I1987" s="17">
        <v>257.58999999999997</v>
      </c>
      <c r="J1987" s="17" t="s">
        <v>2488</v>
      </c>
      <c r="K1987" s="17">
        <v>150</v>
      </c>
      <c r="L1987" s="17">
        <v>400</v>
      </c>
      <c r="M1987" s="18">
        <f>Raw_LIMS_Export!K1987</f>
        <v>45536</v>
      </c>
      <c r="N1987" s="19" t="s">
        <v>2932</v>
      </c>
    </row>
    <row r="1988" spans="1:14" x14ac:dyDescent="0.35">
      <c r="A1988" s="16" t="s">
        <v>1982</v>
      </c>
      <c r="B1988" s="17" t="s">
        <v>2401</v>
      </c>
      <c r="C1988" s="17" t="s">
        <v>2457</v>
      </c>
      <c r="D1988" s="17" t="str">
        <f>_xlfn.XLOOKUP(Raw_LIMS_Export!E1988,'mapping Site table'!$B$4:$B$14,'mapping Site table'!$C$4:$C$14,Raw_LIMS_Export!E1988)</f>
        <v>Budapest</v>
      </c>
      <c r="E1988" s="17" t="s">
        <v>2479</v>
      </c>
      <c r="F1988" s="17">
        <f t="shared" si="94"/>
        <v>1</v>
      </c>
      <c r="G1988" s="17" t="str">
        <f t="shared" si="95"/>
        <v>Pass</v>
      </c>
      <c r="H1988" s="17" t="str">
        <f t="shared" si="93"/>
        <v>Pass</v>
      </c>
      <c r="I1988" s="17">
        <v>81.23</v>
      </c>
      <c r="J1988" s="17" t="s">
        <v>2486</v>
      </c>
      <c r="K1988" s="17">
        <v>0</v>
      </c>
      <c r="L1988" s="17">
        <v>120</v>
      </c>
      <c r="M1988" s="18">
        <f>Raw_LIMS_Export!K1988</f>
        <v>45660</v>
      </c>
      <c r="N1988" s="19" t="s">
        <v>2932</v>
      </c>
    </row>
    <row r="1989" spans="1:14" x14ac:dyDescent="0.35">
      <c r="A1989" s="16" t="s">
        <v>1983</v>
      </c>
      <c r="B1989" s="17" t="s">
        <v>2266</v>
      </c>
      <c r="C1989" s="17" t="s">
        <v>2460</v>
      </c>
      <c r="D1989" s="17" t="str">
        <f>_xlfn.XLOOKUP(Raw_LIMS_Export!E1989,'mapping Site table'!$B$4:$B$14,'mapping Site table'!$C$4:$C$14,Raw_LIMS_Export!E1989)</f>
        <v>Ashford UK</v>
      </c>
      <c r="E1989" s="17" t="s">
        <v>2485</v>
      </c>
      <c r="F1989" s="17">
        <f t="shared" si="94"/>
        <v>1</v>
      </c>
      <c r="G1989" s="17" t="str">
        <f t="shared" si="95"/>
        <v>Pass</v>
      </c>
      <c r="H1989" s="17" t="str">
        <f t="shared" si="93"/>
        <v>Pass</v>
      </c>
      <c r="I1989" s="17">
        <v>51.84</v>
      </c>
      <c r="J1989" s="17" t="s">
        <v>2490</v>
      </c>
      <c r="K1989" s="17">
        <v>0</v>
      </c>
      <c r="L1989" s="17">
        <v>100</v>
      </c>
      <c r="M1989" s="18">
        <f>Raw_LIMS_Export!K1989</f>
        <v>45819</v>
      </c>
      <c r="N1989" s="19" t="s">
        <v>2923</v>
      </c>
    </row>
    <row r="1990" spans="1:14" x14ac:dyDescent="0.35">
      <c r="A1990" s="16" t="s">
        <v>1984</v>
      </c>
      <c r="B1990" s="17" t="s">
        <v>2415</v>
      </c>
      <c r="C1990" s="17" t="s">
        <v>2460</v>
      </c>
      <c r="D1990" s="17" t="str">
        <f>_xlfn.XLOOKUP(Raw_LIMS_Export!E1990,'mapping Site table'!$B$4:$B$14,'mapping Site table'!$C$4:$C$14,Raw_LIMS_Export!E1990)</f>
        <v>Vernier CH</v>
      </c>
      <c r="E1990" s="17" t="s">
        <v>2479</v>
      </c>
      <c r="F1990" s="17">
        <f t="shared" si="94"/>
        <v>1</v>
      </c>
      <c r="G1990" s="17" t="str">
        <f t="shared" si="95"/>
        <v>Pass</v>
      </c>
      <c r="H1990" s="17" t="str">
        <f t="shared" si="93"/>
        <v>Pass</v>
      </c>
      <c r="I1990" s="17">
        <v>52.33</v>
      </c>
      <c r="J1990" s="17" t="s">
        <v>2486</v>
      </c>
      <c r="K1990" s="17">
        <v>0</v>
      </c>
      <c r="L1990" s="17">
        <v>120</v>
      </c>
      <c r="M1990" s="18">
        <f>Raw_LIMS_Export!K1990</f>
        <v>45618</v>
      </c>
      <c r="N1990" s="19" t="s">
        <v>2926</v>
      </c>
    </row>
    <row r="1991" spans="1:14" x14ac:dyDescent="0.35">
      <c r="A1991" s="16" t="s">
        <v>1985</v>
      </c>
      <c r="B1991" s="17" t="s">
        <v>2301</v>
      </c>
      <c r="C1991" s="17" t="s">
        <v>2460</v>
      </c>
      <c r="D1991" s="17" t="str">
        <f>_xlfn.XLOOKUP(Raw_LIMS_Export!E1991,'mapping Site table'!$B$4:$B$14,'mapping Site table'!$C$4:$C$14,Raw_LIMS_Export!E1991)</f>
        <v>Vernier CH</v>
      </c>
      <c r="E1991" s="17" t="s">
        <v>2480</v>
      </c>
      <c r="F1991" s="17">
        <f t="shared" si="94"/>
        <v>1</v>
      </c>
      <c r="G1991" s="17" t="str">
        <f t="shared" si="95"/>
        <v>Pass</v>
      </c>
      <c r="H1991" s="17" t="str">
        <f t="shared" si="93"/>
        <v>Pass</v>
      </c>
      <c r="I1991" s="17">
        <v>0.92</v>
      </c>
      <c r="J1991" s="17" t="s">
        <v>2487</v>
      </c>
      <c r="K1991" s="17">
        <v>0.88</v>
      </c>
      <c r="L1991" s="17">
        <v>0.97</v>
      </c>
      <c r="M1991" s="18">
        <f>Raw_LIMS_Export!K1991</f>
        <v>45595</v>
      </c>
      <c r="N1991" s="19" t="s">
        <v>2930</v>
      </c>
    </row>
    <row r="1992" spans="1:14" x14ac:dyDescent="0.35">
      <c r="A1992" s="16" t="s">
        <v>1986</v>
      </c>
      <c r="B1992" s="17" t="s">
        <v>2383</v>
      </c>
      <c r="C1992" s="17" t="s">
        <v>2458</v>
      </c>
      <c r="D1992" s="17" t="str">
        <f>_xlfn.XLOOKUP(Raw_LIMS_Export!E1992,'mapping Site table'!$B$4:$B$14,'mapping Site table'!$C$4:$C$14,Raw_LIMS_Export!E1992)</f>
        <v>Budapest</v>
      </c>
      <c r="E1992" s="17" t="s">
        <v>2484</v>
      </c>
      <c r="F1992" s="17">
        <f t="shared" si="94"/>
        <v>1</v>
      </c>
      <c r="G1992" s="17" t="str">
        <f t="shared" si="95"/>
        <v>Pass</v>
      </c>
      <c r="H1992" s="17" t="str">
        <f t="shared" si="93"/>
        <v>Pass</v>
      </c>
      <c r="I1992" s="17">
        <v>6.81</v>
      </c>
      <c r="J1992" s="17"/>
      <c r="K1992" s="17">
        <v>6</v>
      </c>
      <c r="L1992" s="17">
        <v>7.5</v>
      </c>
      <c r="M1992" s="18">
        <f>Raw_LIMS_Export!K1992</f>
        <v>45347</v>
      </c>
      <c r="N1992" s="19" t="s">
        <v>2930</v>
      </c>
    </row>
    <row r="1993" spans="1:14" x14ac:dyDescent="0.35">
      <c r="A1993" s="16" t="s">
        <v>1987</v>
      </c>
      <c r="B1993" s="17" t="s">
        <v>2453</v>
      </c>
      <c r="C1993" s="17" t="s">
        <v>2459</v>
      </c>
      <c r="D1993" s="17" t="str">
        <f>_xlfn.XLOOKUP(Raw_LIMS_Export!E1993,'mapping Site table'!$B$4:$B$14,'mapping Site table'!$C$4:$C$14,Raw_LIMS_Export!E1993)</f>
        <v>Ashford UK</v>
      </c>
      <c r="E1993" s="17" t="s">
        <v>2485</v>
      </c>
      <c r="F1993" s="17">
        <f t="shared" si="94"/>
        <v>1</v>
      </c>
      <c r="G1993" s="17" t="str">
        <f t="shared" si="95"/>
        <v>Pass</v>
      </c>
      <c r="H1993" s="17" t="str">
        <f t="shared" si="93"/>
        <v>Pending</v>
      </c>
      <c r="I1993" s="17">
        <v>27.78</v>
      </c>
      <c r="J1993" s="17" t="s">
        <v>2490</v>
      </c>
      <c r="K1993" s="17">
        <v>0</v>
      </c>
      <c r="L1993" s="17">
        <v>100</v>
      </c>
      <c r="M1993" s="18">
        <f>Raw_LIMS_Export!K1993</f>
        <v>46013</v>
      </c>
      <c r="N1993" s="19" t="s">
        <v>2926</v>
      </c>
    </row>
    <row r="1994" spans="1:14" x14ac:dyDescent="0.35">
      <c r="A1994" s="16" t="s">
        <v>1988</v>
      </c>
      <c r="B1994" s="17" t="s">
        <v>2227</v>
      </c>
      <c r="C1994" s="17" t="s">
        <v>2457</v>
      </c>
      <c r="D1994" s="17" t="str">
        <f>_xlfn.XLOOKUP(Raw_LIMS_Export!E1994,'mapping Site table'!$B$4:$B$14,'mapping Site table'!$C$4:$C$14,Raw_LIMS_Export!E1994)</f>
        <v>Dortmund DE</v>
      </c>
      <c r="E1994" s="17" t="s">
        <v>2480</v>
      </c>
      <c r="F1994" s="17">
        <f t="shared" si="94"/>
        <v>1</v>
      </c>
      <c r="G1994" s="17" t="str">
        <f t="shared" si="95"/>
        <v>Fail</v>
      </c>
      <c r="H1994" s="17" t="str">
        <f t="shared" si="93"/>
        <v>Fail</v>
      </c>
      <c r="I1994" s="17">
        <v>0.87</v>
      </c>
      <c r="J1994" s="17" t="s">
        <v>2487</v>
      </c>
      <c r="K1994" s="17">
        <v>0.88</v>
      </c>
      <c r="L1994" s="17">
        <v>0.97</v>
      </c>
      <c r="M1994" s="18">
        <f>Raw_LIMS_Export!K1994</f>
        <v>45635</v>
      </c>
      <c r="N1994" s="19" t="s">
        <v>2927</v>
      </c>
    </row>
    <row r="1995" spans="1:14" x14ac:dyDescent="0.35">
      <c r="A1995" s="16" t="s">
        <v>1989</v>
      </c>
      <c r="B1995" s="17" t="s">
        <v>2021</v>
      </c>
      <c r="C1995" s="17" t="s">
        <v>2457</v>
      </c>
      <c r="D1995" s="17" t="str">
        <f>_xlfn.XLOOKUP(Raw_LIMS_Export!E1995,'mapping Site table'!$B$4:$B$14,'mapping Site table'!$C$4:$C$14,Raw_LIMS_Export!E1995)</f>
        <v>East Hanover</v>
      </c>
      <c r="E1995" s="17" t="s">
        <v>2480</v>
      </c>
      <c r="F1995" s="17">
        <f t="shared" si="94"/>
        <v>1</v>
      </c>
      <c r="G1995" s="17" t="str">
        <f t="shared" si="95"/>
        <v>Pass</v>
      </c>
      <c r="H1995" s="17" t="str">
        <f t="shared" si="93"/>
        <v>Fail</v>
      </c>
      <c r="I1995" s="17">
        <v>0.9</v>
      </c>
      <c r="J1995" s="17" t="s">
        <v>2487</v>
      </c>
      <c r="K1995" s="17">
        <v>0.88</v>
      </c>
      <c r="L1995" s="17">
        <v>0.97</v>
      </c>
      <c r="M1995" s="18">
        <f>Raw_LIMS_Export!K1995</f>
        <v>45577</v>
      </c>
      <c r="N1995" s="19" t="s">
        <v>2925</v>
      </c>
    </row>
    <row r="1996" spans="1:14" x14ac:dyDescent="0.35">
      <c r="A1996" s="16" t="s">
        <v>1990</v>
      </c>
      <c r="B1996" s="17" t="s">
        <v>2348</v>
      </c>
      <c r="C1996" s="17" t="s">
        <v>2459</v>
      </c>
      <c r="D1996" s="17" t="str">
        <f>_xlfn.XLOOKUP(Raw_LIMS_Export!E1996,'mapping Site table'!$B$4:$B$14,'mapping Site table'!$C$4:$C$14,Raw_LIMS_Export!E1996)</f>
        <v>Ashford UK</v>
      </c>
      <c r="E1996" s="17" t="s">
        <v>2483</v>
      </c>
      <c r="F1996" s="17">
        <f t="shared" si="94"/>
        <v>1</v>
      </c>
      <c r="G1996" s="17" t="str">
        <f t="shared" si="95"/>
        <v>Fail</v>
      </c>
      <c r="H1996" s="17" t="str">
        <f t="shared" si="93"/>
        <v>Fail</v>
      </c>
      <c r="I1996" s="17">
        <v>-0.45</v>
      </c>
      <c r="J1996" s="17" t="s">
        <v>2489</v>
      </c>
      <c r="K1996" s="17">
        <v>0</v>
      </c>
      <c r="L1996" s="17">
        <v>1</v>
      </c>
      <c r="M1996" s="18">
        <f>Raw_LIMS_Export!K1996</f>
        <v>45461</v>
      </c>
      <c r="N1996" s="19" t="s">
        <v>2930</v>
      </c>
    </row>
    <row r="1997" spans="1:14" x14ac:dyDescent="0.35">
      <c r="A1997" s="16" t="s">
        <v>1991</v>
      </c>
      <c r="B1997" s="17" t="s">
        <v>2027</v>
      </c>
      <c r="C1997" s="17" t="s">
        <v>2458</v>
      </c>
      <c r="D1997" s="17" t="str">
        <f>_xlfn.XLOOKUP(Raw_LIMS_Export!E1997,'mapping Site table'!$B$4:$B$14,'mapping Site table'!$C$4:$C$14,Raw_LIMS_Export!E1997)</f>
        <v>East Hanover</v>
      </c>
      <c r="E1997" s="17" t="s">
        <v>2482</v>
      </c>
      <c r="F1997" s="17">
        <f t="shared" si="94"/>
        <v>1</v>
      </c>
      <c r="G1997" s="17" t="str">
        <f t="shared" si="95"/>
        <v>Pass</v>
      </c>
      <c r="H1997" s="17" t="str">
        <f t="shared" si="93"/>
        <v>Pass</v>
      </c>
      <c r="I1997" s="17">
        <v>98.41</v>
      </c>
      <c r="J1997" s="17" t="s">
        <v>2489</v>
      </c>
      <c r="K1997" s="17">
        <v>97</v>
      </c>
      <c r="L1997" s="17">
        <v>100</v>
      </c>
      <c r="M1997" s="18">
        <f>Raw_LIMS_Export!K1997</f>
        <v>45827</v>
      </c>
      <c r="N1997" s="19" t="s">
        <v>2927</v>
      </c>
    </row>
    <row r="1998" spans="1:14" x14ac:dyDescent="0.35">
      <c r="A1998" s="16" t="s">
        <v>1992</v>
      </c>
      <c r="B1998" s="17" t="s">
        <v>2135</v>
      </c>
      <c r="C1998" s="17" t="s">
        <v>2461</v>
      </c>
      <c r="D1998" s="17" t="str">
        <f>_xlfn.XLOOKUP(Raw_LIMS_Export!E1998,'mapping Site table'!$B$4:$B$14,'mapping Site table'!$C$4:$C$14,Raw_LIMS_Export!E1998)</f>
        <v>Budapest</v>
      </c>
      <c r="E1998" s="17" t="s">
        <v>2480</v>
      </c>
      <c r="F1998" s="17">
        <f t="shared" si="94"/>
        <v>1</v>
      </c>
      <c r="G1998" s="17" t="str">
        <f t="shared" si="95"/>
        <v>Pass</v>
      </c>
      <c r="H1998" s="17" t="str">
        <f t="shared" si="93"/>
        <v>Pass</v>
      </c>
      <c r="I1998" s="17">
        <v>0.91</v>
      </c>
      <c r="J1998" s="17" t="s">
        <v>2487</v>
      </c>
      <c r="K1998" s="17">
        <v>0.88</v>
      </c>
      <c r="L1998" s="17">
        <v>0.97</v>
      </c>
      <c r="M1998" s="18">
        <f>Raw_LIMS_Export!K1998</f>
        <v>45904</v>
      </c>
      <c r="N1998" s="19" t="s">
        <v>2926</v>
      </c>
    </row>
    <row r="1999" spans="1:14" x14ac:dyDescent="0.35">
      <c r="A1999" s="16" t="s">
        <v>1993</v>
      </c>
      <c r="B1999" s="17" t="s">
        <v>2071</v>
      </c>
      <c r="C1999" s="17" t="s">
        <v>2457</v>
      </c>
      <c r="D1999" s="17" t="str">
        <f>_xlfn.XLOOKUP(Raw_LIMS_Export!E1999,'mapping Site table'!$B$4:$B$14,'mapping Site table'!$C$4:$C$14,Raw_LIMS_Export!E1999)</f>
        <v>Vernier CH</v>
      </c>
      <c r="E1999" s="17" t="s">
        <v>2485</v>
      </c>
      <c r="F1999" s="17">
        <f t="shared" si="94"/>
        <v>1</v>
      </c>
      <c r="G1999" s="17" t="str">
        <f t="shared" si="95"/>
        <v>Fail</v>
      </c>
      <c r="H1999" s="17" t="str">
        <f t="shared" si="93"/>
        <v>Fail</v>
      </c>
      <c r="I1999" s="17">
        <v>-20.97</v>
      </c>
      <c r="J1999" s="17" t="s">
        <v>2490</v>
      </c>
      <c r="K1999" s="17">
        <v>0</v>
      </c>
      <c r="L1999" s="17">
        <v>100</v>
      </c>
      <c r="M1999" s="18">
        <f>Raw_LIMS_Export!K1999</f>
        <v>45864</v>
      </c>
      <c r="N1999" s="19" t="s">
        <v>2931</v>
      </c>
    </row>
    <row r="2000" spans="1:14" x14ac:dyDescent="0.35">
      <c r="A2000" s="16" t="s">
        <v>1994</v>
      </c>
      <c r="B2000" s="17" t="s">
        <v>2142</v>
      </c>
      <c r="C2000" s="17" t="s">
        <v>2458</v>
      </c>
      <c r="D2000" s="17" t="str">
        <f>_xlfn.XLOOKUP(Raw_LIMS_Export!E2000,'mapping Site table'!$B$4:$B$14,'mapping Site table'!$C$4:$C$14,Raw_LIMS_Export!E2000)</f>
        <v>East Hanover</v>
      </c>
      <c r="E2000" s="17" t="s">
        <v>2484</v>
      </c>
      <c r="F2000" s="17">
        <f t="shared" si="94"/>
        <v>1</v>
      </c>
      <c r="G2000" s="17" t="str">
        <f t="shared" si="95"/>
        <v>Pass</v>
      </c>
      <c r="H2000" s="17" t="str">
        <f t="shared" si="93"/>
        <v>Fail</v>
      </c>
      <c r="I2000" s="17">
        <v>6.31</v>
      </c>
      <c r="J2000" s="17"/>
      <c r="K2000" s="17">
        <v>6</v>
      </c>
      <c r="L2000" s="17">
        <v>7.5</v>
      </c>
      <c r="M2000" s="18">
        <f>Raw_LIMS_Export!K2000</f>
        <v>45942</v>
      </c>
      <c r="N2000" s="19" t="s">
        <v>2927</v>
      </c>
    </row>
    <row r="2001" spans="1:14" x14ac:dyDescent="0.35">
      <c r="A2001" s="16" t="s">
        <v>1995</v>
      </c>
      <c r="B2001" s="17" t="s">
        <v>2325</v>
      </c>
      <c r="C2001" s="17" t="s">
        <v>2458</v>
      </c>
      <c r="D2001" s="17" t="str">
        <f>_xlfn.XLOOKUP(Raw_LIMS_Export!E2001,'mapping Site table'!$B$4:$B$14,'mapping Site table'!$C$4:$C$14,Raw_LIMS_Export!E2001)</f>
        <v>Vernier CH</v>
      </c>
      <c r="E2001" s="17" t="s">
        <v>2481</v>
      </c>
      <c r="F2001" s="17">
        <f t="shared" si="94"/>
        <v>1</v>
      </c>
      <c r="G2001" s="17" t="str">
        <f t="shared" si="95"/>
        <v>Pass</v>
      </c>
      <c r="H2001" s="17" t="str">
        <f t="shared" si="93"/>
        <v>Pass</v>
      </c>
      <c r="I2001" s="17">
        <v>231.02</v>
      </c>
      <c r="J2001" s="17" t="s">
        <v>2488</v>
      </c>
      <c r="K2001" s="17">
        <v>150</v>
      </c>
      <c r="L2001" s="17">
        <v>400</v>
      </c>
      <c r="M2001" s="18">
        <f>Raw_LIMS_Export!K2001</f>
        <v>45491</v>
      </c>
      <c r="N2001" s="19" t="s">
        <v>2926</v>
      </c>
    </row>
    <row r="2002" spans="1:14" x14ac:dyDescent="0.35">
      <c r="A2002" s="16" t="s">
        <v>1996</v>
      </c>
      <c r="B2002" s="17" t="s">
        <v>2035</v>
      </c>
      <c r="C2002" s="17" t="s">
        <v>2461</v>
      </c>
      <c r="D2002" s="17" t="str">
        <f>_xlfn.XLOOKUP(Raw_LIMS_Export!E2002,'mapping Site table'!$B$4:$B$14,'mapping Site table'!$C$4:$C$14,Raw_LIMS_Export!E2002)</f>
        <v>Ashford UK</v>
      </c>
      <c r="E2002" s="17" t="s">
        <v>2480</v>
      </c>
      <c r="F2002" s="17">
        <f t="shared" si="94"/>
        <v>1</v>
      </c>
      <c r="G2002" s="17" t="str">
        <f t="shared" si="95"/>
        <v>Pass</v>
      </c>
      <c r="H2002" s="17" t="str">
        <f t="shared" si="93"/>
        <v>Pending</v>
      </c>
      <c r="I2002" s="17">
        <v>0.92</v>
      </c>
      <c r="J2002" s="17" t="s">
        <v>2487</v>
      </c>
      <c r="K2002" s="17">
        <v>0.88</v>
      </c>
      <c r="L2002" s="17">
        <v>0.97</v>
      </c>
      <c r="M2002" s="18">
        <f>Raw_LIMS_Export!K2002</f>
        <v>45853</v>
      </c>
      <c r="N2002" s="19" t="s">
        <v>2930</v>
      </c>
    </row>
    <row r="2003" spans="1:14" x14ac:dyDescent="0.35">
      <c r="A2003" s="16" t="s">
        <v>1997</v>
      </c>
      <c r="B2003" s="17" t="s">
        <v>2270</v>
      </c>
      <c r="C2003" s="17" t="s">
        <v>2459</v>
      </c>
      <c r="D2003" s="17" t="str">
        <f>_xlfn.XLOOKUP(Raw_LIMS_Export!E2003,'mapping Site table'!$B$4:$B$14,'mapping Site table'!$C$4:$C$14,Raw_LIMS_Export!E2003)</f>
        <v>East Hanover</v>
      </c>
      <c r="E2003" s="17" t="s">
        <v>2483</v>
      </c>
      <c r="F2003" s="17">
        <f t="shared" si="94"/>
        <v>1</v>
      </c>
      <c r="G2003" s="17" t="str">
        <f t="shared" si="95"/>
        <v>Pass</v>
      </c>
      <c r="H2003" s="17" t="str">
        <f t="shared" si="93"/>
        <v>Pending</v>
      </c>
      <c r="I2003" s="17">
        <v>0.28000000000000003</v>
      </c>
      <c r="J2003" s="17" t="s">
        <v>2489</v>
      </c>
      <c r="K2003" s="17">
        <v>0</v>
      </c>
      <c r="L2003" s="17">
        <v>1</v>
      </c>
      <c r="M2003" s="18">
        <f>Raw_LIMS_Export!K2003</f>
        <v>45799</v>
      </c>
      <c r="N2003" s="19" t="s">
        <v>2925</v>
      </c>
    </row>
    <row r="2004" spans="1:14" x14ac:dyDescent="0.35">
      <c r="A2004" s="16" t="s">
        <v>1998</v>
      </c>
      <c r="B2004" s="17" t="s">
        <v>2222</v>
      </c>
      <c r="C2004" s="17" t="s">
        <v>2459</v>
      </c>
      <c r="D2004" s="17" t="str">
        <f>_xlfn.XLOOKUP(Raw_LIMS_Export!E2004,'mapping Site table'!$B$4:$B$14,'mapping Site table'!$C$4:$C$14,Raw_LIMS_Export!E2004)</f>
        <v>Ashford UK</v>
      </c>
      <c r="E2004" s="17" t="s">
        <v>2484</v>
      </c>
      <c r="F2004" s="17">
        <f t="shared" si="94"/>
        <v>1</v>
      </c>
      <c r="G2004" s="17" t="str">
        <f t="shared" si="95"/>
        <v>Pass</v>
      </c>
      <c r="H2004" s="17" t="str">
        <f t="shared" si="93"/>
        <v>Pass</v>
      </c>
      <c r="I2004" s="17">
        <v>7.09</v>
      </c>
      <c r="J2004" s="17"/>
      <c r="K2004" s="17">
        <v>6</v>
      </c>
      <c r="L2004" s="17">
        <v>7.5</v>
      </c>
      <c r="M2004" s="18">
        <f>Raw_LIMS_Export!K2004</f>
        <v>45317</v>
      </c>
      <c r="N2004" s="19" t="s">
        <v>2925</v>
      </c>
    </row>
    <row r="2005" spans="1:14" x14ac:dyDescent="0.35">
      <c r="A2005" s="16" t="s">
        <v>1999</v>
      </c>
      <c r="B2005" s="17" t="s">
        <v>2388</v>
      </c>
      <c r="C2005" s="17" t="s">
        <v>2457</v>
      </c>
      <c r="D2005" s="17" t="str">
        <f>_xlfn.XLOOKUP(Raw_LIMS_Export!E2005,'mapping Site table'!$B$4:$B$14,'mapping Site table'!$C$4:$C$14,Raw_LIMS_Export!E2005)</f>
        <v>East Hanover</v>
      </c>
      <c r="E2005" s="17" t="s">
        <v>2479</v>
      </c>
      <c r="F2005" s="17">
        <f t="shared" si="94"/>
        <v>1</v>
      </c>
      <c r="G2005" s="17" t="str">
        <f t="shared" si="95"/>
        <v>Pass</v>
      </c>
      <c r="H2005" s="17" t="str">
        <f t="shared" si="93"/>
        <v>Fail</v>
      </c>
      <c r="I2005" s="17">
        <v>53.45</v>
      </c>
      <c r="J2005" s="17" t="s">
        <v>2486</v>
      </c>
      <c r="K2005" s="17">
        <v>0</v>
      </c>
      <c r="L2005" s="17">
        <v>120</v>
      </c>
      <c r="M2005" s="18">
        <f>Raw_LIMS_Export!K2005</f>
        <v>45336</v>
      </c>
      <c r="N2005" s="19" t="s">
        <v>2930</v>
      </c>
    </row>
    <row r="2006" spans="1:14" x14ac:dyDescent="0.35">
      <c r="A2006" s="16" t="s">
        <v>2000</v>
      </c>
      <c r="B2006" s="17" t="s">
        <v>2354</v>
      </c>
      <c r="C2006" s="17" t="s">
        <v>2458</v>
      </c>
      <c r="D2006" s="17" t="str">
        <f>_xlfn.XLOOKUP(Raw_LIMS_Export!E2006,'mapping Site table'!$B$4:$B$14,'mapping Site table'!$C$4:$C$14,Raw_LIMS_Export!E2006)</f>
        <v>Budapest</v>
      </c>
      <c r="E2006" s="17" t="s">
        <v>2481</v>
      </c>
      <c r="F2006" s="17">
        <f t="shared" si="94"/>
        <v>1</v>
      </c>
      <c r="G2006" s="17" t="str">
        <f t="shared" si="95"/>
        <v>Pass</v>
      </c>
      <c r="H2006" s="17" t="str">
        <f t="shared" si="93"/>
        <v>Pending</v>
      </c>
      <c r="I2006" s="17">
        <v>297.67</v>
      </c>
      <c r="J2006" s="17" t="s">
        <v>2488</v>
      </c>
      <c r="K2006" s="17">
        <v>150</v>
      </c>
      <c r="L2006" s="17">
        <v>400</v>
      </c>
      <c r="M2006" s="18">
        <f>Raw_LIMS_Export!K2006</f>
        <v>45587</v>
      </c>
      <c r="N2006" s="19" t="s">
        <v>2928</v>
      </c>
    </row>
    <row r="2007" spans="1:14" x14ac:dyDescent="0.35">
      <c r="A2007" s="16" t="s">
        <v>2001</v>
      </c>
      <c r="B2007" s="17" t="s">
        <v>2247</v>
      </c>
      <c r="C2007" s="17" t="s">
        <v>2461</v>
      </c>
      <c r="D2007" s="17" t="str">
        <f>_xlfn.XLOOKUP(Raw_LIMS_Export!E2007,'mapping Site table'!$B$4:$B$14,'mapping Site table'!$C$4:$C$14,Raw_LIMS_Export!E2007)</f>
        <v>Ashford UK</v>
      </c>
      <c r="E2007" s="17" t="s">
        <v>2479</v>
      </c>
      <c r="F2007" s="17">
        <f t="shared" si="94"/>
        <v>0</v>
      </c>
      <c r="G2007" s="17" t="str">
        <f t="shared" si="95"/>
        <v>Missing</v>
      </c>
      <c r="H2007" s="17" t="str">
        <f t="shared" si="93"/>
        <v>Fail</v>
      </c>
      <c r="I2007" s="17"/>
      <c r="J2007" s="17" t="s">
        <v>2486</v>
      </c>
      <c r="K2007" s="17">
        <v>0</v>
      </c>
      <c r="L2007" s="17">
        <v>120</v>
      </c>
      <c r="M2007" s="18">
        <f>Raw_LIMS_Export!K2007</f>
        <v>45307</v>
      </c>
      <c r="N2007" s="19" t="s">
        <v>2932</v>
      </c>
    </row>
    <row r="2008" spans="1:14" x14ac:dyDescent="0.35">
      <c r="A2008" s="16" t="s">
        <v>2002</v>
      </c>
      <c r="B2008" s="17" t="s">
        <v>2061</v>
      </c>
      <c r="C2008" s="17" t="s">
        <v>2457</v>
      </c>
      <c r="D2008" s="17" t="str">
        <f>_xlfn.XLOOKUP(Raw_LIMS_Export!E2008,'mapping Site table'!$B$4:$B$14,'mapping Site table'!$C$4:$C$14,Raw_LIMS_Export!E2008)</f>
        <v>Budapest</v>
      </c>
      <c r="E2008" s="17" t="s">
        <v>2485</v>
      </c>
      <c r="F2008" s="17">
        <f t="shared" si="94"/>
        <v>1</v>
      </c>
      <c r="G2008" s="17" t="str">
        <f t="shared" si="95"/>
        <v>Pass</v>
      </c>
      <c r="H2008" s="17" t="str">
        <f t="shared" si="93"/>
        <v>Pass</v>
      </c>
      <c r="I2008" s="17">
        <v>33.83</v>
      </c>
      <c r="J2008" s="17" t="s">
        <v>2490</v>
      </c>
      <c r="K2008" s="17">
        <v>0</v>
      </c>
      <c r="L2008" s="17">
        <v>100</v>
      </c>
      <c r="M2008" s="18">
        <f>Raw_LIMS_Export!K2008</f>
        <v>45831</v>
      </c>
      <c r="N2008" s="19" t="s">
        <v>2924</v>
      </c>
    </row>
    <row r="2009" spans="1:14" x14ac:dyDescent="0.35">
      <c r="A2009" s="16" t="s">
        <v>2003</v>
      </c>
      <c r="B2009" s="17" t="s">
        <v>2081</v>
      </c>
      <c r="C2009" s="17" t="s">
        <v>2458</v>
      </c>
      <c r="D2009" s="17" t="str">
        <f>_xlfn.XLOOKUP(Raw_LIMS_Export!E2009,'mapping Site table'!$B$4:$B$14,'mapping Site table'!$C$4:$C$14,Raw_LIMS_Export!E2009)</f>
        <v>Dortmund DE</v>
      </c>
      <c r="E2009" s="17" t="s">
        <v>2483</v>
      </c>
      <c r="F2009" s="17">
        <f t="shared" si="94"/>
        <v>1</v>
      </c>
      <c r="G2009" s="17" t="str">
        <f t="shared" si="95"/>
        <v>Pass</v>
      </c>
      <c r="H2009" s="17" t="str">
        <f t="shared" si="93"/>
        <v>Pass</v>
      </c>
      <c r="I2009" s="17">
        <v>0.54</v>
      </c>
      <c r="J2009" s="17" t="s">
        <v>2489</v>
      </c>
      <c r="K2009" s="17">
        <v>0</v>
      </c>
      <c r="L2009" s="17">
        <v>1</v>
      </c>
      <c r="M2009" s="18">
        <f>Raw_LIMS_Export!K2009</f>
        <v>45610</v>
      </c>
      <c r="N2009" s="19" t="s">
        <v>2926</v>
      </c>
    </row>
    <row r="2010" spans="1:14" x14ac:dyDescent="0.35">
      <c r="A2010" s="16" t="s">
        <v>2004</v>
      </c>
      <c r="B2010" s="17" t="s">
        <v>2147</v>
      </c>
      <c r="C2010" s="17" t="s">
        <v>2458</v>
      </c>
      <c r="D2010" s="17" t="str">
        <f>_xlfn.XLOOKUP(Raw_LIMS_Export!E2010,'mapping Site table'!$B$4:$B$14,'mapping Site table'!$C$4:$C$14,Raw_LIMS_Export!E2010)</f>
        <v>Vernier CH</v>
      </c>
      <c r="E2010" s="17" t="s">
        <v>2480</v>
      </c>
      <c r="F2010" s="17">
        <f t="shared" si="94"/>
        <v>0</v>
      </c>
      <c r="G2010" s="17" t="str">
        <f t="shared" si="95"/>
        <v>Missing</v>
      </c>
      <c r="H2010" s="17" t="str">
        <f t="shared" si="93"/>
        <v>Pending</v>
      </c>
      <c r="I2010" s="17"/>
      <c r="J2010" s="17" t="s">
        <v>2487</v>
      </c>
      <c r="K2010" s="17">
        <v>0.88</v>
      </c>
      <c r="L2010" s="17">
        <v>0.97</v>
      </c>
      <c r="M2010" s="18">
        <f>Raw_LIMS_Export!K2010</f>
        <v>45371</v>
      </c>
      <c r="N2010" s="19" t="s">
        <v>2932</v>
      </c>
    </row>
    <row r="2011" spans="1:14" x14ac:dyDescent="0.35">
      <c r="A2011" s="16" t="s">
        <v>2005</v>
      </c>
      <c r="B2011" s="17" t="s">
        <v>2276</v>
      </c>
      <c r="C2011" s="17" t="s">
        <v>2457</v>
      </c>
      <c r="D2011" s="17" t="str">
        <f>_xlfn.XLOOKUP(Raw_LIMS_Export!E2011,'mapping Site table'!$B$4:$B$14,'mapping Site table'!$C$4:$C$14,Raw_LIMS_Export!E2011)</f>
        <v>Budapest</v>
      </c>
      <c r="E2011" s="17" t="s">
        <v>2481</v>
      </c>
      <c r="F2011" s="17">
        <f t="shared" si="94"/>
        <v>1</v>
      </c>
      <c r="G2011" s="17" t="str">
        <f t="shared" si="95"/>
        <v>Pass</v>
      </c>
      <c r="H2011" s="17" t="str">
        <f t="shared" si="93"/>
        <v>Pass</v>
      </c>
      <c r="I2011" s="17">
        <v>189.71</v>
      </c>
      <c r="J2011" s="17" t="s">
        <v>2488</v>
      </c>
      <c r="K2011" s="17">
        <v>150</v>
      </c>
      <c r="L2011" s="17">
        <v>400</v>
      </c>
      <c r="M2011" s="18">
        <f>Raw_LIMS_Export!K2011</f>
        <v>45685</v>
      </c>
      <c r="N2011" s="19" t="s">
        <v>2926</v>
      </c>
    </row>
    <row r="2012" spans="1:14" x14ac:dyDescent="0.35">
      <c r="A2012" s="16" t="s">
        <v>2006</v>
      </c>
      <c r="B2012" s="17" t="s">
        <v>2094</v>
      </c>
      <c r="C2012" s="17" t="s">
        <v>2460</v>
      </c>
      <c r="D2012" s="17" t="str">
        <f>_xlfn.XLOOKUP(Raw_LIMS_Export!E2012,'mapping Site table'!$B$4:$B$14,'mapping Site table'!$C$4:$C$14,Raw_LIMS_Export!E2012)</f>
        <v>Ashford UK</v>
      </c>
      <c r="E2012" s="17" t="s">
        <v>2481</v>
      </c>
      <c r="F2012" s="17">
        <f t="shared" si="94"/>
        <v>1</v>
      </c>
      <c r="G2012" s="17" t="str">
        <f t="shared" si="95"/>
        <v>Pass</v>
      </c>
      <c r="H2012" s="17" t="str">
        <f t="shared" si="93"/>
        <v>Fail</v>
      </c>
      <c r="I2012" s="17">
        <v>331.9</v>
      </c>
      <c r="J2012" s="17" t="s">
        <v>2488</v>
      </c>
      <c r="K2012" s="17">
        <v>150</v>
      </c>
      <c r="L2012" s="17">
        <v>400</v>
      </c>
      <c r="M2012" s="18">
        <f>Raw_LIMS_Export!K2012</f>
        <v>45316</v>
      </c>
      <c r="N2012" s="19" t="s">
        <v>2931</v>
      </c>
    </row>
    <row r="2013" spans="1:14" x14ac:dyDescent="0.35">
      <c r="A2013" s="16" t="s">
        <v>2007</v>
      </c>
      <c r="B2013" s="17" t="s">
        <v>2209</v>
      </c>
      <c r="C2013" s="17" t="s">
        <v>2458</v>
      </c>
      <c r="D2013" s="17" t="str">
        <f>_xlfn.XLOOKUP(Raw_LIMS_Export!E2013,'mapping Site table'!$B$4:$B$14,'mapping Site table'!$C$4:$C$14,Raw_LIMS_Export!E2013)</f>
        <v>Ashford UK</v>
      </c>
      <c r="E2013" s="17" t="s">
        <v>2483</v>
      </c>
      <c r="F2013" s="17">
        <f t="shared" si="94"/>
        <v>1</v>
      </c>
      <c r="G2013" s="17" t="str">
        <f t="shared" si="95"/>
        <v>Pass</v>
      </c>
      <c r="H2013" s="17" t="str">
        <f t="shared" si="93"/>
        <v>Fail</v>
      </c>
      <c r="I2013" s="17">
        <v>0.33</v>
      </c>
      <c r="J2013" s="17" t="s">
        <v>2489</v>
      </c>
      <c r="K2013" s="17">
        <v>0</v>
      </c>
      <c r="L2013" s="17">
        <v>1</v>
      </c>
      <c r="M2013" s="18">
        <f>Raw_LIMS_Export!K2013</f>
        <v>45673</v>
      </c>
      <c r="N2013" s="19" t="s">
        <v>2923</v>
      </c>
    </row>
    <row r="2014" spans="1:14" x14ac:dyDescent="0.35">
      <c r="A2014" s="16" t="s">
        <v>2008</v>
      </c>
      <c r="B2014" s="17" t="s">
        <v>2353</v>
      </c>
      <c r="C2014" s="17" t="s">
        <v>2461</v>
      </c>
      <c r="D2014" s="17" t="str">
        <f>_xlfn.XLOOKUP(Raw_LIMS_Export!E2014,'mapping Site table'!$B$4:$B$14,'mapping Site table'!$C$4:$C$14,Raw_LIMS_Export!E2014)</f>
        <v>Dortmund DE</v>
      </c>
      <c r="E2014" s="17" t="s">
        <v>2483</v>
      </c>
      <c r="F2014" s="17">
        <f t="shared" si="94"/>
        <v>1</v>
      </c>
      <c r="G2014" s="17" t="str">
        <f t="shared" si="95"/>
        <v>Pass</v>
      </c>
      <c r="H2014" s="17" t="str">
        <f t="shared" si="93"/>
        <v>Pass</v>
      </c>
      <c r="I2014" s="17">
        <v>0.16</v>
      </c>
      <c r="J2014" s="17" t="s">
        <v>2489</v>
      </c>
      <c r="K2014" s="17">
        <v>0</v>
      </c>
      <c r="L2014" s="17">
        <v>1</v>
      </c>
      <c r="M2014" s="18">
        <f>Raw_LIMS_Export!K2014</f>
        <v>45610</v>
      </c>
      <c r="N2014" s="19" t="s">
        <v>2927</v>
      </c>
    </row>
    <row r="2015" spans="1:14" x14ac:dyDescent="0.35">
      <c r="A2015" s="16" t="s">
        <v>2009</v>
      </c>
      <c r="B2015" s="17" t="s">
        <v>2338</v>
      </c>
      <c r="C2015" s="17" t="s">
        <v>2458</v>
      </c>
      <c r="D2015" s="17" t="str">
        <f>_xlfn.XLOOKUP(Raw_LIMS_Export!E2015,'mapping Site table'!$B$4:$B$14,'mapping Site table'!$C$4:$C$14,Raw_LIMS_Export!E2015)</f>
        <v>Budapest</v>
      </c>
      <c r="E2015" s="17" t="s">
        <v>2484</v>
      </c>
      <c r="F2015" s="17">
        <f t="shared" si="94"/>
        <v>1</v>
      </c>
      <c r="G2015" s="17" t="str">
        <f t="shared" si="95"/>
        <v>Pass</v>
      </c>
      <c r="H2015" s="17" t="str">
        <f t="shared" si="93"/>
        <v>Pending</v>
      </c>
      <c r="I2015" s="17">
        <v>6.9</v>
      </c>
      <c r="J2015" s="17"/>
      <c r="K2015" s="17">
        <v>6</v>
      </c>
      <c r="L2015" s="17">
        <v>7.5</v>
      </c>
      <c r="M2015" s="18">
        <f>Raw_LIMS_Export!K2015</f>
        <v>45311</v>
      </c>
      <c r="N2015" s="19" t="s">
        <v>2927</v>
      </c>
    </row>
    <row r="2016" spans="1:14" x14ac:dyDescent="0.35">
      <c r="A2016" s="20" t="s">
        <v>2010</v>
      </c>
      <c r="B2016" s="21" t="s">
        <v>2101</v>
      </c>
      <c r="C2016" s="21" t="s">
        <v>2458</v>
      </c>
      <c r="D2016" s="21" t="str">
        <f>_xlfn.XLOOKUP(Raw_LIMS_Export!E2016,'mapping Site table'!$B$4:$B$14,'mapping Site table'!$C$4:$C$14,Raw_LIMS_Export!E2016)</f>
        <v>Dortmund DE</v>
      </c>
      <c r="E2016" s="21" t="s">
        <v>2484</v>
      </c>
      <c r="F2016" s="21">
        <f t="shared" si="94"/>
        <v>1</v>
      </c>
      <c r="G2016" s="21" t="str">
        <f t="shared" si="95"/>
        <v>Pass</v>
      </c>
      <c r="H2016" s="21" t="str">
        <f t="shared" si="93"/>
        <v>Pass</v>
      </c>
      <c r="I2016" s="21">
        <v>6.5</v>
      </c>
      <c r="J2016" s="21"/>
      <c r="K2016" s="21">
        <v>6</v>
      </c>
      <c r="L2016" s="21">
        <v>7.5</v>
      </c>
      <c r="M2016" s="22">
        <f>Raw_LIMS_Export!K2016</f>
        <v>46013</v>
      </c>
      <c r="N2016" s="23" t="s">
        <v>2923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26F35-FDE5-474D-9AEA-CC2DEEBDD9AA}">
  <dimension ref="A1:E447"/>
  <sheetViews>
    <sheetView workbookViewId="0">
      <selection sqref="A1:C447"/>
    </sheetView>
  </sheetViews>
  <sheetFormatPr defaultRowHeight="14.5" x14ac:dyDescent="0.35"/>
  <cols>
    <col min="1" max="1" width="14.81640625" bestFit="1" customWidth="1"/>
    <col min="2" max="2" width="24.7265625" bestFit="1" customWidth="1"/>
    <col min="3" max="3" width="18.90625" bestFit="1" customWidth="1"/>
    <col min="4" max="4" width="12.1796875" bestFit="1" customWidth="1"/>
    <col min="5" max="5" width="20.36328125" bestFit="1" customWidth="1"/>
    <col min="6" max="6" width="9.54296875" bestFit="1" customWidth="1"/>
  </cols>
  <sheetData>
    <row r="1" spans="1:5" x14ac:dyDescent="0.35">
      <c r="A1" t="s">
        <v>1</v>
      </c>
      <c r="B1" t="s">
        <v>2964</v>
      </c>
      <c r="C1" t="s">
        <v>2965</v>
      </c>
      <c r="D1" t="s">
        <v>3</v>
      </c>
      <c r="E1" t="s">
        <v>2966</v>
      </c>
    </row>
    <row r="2" spans="1:5" x14ac:dyDescent="0.35">
      <c r="A2" t="s">
        <v>2011</v>
      </c>
      <c r="B2" t="s">
        <v>2958</v>
      </c>
      <c r="C2" s="27">
        <v>45350</v>
      </c>
      <c r="D2" s="26" t="s">
        <v>2462</v>
      </c>
      <c r="E2" s="26" t="s">
        <v>2457</v>
      </c>
    </row>
    <row r="3" spans="1:5" x14ac:dyDescent="0.35">
      <c r="A3" t="s">
        <v>2012</v>
      </c>
      <c r="B3" t="s">
        <v>2957</v>
      </c>
      <c r="C3" s="27">
        <v>45399</v>
      </c>
      <c r="D3" s="26" t="s">
        <v>2468</v>
      </c>
      <c r="E3" s="26" t="s">
        <v>2458</v>
      </c>
    </row>
    <row r="4" spans="1:5" x14ac:dyDescent="0.35">
      <c r="A4" t="s">
        <v>2013</v>
      </c>
      <c r="B4" t="s">
        <v>2957</v>
      </c>
      <c r="C4" s="27">
        <v>45924</v>
      </c>
      <c r="D4" s="26" t="s">
        <v>2464</v>
      </c>
      <c r="E4" s="26" t="s">
        <v>2457</v>
      </c>
    </row>
    <row r="5" spans="1:5" x14ac:dyDescent="0.35">
      <c r="A5" t="s">
        <v>2014</v>
      </c>
      <c r="B5" t="s">
        <v>2957</v>
      </c>
      <c r="C5" s="27">
        <v>45982</v>
      </c>
      <c r="D5" s="26" t="s">
        <v>2468</v>
      </c>
      <c r="E5" s="26" t="s">
        <v>2459</v>
      </c>
    </row>
    <row r="6" spans="1:5" x14ac:dyDescent="0.35">
      <c r="A6" t="s">
        <v>2015</v>
      </c>
      <c r="B6" t="s">
        <v>2956</v>
      </c>
      <c r="C6" s="27">
        <v>45488</v>
      </c>
      <c r="D6" s="26" t="s">
        <v>2464</v>
      </c>
      <c r="E6" s="26" t="s">
        <v>2457</v>
      </c>
    </row>
    <row r="7" spans="1:5" x14ac:dyDescent="0.35">
      <c r="A7" t="s">
        <v>2016</v>
      </c>
      <c r="B7" t="s">
        <v>2957</v>
      </c>
      <c r="C7" s="27">
        <v>45446</v>
      </c>
      <c r="D7" s="26" t="s">
        <v>2462</v>
      </c>
      <c r="E7" s="26" t="s">
        <v>2458</v>
      </c>
    </row>
    <row r="8" spans="1:5" x14ac:dyDescent="0.35">
      <c r="A8" t="s">
        <v>2017</v>
      </c>
      <c r="B8" t="s">
        <v>2956</v>
      </c>
      <c r="C8" s="27">
        <v>46008</v>
      </c>
      <c r="D8" s="26" t="s">
        <v>2468</v>
      </c>
      <c r="E8" s="26" t="s">
        <v>2458</v>
      </c>
    </row>
    <row r="9" spans="1:5" x14ac:dyDescent="0.35">
      <c r="A9" t="s">
        <v>2018</v>
      </c>
      <c r="B9" t="s">
        <v>2956</v>
      </c>
      <c r="C9" s="27">
        <v>45501</v>
      </c>
      <c r="D9" s="26" t="s">
        <v>2474</v>
      </c>
      <c r="E9" s="26" t="s">
        <v>2460</v>
      </c>
    </row>
    <row r="10" spans="1:5" x14ac:dyDescent="0.35">
      <c r="A10" t="s">
        <v>2019</v>
      </c>
      <c r="B10" t="s">
        <v>2957</v>
      </c>
      <c r="C10" s="27">
        <v>45881</v>
      </c>
      <c r="D10" s="26" t="s">
        <v>2464</v>
      </c>
      <c r="E10" s="26" t="s">
        <v>2461</v>
      </c>
    </row>
    <row r="11" spans="1:5" x14ac:dyDescent="0.35">
      <c r="A11" t="s">
        <v>2020</v>
      </c>
      <c r="B11" t="s">
        <v>2957</v>
      </c>
      <c r="C11" s="27">
        <v>45655</v>
      </c>
      <c r="D11" s="26" t="s">
        <v>2471</v>
      </c>
      <c r="E11" s="26" t="s">
        <v>2458</v>
      </c>
    </row>
    <row r="12" spans="1:5" x14ac:dyDescent="0.35">
      <c r="A12" t="s">
        <v>2021</v>
      </c>
      <c r="B12" t="s">
        <v>2956</v>
      </c>
      <c r="C12" s="27">
        <v>45577</v>
      </c>
      <c r="D12" s="26" t="s">
        <v>2464</v>
      </c>
      <c r="E12" s="26" t="s">
        <v>2457</v>
      </c>
    </row>
    <row r="13" spans="1:5" x14ac:dyDescent="0.35">
      <c r="A13" t="s">
        <v>2022</v>
      </c>
      <c r="B13" t="s">
        <v>2958</v>
      </c>
      <c r="C13" s="27">
        <v>45530</v>
      </c>
      <c r="D13" s="26" t="s">
        <v>2468</v>
      </c>
      <c r="E13" s="26" t="s">
        <v>2457</v>
      </c>
    </row>
    <row r="14" spans="1:5" x14ac:dyDescent="0.35">
      <c r="A14" t="s">
        <v>2023</v>
      </c>
      <c r="B14" t="s">
        <v>2957</v>
      </c>
      <c r="C14" s="27">
        <v>46016</v>
      </c>
      <c r="D14" s="26" t="s">
        <v>2464</v>
      </c>
      <c r="E14" s="26" t="s">
        <v>2460</v>
      </c>
    </row>
    <row r="15" spans="1:5" x14ac:dyDescent="0.35">
      <c r="A15" t="s">
        <v>2024</v>
      </c>
      <c r="B15" t="s">
        <v>2956</v>
      </c>
      <c r="C15" s="27">
        <v>45529</v>
      </c>
      <c r="D15" s="26" t="s">
        <v>2468</v>
      </c>
      <c r="E15" s="26" t="s">
        <v>2457</v>
      </c>
    </row>
    <row r="16" spans="1:5" x14ac:dyDescent="0.35">
      <c r="A16" t="s">
        <v>2025</v>
      </c>
      <c r="B16" t="s">
        <v>2956</v>
      </c>
      <c r="C16" s="27">
        <v>45351</v>
      </c>
      <c r="D16" s="26" t="s">
        <v>2464</v>
      </c>
      <c r="E16" s="26" t="s">
        <v>2458</v>
      </c>
    </row>
    <row r="17" spans="1:5" x14ac:dyDescent="0.35">
      <c r="A17" t="s">
        <v>2026</v>
      </c>
      <c r="B17" t="s">
        <v>2956</v>
      </c>
      <c r="C17" s="27">
        <v>45294</v>
      </c>
      <c r="D17" s="26" t="s">
        <v>2468</v>
      </c>
      <c r="E17" s="26" t="s">
        <v>2461</v>
      </c>
    </row>
    <row r="18" spans="1:5" x14ac:dyDescent="0.35">
      <c r="A18" t="s">
        <v>2027</v>
      </c>
      <c r="B18" t="s">
        <v>2957</v>
      </c>
      <c r="C18" s="27">
        <v>45827</v>
      </c>
      <c r="D18" s="26" t="s">
        <v>2464</v>
      </c>
      <c r="E18" s="26" t="s">
        <v>2458</v>
      </c>
    </row>
    <row r="19" spans="1:5" x14ac:dyDescent="0.35">
      <c r="A19" t="s">
        <v>2028</v>
      </c>
      <c r="B19" t="s">
        <v>2957</v>
      </c>
      <c r="C19" s="27">
        <v>45654</v>
      </c>
      <c r="D19" s="26" t="s">
        <v>2474</v>
      </c>
      <c r="E19" s="26" t="s">
        <v>2459</v>
      </c>
    </row>
    <row r="20" spans="1:5" x14ac:dyDescent="0.35">
      <c r="A20" t="s">
        <v>2029</v>
      </c>
      <c r="B20" t="s">
        <v>2957</v>
      </c>
      <c r="C20" s="27">
        <v>45740</v>
      </c>
      <c r="D20" s="26" t="s">
        <v>2474</v>
      </c>
      <c r="E20" s="26" t="s">
        <v>2459</v>
      </c>
    </row>
    <row r="21" spans="1:5" x14ac:dyDescent="0.35">
      <c r="A21" t="s">
        <v>2030</v>
      </c>
      <c r="B21" t="s">
        <v>2957</v>
      </c>
      <c r="C21" s="27">
        <v>45613</v>
      </c>
      <c r="D21" s="26" t="s">
        <v>2468</v>
      </c>
      <c r="E21" s="26" t="s">
        <v>2457</v>
      </c>
    </row>
    <row r="22" spans="1:5" x14ac:dyDescent="0.35">
      <c r="A22" t="s">
        <v>2031</v>
      </c>
      <c r="B22" t="s">
        <v>2956</v>
      </c>
      <c r="C22" s="27">
        <v>45887</v>
      </c>
      <c r="D22" s="26" t="s">
        <v>2474</v>
      </c>
      <c r="E22" s="26" t="s">
        <v>2459</v>
      </c>
    </row>
    <row r="23" spans="1:5" x14ac:dyDescent="0.35">
      <c r="A23" t="s">
        <v>2032</v>
      </c>
      <c r="B23" t="s">
        <v>2956</v>
      </c>
      <c r="C23" s="27">
        <v>45409</v>
      </c>
      <c r="D23" s="26" t="s">
        <v>2462</v>
      </c>
      <c r="E23" s="26" t="s">
        <v>2460</v>
      </c>
    </row>
    <row r="24" spans="1:5" x14ac:dyDescent="0.35">
      <c r="A24" t="s">
        <v>2033</v>
      </c>
      <c r="B24" t="s">
        <v>2956</v>
      </c>
      <c r="C24" s="27">
        <v>45330</v>
      </c>
      <c r="D24" s="26" t="s">
        <v>2464</v>
      </c>
      <c r="E24" s="26" t="s">
        <v>2459</v>
      </c>
    </row>
    <row r="25" spans="1:5" x14ac:dyDescent="0.35">
      <c r="A25" t="s">
        <v>2034</v>
      </c>
      <c r="B25" t="s">
        <v>2956</v>
      </c>
      <c r="C25" s="27">
        <v>45615</v>
      </c>
      <c r="D25" s="26" t="s">
        <v>2462</v>
      </c>
      <c r="E25" s="26" t="s">
        <v>2461</v>
      </c>
    </row>
    <row r="26" spans="1:5" x14ac:dyDescent="0.35">
      <c r="A26" t="s">
        <v>2035</v>
      </c>
      <c r="B26" t="s">
        <v>2958</v>
      </c>
      <c r="C26" s="27">
        <v>45853</v>
      </c>
      <c r="D26" s="26" t="s">
        <v>2462</v>
      </c>
      <c r="E26" s="26" t="s">
        <v>2461</v>
      </c>
    </row>
    <row r="27" spans="1:5" x14ac:dyDescent="0.35">
      <c r="A27" t="s">
        <v>2036</v>
      </c>
      <c r="B27" t="s">
        <v>2957</v>
      </c>
      <c r="C27" s="27">
        <v>45769</v>
      </c>
      <c r="D27" s="26" t="s">
        <v>2468</v>
      </c>
      <c r="E27" s="26" t="s">
        <v>2459</v>
      </c>
    </row>
    <row r="28" spans="1:5" x14ac:dyDescent="0.35">
      <c r="A28" t="s">
        <v>2037</v>
      </c>
      <c r="B28" t="s">
        <v>2957</v>
      </c>
      <c r="C28" s="27">
        <v>45643</v>
      </c>
      <c r="D28" s="26" t="s">
        <v>2471</v>
      </c>
      <c r="E28" s="26" t="s">
        <v>2461</v>
      </c>
    </row>
    <row r="29" spans="1:5" x14ac:dyDescent="0.35">
      <c r="A29" t="s">
        <v>2038</v>
      </c>
      <c r="B29" t="s">
        <v>2957</v>
      </c>
      <c r="C29" s="27">
        <v>45374</v>
      </c>
      <c r="D29" s="26" t="s">
        <v>2464</v>
      </c>
      <c r="E29" s="26" t="s">
        <v>2457</v>
      </c>
    </row>
    <row r="30" spans="1:5" x14ac:dyDescent="0.35">
      <c r="A30" t="s">
        <v>2039</v>
      </c>
      <c r="B30" t="s">
        <v>2956</v>
      </c>
      <c r="C30" s="27">
        <v>45969</v>
      </c>
      <c r="D30" s="26" t="s">
        <v>2471</v>
      </c>
      <c r="E30" s="26" t="s">
        <v>2458</v>
      </c>
    </row>
    <row r="31" spans="1:5" x14ac:dyDescent="0.35">
      <c r="A31" t="s">
        <v>2040</v>
      </c>
      <c r="B31" t="s">
        <v>2956</v>
      </c>
      <c r="C31" s="27">
        <v>45386</v>
      </c>
      <c r="D31" s="26" t="s">
        <v>2474</v>
      </c>
      <c r="E31" s="26" t="s">
        <v>2460</v>
      </c>
    </row>
    <row r="32" spans="1:5" x14ac:dyDescent="0.35">
      <c r="A32" t="s">
        <v>2041</v>
      </c>
      <c r="B32" t="s">
        <v>2957</v>
      </c>
      <c r="C32" s="27">
        <v>45824</v>
      </c>
      <c r="D32" s="26" t="s">
        <v>2462</v>
      </c>
      <c r="E32" s="26" t="s">
        <v>2460</v>
      </c>
    </row>
    <row r="33" spans="1:5" x14ac:dyDescent="0.35">
      <c r="A33" t="s">
        <v>2042</v>
      </c>
      <c r="B33" t="s">
        <v>2956</v>
      </c>
      <c r="C33" s="27">
        <v>45774</v>
      </c>
      <c r="D33" s="26" t="s">
        <v>2468</v>
      </c>
      <c r="E33" s="26" t="s">
        <v>2460</v>
      </c>
    </row>
    <row r="34" spans="1:5" x14ac:dyDescent="0.35">
      <c r="A34" t="s">
        <v>2043</v>
      </c>
      <c r="B34" t="s">
        <v>2957</v>
      </c>
      <c r="C34" s="27">
        <v>45431</v>
      </c>
      <c r="D34" s="26" t="s">
        <v>2468</v>
      </c>
      <c r="E34" s="26" t="s">
        <v>2461</v>
      </c>
    </row>
    <row r="35" spans="1:5" x14ac:dyDescent="0.35">
      <c r="A35" t="s">
        <v>2044</v>
      </c>
      <c r="B35" t="s">
        <v>2958</v>
      </c>
      <c r="C35" s="27">
        <v>45350</v>
      </c>
      <c r="D35" s="26" t="s">
        <v>2471</v>
      </c>
      <c r="E35" s="26" t="s">
        <v>2459</v>
      </c>
    </row>
    <row r="36" spans="1:5" x14ac:dyDescent="0.35">
      <c r="A36" t="s">
        <v>2045</v>
      </c>
      <c r="B36" t="s">
        <v>2957</v>
      </c>
      <c r="C36" s="27">
        <v>45655</v>
      </c>
      <c r="D36" s="26" t="s">
        <v>2471</v>
      </c>
      <c r="E36" s="26" t="s">
        <v>2457</v>
      </c>
    </row>
    <row r="37" spans="1:5" x14ac:dyDescent="0.35">
      <c r="A37" t="s">
        <v>2046</v>
      </c>
      <c r="B37" t="s">
        <v>2956</v>
      </c>
      <c r="C37" s="27">
        <v>45739</v>
      </c>
      <c r="D37" s="26" t="s">
        <v>2474</v>
      </c>
      <c r="E37" s="26" t="s">
        <v>2457</v>
      </c>
    </row>
    <row r="38" spans="1:5" x14ac:dyDescent="0.35">
      <c r="A38" t="s">
        <v>2047</v>
      </c>
      <c r="B38" t="s">
        <v>2957</v>
      </c>
      <c r="C38" s="27">
        <v>45543</v>
      </c>
      <c r="D38" s="26" t="s">
        <v>2471</v>
      </c>
      <c r="E38" s="26" t="s">
        <v>2460</v>
      </c>
    </row>
    <row r="39" spans="1:5" x14ac:dyDescent="0.35">
      <c r="A39" t="s">
        <v>2048</v>
      </c>
      <c r="B39" t="s">
        <v>2956</v>
      </c>
      <c r="C39" s="27">
        <v>45845</v>
      </c>
      <c r="D39" s="26" t="s">
        <v>2474</v>
      </c>
      <c r="E39" s="26" t="s">
        <v>2458</v>
      </c>
    </row>
    <row r="40" spans="1:5" x14ac:dyDescent="0.35">
      <c r="A40" t="s">
        <v>2049</v>
      </c>
      <c r="B40" t="s">
        <v>2956</v>
      </c>
      <c r="C40" s="27">
        <v>45452</v>
      </c>
      <c r="D40" s="26" t="s">
        <v>2474</v>
      </c>
      <c r="E40" s="26" t="s">
        <v>2458</v>
      </c>
    </row>
    <row r="41" spans="1:5" x14ac:dyDescent="0.35">
      <c r="A41" t="s">
        <v>2050</v>
      </c>
      <c r="B41" t="s">
        <v>2957</v>
      </c>
      <c r="C41" s="27">
        <v>45398</v>
      </c>
      <c r="D41" s="26" t="s">
        <v>2464</v>
      </c>
      <c r="E41" s="26" t="s">
        <v>2461</v>
      </c>
    </row>
    <row r="42" spans="1:5" x14ac:dyDescent="0.35">
      <c r="A42" t="s">
        <v>2051</v>
      </c>
      <c r="B42" t="s">
        <v>2956</v>
      </c>
      <c r="C42" s="27">
        <v>45564</v>
      </c>
      <c r="D42" s="26" t="s">
        <v>2474</v>
      </c>
      <c r="E42" s="26" t="s">
        <v>2461</v>
      </c>
    </row>
    <row r="43" spans="1:5" x14ac:dyDescent="0.35">
      <c r="A43" t="s">
        <v>2052</v>
      </c>
      <c r="B43" t="s">
        <v>2956</v>
      </c>
      <c r="C43" s="27">
        <v>45461</v>
      </c>
      <c r="D43" s="26" t="s">
        <v>2464</v>
      </c>
      <c r="E43" s="26" t="s">
        <v>2460</v>
      </c>
    </row>
    <row r="44" spans="1:5" x14ac:dyDescent="0.35">
      <c r="A44" t="s">
        <v>2053</v>
      </c>
      <c r="B44" t="s">
        <v>2957</v>
      </c>
      <c r="C44" s="27">
        <v>45703</v>
      </c>
      <c r="D44" s="26" t="s">
        <v>2464</v>
      </c>
      <c r="E44" s="26" t="s">
        <v>2460</v>
      </c>
    </row>
    <row r="45" spans="1:5" x14ac:dyDescent="0.35">
      <c r="A45" t="s">
        <v>2054</v>
      </c>
      <c r="B45" t="s">
        <v>2956</v>
      </c>
      <c r="C45" s="27">
        <v>45510</v>
      </c>
      <c r="D45" s="26" t="s">
        <v>2468</v>
      </c>
      <c r="E45" s="26" t="s">
        <v>2457</v>
      </c>
    </row>
    <row r="46" spans="1:5" x14ac:dyDescent="0.35">
      <c r="A46" t="s">
        <v>2055</v>
      </c>
      <c r="B46" t="s">
        <v>2957</v>
      </c>
      <c r="C46" s="27">
        <v>46020</v>
      </c>
      <c r="D46" s="26" t="s">
        <v>2471</v>
      </c>
      <c r="E46" s="26" t="s">
        <v>2461</v>
      </c>
    </row>
    <row r="47" spans="1:5" x14ac:dyDescent="0.35">
      <c r="A47" t="s">
        <v>2056</v>
      </c>
      <c r="B47" t="s">
        <v>2957</v>
      </c>
      <c r="C47" s="27">
        <v>45997</v>
      </c>
      <c r="D47" s="26" t="s">
        <v>2471</v>
      </c>
      <c r="E47" s="26" t="s">
        <v>2459</v>
      </c>
    </row>
    <row r="48" spans="1:5" x14ac:dyDescent="0.35">
      <c r="A48" t="s">
        <v>2057</v>
      </c>
      <c r="B48" t="s">
        <v>2956</v>
      </c>
      <c r="C48" s="27">
        <v>45869</v>
      </c>
      <c r="D48" s="26" t="s">
        <v>2462</v>
      </c>
      <c r="E48" s="26" t="s">
        <v>2461</v>
      </c>
    </row>
    <row r="49" spans="1:5" x14ac:dyDescent="0.35">
      <c r="A49" t="s">
        <v>2058</v>
      </c>
      <c r="B49" t="s">
        <v>2957</v>
      </c>
      <c r="C49" s="27">
        <v>45695</v>
      </c>
      <c r="D49" s="26" t="s">
        <v>2471</v>
      </c>
      <c r="E49" s="26" t="s">
        <v>2460</v>
      </c>
    </row>
    <row r="50" spans="1:5" x14ac:dyDescent="0.35">
      <c r="A50" t="s">
        <v>2059</v>
      </c>
      <c r="B50" t="s">
        <v>2956</v>
      </c>
      <c r="C50" s="27">
        <v>45743</v>
      </c>
      <c r="D50" s="26" t="s">
        <v>2468</v>
      </c>
      <c r="E50" s="26" t="s">
        <v>2459</v>
      </c>
    </row>
    <row r="51" spans="1:5" x14ac:dyDescent="0.35">
      <c r="A51" t="s">
        <v>2060</v>
      </c>
      <c r="B51" t="s">
        <v>2956</v>
      </c>
      <c r="C51" s="27">
        <v>45751</v>
      </c>
      <c r="D51" s="26" t="s">
        <v>2464</v>
      </c>
      <c r="E51" s="26" t="s">
        <v>2458</v>
      </c>
    </row>
    <row r="52" spans="1:5" x14ac:dyDescent="0.35">
      <c r="A52" t="s">
        <v>2061</v>
      </c>
      <c r="B52" t="s">
        <v>2957</v>
      </c>
      <c r="C52" s="27">
        <v>45831</v>
      </c>
      <c r="D52" s="26" t="s">
        <v>2471</v>
      </c>
      <c r="E52" s="26" t="s">
        <v>2457</v>
      </c>
    </row>
    <row r="53" spans="1:5" x14ac:dyDescent="0.35">
      <c r="A53" t="s">
        <v>2062</v>
      </c>
      <c r="B53" t="s">
        <v>2957</v>
      </c>
      <c r="C53" s="27">
        <v>45845</v>
      </c>
      <c r="D53" s="26" t="s">
        <v>2464</v>
      </c>
      <c r="E53" s="26" t="s">
        <v>2458</v>
      </c>
    </row>
    <row r="54" spans="1:5" x14ac:dyDescent="0.35">
      <c r="A54" t="s">
        <v>2063</v>
      </c>
      <c r="B54" t="s">
        <v>2956</v>
      </c>
      <c r="C54" s="27">
        <v>45884</v>
      </c>
      <c r="D54" s="26" t="s">
        <v>2464</v>
      </c>
      <c r="E54" s="26" t="s">
        <v>2461</v>
      </c>
    </row>
    <row r="55" spans="1:5" x14ac:dyDescent="0.35">
      <c r="A55" t="s">
        <v>2064</v>
      </c>
      <c r="B55" t="s">
        <v>2957</v>
      </c>
      <c r="C55" s="27">
        <v>45715</v>
      </c>
      <c r="D55" s="26" t="s">
        <v>2468</v>
      </c>
      <c r="E55" s="26" t="s">
        <v>2458</v>
      </c>
    </row>
    <row r="56" spans="1:5" x14ac:dyDescent="0.35">
      <c r="A56" t="s">
        <v>2065</v>
      </c>
      <c r="B56" t="s">
        <v>2957</v>
      </c>
      <c r="C56" s="27">
        <v>45950</v>
      </c>
      <c r="D56" s="26" t="s">
        <v>2464</v>
      </c>
      <c r="E56" s="26" t="s">
        <v>2459</v>
      </c>
    </row>
    <row r="57" spans="1:5" x14ac:dyDescent="0.35">
      <c r="A57" t="s">
        <v>2066</v>
      </c>
      <c r="B57" t="s">
        <v>2957</v>
      </c>
      <c r="C57" s="27">
        <v>45566</v>
      </c>
      <c r="D57" s="26" t="s">
        <v>2462</v>
      </c>
      <c r="E57" s="26" t="s">
        <v>2459</v>
      </c>
    </row>
    <row r="58" spans="1:5" x14ac:dyDescent="0.35">
      <c r="A58" t="s">
        <v>2067</v>
      </c>
      <c r="B58" t="s">
        <v>2956</v>
      </c>
      <c r="C58" s="27">
        <v>45844</v>
      </c>
      <c r="D58" s="26" t="s">
        <v>2462</v>
      </c>
      <c r="E58" s="26" t="s">
        <v>2459</v>
      </c>
    </row>
    <row r="59" spans="1:5" x14ac:dyDescent="0.35">
      <c r="A59" t="s">
        <v>2068</v>
      </c>
      <c r="B59" t="s">
        <v>2956</v>
      </c>
      <c r="C59" s="27">
        <v>45999</v>
      </c>
      <c r="D59" s="26" t="s">
        <v>2471</v>
      </c>
      <c r="E59" s="26" t="s">
        <v>2459</v>
      </c>
    </row>
    <row r="60" spans="1:5" x14ac:dyDescent="0.35">
      <c r="A60" t="s">
        <v>2069</v>
      </c>
      <c r="B60" t="s">
        <v>2956</v>
      </c>
      <c r="C60" s="27">
        <v>45766</v>
      </c>
      <c r="D60" s="26" t="s">
        <v>2464</v>
      </c>
      <c r="E60" s="26" t="s">
        <v>2458</v>
      </c>
    </row>
    <row r="61" spans="1:5" x14ac:dyDescent="0.35">
      <c r="A61" t="s">
        <v>2070</v>
      </c>
      <c r="B61" t="s">
        <v>2957</v>
      </c>
      <c r="C61" s="27">
        <v>45300</v>
      </c>
      <c r="D61" s="26" t="s">
        <v>2468</v>
      </c>
      <c r="E61" s="26" t="s">
        <v>2460</v>
      </c>
    </row>
    <row r="62" spans="1:5" x14ac:dyDescent="0.35">
      <c r="A62" t="s">
        <v>2071</v>
      </c>
      <c r="B62" t="s">
        <v>2956</v>
      </c>
      <c r="C62" s="27">
        <v>45864</v>
      </c>
      <c r="D62" s="26" t="s">
        <v>2468</v>
      </c>
      <c r="E62" s="26" t="s">
        <v>2457</v>
      </c>
    </row>
    <row r="63" spans="1:5" x14ac:dyDescent="0.35">
      <c r="A63" t="s">
        <v>2072</v>
      </c>
      <c r="B63" t="s">
        <v>2957</v>
      </c>
      <c r="C63" s="27">
        <v>45544</v>
      </c>
      <c r="D63" s="26" t="s">
        <v>2474</v>
      </c>
      <c r="E63" s="26" t="s">
        <v>2460</v>
      </c>
    </row>
    <row r="64" spans="1:5" x14ac:dyDescent="0.35">
      <c r="A64" t="s">
        <v>2073</v>
      </c>
      <c r="B64" t="s">
        <v>2958</v>
      </c>
      <c r="C64" s="27">
        <v>45638</v>
      </c>
      <c r="D64" s="26" t="s">
        <v>2474</v>
      </c>
      <c r="E64" s="26" t="s">
        <v>2457</v>
      </c>
    </row>
    <row r="65" spans="1:5" x14ac:dyDescent="0.35">
      <c r="A65" t="s">
        <v>2074</v>
      </c>
      <c r="B65" t="s">
        <v>2957</v>
      </c>
      <c r="C65" s="27">
        <v>45416</v>
      </c>
      <c r="D65" s="26" t="s">
        <v>2462</v>
      </c>
      <c r="E65" s="26" t="s">
        <v>2457</v>
      </c>
    </row>
    <row r="66" spans="1:5" x14ac:dyDescent="0.35">
      <c r="A66" t="s">
        <v>2075</v>
      </c>
      <c r="B66" t="s">
        <v>2957</v>
      </c>
      <c r="C66" s="27">
        <v>45686</v>
      </c>
      <c r="D66" s="26" t="s">
        <v>2471</v>
      </c>
      <c r="E66" s="26" t="s">
        <v>2461</v>
      </c>
    </row>
    <row r="67" spans="1:5" x14ac:dyDescent="0.35">
      <c r="A67" t="s">
        <v>2076</v>
      </c>
      <c r="B67" t="s">
        <v>2957</v>
      </c>
      <c r="C67" s="27">
        <v>45955</v>
      </c>
      <c r="D67" s="26" t="s">
        <v>2464</v>
      </c>
      <c r="E67" s="26" t="s">
        <v>2458</v>
      </c>
    </row>
    <row r="68" spans="1:5" x14ac:dyDescent="0.35">
      <c r="A68" t="s">
        <v>2077</v>
      </c>
      <c r="B68" t="s">
        <v>2957</v>
      </c>
      <c r="C68" s="27">
        <v>45885</v>
      </c>
      <c r="D68" s="26" t="s">
        <v>2462</v>
      </c>
      <c r="E68" s="26" t="s">
        <v>2461</v>
      </c>
    </row>
    <row r="69" spans="1:5" x14ac:dyDescent="0.35">
      <c r="A69" t="s">
        <v>2078</v>
      </c>
      <c r="B69" t="s">
        <v>2957</v>
      </c>
      <c r="C69" s="27">
        <v>45777</v>
      </c>
      <c r="D69" s="26" t="s">
        <v>2462</v>
      </c>
      <c r="E69" s="26" t="s">
        <v>2460</v>
      </c>
    </row>
    <row r="70" spans="1:5" x14ac:dyDescent="0.35">
      <c r="A70" t="s">
        <v>2079</v>
      </c>
      <c r="B70" t="s">
        <v>2957</v>
      </c>
      <c r="C70" s="27">
        <v>45860</v>
      </c>
      <c r="D70" s="26" t="s">
        <v>2462</v>
      </c>
      <c r="E70" s="26" t="s">
        <v>2459</v>
      </c>
    </row>
    <row r="71" spans="1:5" x14ac:dyDescent="0.35">
      <c r="A71" t="s">
        <v>2080</v>
      </c>
      <c r="B71" t="s">
        <v>2958</v>
      </c>
      <c r="C71" s="27">
        <v>45304</v>
      </c>
      <c r="D71" s="26" t="s">
        <v>2471</v>
      </c>
      <c r="E71" s="26" t="s">
        <v>2457</v>
      </c>
    </row>
    <row r="72" spans="1:5" x14ac:dyDescent="0.35">
      <c r="A72" t="s">
        <v>2081</v>
      </c>
      <c r="B72" t="s">
        <v>2957</v>
      </c>
      <c r="C72" s="27">
        <v>45610</v>
      </c>
      <c r="D72" s="26" t="s">
        <v>2474</v>
      </c>
      <c r="E72" s="26" t="s">
        <v>2458</v>
      </c>
    </row>
    <row r="73" spans="1:5" x14ac:dyDescent="0.35">
      <c r="A73" t="s">
        <v>2082</v>
      </c>
      <c r="B73" t="s">
        <v>2957</v>
      </c>
      <c r="C73" s="27">
        <v>45392</v>
      </c>
      <c r="D73" s="26" t="s">
        <v>2462</v>
      </c>
      <c r="E73" s="26" t="s">
        <v>2461</v>
      </c>
    </row>
    <row r="74" spans="1:5" x14ac:dyDescent="0.35">
      <c r="A74" t="s">
        <v>2083</v>
      </c>
      <c r="B74" t="s">
        <v>2957</v>
      </c>
      <c r="C74" s="27">
        <v>45979</v>
      </c>
      <c r="D74" s="26" t="s">
        <v>2462</v>
      </c>
      <c r="E74" s="26" t="s">
        <v>2459</v>
      </c>
    </row>
    <row r="75" spans="1:5" x14ac:dyDescent="0.35">
      <c r="A75" t="s">
        <v>2084</v>
      </c>
      <c r="B75" t="s">
        <v>2957</v>
      </c>
      <c r="C75" s="27">
        <v>45874</v>
      </c>
      <c r="D75" s="26" t="s">
        <v>2462</v>
      </c>
      <c r="E75" s="26" t="s">
        <v>2458</v>
      </c>
    </row>
    <row r="76" spans="1:5" x14ac:dyDescent="0.35">
      <c r="A76" t="s">
        <v>2085</v>
      </c>
      <c r="B76" t="s">
        <v>2956</v>
      </c>
      <c r="C76" s="27">
        <v>46008</v>
      </c>
      <c r="D76" s="26" t="s">
        <v>2474</v>
      </c>
      <c r="E76" s="26" t="s">
        <v>2461</v>
      </c>
    </row>
    <row r="77" spans="1:5" x14ac:dyDescent="0.35">
      <c r="A77" t="s">
        <v>2086</v>
      </c>
      <c r="B77" t="s">
        <v>2956</v>
      </c>
      <c r="C77" s="27">
        <v>45668</v>
      </c>
      <c r="D77" s="26" t="s">
        <v>2462</v>
      </c>
      <c r="E77" s="26" t="s">
        <v>2459</v>
      </c>
    </row>
    <row r="78" spans="1:5" x14ac:dyDescent="0.35">
      <c r="A78" t="s">
        <v>2087</v>
      </c>
      <c r="B78" t="s">
        <v>2957</v>
      </c>
      <c r="C78" s="27">
        <v>45399</v>
      </c>
      <c r="D78" s="26" t="s">
        <v>2462</v>
      </c>
      <c r="E78" s="26" t="s">
        <v>2459</v>
      </c>
    </row>
    <row r="79" spans="1:5" x14ac:dyDescent="0.35">
      <c r="A79" t="s">
        <v>2088</v>
      </c>
      <c r="B79" t="s">
        <v>2957</v>
      </c>
      <c r="C79" s="27">
        <v>45973</v>
      </c>
      <c r="D79" s="26" t="s">
        <v>2471</v>
      </c>
      <c r="E79" s="26" t="s">
        <v>2461</v>
      </c>
    </row>
    <row r="80" spans="1:5" x14ac:dyDescent="0.35">
      <c r="A80" t="s">
        <v>2089</v>
      </c>
      <c r="B80" t="s">
        <v>2957</v>
      </c>
      <c r="C80" s="27">
        <v>45789</v>
      </c>
      <c r="D80" s="26" t="s">
        <v>2471</v>
      </c>
      <c r="E80" s="26" t="s">
        <v>2460</v>
      </c>
    </row>
    <row r="81" spans="1:5" x14ac:dyDescent="0.35">
      <c r="A81" t="s">
        <v>2090</v>
      </c>
      <c r="B81" t="s">
        <v>2956</v>
      </c>
      <c r="C81" s="27">
        <v>45534</v>
      </c>
      <c r="D81" s="26" t="s">
        <v>2462</v>
      </c>
      <c r="E81" s="26" t="s">
        <v>2457</v>
      </c>
    </row>
    <row r="82" spans="1:5" x14ac:dyDescent="0.35">
      <c r="A82" t="s">
        <v>2091</v>
      </c>
      <c r="B82" t="s">
        <v>2957</v>
      </c>
      <c r="C82" s="27">
        <v>45517</v>
      </c>
      <c r="D82" s="26" t="s">
        <v>2468</v>
      </c>
      <c r="E82" s="26" t="s">
        <v>2460</v>
      </c>
    </row>
    <row r="83" spans="1:5" x14ac:dyDescent="0.35">
      <c r="A83" t="s">
        <v>2092</v>
      </c>
      <c r="B83" t="s">
        <v>2956</v>
      </c>
      <c r="C83" s="27">
        <v>45889</v>
      </c>
      <c r="D83" s="26" t="s">
        <v>2464</v>
      </c>
      <c r="E83" s="26" t="s">
        <v>2459</v>
      </c>
    </row>
    <row r="84" spans="1:5" x14ac:dyDescent="0.35">
      <c r="A84" t="s">
        <v>2093</v>
      </c>
      <c r="B84" t="s">
        <v>2956</v>
      </c>
      <c r="C84" s="27">
        <v>45542</v>
      </c>
      <c r="D84" s="26" t="s">
        <v>2464</v>
      </c>
      <c r="E84" s="26" t="s">
        <v>2459</v>
      </c>
    </row>
    <row r="85" spans="1:5" x14ac:dyDescent="0.35">
      <c r="A85" t="s">
        <v>2094</v>
      </c>
      <c r="B85" t="s">
        <v>2956</v>
      </c>
      <c r="C85" s="27">
        <v>45316</v>
      </c>
      <c r="D85" s="26" t="s">
        <v>2462</v>
      </c>
      <c r="E85" s="26" t="s">
        <v>2460</v>
      </c>
    </row>
    <row r="86" spans="1:5" x14ac:dyDescent="0.35">
      <c r="A86" t="s">
        <v>2095</v>
      </c>
      <c r="B86" t="s">
        <v>2958</v>
      </c>
      <c r="C86" s="27">
        <v>45825</v>
      </c>
      <c r="D86" s="26" t="s">
        <v>2462</v>
      </c>
      <c r="E86" s="26" t="s">
        <v>2459</v>
      </c>
    </row>
    <row r="87" spans="1:5" x14ac:dyDescent="0.35">
      <c r="A87" t="s">
        <v>2096</v>
      </c>
      <c r="B87" t="s">
        <v>2957</v>
      </c>
      <c r="C87" s="27">
        <v>45385</v>
      </c>
      <c r="D87" s="26" t="s">
        <v>2464</v>
      </c>
      <c r="E87" s="26" t="s">
        <v>2460</v>
      </c>
    </row>
    <row r="88" spans="1:5" x14ac:dyDescent="0.35">
      <c r="A88" t="s">
        <v>2097</v>
      </c>
      <c r="B88" t="s">
        <v>2957</v>
      </c>
      <c r="C88" s="27">
        <v>45826</v>
      </c>
      <c r="D88" s="26" t="s">
        <v>2464</v>
      </c>
      <c r="E88" s="26" t="s">
        <v>2457</v>
      </c>
    </row>
    <row r="89" spans="1:5" x14ac:dyDescent="0.35">
      <c r="A89" t="s">
        <v>2098</v>
      </c>
      <c r="B89" t="s">
        <v>2957</v>
      </c>
      <c r="C89" s="27">
        <v>45460</v>
      </c>
      <c r="D89" s="26" t="s">
        <v>2464</v>
      </c>
      <c r="E89" s="26" t="s">
        <v>2460</v>
      </c>
    </row>
    <row r="90" spans="1:5" x14ac:dyDescent="0.35">
      <c r="A90" t="s">
        <v>2099</v>
      </c>
      <c r="B90" t="s">
        <v>2957</v>
      </c>
      <c r="C90" s="27">
        <v>45915</v>
      </c>
      <c r="D90" s="26" t="s">
        <v>2474</v>
      </c>
      <c r="E90" s="26" t="s">
        <v>2457</v>
      </c>
    </row>
    <row r="91" spans="1:5" x14ac:dyDescent="0.35">
      <c r="A91" t="s">
        <v>2100</v>
      </c>
      <c r="B91" t="s">
        <v>2957</v>
      </c>
      <c r="C91" s="27">
        <v>45413</v>
      </c>
      <c r="D91" s="26" t="s">
        <v>2471</v>
      </c>
      <c r="E91" s="26" t="s">
        <v>2461</v>
      </c>
    </row>
    <row r="92" spans="1:5" x14ac:dyDescent="0.35">
      <c r="A92" t="s">
        <v>2101</v>
      </c>
      <c r="B92" t="s">
        <v>2957</v>
      </c>
      <c r="C92" s="27">
        <v>46013</v>
      </c>
      <c r="D92" s="26" t="s">
        <v>2474</v>
      </c>
      <c r="E92" s="26" t="s">
        <v>2458</v>
      </c>
    </row>
    <row r="93" spans="1:5" x14ac:dyDescent="0.35">
      <c r="A93" t="s">
        <v>2102</v>
      </c>
      <c r="B93" t="s">
        <v>2957</v>
      </c>
      <c r="C93" s="27">
        <v>45959</v>
      </c>
      <c r="D93" s="26" t="s">
        <v>2468</v>
      </c>
      <c r="E93" s="26" t="s">
        <v>2461</v>
      </c>
    </row>
    <row r="94" spans="1:5" x14ac:dyDescent="0.35">
      <c r="A94" t="s">
        <v>2103</v>
      </c>
      <c r="B94" t="s">
        <v>2957</v>
      </c>
      <c r="C94" s="27">
        <v>45573</v>
      </c>
      <c r="D94" s="26" t="s">
        <v>2474</v>
      </c>
      <c r="E94" s="26" t="s">
        <v>2460</v>
      </c>
    </row>
    <row r="95" spans="1:5" x14ac:dyDescent="0.35">
      <c r="A95" t="s">
        <v>2104</v>
      </c>
      <c r="B95" t="s">
        <v>2956</v>
      </c>
      <c r="C95" s="27">
        <v>45831</v>
      </c>
      <c r="D95" s="26" t="s">
        <v>2462</v>
      </c>
      <c r="E95" s="26" t="s">
        <v>2458</v>
      </c>
    </row>
    <row r="96" spans="1:5" x14ac:dyDescent="0.35">
      <c r="A96" t="s">
        <v>2105</v>
      </c>
      <c r="B96" t="s">
        <v>2957</v>
      </c>
      <c r="C96" s="27">
        <v>45358</v>
      </c>
      <c r="D96" s="26" t="s">
        <v>2462</v>
      </c>
      <c r="E96" s="26" t="s">
        <v>2457</v>
      </c>
    </row>
    <row r="97" spans="1:5" x14ac:dyDescent="0.35">
      <c r="A97" t="s">
        <v>2106</v>
      </c>
      <c r="B97" t="s">
        <v>2956</v>
      </c>
      <c r="C97" s="27">
        <v>45388</v>
      </c>
      <c r="D97" s="26" t="s">
        <v>2468</v>
      </c>
      <c r="E97" s="26" t="s">
        <v>2461</v>
      </c>
    </row>
    <row r="98" spans="1:5" x14ac:dyDescent="0.35">
      <c r="A98" t="s">
        <v>2107</v>
      </c>
      <c r="B98" t="s">
        <v>2957</v>
      </c>
      <c r="C98" s="27">
        <v>45633</v>
      </c>
      <c r="D98" s="26" t="s">
        <v>2464</v>
      </c>
      <c r="E98" s="26" t="s">
        <v>2459</v>
      </c>
    </row>
    <row r="99" spans="1:5" x14ac:dyDescent="0.35">
      <c r="A99" t="s">
        <v>2108</v>
      </c>
      <c r="B99" t="s">
        <v>2957</v>
      </c>
      <c r="C99" s="27">
        <v>45362</v>
      </c>
      <c r="D99" s="26" t="s">
        <v>2462</v>
      </c>
      <c r="E99" s="26" t="s">
        <v>2458</v>
      </c>
    </row>
    <row r="100" spans="1:5" x14ac:dyDescent="0.35">
      <c r="A100" t="s">
        <v>2109</v>
      </c>
      <c r="B100" t="s">
        <v>2958</v>
      </c>
      <c r="C100" s="27">
        <v>45596</v>
      </c>
      <c r="D100" s="26" t="s">
        <v>2471</v>
      </c>
      <c r="E100" s="26" t="s">
        <v>2461</v>
      </c>
    </row>
    <row r="101" spans="1:5" x14ac:dyDescent="0.35">
      <c r="A101" t="s">
        <v>2110</v>
      </c>
      <c r="B101" t="s">
        <v>2956</v>
      </c>
      <c r="C101" s="27">
        <v>45860</v>
      </c>
      <c r="D101" s="26" t="s">
        <v>2468</v>
      </c>
      <c r="E101" s="26" t="s">
        <v>2460</v>
      </c>
    </row>
    <row r="102" spans="1:5" x14ac:dyDescent="0.35">
      <c r="A102" t="s">
        <v>2111</v>
      </c>
      <c r="B102" t="s">
        <v>2957</v>
      </c>
      <c r="C102" s="27">
        <v>45547</v>
      </c>
      <c r="D102" s="26" t="s">
        <v>2468</v>
      </c>
      <c r="E102" s="26" t="s">
        <v>2461</v>
      </c>
    </row>
    <row r="103" spans="1:5" x14ac:dyDescent="0.35">
      <c r="A103" t="s">
        <v>2112</v>
      </c>
      <c r="B103" t="s">
        <v>2957</v>
      </c>
      <c r="C103" s="27">
        <v>45993</v>
      </c>
      <c r="D103" s="26" t="s">
        <v>2474</v>
      </c>
      <c r="E103" s="26" t="s">
        <v>2457</v>
      </c>
    </row>
    <row r="104" spans="1:5" x14ac:dyDescent="0.35">
      <c r="A104" t="s">
        <v>2113</v>
      </c>
      <c r="B104" t="s">
        <v>2956</v>
      </c>
      <c r="C104" s="27">
        <v>45345</v>
      </c>
      <c r="D104" s="26" t="s">
        <v>2464</v>
      </c>
      <c r="E104" s="26" t="s">
        <v>2458</v>
      </c>
    </row>
    <row r="105" spans="1:5" x14ac:dyDescent="0.35">
      <c r="A105" t="s">
        <v>2114</v>
      </c>
      <c r="B105" t="s">
        <v>2956</v>
      </c>
      <c r="C105" s="27">
        <v>45654</v>
      </c>
      <c r="D105" s="26" t="s">
        <v>2464</v>
      </c>
      <c r="E105" s="26" t="s">
        <v>2460</v>
      </c>
    </row>
    <row r="106" spans="1:5" x14ac:dyDescent="0.35">
      <c r="A106" t="s">
        <v>2115</v>
      </c>
      <c r="B106" t="s">
        <v>2957</v>
      </c>
      <c r="C106" s="27">
        <v>45931</v>
      </c>
      <c r="D106" s="26" t="s">
        <v>2471</v>
      </c>
      <c r="E106" s="26" t="s">
        <v>2457</v>
      </c>
    </row>
    <row r="107" spans="1:5" x14ac:dyDescent="0.35">
      <c r="A107" t="s">
        <v>2116</v>
      </c>
      <c r="B107" t="s">
        <v>2957</v>
      </c>
      <c r="C107" s="27">
        <v>45376</v>
      </c>
      <c r="D107" s="26" t="s">
        <v>2474</v>
      </c>
      <c r="E107" s="26" t="s">
        <v>2461</v>
      </c>
    </row>
    <row r="108" spans="1:5" x14ac:dyDescent="0.35">
      <c r="A108" t="s">
        <v>2117</v>
      </c>
      <c r="B108" t="s">
        <v>2956</v>
      </c>
      <c r="C108" s="27">
        <v>45951</v>
      </c>
      <c r="D108" s="26" t="s">
        <v>2462</v>
      </c>
      <c r="E108" s="26" t="s">
        <v>2457</v>
      </c>
    </row>
    <row r="109" spans="1:5" x14ac:dyDescent="0.35">
      <c r="A109" t="s">
        <v>2118</v>
      </c>
      <c r="B109" t="s">
        <v>2958</v>
      </c>
      <c r="C109" s="27">
        <v>45634</v>
      </c>
      <c r="D109" s="26" t="s">
        <v>2468</v>
      </c>
      <c r="E109" s="26" t="s">
        <v>2457</v>
      </c>
    </row>
    <row r="110" spans="1:5" x14ac:dyDescent="0.35">
      <c r="A110" t="s">
        <v>2119</v>
      </c>
      <c r="B110" t="s">
        <v>2957</v>
      </c>
      <c r="C110" s="27">
        <v>45348</v>
      </c>
      <c r="D110" s="26" t="s">
        <v>2468</v>
      </c>
      <c r="E110" s="26" t="s">
        <v>2459</v>
      </c>
    </row>
    <row r="111" spans="1:5" x14ac:dyDescent="0.35">
      <c r="A111" t="s">
        <v>2120</v>
      </c>
      <c r="B111" t="s">
        <v>2956</v>
      </c>
      <c r="C111" s="27">
        <v>45393</v>
      </c>
      <c r="D111" s="26" t="s">
        <v>2468</v>
      </c>
      <c r="E111" s="26" t="s">
        <v>2459</v>
      </c>
    </row>
    <row r="112" spans="1:5" x14ac:dyDescent="0.35">
      <c r="A112" t="s">
        <v>2121</v>
      </c>
      <c r="B112" t="s">
        <v>2956</v>
      </c>
      <c r="C112" s="27">
        <v>45690</v>
      </c>
      <c r="D112" s="26" t="s">
        <v>2464</v>
      </c>
      <c r="E112" s="26" t="s">
        <v>2457</v>
      </c>
    </row>
    <row r="113" spans="1:5" x14ac:dyDescent="0.35">
      <c r="A113" t="s">
        <v>2122</v>
      </c>
      <c r="B113" t="s">
        <v>2956</v>
      </c>
      <c r="C113" s="27">
        <v>45671</v>
      </c>
      <c r="D113" s="26" t="s">
        <v>2464</v>
      </c>
      <c r="E113" s="26" t="s">
        <v>2457</v>
      </c>
    </row>
    <row r="114" spans="1:5" x14ac:dyDescent="0.35">
      <c r="A114" t="s">
        <v>2123</v>
      </c>
      <c r="B114" t="s">
        <v>2957</v>
      </c>
      <c r="C114" s="27">
        <v>45974</v>
      </c>
      <c r="D114" s="26" t="s">
        <v>2474</v>
      </c>
      <c r="E114" s="26" t="s">
        <v>2457</v>
      </c>
    </row>
    <row r="115" spans="1:5" x14ac:dyDescent="0.35">
      <c r="A115" t="s">
        <v>2124</v>
      </c>
      <c r="B115" t="s">
        <v>2957</v>
      </c>
      <c r="C115" s="27">
        <v>45733</v>
      </c>
      <c r="D115" s="26" t="s">
        <v>2474</v>
      </c>
      <c r="E115" s="26" t="s">
        <v>2457</v>
      </c>
    </row>
    <row r="116" spans="1:5" x14ac:dyDescent="0.35">
      <c r="A116" t="s">
        <v>2125</v>
      </c>
      <c r="B116" t="s">
        <v>2957</v>
      </c>
      <c r="C116" s="27">
        <v>45544</v>
      </c>
      <c r="D116" s="26" t="s">
        <v>2471</v>
      </c>
      <c r="E116" s="26" t="s">
        <v>2460</v>
      </c>
    </row>
    <row r="117" spans="1:5" x14ac:dyDescent="0.35">
      <c r="A117" t="s">
        <v>2126</v>
      </c>
      <c r="B117" t="s">
        <v>2957</v>
      </c>
      <c r="C117" s="27">
        <v>45366</v>
      </c>
      <c r="D117" s="26" t="s">
        <v>2464</v>
      </c>
      <c r="E117" s="26" t="s">
        <v>2461</v>
      </c>
    </row>
    <row r="118" spans="1:5" x14ac:dyDescent="0.35">
      <c r="A118" t="s">
        <v>2127</v>
      </c>
      <c r="B118" t="s">
        <v>2957</v>
      </c>
      <c r="C118" s="27">
        <v>45788</v>
      </c>
      <c r="D118" s="26" t="s">
        <v>2468</v>
      </c>
      <c r="E118" s="26" t="s">
        <v>2459</v>
      </c>
    </row>
    <row r="119" spans="1:5" x14ac:dyDescent="0.35">
      <c r="A119" t="s">
        <v>2128</v>
      </c>
      <c r="B119" t="s">
        <v>2957</v>
      </c>
      <c r="C119" s="27">
        <v>45565</v>
      </c>
      <c r="D119" s="26" t="s">
        <v>2471</v>
      </c>
      <c r="E119" s="26" t="s">
        <v>2458</v>
      </c>
    </row>
    <row r="120" spans="1:5" x14ac:dyDescent="0.35">
      <c r="A120" t="s">
        <v>2129</v>
      </c>
      <c r="B120" t="s">
        <v>2957</v>
      </c>
      <c r="C120" s="27">
        <v>45617</v>
      </c>
      <c r="D120" s="26" t="s">
        <v>2474</v>
      </c>
      <c r="E120" s="26" t="s">
        <v>2461</v>
      </c>
    </row>
    <row r="121" spans="1:5" x14ac:dyDescent="0.35">
      <c r="A121" t="s">
        <v>2130</v>
      </c>
      <c r="B121" t="s">
        <v>2957</v>
      </c>
      <c r="C121" s="27">
        <v>45943</v>
      </c>
      <c r="D121" s="26" t="s">
        <v>2464</v>
      </c>
      <c r="E121" s="26" t="s">
        <v>2457</v>
      </c>
    </row>
    <row r="122" spans="1:5" x14ac:dyDescent="0.35">
      <c r="A122" t="s">
        <v>2131</v>
      </c>
      <c r="B122" t="s">
        <v>2956</v>
      </c>
      <c r="C122" s="27">
        <v>45561</v>
      </c>
      <c r="D122" s="26" t="s">
        <v>2471</v>
      </c>
      <c r="E122" s="26" t="s">
        <v>2459</v>
      </c>
    </row>
    <row r="123" spans="1:5" x14ac:dyDescent="0.35">
      <c r="A123" t="s">
        <v>2132</v>
      </c>
      <c r="B123" t="s">
        <v>2956</v>
      </c>
      <c r="C123" s="27">
        <v>45493</v>
      </c>
      <c r="D123" s="26" t="s">
        <v>2471</v>
      </c>
      <c r="E123" s="26" t="s">
        <v>2457</v>
      </c>
    </row>
    <row r="124" spans="1:5" x14ac:dyDescent="0.35">
      <c r="A124" t="s">
        <v>2133</v>
      </c>
      <c r="B124" t="s">
        <v>2957</v>
      </c>
      <c r="C124" s="27">
        <v>45805</v>
      </c>
      <c r="D124" s="26" t="s">
        <v>2468</v>
      </c>
      <c r="E124" s="26" t="s">
        <v>2457</v>
      </c>
    </row>
    <row r="125" spans="1:5" x14ac:dyDescent="0.35">
      <c r="A125" t="s">
        <v>2134</v>
      </c>
      <c r="B125" t="s">
        <v>2957</v>
      </c>
      <c r="C125" s="27">
        <v>45721</v>
      </c>
      <c r="D125" s="26" t="s">
        <v>2468</v>
      </c>
      <c r="E125" s="26" t="s">
        <v>2459</v>
      </c>
    </row>
    <row r="126" spans="1:5" x14ac:dyDescent="0.35">
      <c r="A126" t="s">
        <v>2135</v>
      </c>
      <c r="B126" t="s">
        <v>2957</v>
      </c>
      <c r="C126" s="27">
        <v>45904</v>
      </c>
      <c r="D126" s="26" t="s">
        <v>2471</v>
      </c>
      <c r="E126" s="26" t="s">
        <v>2461</v>
      </c>
    </row>
    <row r="127" spans="1:5" x14ac:dyDescent="0.35">
      <c r="A127" t="s">
        <v>2136</v>
      </c>
      <c r="B127" t="s">
        <v>2958</v>
      </c>
      <c r="C127" s="27">
        <v>45534</v>
      </c>
      <c r="D127" s="26" t="s">
        <v>2474</v>
      </c>
      <c r="E127" s="26" t="s">
        <v>2458</v>
      </c>
    </row>
    <row r="128" spans="1:5" x14ac:dyDescent="0.35">
      <c r="A128" t="s">
        <v>2137</v>
      </c>
      <c r="B128" t="s">
        <v>2957</v>
      </c>
      <c r="C128" s="27">
        <v>45661</v>
      </c>
      <c r="D128" s="26" t="s">
        <v>2462</v>
      </c>
      <c r="E128" s="26" t="s">
        <v>2460</v>
      </c>
    </row>
    <row r="129" spans="1:5" x14ac:dyDescent="0.35">
      <c r="A129" t="s">
        <v>2138</v>
      </c>
      <c r="B129" t="s">
        <v>2956</v>
      </c>
      <c r="C129" s="27">
        <v>45747</v>
      </c>
      <c r="D129" s="26" t="s">
        <v>2474</v>
      </c>
      <c r="E129" s="26" t="s">
        <v>2457</v>
      </c>
    </row>
    <row r="130" spans="1:5" x14ac:dyDescent="0.35">
      <c r="A130" t="s">
        <v>2139</v>
      </c>
      <c r="B130" t="s">
        <v>2957</v>
      </c>
      <c r="C130" s="27">
        <v>45295</v>
      </c>
      <c r="D130" s="26" t="s">
        <v>2474</v>
      </c>
      <c r="E130" s="26" t="s">
        <v>2460</v>
      </c>
    </row>
    <row r="131" spans="1:5" x14ac:dyDescent="0.35">
      <c r="A131" t="s">
        <v>2140</v>
      </c>
      <c r="B131" t="s">
        <v>2956</v>
      </c>
      <c r="C131" s="27">
        <v>45891</v>
      </c>
      <c r="D131" s="26" t="s">
        <v>2471</v>
      </c>
      <c r="E131" s="26" t="s">
        <v>2460</v>
      </c>
    </row>
    <row r="132" spans="1:5" x14ac:dyDescent="0.35">
      <c r="A132" t="s">
        <v>2141</v>
      </c>
      <c r="B132" t="s">
        <v>2957</v>
      </c>
      <c r="C132" s="27">
        <v>45936</v>
      </c>
      <c r="D132" s="26" t="s">
        <v>2468</v>
      </c>
      <c r="E132" s="26" t="s">
        <v>2458</v>
      </c>
    </row>
    <row r="133" spans="1:5" x14ac:dyDescent="0.35">
      <c r="A133" t="s">
        <v>2142</v>
      </c>
      <c r="B133" t="s">
        <v>2956</v>
      </c>
      <c r="C133" s="27">
        <v>45942</v>
      </c>
      <c r="D133" s="26" t="s">
        <v>2464</v>
      </c>
      <c r="E133" s="26" t="s">
        <v>2458</v>
      </c>
    </row>
    <row r="134" spans="1:5" x14ac:dyDescent="0.35">
      <c r="A134" t="s">
        <v>2143</v>
      </c>
      <c r="B134" t="s">
        <v>2957</v>
      </c>
      <c r="C134" s="27">
        <v>45540</v>
      </c>
      <c r="D134" s="26" t="s">
        <v>2474</v>
      </c>
      <c r="E134" s="26" t="s">
        <v>2460</v>
      </c>
    </row>
    <row r="135" spans="1:5" x14ac:dyDescent="0.35">
      <c r="A135" t="s">
        <v>2144</v>
      </c>
      <c r="B135" t="s">
        <v>2956</v>
      </c>
      <c r="C135" s="27">
        <v>45635</v>
      </c>
      <c r="D135" s="26" t="s">
        <v>2464</v>
      </c>
      <c r="E135" s="26" t="s">
        <v>2461</v>
      </c>
    </row>
    <row r="136" spans="1:5" x14ac:dyDescent="0.35">
      <c r="A136" t="s">
        <v>2145</v>
      </c>
      <c r="B136" t="s">
        <v>2958</v>
      </c>
      <c r="C136" s="27">
        <v>45819</v>
      </c>
      <c r="D136" s="26" t="s">
        <v>2471</v>
      </c>
      <c r="E136" s="26" t="s">
        <v>2458</v>
      </c>
    </row>
    <row r="137" spans="1:5" x14ac:dyDescent="0.35">
      <c r="A137" t="s">
        <v>2146</v>
      </c>
      <c r="B137" t="s">
        <v>2957</v>
      </c>
      <c r="C137" s="27">
        <v>45476</v>
      </c>
      <c r="D137" s="26" t="s">
        <v>2471</v>
      </c>
      <c r="E137" s="26" t="s">
        <v>2459</v>
      </c>
    </row>
    <row r="138" spans="1:5" x14ac:dyDescent="0.35">
      <c r="A138" t="s">
        <v>2147</v>
      </c>
      <c r="B138" t="s">
        <v>2958</v>
      </c>
      <c r="C138" s="27">
        <v>45371</v>
      </c>
      <c r="D138" s="26" t="s">
        <v>2468</v>
      </c>
      <c r="E138" s="26" t="s">
        <v>2458</v>
      </c>
    </row>
    <row r="139" spans="1:5" x14ac:dyDescent="0.35">
      <c r="A139" t="s">
        <v>2148</v>
      </c>
      <c r="B139" t="s">
        <v>2956</v>
      </c>
      <c r="C139" s="27">
        <v>45840</v>
      </c>
      <c r="D139" s="26" t="s">
        <v>2468</v>
      </c>
      <c r="E139" s="26" t="s">
        <v>2460</v>
      </c>
    </row>
    <row r="140" spans="1:5" x14ac:dyDescent="0.35">
      <c r="A140" t="s">
        <v>2149</v>
      </c>
      <c r="B140" t="s">
        <v>2956</v>
      </c>
      <c r="C140" s="27">
        <v>45916</v>
      </c>
      <c r="D140" s="26" t="s">
        <v>2468</v>
      </c>
      <c r="E140" s="26" t="s">
        <v>2458</v>
      </c>
    </row>
    <row r="141" spans="1:5" x14ac:dyDescent="0.35">
      <c r="A141" t="s">
        <v>2150</v>
      </c>
      <c r="B141" t="s">
        <v>2957</v>
      </c>
      <c r="C141" s="27">
        <v>45787</v>
      </c>
      <c r="D141" s="26" t="s">
        <v>2474</v>
      </c>
      <c r="E141" s="26" t="s">
        <v>2459</v>
      </c>
    </row>
    <row r="142" spans="1:5" x14ac:dyDescent="0.35">
      <c r="A142" t="s">
        <v>2151</v>
      </c>
      <c r="B142" t="s">
        <v>2956</v>
      </c>
      <c r="C142" s="27">
        <v>45334</v>
      </c>
      <c r="D142" s="26" t="s">
        <v>2464</v>
      </c>
      <c r="E142" s="26" t="s">
        <v>2458</v>
      </c>
    </row>
    <row r="143" spans="1:5" x14ac:dyDescent="0.35">
      <c r="A143" t="s">
        <v>2152</v>
      </c>
      <c r="B143" t="s">
        <v>2956</v>
      </c>
      <c r="C143" s="27">
        <v>45958</v>
      </c>
      <c r="D143" s="26" t="s">
        <v>2471</v>
      </c>
      <c r="E143" s="26" t="s">
        <v>2461</v>
      </c>
    </row>
    <row r="144" spans="1:5" x14ac:dyDescent="0.35">
      <c r="A144" t="s">
        <v>2153</v>
      </c>
      <c r="B144" t="s">
        <v>2956</v>
      </c>
      <c r="C144" s="27">
        <v>45445</v>
      </c>
      <c r="D144" s="26" t="s">
        <v>2471</v>
      </c>
      <c r="E144" s="26" t="s">
        <v>2461</v>
      </c>
    </row>
    <row r="145" spans="1:5" x14ac:dyDescent="0.35">
      <c r="A145" t="s">
        <v>2154</v>
      </c>
      <c r="B145" t="s">
        <v>2956</v>
      </c>
      <c r="C145" s="27">
        <v>45349</v>
      </c>
      <c r="D145" s="26" t="s">
        <v>2471</v>
      </c>
      <c r="E145" s="26" t="s">
        <v>2461</v>
      </c>
    </row>
    <row r="146" spans="1:5" x14ac:dyDescent="0.35">
      <c r="A146" t="s">
        <v>2155</v>
      </c>
      <c r="B146" t="s">
        <v>2957</v>
      </c>
      <c r="C146" s="27">
        <v>45358</v>
      </c>
      <c r="D146" s="26" t="s">
        <v>2474</v>
      </c>
      <c r="E146" s="26" t="s">
        <v>2461</v>
      </c>
    </row>
    <row r="147" spans="1:5" x14ac:dyDescent="0.35">
      <c r="A147" t="s">
        <v>2156</v>
      </c>
      <c r="B147" t="s">
        <v>2956</v>
      </c>
      <c r="C147" s="27">
        <v>45404</v>
      </c>
      <c r="D147" s="26" t="s">
        <v>2468</v>
      </c>
      <c r="E147" s="26" t="s">
        <v>2460</v>
      </c>
    </row>
    <row r="148" spans="1:5" x14ac:dyDescent="0.35">
      <c r="A148" t="s">
        <v>2157</v>
      </c>
      <c r="B148" t="s">
        <v>2956</v>
      </c>
      <c r="C148" s="27">
        <v>45595</v>
      </c>
      <c r="D148" s="26" t="s">
        <v>2471</v>
      </c>
      <c r="E148" s="26" t="s">
        <v>2458</v>
      </c>
    </row>
    <row r="149" spans="1:5" x14ac:dyDescent="0.35">
      <c r="A149" t="s">
        <v>2158</v>
      </c>
      <c r="B149" t="s">
        <v>2957</v>
      </c>
      <c r="C149" s="27">
        <v>45374</v>
      </c>
      <c r="D149" s="26" t="s">
        <v>2464</v>
      </c>
      <c r="E149" s="26" t="s">
        <v>2459</v>
      </c>
    </row>
    <row r="150" spans="1:5" x14ac:dyDescent="0.35">
      <c r="A150" t="s">
        <v>2159</v>
      </c>
      <c r="B150" t="s">
        <v>2957</v>
      </c>
      <c r="C150" s="27">
        <v>45511</v>
      </c>
      <c r="D150" s="26" t="s">
        <v>2468</v>
      </c>
      <c r="E150" s="26" t="s">
        <v>2457</v>
      </c>
    </row>
    <row r="151" spans="1:5" x14ac:dyDescent="0.35">
      <c r="A151" t="s">
        <v>2160</v>
      </c>
      <c r="B151" t="s">
        <v>2957</v>
      </c>
      <c r="C151" s="27">
        <v>45476</v>
      </c>
      <c r="D151" s="26" t="s">
        <v>2474</v>
      </c>
      <c r="E151" s="26" t="s">
        <v>2458</v>
      </c>
    </row>
    <row r="152" spans="1:5" x14ac:dyDescent="0.35">
      <c r="A152" t="s">
        <v>2161</v>
      </c>
      <c r="B152" t="s">
        <v>2957</v>
      </c>
      <c r="C152" s="27">
        <v>45963</v>
      </c>
      <c r="D152" s="26" t="s">
        <v>2474</v>
      </c>
      <c r="E152" s="26" t="s">
        <v>2459</v>
      </c>
    </row>
    <row r="153" spans="1:5" x14ac:dyDescent="0.35">
      <c r="A153" t="s">
        <v>2162</v>
      </c>
      <c r="B153" t="s">
        <v>2957</v>
      </c>
      <c r="C153" s="27">
        <v>45940</v>
      </c>
      <c r="D153" s="26" t="s">
        <v>2464</v>
      </c>
      <c r="E153" s="26" t="s">
        <v>2459</v>
      </c>
    </row>
    <row r="154" spans="1:5" x14ac:dyDescent="0.35">
      <c r="A154" t="s">
        <v>2163</v>
      </c>
      <c r="B154" t="s">
        <v>2956</v>
      </c>
      <c r="C154" s="27">
        <v>45698</v>
      </c>
      <c r="D154" s="26" t="s">
        <v>2464</v>
      </c>
      <c r="E154" s="26" t="s">
        <v>2460</v>
      </c>
    </row>
    <row r="155" spans="1:5" x14ac:dyDescent="0.35">
      <c r="A155" t="s">
        <v>2164</v>
      </c>
      <c r="B155" t="s">
        <v>2956</v>
      </c>
      <c r="C155" s="27">
        <v>45912</v>
      </c>
      <c r="D155" s="26" t="s">
        <v>2462</v>
      </c>
      <c r="E155" s="26" t="s">
        <v>2460</v>
      </c>
    </row>
    <row r="156" spans="1:5" x14ac:dyDescent="0.35">
      <c r="A156" t="s">
        <v>2165</v>
      </c>
      <c r="B156" t="s">
        <v>2957</v>
      </c>
      <c r="C156" s="27">
        <v>45886</v>
      </c>
      <c r="D156" s="26" t="s">
        <v>2471</v>
      </c>
      <c r="E156" s="26" t="s">
        <v>2458</v>
      </c>
    </row>
    <row r="157" spans="1:5" x14ac:dyDescent="0.35">
      <c r="A157" t="s">
        <v>2166</v>
      </c>
      <c r="B157" t="s">
        <v>2957</v>
      </c>
      <c r="C157" s="27">
        <v>45970</v>
      </c>
      <c r="D157" s="26" t="s">
        <v>2474</v>
      </c>
      <c r="E157" s="26" t="s">
        <v>2459</v>
      </c>
    </row>
    <row r="158" spans="1:5" x14ac:dyDescent="0.35">
      <c r="A158" t="s">
        <v>2167</v>
      </c>
      <c r="B158" t="s">
        <v>2958</v>
      </c>
      <c r="C158" s="27">
        <v>45528</v>
      </c>
      <c r="D158" s="26" t="s">
        <v>2468</v>
      </c>
      <c r="E158" s="26" t="s">
        <v>2460</v>
      </c>
    </row>
    <row r="159" spans="1:5" x14ac:dyDescent="0.35">
      <c r="A159" t="s">
        <v>2168</v>
      </c>
      <c r="B159" t="s">
        <v>2957</v>
      </c>
      <c r="C159" s="27">
        <v>45558</v>
      </c>
      <c r="D159" s="26" t="s">
        <v>2471</v>
      </c>
      <c r="E159" s="26" t="s">
        <v>2459</v>
      </c>
    </row>
    <row r="160" spans="1:5" x14ac:dyDescent="0.35">
      <c r="A160" t="s">
        <v>2169</v>
      </c>
      <c r="B160" t="s">
        <v>2957</v>
      </c>
      <c r="C160" s="27">
        <v>45571</v>
      </c>
      <c r="D160" s="26" t="s">
        <v>2468</v>
      </c>
      <c r="E160" s="26" t="s">
        <v>2458</v>
      </c>
    </row>
    <row r="161" spans="1:5" x14ac:dyDescent="0.35">
      <c r="A161" t="s">
        <v>2170</v>
      </c>
      <c r="B161" t="s">
        <v>2956</v>
      </c>
      <c r="C161" s="27">
        <v>45737</v>
      </c>
      <c r="D161" s="26" t="s">
        <v>2471</v>
      </c>
      <c r="E161" s="26" t="s">
        <v>2459</v>
      </c>
    </row>
    <row r="162" spans="1:5" x14ac:dyDescent="0.35">
      <c r="A162" t="s">
        <v>2171</v>
      </c>
      <c r="B162" t="s">
        <v>2956</v>
      </c>
      <c r="C162" s="27">
        <v>45629</v>
      </c>
      <c r="D162" s="26" t="s">
        <v>2462</v>
      </c>
      <c r="E162" s="26" t="s">
        <v>2459</v>
      </c>
    </row>
    <row r="163" spans="1:5" x14ac:dyDescent="0.35">
      <c r="A163" t="s">
        <v>2172</v>
      </c>
      <c r="B163" t="s">
        <v>2956</v>
      </c>
      <c r="C163" s="27">
        <v>45453</v>
      </c>
      <c r="D163" s="26" t="s">
        <v>2474</v>
      </c>
      <c r="E163" s="26" t="s">
        <v>2459</v>
      </c>
    </row>
    <row r="164" spans="1:5" x14ac:dyDescent="0.35">
      <c r="A164" t="s">
        <v>2173</v>
      </c>
      <c r="B164" t="s">
        <v>2957</v>
      </c>
      <c r="C164" s="27">
        <v>45609</v>
      </c>
      <c r="D164" s="26" t="s">
        <v>2464</v>
      </c>
      <c r="E164" s="26" t="s">
        <v>2460</v>
      </c>
    </row>
    <row r="165" spans="1:5" x14ac:dyDescent="0.35">
      <c r="A165" t="s">
        <v>2174</v>
      </c>
      <c r="B165" t="s">
        <v>2957</v>
      </c>
      <c r="C165" s="27">
        <v>45634</v>
      </c>
      <c r="D165" s="26" t="s">
        <v>2464</v>
      </c>
      <c r="E165" s="26" t="s">
        <v>2459</v>
      </c>
    </row>
    <row r="166" spans="1:5" x14ac:dyDescent="0.35">
      <c r="A166" t="s">
        <v>2175</v>
      </c>
      <c r="B166" t="s">
        <v>2956</v>
      </c>
      <c r="C166" s="27">
        <v>45921</v>
      </c>
      <c r="D166" s="26" t="s">
        <v>2462</v>
      </c>
      <c r="E166" s="26" t="s">
        <v>2457</v>
      </c>
    </row>
    <row r="167" spans="1:5" x14ac:dyDescent="0.35">
      <c r="A167" t="s">
        <v>2176</v>
      </c>
      <c r="B167" t="s">
        <v>2957</v>
      </c>
      <c r="C167" s="27">
        <v>45312</v>
      </c>
      <c r="D167" s="26" t="s">
        <v>2474</v>
      </c>
      <c r="E167" s="26" t="s">
        <v>2461</v>
      </c>
    </row>
    <row r="168" spans="1:5" x14ac:dyDescent="0.35">
      <c r="A168" t="s">
        <v>2177</v>
      </c>
      <c r="B168" t="s">
        <v>2956</v>
      </c>
      <c r="C168" s="27">
        <v>45520</v>
      </c>
      <c r="D168" s="26" t="s">
        <v>2468</v>
      </c>
      <c r="E168" s="26" t="s">
        <v>2457</v>
      </c>
    </row>
    <row r="169" spans="1:5" x14ac:dyDescent="0.35">
      <c r="A169" t="s">
        <v>2178</v>
      </c>
      <c r="B169" t="s">
        <v>2957</v>
      </c>
      <c r="C169" s="27">
        <v>45816</v>
      </c>
      <c r="D169" s="26" t="s">
        <v>2462</v>
      </c>
      <c r="E169" s="26" t="s">
        <v>2457</v>
      </c>
    </row>
    <row r="170" spans="1:5" x14ac:dyDescent="0.35">
      <c r="A170" t="s">
        <v>2179</v>
      </c>
      <c r="B170" t="s">
        <v>2957</v>
      </c>
      <c r="C170" s="27">
        <v>45693</v>
      </c>
      <c r="D170" s="26" t="s">
        <v>2474</v>
      </c>
      <c r="E170" s="26" t="s">
        <v>2460</v>
      </c>
    </row>
    <row r="171" spans="1:5" x14ac:dyDescent="0.35">
      <c r="A171" t="s">
        <v>2180</v>
      </c>
      <c r="B171" t="s">
        <v>2957</v>
      </c>
      <c r="C171" s="27">
        <v>45649</v>
      </c>
      <c r="D171" s="26" t="s">
        <v>2464</v>
      </c>
      <c r="E171" s="26" t="s">
        <v>2461</v>
      </c>
    </row>
    <row r="172" spans="1:5" x14ac:dyDescent="0.35">
      <c r="A172" t="s">
        <v>2181</v>
      </c>
      <c r="B172" t="s">
        <v>2956</v>
      </c>
      <c r="C172" s="27">
        <v>45500</v>
      </c>
      <c r="D172" s="26" t="s">
        <v>2468</v>
      </c>
      <c r="E172" s="26" t="s">
        <v>2459</v>
      </c>
    </row>
    <row r="173" spans="1:5" x14ac:dyDescent="0.35">
      <c r="A173" t="s">
        <v>2182</v>
      </c>
      <c r="B173" t="s">
        <v>2957</v>
      </c>
      <c r="C173" s="27">
        <v>45681</v>
      </c>
      <c r="D173" s="26" t="s">
        <v>2462</v>
      </c>
      <c r="E173" s="26" t="s">
        <v>2457</v>
      </c>
    </row>
    <row r="174" spans="1:5" x14ac:dyDescent="0.35">
      <c r="A174" t="s">
        <v>2183</v>
      </c>
      <c r="B174" t="s">
        <v>2957</v>
      </c>
      <c r="C174" s="27">
        <v>45810</v>
      </c>
      <c r="D174" s="26" t="s">
        <v>2464</v>
      </c>
      <c r="E174" s="26" t="s">
        <v>2457</v>
      </c>
    </row>
    <row r="175" spans="1:5" x14ac:dyDescent="0.35">
      <c r="A175" t="s">
        <v>2184</v>
      </c>
      <c r="B175" t="s">
        <v>2957</v>
      </c>
      <c r="C175" s="27">
        <v>45662</v>
      </c>
      <c r="D175" s="26" t="s">
        <v>2462</v>
      </c>
      <c r="E175" s="26" t="s">
        <v>2461</v>
      </c>
    </row>
    <row r="176" spans="1:5" x14ac:dyDescent="0.35">
      <c r="A176" t="s">
        <v>2185</v>
      </c>
      <c r="B176" t="s">
        <v>2957</v>
      </c>
      <c r="C176" s="27">
        <v>45830</v>
      </c>
      <c r="D176" s="26" t="s">
        <v>2464</v>
      </c>
      <c r="E176" s="26" t="s">
        <v>2461</v>
      </c>
    </row>
    <row r="177" spans="1:5" x14ac:dyDescent="0.35">
      <c r="A177" t="s">
        <v>2186</v>
      </c>
      <c r="B177" t="s">
        <v>2957</v>
      </c>
      <c r="C177" s="27">
        <v>45579</v>
      </c>
      <c r="D177" s="26" t="s">
        <v>2471</v>
      </c>
      <c r="E177" s="26" t="s">
        <v>2457</v>
      </c>
    </row>
    <row r="178" spans="1:5" x14ac:dyDescent="0.35">
      <c r="A178" t="s">
        <v>2187</v>
      </c>
      <c r="B178" t="s">
        <v>2957</v>
      </c>
      <c r="C178" s="27">
        <v>46002</v>
      </c>
      <c r="D178" s="26" t="s">
        <v>2462</v>
      </c>
      <c r="E178" s="26" t="s">
        <v>2457</v>
      </c>
    </row>
    <row r="179" spans="1:5" x14ac:dyDescent="0.35">
      <c r="A179" t="s">
        <v>2188</v>
      </c>
      <c r="B179" t="s">
        <v>2957</v>
      </c>
      <c r="C179" s="27">
        <v>45916</v>
      </c>
      <c r="D179" s="26" t="s">
        <v>2462</v>
      </c>
      <c r="E179" s="26" t="s">
        <v>2457</v>
      </c>
    </row>
    <row r="180" spans="1:5" x14ac:dyDescent="0.35">
      <c r="A180" t="s">
        <v>2189</v>
      </c>
      <c r="B180" t="s">
        <v>2957</v>
      </c>
      <c r="C180" s="27">
        <v>45691</v>
      </c>
      <c r="D180" s="26" t="s">
        <v>2471</v>
      </c>
      <c r="E180" s="26" t="s">
        <v>2461</v>
      </c>
    </row>
    <row r="181" spans="1:5" x14ac:dyDescent="0.35">
      <c r="A181" t="s">
        <v>2190</v>
      </c>
      <c r="B181" t="s">
        <v>2957</v>
      </c>
      <c r="C181" s="27">
        <v>45428</v>
      </c>
      <c r="D181" s="26" t="s">
        <v>2464</v>
      </c>
      <c r="E181" s="26" t="s">
        <v>2458</v>
      </c>
    </row>
    <row r="182" spans="1:5" x14ac:dyDescent="0.35">
      <c r="A182" t="s">
        <v>2191</v>
      </c>
      <c r="B182" t="s">
        <v>2957</v>
      </c>
      <c r="C182" s="27">
        <v>45483</v>
      </c>
      <c r="D182" s="26" t="s">
        <v>2474</v>
      </c>
      <c r="E182" s="26" t="s">
        <v>2460</v>
      </c>
    </row>
    <row r="183" spans="1:5" x14ac:dyDescent="0.35">
      <c r="A183" t="s">
        <v>2192</v>
      </c>
      <c r="B183" t="s">
        <v>2957</v>
      </c>
      <c r="C183" s="27">
        <v>45661</v>
      </c>
      <c r="D183" s="26" t="s">
        <v>2474</v>
      </c>
      <c r="E183" s="26" t="s">
        <v>2457</v>
      </c>
    </row>
    <row r="184" spans="1:5" x14ac:dyDescent="0.35">
      <c r="A184" t="s">
        <v>2193</v>
      </c>
      <c r="B184" t="s">
        <v>2957</v>
      </c>
      <c r="C184" s="27">
        <v>45552</v>
      </c>
      <c r="D184" s="26" t="s">
        <v>2462</v>
      </c>
      <c r="E184" s="26" t="s">
        <v>2460</v>
      </c>
    </row>
    <row r="185" spans="1:5" x14ac:dyDescent="0.35">
      <c r="A185" t="s">
        <v>2194</v>
      </c>
      <c r="B185" t="s">
        <v>2958</v>
      </c>
      <c r="C185" s="27">
        <v>45645</v>
      </c>
      <c r="D185" s="26" t="s">
        <v>2471</v>
      </c>
      <c r="E185" s="26" t="s">
        <v>2457</v>
      </c>
    </row>
    <row r="186" spans="1:5" x14ac:dyDescent="0.35">
      <c r="A186" t="s">
        <v>2195</v>
      </c>
      <c r="B186" t="s">
        <v>2957</v>
      </c>
      <c r="C186" s="27">
        <v>45588</v>
      </c>
      <c r="D186" s="26" t="s">
        <v>2474</v>
      </c>
      <c r="E186" s="26" t="s">
        <v>2457</v>
      </c>
    </row>
    <row r="187" spans="1:5" x14ac:dyDescent="0.35">
      <c r="A187" t="s">
        <v>2196</v>
      </c>
      <c r="B187" t="s">
        <v>2957</v>
      </c>
      <c r="C187" s="27">
        <v>45740</v>
      </c>
      <c r="D187" s="26" t="s">
        <v>2468</v>
      </c>
      <c r="E187" s="26" t="s">
        <v>2457</v>
      </c>
    </row>
    <row r="188" spans="1:5" x14ac:dyDescent="0.35">
      <c r="A188" t="s">
        <v>2197</v>
      </c>
      <c r="B188" t="s">
        <v>2958</v>
      </c>
      <c r="C188" s="27">
        <v>45854</v>
      </c>
      <c r="D188" s="26" t="s">
        <v>2464</v>
      </c>
      <c r="E188" s="26" t="s">
        <v>2459</v>
      </c>
    </row>
    <row r="189" spans="1:5" x14ac:dyDescent="0.35">
      <c r="A189" t="s">
        <v>2198</v>
      </c>
      <c r="B189" t="s">
        <v>2957</v>
      </c>
      <c r="C189" s="27">
        <v>45704</v>
      </c>
      <c r="D189" s="26" t="s">
        <v>2464</v>
      </c>
      <c r="E189" s="26" t="s">
        <v>2459</v>
      </c>
    </row>
    <row r="190" spans="1:5" x14ac:dyDescent="0.35">
      <c r="A190" t="s">
        <v>2199</v>
      </c>
      <c r="B190" t="s">
        <v>2957</v>
      </c>
      <c r="C190" s="27">
        <v>45413</v>
      </c>
      <c r="D190" s="26" t="s">
        <v>2462</v>
      </c>
      <c r="E190" s="26" t="s">
        <v>2460</v>
      </c>
    </row>
    <row r="191" spans="1:5" x14ac:dyDescent="0.35">
      <c r="A191" t="s">
        <v>2200</v>
      </c>
      <c r="B191" t="s">
        <v>2957</v>
      </c>
      <c r="C191" s="27">
        <v>45499</v>
      </c>
      <c r="D191" s="26" t="s">
        <v>2468</v>
      </c>
      <c r="E191" s="26" t="s">
        <v>2459</v>
      </c>
    </row>
    <row r="192" spans="1:5" x14ac:dyDescent="0.35">
      <c r="A192" t="s">
        <v>2201</v>
      </c>
      <c r="B192" t="s">
        <v>2957</v>
      </c>
      <c r="C192" s="27">
        <v>45947</v>
      </c>
      <c r="D192" s="26" t="s">
        <v>2462</v>
      </c>
      <c r="E192" s="26" t="s">
        <v>2460</v>
      </c>
    </row>
    <row r="193" spans="1:5" x14ac:dyDescent="0.35">
      <c r="A193" t="s">
        <v>2202</v>
      </c>
      <c r="B193" t="s">
        <v>2957</v>
      </c>
      <c r="C193" s="27">
        <v>45393</v>
      </c>
      <c r="D193" s="26" t="s">
        <v>2462</v>
      </c>
      <c r="E193" s="26" t="s">
        <v>2460</v>
      </c>
    </row>
    <row r="194" spans="1:5" x14ac:dyDescent="0.35">
      <c r="A194" t="s">
        <v>2203</v>
      </c>
      <c r="B194" t="s">
        <v>2956</v>
      </c>
      <c r="C194" s="27">
        <v>45911</v>
      </c>
      <c r="D194" s="26" t="s">
        <v>2474</v>
      </c>
      <c r="E194" s="26" t="s">
        <v>2458</v>
      </c>
    </row>
    <row r="195" spans="1:5" x14ac:dyDescent="0.35">
      <c r="A195" t="s">
        <v>2204</v>
      </c>
      <c r="B195" t="s">
        <v>2956</v>
      </c>
      <c r="C195" s="27">
        <v>45445</v>
      </c>
      <c r="D195" s="26" t="s">
        <v>2468</v>
      </c>
      <c r="E195" s="26" t="s">
        <v>2460</v>
      </c>
    </row>
    <row r="196" spans="1:5" x14ac:dyDescent="0.35">
      <c r="A196" t="s">
        <v>2205</v>
      </c>
      <c r="B196" t="s">
        <v>2957</v>
      </c>
      <c r="C196" s="27">
        <v>45661</v>
      </c>
      <c r="D196" s="26" t="s">
        <v>2468</v>
      </c>
      <c r="E196" s="26" t="s">
        <v>2457</v>
      </c>
    </row>
    <row r="197" spans="1:5" x14ac:dyDescent="0.35">
      <c r="A197" t="s">
        <v>2206</v>
      </c>
      <c r="B197" t="s">
        <v>2957</v>
      </c>
      <c r="C197" s="27">
        <v>45814</v>
      </c>
      <c r="D197" s="26" t="s">
        <v>2474</v>
      </c>
      <c r="E197" s="26" t="s">
        <v>2458</v>
      </c>
    </row>
    <row r="198" spans="1:5" x14ac:dyDescent="0.35">
      <c r="A198" t="s">
        <v>2207</v>
      </c>
      <c r="B198" t="s">
        <v>2956</v>
      </c>
      <c r="C198" s="27">
        <v>45736</v>
      </c>
      <c r="D198" s="26" t="s">
        <v>2471</v>
      </c>
      <c r="E198" s="26" t="s">
        <v>2460</v>
      </c>
    </row>
    <row r="199" spans="1:5" x14ac:dyDescent="0.35">
      <c r="A199" t="s">
        <v>2208</v>
      </c>
      <c r="B199" t="s">
        <v>2957</v>
      </c>
      <c r="C199" s="27">
        <v>45505</v>
      </c>
      <c r="D199" s="26" t="s">
        <v>2462</v>
      </c>
      <c r="E199" s="26" t="s">
        <v>2460</v>
      </c>
    </row>
    <row r="200" spans="1:5" x14ac:dyDescent="0.35">
      <c r="A200" t="s">
        <v>2209</v>
      </c>
      <c r="B200" t="s">
        <v>2956</v>
      </c>
      <c r="C200" s="27">
        <v>45673</v>
      </c>
      <c r="D200" s="26" t="s">
        <v>2462</v>
      </c>
      <c r="E200" s="26" t="s">
        <v>2458</v>
      </c>
    </row>
    <row r="201" spans="1:5" x14ac:dyDescent="0.35">
      <c r="A201" t="s">
        <v>2210</v>
      </c>
      <c r="B201" t="s">
        <v>2958</v>
      </c>
      <c r="C201" s="27">
        <v>45960</v>
      </c>
      <c r="D201" s="26" t="s">
        <v>2471</v>
      </c>
      <c r="E201" s="26" t="s">
        <v>2457</v>
      </c>
    </row>
    <row r="202" spans="1:5" x14ac:dyDescent="0.35">
      <c r="A202" t="s">
        <v>2211</v>
      </c>
      <c r="B202" t="s">
        <v>2956</v>
      </c>
      <c r="C202" s="27">
        <v>45540</v>
      </c>
      <c r="D202" s="26" t="s">
        <v>2471</v>
      </c>
      <c r="E202" s="26" t="s">
        <v>2457</v>
      </c>
    </row>
    <row r="203" spans="1:5" x14ac:dyDescent="0.35">
      <c r="A203" t="s">
        <v>2212</v>
      </c>
      <c r="B203" t="s">
        <v>2957</v>
      </c>
      <c r="C203" s="27">
        <v>45449</v>
      </c>
      <c r="D203" s="26" t="s">
        <v>2462</v>
      </c>
      <c r="E203" s="26" t="s">
        <v>2460</v>
      </c>
    </row>
    <row r="204" spans="1:5" x14ac:dyDescent="0.35">
      <c r="A204" t="s">
        <v>2213</v>
      </c>
      <c r="B204" t="s">
        <v>2957</v>
      </c>
      <c r="C204" s="27">
        <v>45724</v>
      </c>
      <c r="D204" s="26" t="s">
        <v>2462</v>
      </c>
      <c r="E204" s="26" t="s">
        <v>2457</v>
      </c>
    </row>
    <row r="205" spans="1:5" x14ac:dyDescent="0.35">
      <c r="A205" t="s">
        <v>2214</v>
      </c>
      <c r="B205" t="s">
        <v>2957</v>
      </c>
      <c r="C205" s="27">
        <v>45791</v>
      </c>
      <c r="D205" s="26" t="s">
        <v>2462</v>
      </c>
      <c r="E205" s="26" t="s">
        <v>2457</v>
      </c>
    </row>
    <row r="206" spans="1:5" x14ac:dyDescent="0.35">
      <c r="A206" t="s">
        <v>2215</v>
      </c>
      <c r="B206" t="s">
        <v>2957</v>
      </c>
      <c r="C206" s="27">
        <v>45945</v>
      </c>
      <c r="D206" s="26" t="s">
        <v>2464</v>
      </c>
      <c r="E206" s="26" t="s">
        <v>2459</v>
      </c>
    </row>
    <row r="207" spans="1:5" x14ac:dyDescent="0.35">
      <c r="A207" t="s">
        <v>2216</v>
      </c>
      <c r="B207" t="s">
        <v>2957</v>
      </c>
      <c r="C207" s="27">
        <v>45873</v>
      </c>
      <c r="D207" s="26" t="s">
        <v>2474</v>
      </c>
      <c r="E207" s="26" t="s">
        <v>2458</v>
      </c>
    </row>
    <row r="208" spans="1:5" x14ac:dyDescent="0.35">
      <c r="A208" t="s">
        <v>2217</v>
      </c>
      <c r="B208" t="s">
        <v>2956</v>
      </c>
      <c r="C208" s="27">
        <v>45368</v>
      </c>
      <c r="D208" s="26" t="s">
        <v>2471</v>
      </c>
      <c r="E208" s="26" t="s">
        <v>2458</v>
      </c>
    </row>
    <row r="209" spans="1:5" x14ac:dyDescent="0.35">
      <c r="A209" t="s">
        <v>2218</v>
      </c>
      <c r="B209" t="s">
        <v>2956</v>
      </c>
      <c r="C209" s="27">
        <v>45621</v>
      </c>
      <c r="D209" s="26" t="s">
        <v>2474</v>
      </c>
      <c r="E209" s="26" t="s">
        <v>2457</v>
      </c>
    </row>
    <row r="210" spans="1:5" x14ac:dyDescent="0.35">
      <c r="A210" t="s">
        <v>2219</v>
      </c>
      <c r="B210" t="s">
        <v>2956</v>
      </c>
      <c r="C210" s="27">
        <v>45626</v>
      </c>
      <c r="D210" s="26" t="s">
        <v>2464</v>
      </c>
      <c r="E210" s="26" t="s">
        <v>2460</v>
      </c>
    </row>
    <row r="211" spans="1:5" x14ac:dyDescent="0.35">
      <c r="A211" t="s">
        <v>2220</v>
      </c>
      <c r="B211" t="s">
        <v>2957</v>
      </c>
      <c r="C211" s="27">
        <v>45889</v>
      </c>
      <c r="D211" s="26" t="s">
        <v>2468</v>
      </c>
      <c r="E211" s="26" t="s">
        <v>2457</v>
      </c>
    </row>
    <row r="212" spans="1:5" x14ac:dyDescent="0.35">
      <c r="A212" t="s">
        <v>2221</v>
      </c>
      <c r="B212" t="s">
        <v>2957</v>
      </c>
      <c r="C212" s="27">
        <v>45520</v>
      </c>
      <c r="D212" s="26" t="s">
        <v>2474</v>
      </c>
      <c r="E212" s="26" t="s">
        <v>2458</v>
      </c>
    </row>
    <row r="213" spans="1:5" x14ac:dyDescent="0.35">
      <c r="A213" t="s">
        <v>2222</v>
      </c>
      <c r="B213" t="s">
        <v>2957</v>
      </c>
      <c r="C213" s="27">
        <v>45317</v>
      </c>
      <c r="D213" s="26" t="s">
        <v>2462</v>
      </c>
      <c r="E213" s="26" t="s">
        <v>2459</v>
      </c>
    </row>
    <row r="214" spans="1:5" x14ac:dyDescent="0.35">
      <c r="A214" t="s">
        <v>2223</v>
      </c>
      <c r="B214" t="s">
        <v>2956</v>
      </c>
      <c r="C214" s="27">
        <v>45496</v>
      </c>
      <c r="D214" s="26" t="s">
        <v>2464</v>
      </c>
      <c r="E214" s="26" t="s">
        <v>2458</v>
      </c>
    </row>
    <row r="215" spans="1:5" x14ac:dyDescent="0.35">
      <c r="A215" t="s">
        <v>2224</v>
      </c>
      <c r="B215" t="s">
        <v>2957</v>
      </c>
      <c r="C215" s="27">
        <v>45831</v>
      </c>
      <c r="D215" s="26" t="s">
        <v>2464</v>
      </c>
      <c r="E215" s="26" t="s">
        <v>2460</v>
      </c>
    </row>
    <row r="216" spans="1:5" x14ac:dyDescent="0.35">
      <c r="A216" t="s">
        <v>2225</v>
      </c>
      <c r="B216" t="s">
        <v>2956</v>
      </c>
      <c r="C216" s="27">
        <v>45516</v>
      </c>
      <c r="D216" s="26" t="s">
        <v>2468</v>
      </c>
      <c r="E216" s="26" t="s">
        <v>2458</v>
      </c>
    </row>
    <row r="217" spans="1:5" x14ac:dyDescent="0.35">
      <c r="A217" t="s">
        <v>2226</v>
      </c>
      <c r="B217" t="s">
        <v>2957</v>
      </c>
      <c r="C217" s="27">
        <v>45595</v>
      </c>
      <c r="D217" s="26" t="s">
        <v>2471</v>
      </c>
      <c r="E217" s="26" t="s">
        <v>2457</v>
      </c>
    </row>
    <row r="218" spans="1:5" x14ac:dyDescent="0.35">
      <c r="A218" t="s">
        <v>2227</v>
      </c>
      <c r="B218" t="s">
        <v>2956</v>
      </c>
      <c r="C218" s="27">
        <v>45635</v>
      </c>
      <c r="D218" s="26" t="s">
        <v>2474</v>
      </c>
      <c r="E218" s="26" t="s">
        <v>2457</v>
      </c>
    </row>
    <row r="219" spans="1:5" x14ac:dyDescent="0.35">
      <c r="A219" t="s">
        <v>2228</v>
      </c>
      <c r="B219" t="s">
        <v>2956</v>
      </c>
      <c r="C219" s="27">
        <v>45813</v>
      </c>
      <c r="D219" s="26" t="s">
        <v>2464</v>
      </c>
      <c r="E219" s="26" t="s">
        <v>2458</v>
      </c>
    </row>
    <row r="220" spans="1:5" x14ac:dyDescent="0.35">
      <c r="A220" t="s">
        <v>2229</v>
      </c>
      <c r="B220" t="s">
        <v>2956</v>
      </c>
      <c r="C220" s="27">
        <v>45990</v>
      </c>
      <c r="D220" s="26" t="s">
        <v>2474</v>
      </c>
      <c r="E220" s="26" t="s">
        <v>2460</v>
      </c>
    </row>
    <row r="221" spans="1:5" x14ac:dyDescent="0.35">
      <c r="A221" t="s">
        <v>2230</v>
      </c>
      <c r="B221" t="s">
        <v>2957</v>
      </c>
      <c r="C221" s="27">
        <v>45721</v>
      </c>
      <c r="D221" s="26" t="s">
        <v>2474</v>
      </c>
      <c r="E221" s="26" t="s">
        <v>2457</v>
      </c>
    </row>
    <row r="222" spans="1:5" x14ac:dyDescent="0.35">
      <c r="A222" t="s">
        <v>2231</v>
      </c>
      <c r="B222" t="s">
        <v>2957</v>
      </c>
      <c r="C222" s="27">
        <v>45294</v>
      </c>
      <c r="D222" s="26" t="s">
        <v>2471</v>
      </c>
      <c r="E222" s="26" t="s">
        <v>2461</v>
      </c>
    </row>
    <row r="223" spans="1:5" x14ac:dyDescent="0.35">
      <c r="A223" t="s">
        <v>2232</v>
      </c>
      <c r="B223" t="s">
        <v>2957</v>
      </c>
      <c r="C223" s="27">
        <v>45553</v>
      </c>
      <c r="D223" s="26" t="s">
        <v>2462</v>
      </c>
      <c r="E223" s="26" t="s">
        <v>2460</v>
      </c>
    </row>
    <row r="224" spans="1:5" x14ac:dyDescent="0.35">
      <c r="A224" t="s">
        <v>2233</v>
      </c>
      <c r="B224" t="s">
        <v>2956</v>
      </c>
      <c r="C224" s="27">
        <v>45854</v>
      </c>
      <c r="D224" s="26" t="s">
        <v>2471</v>
      </c>
      <c r="E224" s="26" t="s">
        <v>2459</v>
      </c>
    </row>
    <row r="225" spans="1:5" x14ac:dyDescent="0.35">
      <c r="A225" t="s">
        <v>2234</v>
      </c>
      <c r="B225" t="s">
        <v>2957</v>
      </c>
      <c r="C225" s="27">
        <v>45774</v>
      </c>
      <c r="D225" s="26" t="s">
        <v>2471</v>
      </c>
      <c r="E225" s="26" t="s">
        <v>2457</v>
      </c>
    </row>
    <row r="226" spans="1:5" x14ac:dyDescent="0.35">
      <c r="A226" t="s">
        <v>2235</v>
      </c>
      <c r="B226" t="s">
        <v>2956</v>
      </c>
      <c r="C226" s="27">
        <v>45854</v>
      </c>
      <c r="D226" s="26" t="s">
        <v>2474</v>
      </c>
      <c r="E226" s="26" t="s">
        <v>2459</v>
      </c>
    </row>
    <row r="227" spans="1:5" x14ac:dyDescent="0.35">
      <c r="A227" t="s">
        <v>2236</v>
      </c>
      <c r="B227" t="s">
        <v>2957</v>
      </c>
      <c r="C227" s="27">
        <v>45536</v>
      </c>
      <c r="D227" s="26" t="s">
        <v>2471</v>
      </c>
      <c r="E227" s="26" t="s">
        <v>2457</v>
      </c>
    </row>
    <row r="228" spans="1:5" x14ac:dyDescent="0.35">
      <c r="A228" t="s">
        <v>2237</v>
      </c>
      <c r="B228" t="s">
        <v>2957</v>
      </c>
      <c r="C228" s="27">
        <v>45697</v>
      </c>
      <c r="D228" s="26" t="s">
        <v>2468</v>
      </c>
      <c r="E228" s="26" t="s">
        <v>2458</v>
      </c>
    </row>
    <row r="229" spans="1:5" x14ac:dyDescent="0.35">
      <c r="A229" t="s">
        <v>2238</v>
      </c>
      <c r="B229" t="s">
        <v>2957</v>
      </c>
      <c r="C229" s="27">
        <v>45698</v>
      </c>
      <c r="D229" s="26" t="s">
        <v>2471</v>
      </c>
      <c r="E229" s="26" t="s">
        <v>2460</v>
      </c>
    </row>
    <row r="230" spans="1:5" x14ac:dyDescent="0.35">
      <c r="A230" t="s">
        <v>2239</v>
      </c>
      <c r="B230" t="s">
        <v>2956</v>
      </c>
      <c r="C230" s="27">
        <v>45340</v>
      </c>
      <c r="D230" s="26" t="s">
        <v>2468</v>
      </c>
      <c r="E230" s="26" t="s">
        <v>2459</v>
      </c>
    </row>
    <row r="231" spans="1:5" x14ac:dyDescent="0.35">
      <c r="A231" t="s">
        <v>2240</v>
      </c>
      <c r="B231" t="s">
        <v>2957</v>
      </c>
      <c r="C231" s="27">
        <v>45904</v>
      </c>
      <c r="D231" s="26" t="s">
        <v>2471</v>
      </c>
      <c r="E231" s="26" t="s">
        <v>2457</v>
      </c>
    </row>
    <row r="232" spans="1:5" x14ac:dyDescent="0.35">
      <c r="A232" t="s">
        <v>2241</v>
      </c>
      <c r="B232" t="s">
        <v>2957</v>
      </c>
      <c r="C232" s="27">
        <v>45781</v>
      </c>
      <c r="D232" s="26" t="s">
        <v>2474</v>
      </c>
      <c r="E232" s="26" t="s">
        <v>2460</v>
      </c>
    </row>
    <row r="233" spans="1:5" x14ac:dyDescent="0.35">
      <c r="A233" t="s">
        <v>2242</v>
      </c>
      <c r="B233" t="s">
        <v>2957</v>
      </c>
      <c r="C233" s="27">
        <v>45704</v>
      </c>
      <c r="D233" s="26" t="s">
        <v>2471</v>
      </c>
      <c r="E233" s="26" t="s">
        <v>2460</v>
      </c>
    </row>
    <row r="234" spans="1:5" x14ac:dyDescent="0.35">
      <c r="A234" t="s">
        <v>2243</v>
      </c>
      <c r="B234" t="s">
        <v>2957</v>
      </c>
      <c r="C234" s="27">
        <v>45833</v>
      </c>
      <c r="D234" s="26" t="s">
        <v>2474</v>
      </c>
      <c r="E234" s="26" t="s">
        <v>2461</v>
      </c>
    </row>
    <row r="235" spans="1:5" x14ac:dyDescent="0.35">
      <c r="A235" t="s">
        <v>2244</v>
      </c>
      <c r="B235" t="s">
        <v>2957</v>
      </c>
      <c r="C235" s="27">
        <v>45821</v>
      </c>
      <c r="D235" s="26" t="s">
        <v>2464</v>
      </c>
      <c r="E235" s="26" t="s">
        <v>2458</v>
      </c>
    </row>
    <row r="236" spans="1:5" x14ac:dyDescent="0.35">
      <c r="A236" t="s">
        <v>2245</v>
      </c>
      <c r="B236" t="s">
        <v>2957</v>
      </c>
      <c r="C236" s="27">
        <v>45441</v>
      </c>
      <c r="D236" s="26" t="s">
        <v>2471</v>
      </c>
      <c r="E236" s="26" t="s">
        <v>2457</v>
      </c>
    </row>
    <row r="237" spans="1:5" x14ac:dyDescent="0.35">
      <c r="A237" t="s">
        <v>2246</v>
      </c>
      <c r="B237" t="s">
        <v>2957</v>
      </c>
      <c r="C237" s="27">
        <v>45884</v>
      </c>
      <c r="D237" s="26" t="s">
        <v>2468</v>
      </c>
      <c r="E237" s="26" t="s">
        <v>2460</v>
      </c>
    </row>
    <row r="238" spans="1:5" x14ac:dyDescent="0.35">
      <c r="A238" t="s">
        <v>2247</v>
      </c>
      <c r="B238" t="s">
        <v>2956</v>
      </c>
      <c r="C238" s="27">
        <v>45307</v>
      </c>
      <c r="D238" s="26" t="s">
        <v>2462</v>
      </c>
      <c r="E238" s="26" t="s">
        <v>2461</v>
      </c>
    </row>
    <row r="239" spans="1:5" x14ac:dyDescent="0.35">
      <c r="A239" t="s">
        <v>2248</v>
      </c>
      <c r="B239" t="s">
        <v>2957</v>
      </c>
      <c r="C239" s="27">
        <v>45956</v>
      </c>
      <c r="D239" s="26" t="s">
        <v>2474</v>
      </c>
      <c r="E239" s="26" t="s">
        <v>2460</v>
      </c>
    </row>
    <row r="240" spans="1:5" x14ac:dyDescent="0.35">
      <c r="A240" t="s">
        <v>2249</v>
      </c>
      <c r="B240" t="s">
        <v>2956</v>
      </c>
      <c r="C240" s="27">
        <v>45987</v>
      </c>
      <c r="D240" s="26" t="s">
        <v>2468</v>
      </c>
      <c r="E240" s="26" t="s">
        <v>2461</v>
      </c>
    </row>
    <row r="241" spans="1:5" x14ac:dyDescent="0.35">
      <c r="A241" t="s">
        <v>2250</v>
      </c>
      <c r="B241" t="s">
        <v>2957</v>
      </c>
      <c r="C241" s="27">
        <v>45670</v>
      </c>
      <c r="D241" s="26" t="s">
        <v>2471</v>
      </c>
      <c r="E241" s="26" t="s">
        <v>2460</v>
      </c>
    </row>
    <row r="242" spans="1:5" x14ac:dyDescent="0.35">
      <c r="A242" t="s">
        <v>2251</v>
      </c>
      <c r="B242" t="s">
        <v>2957</v>
      </c>
      <c r="C242" s="27">
        <v>45441</v>
      </c>
      <c r="D242" s="26" t="s">
        <v>2462</v>
      </c>
      <c r="E242" s="26" t="s">
        <v>2461</v>
      </c>
    </row>
    <row r="243" spans="1:5" x14ac:dyDescent="0.35">
      <c r="A243" t="s">
        <v>2252</v>
      </c>
      <c r="B243" t="s">
        <v>2957</v>
      </c>
      <c r="C243" s="27">
        <v>45344</v>
      </c>
      <c r="D243" s="26" t="s">
        <v>2471</v>
      </c>
      <c r="E243" s="26" t="s">
        <v>2461</v>
      </c>
    </row>
    <row r="244" spans="1:5" x14ac:dyDescent="0.35">
      <c r="A244" t="s">
        <v>2253</v>
      </c>
      <c r="B244" t="s">
        <v>2956</v>
      </c>
      <c r="C244" s="27">
        <v>45388</v>
      </c>
      <c r="D244" s="26" t="s">
        <v>2474</v>
      </c>
      <c r="E244" s="26" t="s">
        <v>2461</v>
      </c>
    </row>
    <row r="245" spans="1:5" x14ac:dyDescent="0.35">
      <c r="A245" t="s">
        <v>2254</v>
      </c>
      <c r="B245" t="s">
        <v>2957</v>
      </c>
      <c r="C245" s="27">
        <v>45774</v>
      </c>
      <c r="D245" s="26" t="s">
        <v>2471</v>
      </c>
      <c r="E245" s="26" t="s">
        <v>2457</v>
      </c>
    </row>
    <row r="246" spans="1:5" x14ac:dyDescent="0.35">
      <c r="A246" t="s">
        <v>2255</v>
      </c>
      <c r="B246" t="s">
        <v>2957</v>
      </c>
      <c r="C246" s="27">
        <v>45451</v>
      </c>
      <c r="D246" s="26" t="s">
        <v>2462</v>
      </c>
      <c r="E246" s="26" t="s">
        <v>2457</v>
      </c>
    </row>
    <row r="247" spans="1:5" x14ac:dyDescent="0.35">
      <c r="A247" t="s">
        <v>2256</v>
      </c>
      <c r="B247" t="s">
        <v>2956</v>
      </c>
      <c r="C247" s="27">
        <v>45676</v>
      </c>
      <c r="D247" s="26" t="s">
        <v>2464</v>
      </c>
      <c r="E247" s="26" t="s">
        <v>2461</v>
      </c>
    </row>
    <row r="248" spans="1:5" x14ac:dyDescent="0.35">
      <c r="A248" t="s">
        <v>2257</v>
      </c>
      <c r="B248" t="s">
        <v>2956</v>
      </c>
      <c r="C248" s="27">
        <v>45635</v>
      </c>
      <c r="D248" s="26" t="s">
        <v>2474</v>
      </c>
      <c r="E248" s="26" t="s">
        <v>2457</v>
      </c>
    </row>
    <row r="249" spans="1:5" x14ac:dyDescent="0.35">
      <c r="A249" t="s">
        <v>2258</v>
      </c>
      <c r="B249" t="s">
        <v>2957</v>
      </c>
      <c r="C249" s="27">
        <v>45883</v>
      </c>
      <c r="D249" s="26" t="s">
        <v>2468</v>
      </c>
      <c r="E249" s="26" t="s">
        <v>2460</v>
      </c>
    </row>
    <row r="250" spans="1:5" x14ac:dyDescent="0.35">
      <c r="A250" t="s">
        <v>2259</v>
      </c>
      <c r="B250" t="s">
        <v>2956</v>
      </c>
      <c r="C250" s="27">
        <v>45863</v>
      </c>
      <c r="D250" s="26" t="s">
        <v>2468</v>
      </c>
      <c r="E250" s="26" t="s">
        <v>2457</v>
      </c>
    </row>
    <row r="251" spans="1:5" x14ac:dyDescent="0.35">
      <c r="A251" t="s">
        <v>2260</v>
      </c>
      <c r="B251" t="s">
        <v>2957</v>
      </c>
      <c r="C251" s="27">
        <v>45623</v>
      </c>
      <c r="D251" s="26" t="s">
        <v>2471</v>
      </c>
      <c r="E251" s="26" t="s">
        <v>2461</v>
      </c>
    </row>
    <row r="252" spans="1:5" x14ac:dyDescent="0.35">
      <c r="A252" t="s">
        <v>2261</v>
      </c>
      <c r="B252" t="s">
        <v>2958</v>
      </c>
      <c r="C252" s="27">
        <v>45409</v>
      </c>
      <c r="D252" s="26" t="s">
        <v>2462</v>
      </c>
      <c r="E252" s="26" t="s">
        <v>2457</v>
      </c>
    </row>
    <row r="253" spans="1:5" x14ac:dyDescent="0.35">
      <c r="A253" t="s">
        <v>2262</v>
      </c>
      <c r="B253" t="s">
        <v>2956</v>
      </c>
      <c r="C253" s="27">
        <v>45659</v>
      </c>
      <c r="D253" s="26" t="s">
        <v>2468</v>
      </c>
      <c r="E253" s="26" t="s">
        <v>2459</v>
      </c>
    </row>
    <row r="254" spans="1:5" x14ac:dyDescent="0.35">
      <c r="A254" t="s">
        <v>2263</v>
      </c>
      <c r="B254" t="s">
        <v>2957</v>
      </c>
      <c r="C254" s="27">
        <v>45573</v>
      </c>
      <c r="D254" s="26" t="s">
        <v>2474</v>
      </c>
      <c r="E254" s="26" t="s">
        <v>2459</v>
      </c>
    </row>
    <row r="255" spans="1:5" x14ac:dyDescent="0.35">
      <c r="A255" t="s">
        <v>2264</v>
      </c>
      <c r="B255" t="s">
        <v>2956</v>
      </c>
      <c r="C255" s="27">
        <v>45795</v>
      </c>
      <c r="D255" s="26" t="s">
        <v>2474</v>
      </c>
      <c r="E255" s="26" t="s">
        <v>2459</v>
      </c>
    </row>
    <row r="256" spans="1:5" x14ac:dyDescent="0.35">
      <c r="A256" t="s">
        <v>2265</v>
      </c>
      <c r="B256" t="s">
        <v>2957</v>
      </c>
      <c r="C256" s="27">
        <v>45521</v>
      </c>
      <c r="D256" s="26" t="s">
        <v>2471</v>
      </c>
      <c r="E256" s="26" t="s">
        <v>2460</v>
      </c>
    </row>
    <row r="257" spans="1:5" x14ac:dyDescent="0.35">
      <c r="A257" t="s">
        <v>2266</v>
      </c>
      <c r="B257" t="s">
        <v>2957</v>
      </c>
      <c r="C257" s="27">
        <v>45819</v>
      </c>
      <c r="D257" s="26" t="s">
        <v>2462</v>
      </c>
      <c r="E257" s="26" t="s">
        <v>2460</v>
      </c>
    </row>
    <row r="258" spans="1:5" x14ac:dyDescent="0.35">
      <c r="A258" t="s">
        <v>2267</v>
      </c>
      <c r="B258" t="s">
        <v>2957</v>
      </c>
      <c r="C258" s="27">
        <v>45995</v>
      </c>
      <c r="D258" s="26" t="s">
        <v>2464</v>
      </c>
      <c r="E258" s="26" t="s">
        <v>2460</v>
      </c>
    </row>
    <row r="259" spans="1:5" x14ac:dyDescent="0.35">
      <c r="A259" t="s">
        <v>2268</v>
      </c>
      <c r="B259" t="s">
        <v>2956</v>
      </c>
      <c r="C259" s="27">
        <v>45367</v>
      </c>
      <c r="D259" s="26" t="s">
        <v>2464</v>
      </c>
      <c r="E259" s="26" t="s">
        <v>2459</v>
      </c>
    </row>
    <row r="260" spans="1:5" x14ac:dyDescent="0.35">
      <c r="A260" t="s">
        <v>2269</v>
      </c>
      <c r="B260" t="s">
        <v>2956</v>
      </c>
      <c r="C260" s="27">
        <v>45638</v>
      </c>
      <c r="D260" s="26" t="s">
        <v>2464</v>
      </c>
      <c r="E260" s="26" t="s">
        <v>2458</v>
      </c>
    </row>
    <row r="261" spans="1:5" x14ac:dyDescent="0.35">
      <c r="A261" t="s">
        <v>2270</v>
      </c>
      <c r="B261" t="s">
        <v>2958</v>
      </c>
      <c r="C261" s="27">
        <v>45799</v>
      </c>
      <c r="D261" s="26" t="s">
        <v>2464</v>
      </c>
      <c r="E261" s="26" t="s">
        <v>2459</v>
      </c>
    </row>
    <row r="262" spans="1:5" x14ac:dyDescent="0.35">
      <c r="A262" t="s">
        <v>2271</v>
      </c>
      <c r="B262" t="s">
        <v>2957</v>
      </c>
      <c r="C262" s="27">
        <v>45583</v>
      </c>
      <c r="D262" s="26" t="s">
        <v>2471</v>
      </c>
      <c r="E262" s="26" t="s">
        <v>2459</v>
      </c>
    </row>
    <row r="263" spans="1:5" x14ac:dyDescent="0.35">
      <c r="A263" t="s">
        <v>2272</v>
      </c>
      <c r="B263" t="s">
        <v>2957</v>
      </c>
      <c r="C263" s="27">
        <v>45680</v>
      </c>
      <c r="D263" s="26" t="s">
        <v>2462</v>
      </c>
      <c r="E263" s="26" t="s">
        <v>2459</v>
      </c>
    </row>
    <row r="264" spans="1:5" x14ac:dyDescent="0.35">
      <c r="A264" t="s">
        <v>2273</v>
      </c>
      <c r="B264" t="s">
        <v>2957</v>
      </c>
      <c r="C264" s="27">
        <v>45657</v>
      </c>
      <c r="D264" s="26" t="s">
        <v>2471</v>
      </c>
      <c r="E264" s="26" t="s">
        <v>2459</v>
      </c>
    </row>
    <row r="265" spans="1:5" x14ac:dyDescent="0.35">
      <c r="A265" t="s">
        <v>2274</v>
      </c>
      <c r="B265" t="s">
        <v>2957</v>
      </c>
      <c r="C265" s="27">
        <v>45910</v>
      </c>
      <c r="D265" s="26" t="s">
        <v>2464</v>
      </c>
      <c r="E265" s="26" t="s">
        <v>2458</v>
      </c>
    </row>
    <row r="266" spans="1:5" x14ac:dyDescent="0.35">
      <c r="A266" t="s">
        <v>2275</v>
      </c>
      <c r="B266" t="s">
        <v>2957</v>
      </c>
      <c r="C266" s="27">
        <v>45513</v>
      </c>
      <c r="D266" s="26" t="s">
        <v>2468</v>
      </c>
      <c r="E266" s="26" t="s">
        <v>2458</v>
      </c>
    </row>
    <row r="267" spans="1:5" x14ac:dyDescent="0.35">
      <c r="A267" t="s">
        <v>2276</v>
      </c>
      <c r="B267" t="s">
        <v>2957</v>
      </c>
      <c r="C267" s="27">
        <v>45685</v>
      </c>
      <c r="D267" s="26" t="s">
        <v>2471</v>
      </c>
      <c r="E267" s="26" t="s">
        <v>2457</v>
      </c>
    </row>
    <row r="268" spans="1:5" x14ac:dyDescent="0.35">
      <c r="A268" t="s">
        <v>2277</v>
      </c>
      <c r="B268" t="s">
        <v>2957</v>
      </c>
      <c r="C268" s="27">
        <v>45587</v>
      </c>
      <c r="D268" s="26" t="s">
        <v>2471</v>
      </c>
      <c r="E268" s="26" t="s">
        <v>2457</v>
      </c>
    </row>
    <row r="269" spans="1:5" x14ac:dyDescent="0.35">
      <c r="A269" t="s">
        <v>2278</v>
      </c>
      <c r="B269" t="s">
        <v>2957</v>
      </c>
      <c r="C269" s="27">
        <v>45658</v>
      </c>
      <c r="D269" s="26" t="s">
        <v>2462</v>
      </c>
      <c r="E269" s="26" t="s">
        <v>2460</v>
      </c>
    </row>
    <row r="270" spans="1:5" x14ac:dyDescent="0.35">
      <c r="A270" t="s">
        <v>2279</v>
      </c>
      <c r="B270" t="s">
        <v>2957</v>
      </c>
      <c r="C270" s="27">
        <v>45485</v>
      </c>
      <c r="D270" s="26" t="s">
        <v>2468</v>
      </c>
      <c r="E270" s="26" t="s">
        <v>2457</v>
      </c>
    </row>
    <row r="271" spans="1:5" x14ac:dyDescent="0.35">
      <c r="A271" t="s">
        <v>2280</v>
      </c>
      <c r="B271" t="s">
        <v>2957</v>
      </c>
      <c r="C271" s="27">
        <v>45685</v>
      </c>
      <c r="D271" s="26" t="s">
        <v>2464</v>
      </c>
      <c r="E271" s="26" t="s">
        <v>2460</v>
      </c>
    </row>
    <row r="272" spans="1:5" x14ac:dyDescent="0.35">
      <c r="A272" t="s">
        <v>2281</v>
      </c>
      <c r="B272" t="s">
        <v>2957</v>
      </c>
      <c r="C272" s="27">
        <v>45759</v>
      </c>
      <c r="D272" s="26" t="s">
        <v>2464</v>
      </c>
      <c r="E272" s="26" t="s">
        <v>2458</v>
      </c>
    </row>
    <row r="273" spans="1:5" x14ac:dyDescent="0.35">
      <c r="A273" t="s">
        <v>2282</v>
      </c>
      <c r="B273" t="s">
        <v>2957</v>
      </c>
      <c r="C273" s="27">
        <v>45367</v>
      </c>
      <c r="D273" s="26" t="s">
        <v>2474</v>
      </c>
      <c r="E273" s="26" t="s">
        <v>2459</v>
      </c>
    </row>
    <row r="274" spans="1:5" x14ac:dyDescent="0.35">
      <c r="A274" t="s">
        <v>2283</v>
      </c>
      <c r="B274" t="s">
        <v>2958</v>
      </c>
      <c r="C274" s="27">
        <v>45487</v>
      </c>
      <c r="D274" s="26" t="s">
        <v>2468</v>
      </c>
      <c r="E274" s="26" t="s">
        <v>2461</v>
      </c>
    </row>
    <row r="275" spans="1:5" x14ac:dyDescent="0.35">
      <c r="A275" t="s">
        <v>2284</v>
      </c>
      <c r="B275" t="s">
        <v>2958</v>
      </c>
      <c r="C275" s="27">
        <v>45542</v>
      </c>
      <c r="D275" s="26" t="s">
        <v>2471</v>
      </c>
      <c r="E275" s="26" t="s">
        <v>2461</v>
      </c>
    </row>
    <row r="276" spans="1:5" x14ac:dyDescent="0.35">
      <c r="A276" t="s">
        <v>2285</v>
      </c>
      <c r="B276" t="s">
        <v>2956</v>
      </c>
      <c r="C276" s="27">
        <v>45960</v>
      </c>
      <c r="D276" s="26" t="s">
        <v>2468</v>
      </c>
      <c r="E276" s="26" t="s">
        <v>2457</v>
      </c>
    </row>
    <row r="277" spans="1:5" x14ac:dyDescent="0.35">
      <c r="A277" t="s">
        <v>2286</v>
      </c>
      <c r="B277" t="s">
        <v>2956</v>
      </c>
      <c r="C277" s="27">
        <v>45739</v>
      </c>
      <c r="D277" s="26" t="s">
        <v>2474</v>
      </c>
      <c r="E277" s="26" t="s">
        <v>2458</v>
      </c>
    </row>
    <row r="278" spans="1:5" x14ac:dyDescent="0.35">
      <c r="A278" t="s">
        <v>2287</v>
      </c>
      <c r="B278" t="s">
        <v>2956</v>
      </c>
      <c r="C278" s="27">
        <v>45448</v>
      </c>
      <c r="D278" s="26" t="s">
        <v>2468</v>
      </c>
      <c r="E278" s="26" t="s">
        <v>2460</v>
      </c>
    </row>
    <row r="279" spans="1:5" x14ac:dyDescent="0.35">
      <c r="A279" t="s">
        <v>2288</v>
      </c>
      <c r="B279" t="s">
        <v>2956</v>
      </c>
      <c r="C279" s="27">
        <v>45894</v>
      </c>
      <c r="D279" s="26" t="s">
        <v>2474</v>
      </c>
      <c r="E279" s="26" t="s">
        <v>2457</v>
      </c>
    </row>
    <row r="280" spans="1:5" x14ac:dyDescent="0.35">
      <c r="A280" t="s">
        <v>2289</v>
      </c>
      <c r="B280" t="s">
        <v>2957</v>
      </c>
      <c r="C280" s="27">
        <v>45326</v>
      </c>
      <c r="D280" s="26" t="s">
        <v>2471</v>
      </c>
      <c r="E280" s="26" t="s">
        <v>2457</v>
      </c>
    </row>
    <row r="281" spans="1:5" x14ac:dyDescent="0.35">
      <c r="A281" t="s">
        <v>2290</v>
      </c>
      <c r="B281" t="s">
        <v>2957</v>
      </c>
      <c r="C281" s="27">
        <v>45864</v>
      </c>
      <c r="D281" s="26" t="s">
        <v>2474</v>
      </c>
      <c r="E281" s="26" t="s">
        <v>2461</v>
      </c>
    </row>
    <row r="282" spans="1:5" x14ac:dyDescent="0.35">
      <c r="A282" t="s">
        <v>2291</v>
      </c>
      <c r="B282" t="s">
        <v>2957</v>
      </c>
      <c r="C282" s="27">
        <v>45763</v>
      </c>
      <c r="D282" s="26" t="s">
        <v>2464</v>
      </c>
      <c r="E282" s="26" t="s">
        <v>2458</v>
      </c>
    </row>
    <row r="283" spans="1:5" x14ac:dyDescent="0.35">
      <c r="A283" t="s">
        <v>2292</v>
      </c>
      <c r="B283" t="s">
        <v>2956</v>
      </c>
      <c r="C283" s="27">
        <v>45646</v>
      </c>
      <c r="D283" s="26" t="s">
        <v>2468</v>
      </c>
      <c r="E283" s="26" t="s">
        <v>2461</v>
      </c>
    </row>
    <row r="284" spans="1:5" x14ac:dyDescent="0.35">
      <c r="A284" t="s">
        <v>2293</v>
      </c>
      <c r="B284" t="s">
        <v>2957</v>
      </c>
      <c r="C284" s="27">
        <v>45970</v>
      </c>
      <c r="D284" s="26" t="s">
        <v>2464</v>
      </c>
      <c r="E284" s="26" t="s">
        <v>2459</v>
      </c>
    </row>
    <row r="285" spans="1:5" x14ac:dyDescent="0.35">
      <c r="A285" t="s">
        <v>2294</v>
      </c>
      <c r="B285" t="s">
        <v>2957</v>
      </c>
      <c r="C285" s="27">
        <v>45560</v>
      </c>
      <c r="D285" s="26" t="s">
        <v>2471</v>
      </c>
      <c r="E285" s="26" t="s">
        <v>2460</v>
      </c>
    </row>
    <row r="286" spans="1:5" x14ac:dyDescent="0.35">
      <c r="A286" t="s">
        <v>2295</v>
      </c>
      <c r="B286" t="s">
        <v>2957</v>
      </c>
      <c r="C286" s="27">
        <v>45977</v>
      </c>
      <c r="D286" s="26" t="s">
        <v>2468</v>
      </c>
      <c r="E286" s="26" t="s">
        <v>2459</v>
      </c>
    </row>
    <row r="287" spans="1:5" x14ac:dyDescent="0.35">
      <c r="A287" t="s">
        <v>2296</v>
      </c>
      <c r="B287" t="s">
        <v>2956</v>
      </c>
      <c r="C287" s="27">
        <v>45697</v>
      </c>
      <c r="D287" s="26" t="s">
        <v>2471</v>
      </c>
      <c r="E287" s="26" t="s">
        <v>2459</v>
      </c>
    </row>
    <row r="288" spans="1:5" x14ac:dyDescent="0.35">
      <c r="A288" t="s">
        <v>2297</v>
      </c>
      <c r="B288" t="s">
        <v>2957</v>
      </c>
      <c r="C288" s="27">
        <v>45800</v>
      </c>
      <c r="D288" s="26" t="s">
        <v>2464</v>
      </c>
      <c r="E288" s="26" t="s">
        <v>2458</v>
      </c>
    </row>
    <row r="289" spans="1:5" x14ac:dyDescent="0.35">
      <c r="A289" t="s">
        <v>2298</v>
      </c>
      <c r="B289" t="s">
        <v>2956</v>
      </c>
      <c r="C289" s="27">
        <v>45323</v>
      </c>
      <c r="D289" s="26" t="s">
        <v>2474</v>
      </c>
      <c r="E289" s="26" t="s">
        <v>2458</v>
      </c>
    </row>
    <row r="290" spans="1:5" x14ac:dyDescent="0.35">
      <c r="A290" t="s">
        <v>2299</v>
      </c>
      <c r="B290" t="s">
        <v>2956</v>
      </c>
      <c r="C290" s="27">
        <v>45508</v>
      </c>
      <c r="D290" s="26" t="s">
        <v>2462</v>
      </c>
      <c r="E290" s="26" t="s">
        <v>2459</v>
      </c>
    </row>
    <row r="291" spans="1:5" x14ac:dyDescent="0.35">
      <c r="A291" t="s">
        <v>2300</v>
      </c>
      <c r="B291" t="s">
        <v>2957</v>
      </c>
      <c r="C291" s="27">
        <v>45595</v>
      </c>
      <c r="D291" s="26" t="s">
        <v>2468</v>
      </c>
      <c r="E291" s="26" t="s">
        <v>2459</v>
      </c>
    </row>
    <row r="292" spans="1:5" x14ac:dyDescent="0.35">
      <c r="A292" t="s">
        <v>2301</v>
      </c>
      <c r="B292" t="s">
        <v>2957</v>
      </c>
      <c r="C292" s="27">
        <v>45595</v>
      </c>
      <c r="D292" s="26" t="s">
        <v>2468</v>
      </c>
      <c r="E292" s="26" t="s">
        <v>2460</v>
      </c>
    </row>
    <row r="293" spans="1:5" x14ac:dyDescent="0.35">
      <c r="A293" t="s">
        <v>2302</v>
      </c>
      <c r="B293" t="s">
        <v>2956</v>
      </c>
      <c r="C293" s="27">
        <v>45776</v>
      </c>
      <c r="D293" s="26" t="s">
        <v>2462</v>
      </c>
      <c r="E293" s="26" t="s">
        <v>2460</v>
      </c>
    </row>
    <row r="294" spans="1:5" x14ac:dyDescent="0.35">
      <c r="A294" t="s">
        <v>2303</v>
      </c>
      <c r="B294" t="s">
        <v>2956</v>
      </c>
      <c r="C294" s="27">
        <v>45870</v>
      </c>
      <c r="D294" s="26" t="s">
        <v>2464</v>
      </c>
      <c r="E294" s="26" t="s">
        <v>2460</v>
      </c>
    </row>
    <row r="295" spans="1:5" x14ac:dyDescent="0.35">
      <c r="A295" t="s">
        <v>2304</v>
      </c>
      <c r="B295" t="s">
        <v>2957</v>
      </c>
      <c r="C295" s="27">
        <v>45398</v>
      </c>
      <c r="D295" s="26" t="s">
        <v>2464</v>
      </c>
      <c r="E295" s="26" t="s">
        <v>2460</v>
      </c>
    </row>
    <row r="296" spans="1:5" x14ac:dyDescent="0.35">
      <c r="A296" t="s">
        <v>2305</v>
      </c>
      <c r="B296" t="s">
        <v>2957</v>
      </c>
      <c r="C296" s="27">
        <v>45959</v>
      </c>
      <c r="D296" s="26" t="s">
        <v>2468</v>
      </c>
      <c r="E296" s="26" t="s">
        <v>2458</v>
      </c>
    </row>
    <row r="297" spans="1:5" x14ac:dyDescent="0.35">
      <c r="A297" t="s">
        <v>2306</v>
      </c>
      <c r="B297" t="s">
        <v>2957</v>
      </c>
      <c r="C297" s="27">
        <v>45909</v>
      </c>
      <c r="D297" s="26" t="s">
        <v>2471</v>
      </c>
      <c r="E297" s="26" t="s">
        <v>2461</v>
      </c>
    </row>
    <row r="298" spans="1:5" x14ac:dyDescent="0.35">
      <c r="A298" t="s">
        <v>2307</v>
      </c>
      <c r="B298" t="s">
        <v>2956</v>
      </c>
      <c r="C298" s="27">
        <v>45622</v>
      </c>
      <c r="D298" s="26" t="s">
        <v>2468</v>
      </c>
      <c r="E298" s="26" t="s">
        <v>2460</v>
      </c>
    </row>
    <row r="299" spans="1:5" x14ac:dyDescent="0.35">
      <c r="A299" t="s">
        <v>2308</v>
      </c>
      <c r="B299" t="s">
        <v>2957</v>
      </c>
      <c r="C299" s="27">
        <v>45797</v>
      </c>
      <c r="D299" s="26" t="s">
        <v>2471</v>
      </c>
      <c r="E299" s="26" t="s">
        <v>2457</v>
      </c>
    </row>
    <row r="300" spans="1:5" x14ac:dyDescent="0.35">
      <c r="A300" t="s">
        <v>2309</v>
      </c>
      <c r="B300" t="s">
        <v>2956</v>
      </c>
      <c r="C300" s="27">
        <v>45826</v>
      </c>
      <c r="D300" s="26" t="s">
        <v>2471</v>
      </c>
      <c r="E300" s="26" t="s">
        <v>2457</v>
      </c>
    </row>
    <row r="301" spans="1:5" x14ac:dyDescent="0.35">
      <c r="A301" t="s">
        <v>2310</v>
      </c>
      <c r="B301" t="s">
        <v>2958</v>
      </c>
      <c r="C301" s="27">
        <v>45390</v>
      </c>
      <c r="D301" s="26" t="s">
        <v>2464</v>
      </c>
      <c r="E301" s="26" t="s">
        <v>2461</v>
      </c>
    </row>
    <row r="302" spans="1:5" x14ac:dyDescent="0.35">
      <c r="A302" t="s">
        <v>2311</v>
      </c>
      <c r="B302" t="s">
        <v>2956</v>
      </c>
      <c r="C302" s="27">
        <v>45958</v>
      </c>
      <c r="D302" s="26" t="s">
        <v>2464</v>
      </c>
      <c r="E302" s="26" t="s">
        <v>2459</v>
      </c>
    </row>
    <row r="303" spans="1:5" x14ac:dyDescent="0.35">
      <c r="A303" t="s">
        <v>2312</v>
      </c>
      <c r="B303" t="s">
        <v>2957</v>
      </c>
      <c r="C303" s="27">
        <v>45344</v>
      </c>
      <c r="D303" s="26" t="s">
        <v>2462</v>
      </c>
      <c r="E303" s="26" t="s">
        <v>2461</v>
      </c>
    </row>
    <row r="304" spans="1:5" x14ac:dyDescent="0.35">
      <c r="A304" t="s">
        <v>2313</v>
      </c>
      <c r="B304" t="s">
        <v>2956</v>
      </c>
      <c r="C304" s="27">
        <v>45742</v>
      </c>
      <c r="D304" s="26" t="s">
        <v>2471</v>
      </c>
      <c r="E304" s="26" t="s">
        <v>2459</v>
      </c>
    </row>
    <row r="305" spans="1:5" x14ac:dyDescent="0.35">
      <c r="A305" t="s">
        <v>2314</v>
      </c>
      <c r="B305" t="s">
        <v>2956</v>
      </c>
      <c r="C305" s="27">
        <v>45671</v>
      </c>
      <c r="D305" s="26" t="s">
        <v>2462</v>
      </c>
      <c r="E305" s="26" t="s">
        <v>2460</v>
      </c>
    </row>
    <row r="306" spans="1:5" x14ac:dyDescent="0.35">
      <c r="A306" t="s">
        <v>2315</v>
      </c>
      <c r="B306" t="s">
        <v>2957</v>
      </c>
      <c r="C306" s="27">
        <v>46011</v>
      </c>
      <c r="D306" s="26" t="s">
        <v>2468</v>
      </c>
      <c r="E306" s="26" t="s">
        <v>2460</v>
      </c>
    </row>
    <row r="307" spans="1:5" x14ac:dyDescent="0.35">
      <c r="A307" t="s">
        <v>2316</v>
      </c>
      <c r="B307" t="s">
        <v>2956</v>
      </c>
      <c r="C307" s="27">
        <v>45524</v>
      </c>
      <c r="D307" s="26" t="s">
        <v>2474</v>
      </c>
      <c r="E307" s="26" t="s">
        <v>2460</v>
      </c>
    </row>
    <row r="308" spans="1:5" x14ac:dyDescent="0.35">
      <c r="A308" t="s">
        <v>2317</v>
      </c>
      <c r="B308" t="s">
        <v>2956</v>
      </c>
      <c r="C308" s="27">
        <v>45786</v>
      </c>
      <c r="D308" s="26" t="s">
        <v>2464</v>
      </c>
      <c r="E308" s="26" t="s">
        <v>2457</v>
      </c>
    </row>
    <row r="309" spans="1:5" x14ac:dyDescent="0.35">
      <c r="A309" t="s">
        <v>2318</v>
      </c>
      <c r="B309" t="s">
        <v>2957</v>
      </c>
      <c r="C309" s="27">
        <v>45458</v>
      </c>
      <c r="D309" s="26" t="s">
        <v>2471</v>
      </c>
      <c r="E309" s="26" t="s">
        <v>2461</v>
      </c>
    </row>
    <row r="310" spans="1:5" x14ac:dyDescent="0.35">
      <c r="A310" t="s">
        <v>2319</v>
      </c>
      <c r="B310" t="s">
        <v>2957</v>
      </c>
      <c r="C310" s="27">
        <v>45477</v>
      </c>
      <c r="D310" s="26" t="s">
        <v>2474</v>
      </c>
      <c r="E310" s="26" t="s">
        <v>2458</v>
      </c>
    </row>
    <row r="311" spans="1:5" x14ac:dyDescent="0.35">
      <c r="A311" t="s">
        <v>2320</v>
      </c>
      <c r="B311" t="s">
        <v>2957</v>
      </c>
      <c r="C311" s="27">
        <v>45595</v>
      </c>
      <c r="D311" s="26" t="s">
        <v>2464</v>
      </c>
      <c r="E311" s="26" t="s">
        <v>2457</v>
      </c>
    </row>
    <row r="312" spans="1:5" x14ac:dyDescent="0.35">
      <c r="A312" t="s">
        <v>2321</v>
      </c>
      <c r="B312" t="s">
        <v>2957</v>
      </c>
      <c r="C312" s="27">
        <v>45491</v>
      </c>
      <c r="D312" s="26" t="s">
        <v>2471</v>
      </c>
      <c r="E312" s="26" t="s">
        <v>2457</v>
      </c>
    </row>
    <row r="313" spans="1:5" x14ac:dyDescent="0.35">
      <c r="A313" t="s">
        <v>2322</v>
      </c>
      <c r="B313" t="s">
        <v>2957</v>
      </c>
      <c r="C313" s="27">
        <v>45813</v>
      </c>
      <c r="D313" s="26" t="s">
        <v>2471</v>
      </c>
      <c r="E313" s="26" t="s">
        <v>2461</v>
      </c>
    </row>
    <row r="314" spans="1:5" x14ac:dyDescent="0.35">
      <c r="A314" t="s">
        <v>2323</v>
      </c>
      <c r="B314" t="s">
        <v>2957</v>
      </c>
      <c r="C314" s="27">
        <v>45571</v>
      </c>
      <c r="D314" s="26" t="s">
        <v>2471</v>
      </c>
      <c r="E314" s="26" t="s">
        <v>2461</v>
      </c>
    </row>
    <row r="315" spans="1:5" x14ac:dyDescent="0.35">
      <c r="A315" t="s">
        <v>2324</v>
      </c>
      <c r="B315" t="s">
        <v>2957</v>
      </c>
      <c r="C315" s="27">
        <v>45828</v>
      </c>
      <c r="D315" s="26" t="s">
        <v>2462</v>
      </c>
      <c r="E315" s="26" t="s">
        <v>2459</v>
      </c>
    </row>
    <row r="316" spans="1:5" x14ac:dyDescent="0.35">
      <c r="A316" t="s">
        <v>2325</v>
      </c>
      <c r="B316" t="s">
        <v>2957</v>
      </c>
      <c r="C316" s="27">
        <v>45491</v>
      </c>
      <c r="D316" s="26" t="s">
        <v>2468</v>
      </c>
      <c r="E316" s="26" t="s">
        <v>2458</v>
      </c>
    </row>
    <row r="317" spans="1:5" x14ac:dyDescent="0.35">
      <c r="A317" t="s">
        <v>2326</v>
      </c>
      <c r="B317" t="s">
        <v>2957</v>
      </c>
      <c r="C317" s="27">
        <v>45676</v>
      </c>
      <c r="D317" s="26" t="s">
        <v>2462</v>
      </c>
      <c r="E317" s="26" t="s">
        <v>2459</v>
      </c>
    </row>
    <row r="318" spans="1:5" x14ac:dyDescent="0.35">
      <c r="A318" t="s">
        <v>2327</v>
      </c>
      <c r="B318" t="s">
        <v>2957</v>
      </c>
      <c r="C318" s="27">
        <v>45699</v>
      </c>
      <c r="D318" s="26" t="s">
        <v>2471</v>
      </c>
      <c r="E318" s="26" t="s">
        <v>2458</v>
      </c>
    </row>
    <row r="319" spans="1:5" x14ac:dyDescent="0.35">
      <c r="A319" t="s">
        <v>2328</v>
      </c>
      <c r="B319" t="s">
        <v>2957</v>
      </c>
      <c r="C319" s="27">
        <v>45710</v>
      </c>
      <c r="D319" s="26" t="s">
        <v>2462</v>
      </c>
      <c r="E319" s="26" t="s">
        <v>2461</v>
      </c>
    </row>
    <row r="320" spans="1:5" x14ac:dyDescent="0.35">
      <c r="A320" t="s">
        <v>2329</v>
      </c>
      <c r="B320" t="s">
        <v>2957</v>
      </c>
      <c r="C320" s="27">
        <v>45849</v>
      </c>
      <c r="D320" s="26" t="s">
        <v>2474</v>
      </c>
      <c r="E320" s="26" t="s">
        <v>2459</v>
      </c>
    </row>
    <row r="321" spans="1:5" x14ac:dyDescent="0.35">
      <c r="A321" t="s">
        <v>2330</v>
      </c>
      <c r="B321" t="s">
        <v>2956</v>
      </c>
      <c r="C321" s="27">
        <v>45600</v>
      </c>
      <c r="D321" s="26" t="s">
        <v>2464</v>
      </c>
      <c r="E321" s="26" t="s">
        <v>2461</v>
      </c>
    </row>
    <row r="322" spans="1:5" x14ac:dyDescent="0.35">
      <c r="A322" t="s">
        <v>2331</v>
      </c>
      <c r="B322" t="s">
        <v>2957</v>
      </c>
      <c r="C322" s="27">
        <v>46019</v>
      </c>
      <c r="D322" s="26" t="s">
        <v>2471</v>
      </c>
      <c r="E322" s="26" t="s">
        <v>2457</v>
      </c>
    </row>
    <row r="323" spans="1:5" x14ac:dyDescent="0.35">
      <c r="A323" t="s">
        <v>2332</v>
      </c>
      <c r="B323" t="s">
        <v>2958</v>
      </c>
      <c r="C323" s="27">
        <v>45649</v>
      </c>
      <c r="D323" s="26" t="s">
        <v>2462</v>
      </c>
      <c r="E323" s="26" t="s">
        <v>2461</v>
      </c>
    </row>
    <row r="324" spans="1:5" x14ac:dyDescent="0.35">
      <c r="A324" t="s">
        <v>2333</v>
      </c>
      <c r="B324" t="s">
        <v>2957</v>
      </c>
      <c r="C324" s="27">
        <v>45452</v>
      </c>
      <c r="D324" s="26" t="s">
        <v>2464</v>
      </c>
      <c r="E324" s="26" t="s">
        <v>2460</v>
      </c>
    </row>
    <row r="325" spans="1:5" x14ac:dyDescent="0.35">
      <c r="A325" t="s">
        <v>2334</v>
      </c>
      <c r="B325" t="s">
        <v>2956</v>
      </c>
      <c r="C325" s="27">
        <v>45399</v>
      </c>
      <c r="D325" s="26" t="s">
        <v>2464</v>
      </c>
      <c r="E325" s="26" t="s">
        <v>2461</v>
      </c>
    </row>
    <row r="326" spans="1:5" x14ac:dyDescent="0.35">
      <c r="A326" t="s">
        <v>2335</v>
      </c>
      <c r="B326" t="s">
        <v>2958</v>
      </c>
      <c r="C326" s="27">
        <v>45419</v>
      </c>
      <c r="D326" s="26" t="s">
        <v>2464</v>
      </c>
      <c r="E326" s="26" t="s">
        <v>2459</v>
      </c>
    </row>
    <row r="327" spans="1:5" x14ac:dyDescent="0.35">
      <c r="A327" t="s">
        <v>2336</v>
      </c>
      <c r="B327" t="s">
        <v>2956</v>
      </c>
      <c r="C327" s="27">
        <v>45661</v>
      </c>
      <c r="D327" s="26" t="s">
        <v>2468</v>
      </c>
      <c r="E327" s="26" t="s">
        <v>2460</v>
      </c>
    </row>
    <row r="328" spans="1:5" x14ac:dyDescent="0.35">
      <c r="A328" t="s">
        <v>2337</v>
      </c>
      <c r="B328" t="s">
        <v>2957</v>
      </c>
      <c r="C328" s="27">
        <v>45545</v>
      </c>
      <c r="D328" s="26" t="s">
        <v>2464</v>
      </c>
      <c r="E328" s="26" t="s">
        <v>2461</v>
      </c>
    </row>
    <row r="329" spans="1:5" x14ac:dyDescent="0.35">
      <c r="A329" t="s">
        <v>2338</v>
      </c>
      <c r="B329" t="s">
        <v>2958</v>
      </c>
      <c r="C329" s="27">
        <v>45311</v>
      </c>
      <c r="D329" s="26" t="s">
        <v>2471</v>
      </c>
      <c r="E329" s="26" t="s">
        <v>2458</v>
      </c>
    </row>
    <row r="330" spans="1:5" x14ac:dyDescent="0.35">
      <c r="A330" t="s">
        <v>2339</v>
      </c>
      <c r="B330" t="s">
        <v>2958</v>
      </c>
      <c r="C330" s="27">
        <v>45673</v>
      </c>
      <c r="D330" s="26" t="s">
        <v>2474</v>
      </c>
      <c r="E330" s="26" t="s">
        <v>2459</v>
      </c>
    </row>
    <row r="331" spans="1:5" x14ac:dyDescent="0.35">
      <c r="A331" t="s">
        <v>2340</v>
      </c>
      <c r="B331" t="s">
        <v>2957</v>
      </c>
      <c r="C331" s="27">
        <v>45890</v>
      </c>
      <c r="D331" s="26" t="s">
        <v>2468</v>
      </c>
      <c r="E331" s="26" t="s">
        <v>2460</v>
      </c>
    </row>
    <row r="332" spans="1:5" x14ac:dyDescent="0.35">
      <c r="A332" t="s">
        <v>2341</v>
      </c>
      <c r="B332" t="s">
        <v>2956</v>
      </c>
      <c r="C332" s="27">
        <v>45812</v>
      </c>
      <c r="D332" s="26" t="s">
        <v>2464</v>
      </c>
      <c r="E332" s="26" t="s">
        <v>2459</v>
      </c>
    </row>
    <row r="333" spans="1:5" x14ac:dyDescent="0.35">
      <c r="A333" t="s">
        <v>2342</v>
      </c>
      <c r="B333" t="s">
        <v>2957</v>
      </c>
      <c r="C333" s="27">
        <v>45686</v>
      </c>
      <c r="D333" s="26" t="s">
        <v>2464</v>
      </c>
      <c r="E333" s="26" t="s">
        <v>2458</v>
      </c>
    </row>
    <row r="334" spans="1:5" x14ac:dyDescent="0.35">
      <c r="A334" t="s">
        <v>2343</v>
      </c>
      <c r="B334" t="s">
        <v>2957</v>
      </c>
      <c r="C334" s="27">
        <v>45531</v>
      </c>
      <c r="D334" s="26" t="s">
        <v>2464</v>
      </c>
      <c r="E334" s="26" t="s">
        <v>2457</v>
      </c>
    </row>
    <row r="335" spans="1:5" x14ac:dyDescent="0.35">
      <c r="A335" t="s">
        <v>2344</v>
      </c>
      <c r="B335" t="s">
        <v>2958</v>
      </c>
      <c r="C335" s="27">
        <v>45458</v>
      </c>
      <c r="D335" s="26" t="s">
        <v>2468</v>
      </c>
      <c r="E335" s="26" t="s">
        <v>2461</v>
      </c>
    </row>
    <row r="336" spans="1:5" x14ac:dyDescent="0.35">
      <c r="A336" t="s">
        <v>2345</v>
      </c>
      <c r="B336" t="s">
        <v>2957</v>
      </c>
      <c r="C336" s="27">
        <v>45379</v>
      </c>
      <c r="D336" s="26" t="s">
        <v>2471</v>
      </c>
      <c r="E336" s="26" t="s">
        <v>2458</v>
      </c>
    </row>
    <row r="337" spans="1:5" x14ac:dyDescent="0.35">
      <c r="A337" t="s">
        <v>2346</v>
      </c>
      <c r="B337" t="s">
        <v>2957</v>
      </c>
      <c r="C337" s="27">
        <v>45318</v>
      </c>
      <c r="D337" s="26" t="s">
        <v>2468</v>
      </c>
      <c r="E337" s="26" t="s">
        <v>2457</v>
      </c>
    </row>
    <row r="338" spans="1:5" x14ac:dyDescent="0.35">
      <c r="A338" t="s">
        <v>2347</v>
      </c>
      <c r="B338" t="s">
        <v>2957</v>
      </c>
      <c r="C338" s="27">
        <v>45401</v>
      </c>
      <c r="D338" s="26" t="s">
        <v>2474</v>
      </c>
      <c r="E338" s="26" t="s">
        <v>2460</v>
      </c>
    </row>
    <row r="339" spans="1:5" x14ac:dyDescent="0.35">
      <c r="A339" t="s">
        <v>2348</v>
      </c>
      <c r="B339" t="s">
        <v>2956</v>
      </c>
      <c r="C339" s="27">
        <v>45461</v>
      </c>
      <c r="D339" s="26" t="s">
        <v>2462</v>
      </c>
      <c r="E339" s="26" t="s">
        <v>2459</v>
      </c>
    </row>
    <row r="340" spans="1:5" x14ac:dyDescent="0.35">
      <c r="A340" t="s">
        <v>2349</v>
      </c>
      <c r="B340" t="s">
        <v>2957</v>
      </c>
      <c r="C340" s="27">
        <v>45451</v>
      </c>
      <c r="D340" s="26" t="s">
        <v>2464</v>
      </c>
      <c r="E340" s="26" t="s">
        <v>2461</v>
      </c>
    </row>
    <row r="341" spans="1:5" x14ac:dyDescent="0.35">
      <c r="A341" t="s">
        <v>2350</v>
      </c>
      <c r="B341" t="s">
        <v>2958</v>
      </c>
      <c r="C341" s="27">
        <v>45605</v>
      </c>
      <c r="D341" s="26" t="s">
        <v>2468</v>
      </c>
      <c r="E341" s="26" t="s">
        <v>2459</v>
      </c>
    </row>
    <row r="342" spans="1:5" x14ac:dyDescent="0.35">
      <c r="A342" t="s">
        <v>2351</v>
      </c>
      <c r="B342" t="s">
        <v>2957</v>
      </c>
      <c r="C342" s="27">
        <v>45984</v>
      </c>
      <c r="D342" s="26" t="s">
        <v>2468</v>
      </c>
      <c r="E342" s="26" t="s">
        <v>2459</v>
      </c>
    </row>
    <row r="343" spans="1:5" x14ac:dyDescent="0.35">
      <c r="A343" t="s">
        <v>2352</v>
      </c>
      <c r="B343" t="s">
        <v>2956</v>
      </c>
      <c r="C343" s="27">
        <v>45416</v>
      </c>
      <c r="D343" s="26" t="s">
        <v>2474</v>
      </c>
      <c r="E343" s="26" t="s">
        <v>2457</v>
      </c>
    </row>
    <row r="344" spans="1:5" x14ac:dyDescent="0.35">
      <c r="A344" t="s">
        <v>2353</v>
      </c>
      <c r="B344" t="s">
        <v>2957</v>
      </c>
      <c r="C344" s="27">
        <v>45610</v>
      </c>
      <c r="D344" s="26" t="s">
        <v>2474</v>
      </c>
      <c r="E344" s="26" t="s">
        <v>2461</v>
      </c>
    </row>
    <row r="345" spans="1:5" x14ac:dyDescent="0.35">
      <c r="A345" t="s">
        <v>2354</v>
      </c>
      <c r="B345" t="s">
        <v>2958</v>
      </c>
      <c r="C345" s="27">
        <v>45587</v>
      </c>
      <c r="D345" s="26" t="s">
        <v>2471</v>
      </c>
      <c r="E345" s="26" t="s">
        <v>2458</v>
      </c>
    </row>
    <row r="346" spans="1:5" x14ac:dyDescent="0.35">
      <c r="A346" t="s">
        <v>2355</v>
      </c>
      <c r="B346" t="s">
        <v>2956</v>
      </c>
      <c r="C346" s="27">
        <v>45598</v>
      </c>
      <c r="D346" s="26" t="s">
        <v>2471</v>
      </c>
      <c r="E346" s="26" t="s">
        <v>2457</v>
      </c>
    </row>
    <row r="347" spans="1:5" x14ac:dyDescent="0.35">
      <c r="A347" t="s">
        <v>2356</v>
      </c>
      <c r="B347" t="s">
        <v>2957</v>
      </c>
      <c r="C347" s="27">
        <v>45765</v>
      </c>
      <c r="D347" s="26" t="s">
        <v>2464</v>
      </c>
      <c r="E347" s="26" t="s">
        <v>2458</v>
      </c>
    </row>
    <row r="348" spans="1:5" x14ac:dyDescent="0.35">
      <c r="A348" t="s">
        <v>2357</v>
      </c>
      <c r="B348" t="s">
        <v>2956</v>
      </c>
      <c r="C348" s="27">
        <v>45388</v>
      </c>
      <c r="D348" s="26" t="s">
        <v>2462</v>
      </c>
      <c r="E348" s="26" t="s">
        <v>2459</v>
      </c>
    </row>
    <row r="349" spans="1:5" x14ac:dyDescent="0.35">
      <c r="A349" t="s">
        <v>2358</v>
      </c>
      <c r="B349" t="s">
        <v>2958</v>
      </c>
      <c r="C349" s="27">
        <v>45749</v>
      </c>
      <c r="D349" s="26" t="s">
        <v>2462</v>
      </c>
      <c r="E349" s="26" t="s">
        <v>2458</v>
      </c>
    </row>
    <row r="350" spans="1:5" x14ac:dyDescent="0.35">
      <c r="A350" t="s">
        <v>2359</v>
      </c>
      <c r="B350" t="s">
        <v>2957</v>
      </c>
      <c r="C350" s="27">
        <v>45574</v>
      </c>
      <c r="D350" s="26" t="s">
        <v>2464</v>
      </c>
      <c r="E350" s="26" t="s">
        <v>2458</v>
      </c>
    </row>
    <row r="351" spans="1:5" x14ac:dyDescent="0.35">
      <c r="A351" t="s">
        <v>2360</v>
      </c>
      <c r="B351" t="s">
        <v>2957</v>
      </c>
      <c r="C351" s="27">
        <v>45509</v>
      </c>
      <c r="D351" s="26" t="s">
        <v>2462</v>
      </c>
      <c r="E351" s="26" t="s">
        <v>2458</v>
      </c>
    </row>
    <row r="352" spans="1:5" x14ac:dyDescent="0.35">
      <c r="A352" t="s">
        <v>2361</v>
      </c>
      <c r="B352" t="s">
        <v>2957</v>
      </c>
      <c r="C352" s="27">
        <v>45779</v>
      </c>
      <c r="D352" s="26" t="s">
        <v>2471</v>
      </c>
      <c r="E352" s="26" t="s">
        <v>2461</v>
      </c>
    </row>
    <row r="353" spans="1:5" x14ac:dyDescent="0.35">
      <c r="A353" t="s">
        <v>2362</v>
      </c>
      <c r="B353" t="s">
        <v>2957</v>
      </c>
      <c r="C353" s="27">
        <v>45320</v>
      </c>
      <c r="D353" s="26" t="s">
        <v>2474</v>
      </c>
      <c r="E353" s="26" t="s">
        <v>2457</v>
      </c>
    </row>
    <row r="354" spans="1:5" x14ac:dyDescent="0.35">
      <c r="A354" t="s">
        <v>2363</v>
      </c>
      <c r="B354" t="s">
        <v>2957</v>
      </c>
      <c r="C354" s="27">
        <v>45789</v>
      </c>
      <c r="D354" s="26" t="s">
        <v>2474</v>
      </c>
      <c r="E354" s="26" t="s">
        <v>2459</v>
      </c>
    </row>
    <row r="355" spans="1:5" x14ac:dyDescent="0.35">
      <c r="A355" t="s">
        <v>2364</v>
      </c>
      <c r="B355" t="s">
        <v>2957</v>
      </c>
      <c r="C355" s="27">
        <v>45885</v>
      </c>
      <c r="D355" s="26" t="s">
        <v>2464</v>
      </c>
      <c r="E355" s="26" t="s">
        <v>2461</v>
      </c>
    </row>
    <row r="356" spans="1:5" x14ac:dyDescent="0.35">
      <c r="A356" t="s">
        <v>2365</v>
      </c>
      <c r="B356" t="s">
        <v>2957</v>
      </c>
      <c r="C356" s="27">
        <v>45344</v>
      </c>
      <c r="D356" s="26" t="s">
        <v>2471</v>
      </c>
      <c r="E356" s="26" t="s">
        <v>2459</v>
      </c>
    </row>
    <row r="357" spans="1:5" x14ac:dyDescent="0.35">
      <c r="A357" t="s">
        <v>2366</v>
      </c>
      <c r="B357" t="s">
        <v>2957</v>
      </c>
      <c r="C357" s="27">
        <v>45629</v>
      </c>
      <c r="D357" s="26" t="s">
        <v>2471</v>
      </c>
      <c r="E357" s="26" t="s">
        <v>2461</v>
      </c>
    </row>
    <row r="358" spans="1:5" x14ac:dyDescent="0.35">
      <c r="A358" t="s">
        <v>2367</v>
      </c>
      <c r="B358" t="s">
        <v>2957</v>
      </c>
      <c r="C358" s="27">
        <v>45794</v>
      </c>
      <c r="D358" s="26" t="s">
        <v>2474</v>
      </c>
      <c r="E358" s="26" t="s">
        <v>2461</v>
      </c>
    </row>
    <row r="359" spans="1:5" x14ac:dyDescent="0.35">
      <c r="A359" t="s">
        <v>2368</v>
      </c>
      <c r="B359" t="s">
        <v>2958</v>
      </c>
      <c r="C359" s="27">
        <v>45555</v>
      </c>
      <c r="D359" s="26" t="s">
        <v>2474</v>
      </c>
      <c r="E359" s="26" t="s">
        <v>2460</v>
      </c>
    </row>
    <row r="360" spans="1:5" x14ac:dyDescent="0.35">
      <c r="A360" t="s">
        <v>2369</v>
      </c>
      <c r="B360" t="s">
        <v>2957</v>
      </c>
      <c r="C360" s="27">
        <v>46003</v>
      </c>
      <c r="D360" s="26" t="s">
        <v>2462</v>
      </c>
      <c r="E360" s="26" t="s">
        <v>2458</v>
      </c>
    </row>
    <row r="361" spans="1:5" x14ac:dyDescent="0.35">
      <c r="A361" t="s">
        <v>2370</v>
      </c>
      <c r="B361" t="s">
        <v>2957</v>
      </c>
      <c r="C361" s="27">
        <v>45318</v>
      </c>
      <c r="D361" s="26" t="s">
        <v>2474</v>
      </c>
      <c r="E361" s="26" t="s">
        <v>2459</v>
      </c>
    </row>
    <row r="362" spans="1:5" x14ac:dyDescent="0.35">
      <c r="A362" t="s">
        <v>2371</v>
      </c>
      <c r="B362" t="s">
        <v>2956</v>
      </c>
      <c r="C362" s="27">
        <v>45519</v>
      </c>
      <c r="D362" s="26" t="s">
        <v>2474</v>
      </c>
      <c r="E362" s="26" t="s">
        <v>2459</v>
      </c>
    </row>
    <row r="363" spans="1:5" x14ac:dyDescent="0.35">
      <c r="A363" t="s">
        <v>2372</v>
      </c>
      <c r="B363" t="s">
        <v>2957</v>
      </c>
      <c r="C363" s="27">
        <v>45704</v>
      </c>
      <c r="D363" s="26" t="s">
        <v>2462</v>
      </c>
      <c r="E363" s="26" t="s">
        <v>2461</v>
      </c>
    </row>
    <row r="364" spans="1:5" x14ac:dyDescent="0.35">
      <c r="A364" t="s">
        <v>2373</v>
      </c>
      <c r="B364" t="s">
        <v>2956</v>
      </c>
      <c r="C364" s="27">
        <v>45953</v>
      </c>
      <c r="D364" s="26" t="s">
        <v>2471</v>
      </c>
      <c r="E364" s="26" t="s">
        <v>2458</v>
      </c>
    </row>
    <row r="365" spans="1:5" x14ac:dyDescent="0.35">
      <c r="A365" t="s">
        <v>2374</v>
      </c>
      <c r="B365" t="s">
        <v>2956</v>
      </c>
      <c r="C365" s="27">
        <v>45494</v>
      </c>
      <c r="D365" s="26" t="s">
        <v>2462</v>
      </c>
      <c r="E365" s="26" t="s">
        <v>2460</v>
      </c>
    </row>
    <row r="366" spans="1:5" x14ac:dyDescent="0.35">
      <c r="A366" t="s">
        <v>2375</v>
      </c>
      <c r="B366" t="s">
        <v>2957</v>
      </c>
      <c r="C366" s="27">
        <v>45427</v>
      </c>
      <c r="D366" s="26" t="s">
        <v>2471</v>
      </c>
      <c r="E366" s="26" t="s">
        <v>2458</v>
      </c>
    </row>
    <row r="367" spans="1:5" x14ac:dyDescent="0.35">
      <c r="A367" t="s">
        <v>2376</v>
      </c>
      <c r="B367" t="s">
        <v>2956</v>
      </c>
      <c r="C367" s="27">
        <v>45780</v>
      </c>
      <c r="D367" s="26" t="s">
        <v>2462</v>
      </c>
      <c r="E367" s="26" t="s">
        <v>2459</v>
      </c>
    </row>
    <row r="368" spans="1:5" x14ac:dyDescent="0.35">
      <c r="A368" t="s">
        <v>2377</v>
      </c>
      <c r="B368" t="s">
        <v>2956</v>
      </c>
      <c r="C368" s="27">
        <v>45398</v>
      </c>
      <c r="D368" s="26" t="s">
        <v>2468</v>
      </c>
      <c r="E368" s="26" t="s">
        <v>2460</v>
      </c>
    </row>
    <row r="369" spans="1:5" x14ac:dyDescent="0.35">
      <c r="A369" t="s">
        <v>2378</v>
      </c>
      <c r="B369" t="s">
        <v>2957</v>
      </c>
      <c r="C369" s="27">
        <v>45394</v>
      </c>
      <c r="D369" s="26" t="s">
        <v>2464</v>
      </c>
      <c r="E369" s="26" t="s">
        <v>2457</v>
      </c>
    </row>
    <row r="370" spans="1:5" x14ac:dyDescent="0.35">
      <c r="A370" t="s">
        <v>2379</v>
      </c>
      <c r="B370" t="s">
        <v>2957</v>
      </c>
      <c r="C370" s="27">
        <v>45342</v>
      </c>
      <c r="D370" s="26" t="s">
        <v>2471</v>
      </c>
      <c r="E370" s="26" t="s">
        <v>2461</v>
      </c>
    </row>
    <row r="371" spans="1:5" x14ac:dyDescent="0.35">
      <c r="A371" t="s">
        <v>2380</v>
      </c>
      <c r="B371" t="s">
        <v>2957</v>
      </c>
      <c r="C371" s="27">
        <v>45787</v>
      </c>
      <c r="D371" s="26" t="s">
        <v>2474</v>
      </c>
      <c r="E371" s="26" t="s">
        <v>2457</v>
      </c>
    </row>
    <row r="372" spans="1:5" x14ac:dyDescent="0.35">
      <c r="A372" t="s">
        <v>2381</v>
      </c>
      <c r="B372" t="s">
        <v>2957</v>
      </c>
      <c r="C372" s="27">
        <v>45355</v>
      </c>
      <c r="D372" s="26" t="s">
        <v>2468</v>
      </c>
      <c r="E372" s="26" t="s">
        <v>2457</v>
      </c>
    </row>
    <row r="373" spans="1:5" x14ac:dyDescent="0.35">
      <c r="A373" t="s">
        <v>2382</v>
      </c>
      <c r="B373" t="s">
        <v>2957</v>
      </c>
      <c r="C373" s="27">
        <v>45831</v>
      </c>
      <c r="D373" s="26" t="s">
        <v>2464</v>
      </c>
      <c r="E373" s="26" t="s">
        <v>2459</v>
      </c>
    </row>
    <row r="374" spans="1:5" x14ac:dyDescent="0.35">
      <c r="A374" t="s">
        <v>2383</v>
      </c>
      <c r="B374" t="s">
        <v>2957</v>
      </c>
      <c r="C374" s="27">
        <v>45347</v>
      </c>
      <c r="D374" s="26" t="s">
        <v>2471</v>
      </c>
      <c r="E374" s="26" t="s">
        <v>2458</v>
      </c>
    </row>
    <row r="375" spans="1:5" x14ac:dyDescent="0.35">
      <c r="A375" t="s">
        <v>2384</v>
      </c>
      <c r="B375" t="s">
        <v>2957</v>
      </c>
      <c r="C375" s="27">
        <v>45554</v>
      </c>
      <c r="D375" s="26" t="s">
        <v>2471</v>
      </c>
      <c r="E375" s="26" t="s">
        <v>2460</v>
      </c>
    </row>
    <row r="376" spans="1:5" x14ac:dyDescent="0.35">
      <c r="A376" t="s">
        <v>2385</v>
      </c>
      <c r="B376" t="s">
        <v>2957</v>
      </c>
      <c r="C376" s="27">
        <v>45790</v>
      </c>
      <c r="D376" s="26" t="s">
        <v>2464</v>
      </c>
      <c r="E376" s="26" t="s">
        <v>2457</v>
      </c>
    </row>
    <row r="377" spans="1:5" x14ac:dyDescent="0.35">
      <c r="A377" t="s">
        <v>2386</v>
      </c>
      <c r="B377" t="s">
        <v>2957</v>
      </c>
      <c r="C377" s="27">
        <v>45609</v>
      </c>
      <c r="D377" s="26" t="s">
        <v>2464</v>
      </c>
      <c r="E377" s="26" t="s">
        <v>2459</v>
      </c>
    </row>
    <row r="378" spans="1:5" x14ac:dyDescent="0.35">
      <c r="A378" t="s">
        <v>2387</v>
      </c>
      <c r="B378" t="s">
        <v>2957</v>
      </c>
      <c r="C378" s="27">
        <v>45621</v>
      </c>
      <c r="D378" s="26" t="s">
        <v>2462</v>
      </c>
      <c r="E378" s="26" t="s">
        <v>2457</v>
      </c>
    </row>
    <row r="379" spans="1:5" x14ac:dyDescent="0.35">
      <c r="A379" t="s">
        <v>2388</v>
      </c>
      <c r="B379" t="s">
        <v>2956</v>
      </c>
      <c r="C379" s="27">
        <v>45336</v>
      </c>
      <c r="D379" s="26" t="s">
        <v>2464</v>
      </c>
      <c r="E379" s="26" t="s">
        <v>2457</v>
      </c>
    </row>
    <row r="380" spans="1:5" x14ac:dyDescent="0.35">
      <c r="A380" t="s">
        <v>2389</v>
      </c>
      <c r="B380" t="s">
        <v>2957</v>
      </c>
      <c r="C380" s="27">
        <v>45546</v>
      </c>
      <c r="D380" s="26" t="s">
        <v>2474</v>
      </c>
      <c r="E380" s="26" t="s">
        <v>2460</v>
      </c>
    </row>
    <row r="381" spans="1:5" x14ac:dyDescent="0.35">
      <c r="A381" t="s">
        <v>2390</v>
      </c>
      <c r="B381" t="s">
        <v>2958</v>
      </c>
      <c r="C381" s="27">
        <v>45571</v>
      </c>
      <c r="D381" s="26" t="s">
        <v>2468</v>
      </c>
      <c r="E381" s="26" t="s">
        <v>2459</v>
      </c>
    </row>
    <row r="382" spans="1:5" x14ac:dyDescent="0.35">
      <c r="A382" t="s">
        <v>2391</v>
      </c>
      <c r="B382" t="s">
        <v>2957</v>
      </c>
      <c r="C382" s="27">
        <v>45743</v>
      </c>
      <c r="D382" s="26" t="s">
        <v>2462</v>
      </c>
      <c r="E382" s="26" t="s">
        <v>2458</v>
      </c>
    </row>
    <row r="383" spans="1:5" x14ac:dyDescent="0.35">
      <c r="A383" t="s">
        <v>2392</v>
      </c>
      <c r="B383" t="s">
        <v>2957</v>
      </c>
      <c r="C383" s="27">
        <v>45923</v>
      </c>
      <c r="D383" s="26" t="s">
        <v>2462</v>
      </c>
      <c r="E383" s="26" t="s">
        <v>2461</v>
      </c>
    </row>
    <row r="384" spans="1:5" x14ac:dyDescent="0.35">
      <c r="A384" t="s">
        <v>2393</v>
      </c>
      <c r="B384" t="s">
        <v>2957</v>
      </c>
      <c r="C384" s="27">
        <v>45942</v>
      </c>
      <c r="D384" s="26" t="s">
        <v>2468</v>
      </c>
      <c r="E384" s="26" t="s">
        <v>2460</v>
      </c>
    </row>
    <row r="385" spans="1:5" x14ac:dyDescent="0.35">
      <c r="A385" t="s">
        <v>2394</v>
      </c>
      <c r="B385" t="s">
        <v>2956</v>
      </c>
      <c r="C385" s="27">
        <v>45499</v>
      </c>
      <c r="D385" s="26" t="s">
        <v>2468</v>
      </c>
      <c r="E385" s="26" t="s">
        <v>2460</v>
      </c>
    </row>
    <row r="386" spans="1:5" x14ac:dyDescent="0.35">
      <c r="A386" t="s">
        <v>2395</v>
      </c>
      <c r="B386" t="s">
        <v>2957</v>
      </c>
      <c r="C386" s="27">
        <v>45737</v>
      </c>
      <c r="D386" s="26" t="s">
        <v>2471</v>
      </c>
      <c r="E386" s="26" t="s">
        <v>2457</v>
      </c>
    </row>
    <row r="387" spans="1:5" x14ac:dyDescent="0.35">
      <c r="A387" t="s">
        <v>2396</v>
      </c>
      <c r="B387" t="s">
        <v>2957</v>
      </c>
      <c r="C387" s="27">
        <v>45767</v>
      </c>
      <c r="D387" s="26" t="s">
        <v>2471</v>
      </c>
      <c r="E387" s="26" t="s">
        <v>2461</v>
      </c>
    </row>
    <row r="388" spans="1:5" x14ac:dyDescent="0.35">
      <c r="A388" t="s">
        <v>2397</v>
      </c>
      <c r="B388" t="s">
        <v>2957</v>
      </c>
      <c r="C388" s="27">
        <v>45436</v>
      </c>
      <c r="D388" s="26" t="s">
        <v>2471</v>
      </c>
      <c r="E388" s="26" t="s">
        <v>2459</v>
      </c>
    </row>
    <row r="389" spans="1:5" x14ac:dyDescent="0.35">
      <c r="A389" t="s">
        <v>2398</v>
      </c>
      <c r="B389" t="s">
        <v>2957</v>
      </c>
      <c r="C389" s="27">
        <v>45965</v>
      </c>
      <c r="D389" s="26" t="s">
        <v>2474</v>
      </c>
      <c r="E389" s="26" t="s">
        <v>2461</v>
      </c>
    </row>
    <row r="390" spans="1:5" x14ac:dyDescent="0.35">
      <c r="A390" t="s">
        <v>2399</v>
      </c>
      <c r="B390" t="s">
        <v>2956</v>
      </c>
      <c r="C390" s="27">
        <v>45669</v>
      </c>
      <c r="D390" s="26" t="s">
        <v>2464</v>
      </c>
      <c r="E390" s="26" t="s">
        <v>2459</v>
      </c>
    </row>
    <row r="391" spans="1:5" x14ac:dyDescent="0.35">
      <c r="A391" t="s">
        <v>2400</v>
      </c>
      <c r="B391" t="s">
        <v>2956</v>
      </c>
      <c r="C391" s="27">
        <v>45810</v>
      </c>
      <c r="D391" s="26" t="s">
        <v>2474</v>
      </c>
      <c r="E391" s="26" t="s">
        <v>2457</v>
      </c>
    </row>
    <row r="392" spans="1:5" x14ac:dyDescent="0.35">
      <c r="A392" t="s">
        <v>2401</v>
      </c>
      <c r="B392" t="s">
        <v>2957</v>
      </c>
      <c r="C392" s="27">
        <v>45660</v>
      </c>
      <c r="D392" s="26" t="s">
        <v>2471</v>
      </c>
      <c r="E392" s="26" t="s">
        <v>2457</v>
      </c>
    </row>
    <row r="393" spans="1:5" x14ac:dyDescent="0.35">
      <c r="A393" t="s">
        <v>2402</v>
      </c>
      <c r="B393" t="s">
        <v>2956</v>
      </c>
      <c r="C393" s="27">
        <v>45479</v>
      </c>
      <c r="D393" s="26" t="s">
        <v>2464</v>
      </c>
      <c r="E393" s="26" t="s">
        <v>2461</v>
      </c>
    </row>
    <row r="394" spans="1:5" x14ac:dyDescent="0.35">
      <c r="A394" t="s">
        <v>2403</v>
      </c>
      <c r="B394" t="s">
        <v>2957</v>
      </c>
      <c r="C394" s="27">
        <v>45567</v>
      </c>
      <c r="D394" s="26" t="s">
        <v>2464</v>
      </c>
      <c r="E394" s="26" t="s">
        <v>2460</v>
      </c>
    </row>
    <row r="395" spans="1:5" x14ac:dyDescent="0.35">
      <c r="A395" t="s">
        <v>2404</v>
      </c>
      <c r="B395" t="s">
        <v>2957</v>
      </c>
      <c r="C395" s="27">
        <v>45368</v>
      </c>
      <c r="D395" s="26" t="s">
        <v>2474</v>
      </c>
      <c r="E395" s="26" t="s">
        <v>2458</v>
      </c>
    </row>
    <row r="396" spans="1:5" x14ac:dyDescent="0.35">
      <c r="A396" t="s">
        <v>2405</v>
      </c>
      <c r="B396" t="s">
        <v>2957</v>
      </c>
      <c r="C396" s="27">
        <v>45926</v>
      </c>
      <c r="D396" s="26" t="s">
        <v>2464</v>
      </c>
      <c r="E396" s="26" t="s">
        <v>2457</v>
      </c>
    </row>
    <row r="397" spans="1:5" x14ac:dyDescent="0.35">
      <c r="A397" t="s">
        <v>2406</v>
      </c>
      <c r="B397" t="s">
        <v>2957</v>
      </c>
      <c r="C397" s="27">
        <v>45345</v>
      </c>
      <c r="D397" s="26" t="s">
        <v>2468</v>
      </c>
      <c r="E397" s="26" t="s">
        <v>2459</v>
      </c>
    </row>
    <row r="398" spans="1:5" x14ac:dyDescent="0.35">
      <c r="A398" t="s">
        <v>2407</v>
      </c>
      <c r="B398" t="s">
        <v>2957</v>
      </c>
      <c r="C398" s="27">
        <v>45527</v>
      </c>
      <c r="D398" s="26" t="s">
        <v>2464</v>
      </c>
      <c r="E398" s="26" t="s">
        <v>2461</v>
      </c>
    </row>
    <row r="399" spans="1:5" x14ac:dyDescent="0.35">
      <c r="A399" t="s">
        <v>2408</v>
      </c>
      <c r="B399" t="s">
        <v>2957</v>
      </c>
      <c r="C399" s="27">
        <v>45702</v>
      </c>
      <c r="D399" s="26" t="s">
        <v>2468</v>
      </c>
      <c r="E399" s="26" t="s">
        <v>2461</v>
      </c>
    </row>
    <row r="400" spans="1:5" x14ac:dyDescent="0.35">
      <c r="A400" t="s">
        <v>2409</v>
      </c>
      <c r="B400" t="s">
        <v>2957</v>
      </c>
      <c r="C400" s="27">
        <v>45416</v>
      </c>
      <c r="D400" s="26" t="s">
        <v>2464</v>
      </c>
      <c r="E400" s="26" t="s">
        <v>2459</v>
      </c>
    </row>
    <row r="401" spans="1:5" x14ac:dyDescent="0.35">
      <c r="A401" t="s">
        <v>2410</v>
      </c>
      <c r="B401" t="s">
        <v>2956</v>
      </c>
      <c r="C401" s="27">
        <v>45832</v>
      </c>
      <c r="D401" s="26" t="s">
        <v>2474</v>
      </c>
      <c r="E401" s="26" t="s">
        <v>2457</v>
      </c>
    </row>
    <row r="402" spans="1:5" x14ac:dyDescent="0.35">
      <c r="A402" t="s">
        <v>2411</v>
      </c>
      <c r="B402" t="s">
        <v>2957</v>
      </c>
      <c r="C402" s="27">
        <v>45612</v>
      </c>
      <c r="D402" s="26" t="s">
        <v>2464</v>
      </c>
      <c r="E402" s="26" t="s">
        <v>2457</v>
      </c>
    </row>
    <row r="403" spans="1:5" x14ac:dyDescent="0.35">
      <c r="A403" t="s">
        <v>2412</v>
      </c>
      <c r="B403" t="s">
        <v>2957</v>
      </c>
      <c r="C403" s="27">
        <v>45937</v>
      </c>
      <c r="D403" s="26" t="s">
        <v>2468</v>
      </c>
      <c r="E403" s="26" t="s">
        <v>2461</v>
      </c>
    </row>
    <row r="404" spans="1:5" x14ac:dyDescent="0.35">
      <c r="A404" t="s">
        <v>2413</v>
      </c>
      <c r="B404" t="s">
        <v>2956</v>
      </c>
      <c r="C404" s="27">
        <v>45419</v>
      </c>
      <c r="D404" s="26" t="s">
        <v>2462</v>
      </c>
      <c r="E404" s="26" t="s">
        <v>2458</v>
      </c>
    </row>
    <row r="405" spans="1:5" x14ac:dyDescent="0.35">
      <c r="A405" t="s">
        <v>2414</v>
      </c>
      <c r="B405" t="s">
        <v>2957</v>
      </c>
      <c r="C405" s="27">
        <v>45983</v>
      </c>
      <c r="D405" s="26" t="s">
        <v>2462</v>
      </c>
      <c r="E405" s="26" t="s">
        <v>2460</v>
      </c>
    </row>
    <row r="406" spans="1:5" x14ac:dyDescent="0.35">
      <c r="A406" t="s">
        <v>2415</v>
      </c>
      <c r="B406" t="s">
        <v>2957</v>
      </c>
      <c r="C406" s="27">
        <v>45618</v>
      </c>
      <c r="D406" s="26" t="s">
        <v>2468</v>
      </c>
      <c r="E406" s="26" t="s">
        <v>2460</v>
      </c>
    </row>
    <row r="407" spans="1:5" x14ac:dyDescent="0.35">
      <c r="A407" t="s">
        <v>2416</v>
      </c>
      <c r="B407" t="s">
        <v>2956</v>
      </c>
      <c r="C407" s="27">
        <v>46003</v>
      </c>
      <c r="D407" s="26" t="s">
        <v>2464</v>
      </c>
      <c r="E407" s="26" t="s">
        <v>2458</v>
      </c>
    </row>
    <row r="408" spans="1:5" x14ac:dyDescent="0.35">
      <c r="A408" t="s">
        <v>2417</v>
      </c>
      <c r="B408" t="s">
        <v>2956</v>
      </c>
      <c r="C408" s="27">
        <v>45969</v>
      </c>
      <c r="D408" s="26" t="s">
        <v>2462</v>
      </c>
      <c r="E408" s="26" t="s">
        <v>2459</v>
      </c>
    </row>
    <row r="409" spans="1:5" x14ac:dyDescent="0.35">
      <c r="A409" t="s">
        <v>2418</v>
      </c>
      <c r="B409" t="s">
        <v>2957</v>
      </c>
      <c r="C409" s="27">
        <v>45759</v>
      </c>
      <c r="D409" s="26" t="s">
        <v>2468</v>
      </c>
      <c r="E409" s="26" t="s">
        <v>2458</v>
      </c>
    </row>
    <row r="410" spans="1:5" x14ac:dyDescent="0.35">
      <c r="A410" t="s">
        <v>2419</v>
      </c>
      <c r="B410" t="s">
        <v>2958</v>
      </c>
      <c r="C410" s="27">
        <v>45881</v>
      </c>
      <c r="D410" s="26" t="s">
        <v>2474</v>
      </c>
      <c r="E410" s="26" t="s">
        <v>2458</v>
      </c>
    </row>
    <row r="411" spans="1:5" x14ac:dyDescent="0.35">
      <c r="A411" t="s">
        <v>2420</v>
      </c>
      <c r="B411" t="s">
        <v>2956</v>
      </c>
      <c r="C411" s="27">
        <v>45962</v>
      </c>
      <c r="D411" s="26" t="s">
        <v>2474</v>
      </c>
      <c r="E411" s="26" t="s">
        <v>2460</v>
      </c>
    </row>
    <row r="412" spans="1:5" x14ac:dyDescent="0.35">
      <c r="A412" t="s">
        <v>2421</v>
      </c>
      <c r="B412" t="s">
        <v>2957</v>
      </c>
      <c r="C412" s="27">
        <v>45404</v>
      </c>
      <c r="D412" s="26" t="s">
        <v>2462</v>
      </c>
      <c r="E412" s="26" t="s">
        <v>2460</v>
      </c>
    </row>
    <row r="413" spans="1:5" x14ac:dyDescent="0.35">
      <c r="A413" t="s">
        <v>2422</v>
      </c>
      <c r="B413" t="s">
        <v>2956</v>
      </c>
      <c r="C413" s="27">
        <v>45539</v>
      </c>
      <c r="D413" s="26" t="s">
        <v>2474</v>
      </c>
      <c r="E413" s="26" t="s">
        <v>2461</v>
      </c>
    </row>
    <row r="414" spans="1:5" x14ac:dyDescent="0.35">
      <c r="A414" t="s">
        <v>2423</v>
      </c>
      <c r="B414" t="s">
        <v>2957</v>
      </c>
      <c r="C414" s="27">
        <v>45916</v>
      </c>
      <c r="D414" s="26" t="s">
        <v>2464</v>
      </c>
      <c r="E414" s="26" t="s">
        <v>2461</v>
      </c>
    </row>
    <row r="415" spans="1:5" x14ac:dyDescent="0.35">
      <c r="A415" t="s">
        <v>2424</v>
      </c>
      <c r="B415" t="s">
        <v>2957</v>
      </c>
      <c r="C415" s="27">
        <v>45371</v>
      </c>
      <c r="D415" s="26" t="s">
        <v>2474</v>
      </c>
      <c r="E415" s="26" t="s">
        <v>2457</v>
      </c>
    </row>
    <row r="416" spans="1:5" x14ac:dyDescent="0.35">
      <c r="A416" t="s">
        <v>2425</v>
      </c>
      <c r="B416" t="s">
        <v>2957</v>
      </c>
      <c r="C416" s="27">
        <v>45556</v>
      </c>
      <c r="D416" s="26" t="s">
        <v>2464</v>
      </c>
      <c r="E416" s="26" t="s">
        <v>2461</v>
      </c>
    </row>
    <row r="417" spans="1:5" x14ac:dyDescent="0.35">
      <c r="A417" t="s">
        <v>2426</v>
      </c>
      <c r="B417" t="s">
        <v>2957</v>
      </c>
      <c r="C417" s="27">
        <v>45834</v>
      </c>
      <c r="D417" s="26" t="s">
        <v>2474</v>
      </c>
      <c r="E417" s="26" t="s">
        <v>2461</v>
      </c>
    </row>
    <row r="418" spans="1:5" x14ac:dyDescent="0.35">
      <c r="A418" t="s">
        <v>2427</v>
      </c>
      <c r="B418" t="s">
        <v>2957</v>
      </c>
      <c r="C418" s="27">
        <v>45590</v>
      </c>
      <c r="D418" s="26" t="s">
        <v>2471</v>
      </c>
      <c r="E418" s="26" t="s">
        <v>2461</v>
      </c>
    </row>
    <row r="419" spans="1:5" x14ac:dyDescent="0.35">
      <c r="A419" t="s">
        <v>2428</v>
      </c>
      <c r="B419" t="s">
        <v>2956</v>
      </c>
      <c r="C419" s="27">
        <v>45343</v>
      </c>
      <c r="D419" s="26" t="s">
        <v>2468</v>
      </c>
      <c r="E419" s="26" t="s">
        <v>2458</v>
      </c>
    </row>
    <row r="420" spans="1:5" x14ac:dyDescent="0.35">
      <c r="A420" t="s">
        <v>2429</v>
      </c>
      <c r="B420" t="s">
        <v>2957</v>
      </c>
      <c r="C420" s="27">
        <v>45620</v>
      </c>
      <c r="D420" s="26" t="s">
        <v>2464</v>
      </c>
      <c r="E420" s="26" t="s">
        <v>2460</v>
      </c>
    </row>
    <row r="421" spans="1:5" x14ac:dyDescent="0.35">
      <c r="A421" t="s">
        <v>2430</v>
      </c>
      <c r="B421" t="s">
        <v>2956</v>
      </c>
      <c r="C421" s="27">
        <v>45714</v>
      </c>
      <c r="D421" s="26" t="s">
        <v>2471</v>
      </c>
      <c r="E421" s="26" t="s">
        <v>2458</v>
      </c>
    </row>
    <row r="422" spans="1:5" x14ac:dyDescent="0.35">
      <c r="A422" t="s">
        <v>2431</v>
      </c>
      <c r="B422" t="s">
        <v>2957</v>
      </c>
      <c r="C422" s="27">
        <v>45462</v>
      </c>
      <c r="D422" s="26" t="s">
        <v>2462</v>
      </c>
      <c r="E422" s="26" t="s">
        <v>2460</v>
      </c>
    </row>
    <row r="423" spans="1:5" x14ac:dyDescent="0.35">
      <c r="A423" t="s">
        <v>2432</v>
      </c>
      <c r="B423" t="s">
        <v>2957</v>
      </c>
      <c r="C423" s="27">
        <v>45457</v>
      </c>
      <c r="D423" s="26" t="s">
        <v>2464</v>
      </c>
      <c r="E423" s="26" t="s">
        <v>2459</v>
      </c>
    </row>
    <row r="424" spans="1:5" x14ac:dyDescent="0.35">
      <c r="A424" t="s">
        <v>2433</v>
      </c>
      <c r="B424" t="s">
        <v>2957</v>
      </c>
      <c r="C424" s="27">
        <v>45503</v>
      </c>
      <c r="D424" s="26" t="s">
        <v>2468</v>
      </c>
      <c r="E424" s="26" t="s">
        <v>2461</v>
      </c>
    </row>
    <row r="425" spans="1:5" x14ac:dyDescent="0.35">
      <c r="A425" t="s">
        <v>2434</v>
      </c>
      <c r="B425" t="s">
        <v>2958</v>
      </c>
      <c r="C425" s="27">
        <v>45506</v>
      </c>
      <c r="D425" s="26" t="s">
        <v>2468</v>
      </c>
      <c r="E425" s="26" t="s">
        <v>2461</v>
      </c>
    </row>
    <row r="426" spans="1:5" x14ac:dyDescent="0.35">
      <c r="A426" t="s">
        <v>2435</v>
      </c>
      <c r="B426" t="s">
        <v>2957</v>
      </c>
      <c r="C426" s="27">
        <v>45806</v>
      </c>
      <c r="D426" s="26" t="s">
        <v>2462</v>
      </c>
      <c r="E426" s="26" t="s">
        <v>2460</v>
      </c>
    </row>
    <row r="427" spans="1:5" x14ac:dyDescent="0.35">
      <c r="A427" t="s">
        <v>2436</v>
      </c>
      <c r="B427" t="s">
        <v>2956</v>
      </c>
      <c r="C427" s="27">
        <v>45332</v>
      </c>
      <c r="D427" s="26" t="s">
        <v>2462</v>
      </c>
      <c r="E427" s="26" t="s">
        <v>2461</v>
      </c>
    </row>
    <row r="428" spans="1:5" x14ac:dyDescent="0.35">
      <c r="A428" t="s">
        <v>2437</v>
      </c>
      <c r="B428" t="s">
        <v>2956</v>
      </c>
      <c r="C428" s="27">
        <v>45366</v>
      </c>
      <c r="D428" s="26" t="s">
        <v>2474</v>
      </c>
      <c r="E428" s="26" t="s">
        <v>2457</v>
      </c>
    </row>
    <row r="429" spans="1:5" x14ac:dyDescent="0.35">
      <c r="A429" t="s">
        <v>2438</v>
      </c>
      <c r="B429" t="s">
        <v>2957</v>
      </c>
      <c r="C429" s="27">
        <v>45681</v>
      </c>
      <c r="D429" s="26" t="s">
        <v>2474</v>
      </c>
      <c r="E429" s="26" t="s">
        <v>2457</v>
      </c>
    </row>
    <row r="430" spans="1:5" x14ac:dyDescent="0.35">
      <c r="A430" t="s">
        <v>2439</v>
      </c>
      <c r="B430" t="s">
        <v>2956</v>
      </c>
      <c r="C430" s="27">
        <v>45549</v>
      </c>
      <c r="D430" s="26" t="s">
        <v>2462</v>
      </c>
      <c r="E430" s="26" t="s">
        <v>2458</v>
      </c>
    </row>
    <row r="431" spans="1:5" x14ac:dyDescent="0.35">
      <c r="A431" t="s">
        <v>2440</v>
      </c>
      <c r="B431" t="s">
        <v>2957</v>
      </c>
      <c r="C431" s="27">
        <v>45606</v>
      </c>
      <c r="D431" s="26" t="s">
        <v>2471</v>
      </c>
      <c r="E431" s="26" t="s">
        <v>2460</v>
      </c>
    </row>
    <row r="432" spans="1:5" x14ac:dyDescent="0.35">
      <c r="A432" t="s">
        <v>2441</v>
      </c>
      <c r="B432" t="s">
        <v>2957</v>
      </c>
      <c r="C432" s="27">
        <v>45870</v>
      </c>
      <c r="D432" s="26" t="s">
        <v>2464</v>
      </c>
      <c r="E432" s="26" t="s">
        <v>2461</v>
      </c>
    </row>
    <row r="433" spans="1:5" x14ac:dyDescent="0.35">
      <c r="A433" t="s">
        <v>2442</v>
      </c>
      <c r="B433" t="s">
        <v>2956</v>
      </c>
      <c r="C433" s="27">
        <v>45385</v>
      </c>
      <c r="D433" s="26" t="s">
        <v>2468</v>
      </c>
      <c r="E433" s="26" t="s">
        <v>2458</v>
      </c>
    </row>
    <row r="434" spans="1:5" x14ac:dyDescent="0.35">
      <c r="A434" t="s">
        <v>2443</v>
      </c>
      <c r="B434" t="s">
        <v>2957</v>
      </c>
      <c r="C434" s="27">
        <v>45533</v>
      </c>
      <c r="D434" s="26" t="s">
        <v>2462</v>
      </c>
      <c r="E434" s="26" t="s">
        <v>2460</v>
      </c>
    </row>
    <row r="435" spans="1:5" x14ac:dyDescent="0.35">
      <c r="A435" t="s">
        <v>2444</v>
      </c>
      <c r="B435" t="s">
        <v>2957</v>
      </c>
      <c r="C435" s="27">
        <v>45946</v>
      </c>
      <c r="D435" s="26" t="s">
        <v>2471</v>
      </c>
      <c r="E435" s="26" t="s">
        <v>2459</v>
      </c>
    </row>
    <row r="436" spans="1:5" x14ac:dyDescent="0.35">
      <c r="A436" t="s">
        <v>2445</v>
      </c>
      <c r="B436" t="s">
        <v>2957</v>
      </c>
      <c r="C436" s="27">
        <v>45725</v>
      </c>
      <c r="D436" s="26" t="s">
        <v>2464</v>
      </c>
      <c r="E436" s="26" t="s">
        <v>2461</v>
      </c>
    </row>
    <row r="437" spans="1:5" x14ac:dyDescent="0.35">
      <c r="A437" t="s">
        <v>2446</v>
      </c>
      <c r="B437" t="s">
        <v>2957</v>
      </c>
      <c r="C437" s="27">
        <v>46021</v>
      </c>
      <c r="D437" s="26" t="s">
        <v>2468</v>
      </c>
      <c r="E437" s="26" t="s">
        <v>2459</v>
      </c>
    </row>
    <row r="438" spans="1:5" x14ac:dyDescent="0.35">
      <c r="A438" t="s">
        <v>2447</v>
      </c>
      <c r="B438" t="s">
        <v>2957</v>
      </c>
      <c r="C438" s="27">
        <v>45888</v>
      </c>
      <c r="D438" s="26" t="s">
        <v>2474</v>
      </c>
      <c r="E438" s="26" t="s">
        <v>2457</v>
      </c>
    </row>
    <row r="439" spans="1:5" x14ac:dyDescent="0.35">
      <c r="A439" t="s">
        <v>2448</v>
      </c>
      <c r="B439" t="s">
        <v>2956</v>
      </c>
      <c r="C439" s="27">
        <v>45882</v>
      </c>
      <c r="D439" s="26" t="s">
        <v>2462</v>
      </c>
      <c r="E439" s="26" t="s">
        <v>2461</v>
      </c>
    </row>
    <row r="440" spans="1:5" x14ac:dyDescent="0.35">
      <c r="A440" t="s">
        <v>2449</v>
      </c>
      <c r="B440" t="s">
        <v>2957</v>
      </c>
      <c r="C440" s="27">
        <v>45526</v>
      </c>
      <c r="D440" s="26" t="s">
        <v>2471</v>
      </c>
      <c r="E440" s="26" t="s">
        <v>2460</v>
      </c>
    </row>
    <row r="441" spans="1:5" x14ac:dyDescent="0.35">
      <c r="A441" t="s">
        <v>2450</v>
      </c>
      <c r="B441" t="s">
        <v>2957</v>
      </c>
      <c r="C441" s="27">
        <v>45352</v>
      </c>
      <c r="D441" s="26" t="s">
        <v>2471</v>
      </c>
      <c r="E441" s="26" t="s">
        <v>2458</v>
      </c>
    </row>
    <row r="442" spans="1:5" x14ac:dyDescent="0.35">
      <c r="A442" t="s">
        <v>2451</v>
      </c>
      <c r="B442" t="s">
        <v>2956</v>
      </c>
      <c r="C442" s="27">
        <v>45735</v>
      </c>
      <c r="D442" s="26" t="s">
        <v>2471</v>
      </c>
      <c r="E442" s="26" t="s">
        <v>2459</v>
      </c>
    </row>
    <row r="443" spans="1:5" x14ac:dyDescent="0.35">
      <c r="A443" t="s">
        <v>2452</v>
      </c>
      <c r="B443" t="s">
        <v>2956</v>
      </c>
      <c r="C443" s="27">
        <v>45452</v>
      </c>
      <c r="D443" s="26" t="s">
        <v>2474</v>
      </c>
      <c r="E443" s="26" t="s">
        <v>2461</v>
      </c>
    </row>
    <row r="444" spans="1:5" x14ac:dyDescent="0.35">
      <c r="A444" t="s">
        <v>2453</v>
      </c>
      <c r="B444" t="s">
        <v>2958</v>
      </c>
      <c r="C444" s="27">
        <v>46013</v>
      </c>
      <c r="D444" s="26" t="s">
        <v>2462</v>
      </c>
      <c r="E444" s="26" t="s">
        <v>2459</v>
      </c>
    </row>
    <row r="445" spans="1:5" x14ac:dyDescent="0.35">
      <c r="A445" t="s">
        <v>2454</v>
      </c>
      <c r="B445" t="s">
        <v>2956</v>
      </c>
      <c r="C445" s="27">
        <v>45502</v>
      </c>
      <c r="D445" s="26" t="s">
        <v>2474</v>
      </c>
      <c r="E445" s="26" t="s">
        <v>2461</v>
      </c>
    </row>
    <row r="446" spans="1:5" x14ac:dyDescent="0.35">
      <c r="A446" t="s">
        <v>2455</v>
      </c>
      <c r="B446" t="s">
        <v>2957</v>
      </c>
      <c r="C446" s="27">
        <v>45988</v>
      </c>
      <c r="D446" s="26" t="s">
        <v>2468</v>
      </c>
      <c r="E446" s="26" t="s">
        <v>2461</v>
      </c>
    </row>
    <row r="447" spans="1:5" x14ac:dyDescent="0.35">
      <c r="A447" t="s">
        <v>2456</v>
      </c>
      <c r="B447" t="s">
        <v>2957</v>
      </c>
      <c r="C447" s="27">
        <v>45779</v>
      </c>
      <c r="D447" s="26" t="s">
        <v>2471</v>
      </c>
      <c r="E447" s="26" t="s">
        <v>2459</v>
      </c>
    </row>
  </sheetData>
  <dataConsolidate/>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0F0067-E29E-428D-8055-0BB1ED7317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Exploratory Analysis</vt:lpstr>
      <vt:lpstr>mapping Site table</vt:lpstr>
      <vt:lpstr>Raw_LIMS_Export</vt:lpstr>
      <vt:lpstr>Batch outcome by site</vt:lpstr>
      <vt:lpstr>Test_outcome</vt:lpstr>
      <vt:lpstr>LIMS_Export_worked</vt:lpstr>
      <vt:lpstr>Batch_level_table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David Mullor</cp:lastModifiedBy>
  <dcterms:created xsi:type="dcterms:W3CDTF">2026-08-03T11:58:33Z</dcterms:created>
  <dcterms:modified xsi:type="dcterms:W3CDTF">2026-08-06T17:30:41Z</dcterms:modified>
</cp:coreProperties>
</file>